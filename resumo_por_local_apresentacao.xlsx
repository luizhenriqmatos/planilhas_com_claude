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" sheetId="1" state="visible" r:id="rId1"/>
    <sheet name="Resumo por Local" sheetId="2" state="visible" r:id="rId2"/>
  </sheets>
  <definedNames>
    <definedName name="_xlnm.Print_Area" localSheetId="0">'Painel'!$A$1:$H$52</definedName>
    <definedName name="_xlnm._FilterDatabase" localSheetId="1" hidden="1">'Resumo por Local'!$A$3:$R$3030</definedName>
    <definedName name="_xlnm.Print_Titles" localSheetId="1">'Resumo por Local'!$3:$3</definedName>
    <definedName name="_xlnm.Print_Area" localSheetId="1">'Resumo por Local'!$A$1:$O$3030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color rgb="00FFFFFF"/>
      <sz val="11"/>
    </font>
    <font>
      <name val="Arial"/>
      <b val="1"/>
      <color rgb="00404040"/>
      <sz val="9"/>
    </font>
    <font>
      <name val="Arial"/>
      <b val="1"/>
      <color rgb="001F3864"/>
      <sz val="20"/>
    </font>
    <font>
      <name val="Arial"/>
      <color rgb="00404040"/>
      <sz val="9"/>
    </font>
    <font>
      <name val="Arial"/>
      <b val="1"/>
      <color rgb="00000000"/>
      <sz val="12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C6E0B4"/>
      </patternFill>
    </fill>
    <fill>
      <patternFill patternType="solid">
        <fgColor rgb="00FBD5D5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 inden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3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3" fontId="12" fillId="9" borderId="1" applyAlignment="1" pivotButton="0" quotePrefix="0" xfId="0">
      <alignment horizontal="center" vertical="center"/>
    </xf>
    <xf numFmtId="165" fontId="12" fillId="9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Arial"/>
        <b val="1"/>
        <color rgb="009C1C1C"/>
        <sz val="10"/>
      </font>
      <fill>
        <patternFill patternType="solid">
          <fgColor rgb="00FBD5D5"/>
        </patternFill>
      </fill>
    </dxf>
    <dxf>
      <font>
        <name val="Arial"/>
        <b val="1"/>
        <color rgb="00375623"/>
        <sz val="10"/>
      </font>
      <fill>
        <patternFill patternType="solid">
          <fgColor rgb="00C6E0B4"/>
        </patternFill>
      </fill>
    </dxf>
    <dxf>
      <font>
        <name val="Arial"/>
        <b val="1"/>
        <color rgb="00375623"/>
        <sz val="10"/>
      </font>
    </dxf>
    <dxf>
      <font>
        <name val="Arial"/>
        <color rgb="00BF8F00"/>
        <sz val="10"/>
      </font>
    </dxf>
    <dxf>
      <font>
        <name val="Arial"/>
        <color rgb="009C1C1C"/>
        <sz val="10"/>
      </font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2" ht="26" customHeight="1">
      <c r="B2" s="1" t="inlineStr">
        <is>
          <t>COBERTURA DE CÂMERAS NOS LOCAIS DE VOTAÇÃO</t>
        </is>
      </c>
    </row>
    <row r="3" ht="18" customHeight="1">
      <c r="B3" s="2" t="inlineStr">
        <is>
          <t>Municípios do programa VPE — Estado da Bahia  |  Raio de referência: 100 metros</t>
        </is>
      </c>
    </row>
    <row r="5" ht="15" customHeight="1">
      <c r="B5" s="3" t="inlineStr">
        <is>
          <t>INDICADORES GERAIS</t>
        </is>
      </c>
    </row>
    <row r="6" ht="28" customHeight="1">
      <c r="C6" s="4" t="inlineStr">
        <is>
          <t>Locais analisados</t>
        </is>
      </c>
      <c r="D6" s="5" t="inlineStr">
        <is>
          <t>Locais COM câmera ≤ 100 m</t>
        </is>
      </c>
      <c r="E6" s="6" t="inlineStr">
        <is>
          <t>Locais SEM câmera ≤ 100 m</t>
        </is>
      </c>
      <c r="F6" s="7" t="inlineStr">
        <is>
          <t>Cobertura</t>
        </is>
      </c>
    </row>
    <row r="7" ht="34" customHeight="1">
      <c r="C7" s="8">
        <f>COUNTA('Resumo por Local'!$A$4:$A$3030)</f>
        <v>3027</v>
      </c>
      <c r="D7" s="8">
        <f>COUNTIF('Resumo por Local'!$I$4:$I$3030,"SIM")</f>
        <v>348</v>
      </c>
      <c r="E7" s="8">
        <f>COUNTIF('Resumo por Local'!$I$4:$I$3030,"NÃO")</f>
        <v>2679</v>
      </c>
      <c r="F7" s="9">
        <f>D7/C7</f>
        <v>0.11496531219028741</v>
      </c>
    </row>
    <row r="9">
      <c r="C9" s="10" t="inlineStr">
        <is>
          <t>Seções eleitorais no total</t>
        </is>
      </c>
      <c r="D9" s="10" t="inlineStr">
        <is>
          <t>Seções em locais cobertos</t>
        </is>
      </c>
      <c r="E9" s="10" t="inlineStr">
        <is>
          <t>% de seções cobertas</t>
        </is>
      </c>
      <c r="F9" s="10" t="inlineStr">
        <is>
          <t>Municípios</t>
        </is>
      </c>
      <c r="G9" s="10" t="inlineStr">
        <is>
          <t>Zonas eleitorais</t>
        </is>
      </c>
    </row>
    <row r="10">
      <c r="C10" s="11">
        <f>SUM('Resumo por Local'!$H$4:$H$3030)</f>
        <v>17872</v>
      </c>
      <c r="D10" s="11">
        <f>SUMIF('Resumo por Local'!$I$4:$I$3030,"SIM",'Resumo por Local'!$H$4:$H$3030)</f>
        <v>3263</v>
      </c>
      <c r="E10" s="12">
        <f>D10/C10</f>
        <v>0.18257609668755595</v>
      </c>
      <c r="F10" s="11">
        <f>SUM('Resumo por Local'!$S$4:$S$3030)</f>
        <v>77</v>
      </c>
      <c r="G10" s="11">
        <f>SUM('Resumo por Local'!$T$4:$T$3030)</f>
        <v>97</v>
      </c>
    </row>
    <row r="12">
      <c r="B12" s="3" t="inlineStr">
        <is>
          <t>LOCAIS ATENDIDOS POR RAIO DE DISTÂNCIA</t>
        </is>
      </c>
    </row>
    <row r="13">
      <c r="B13" s="13" t="inlineStr">
        <is>
          <t>Raio</t>
        </is>
      </c>
      <c r="C13" s="13" t="inlineStr">
        <is>
          <t>Locais atendidos</t>
        </is>
      </c>
      <c r="D13" s="13" t="inlineStr">
        <is>
          <t>% do total</t>
        </is>
      </c>
      <c r="E13" s="13" t="inlineStr">
        <is>
          <t>Locais não atendidos</t>
        </is>
      </c>
    </row>
    <row r="14">
      <c r="B14" s="14" t="inlineStr">
        <is>
          <t>Até 50 m</t>
        </is>
      </c>
      <c r="C14" s="15">
        <f>COUNTIF('Resumo por Local'!$L$4:$L$3030,"&gt;0")</f>
        <v>148</v>
      </c>
      <c r="D14" s="16">
        <f>C14/$C$7</f>
        <v>0.048893293690122235</v>
      </c>
      <c r="E14" s="15">
        <f>$C$7-C14</f>
        <v>2879</v>
      </c>
    </row>
    <row r="15">
      <c r="B15" s="17" t="inlineStr">
        <is>
          <t>Até 100 m  (referência)</t>
        </is>
      </c>
      <c r="C15" s="15">
        <f>COUNTIF('Resumo por Local'!$M$4:$M$3030,"&gt;0")</f>
        <v>348</v>
      </c>
      <c r="D15" s="16">
        <f>C15/$C$7</f>
        <v>0.11496531219028741</v>
      </c>
      <c r="E15" s="15">
        <f>$C$7-C15</f>
        <v>2679</v>
      </c>
    </row>
    <row r="16">
      <c r="B16" s="14" t="inlineStr">
        <is>
          <t>Até 200 m</t>
        </is>
      </c>
      <c r="C16" s="15">
        <f>COUNTIF('Resumo por Local'!$N$4:$N$3030,"&gt;0")</f>
        <v>774</v>
      </c>
      <c r="D16" s="16">
        <f>C16/$C$7</f>
        <v>0.2556987115956392</v>
      </c>
      <c r="E16" s="15">
        <f>$C$7-C16</f>
        <v>2253</v>
      </c>
    </row>
    <row r="17">
      <c r="B17" s="14" t="inlineStr">
        <is>
          <t>Até 300 m</t>
        </is>
      </c>
      <c r="C17" s="15">
        <f>COUNTIF('Resumo por Local'!$O$4:$O$3030,"&gt;0")</f>
        <v>1084</v>
      </c>
      <c r="D17" s="16">
        <f>C17/$C$7</f>
        <v>0.3581103402708953</v>
      </c>
      <c r="E17" s="15">
        <f>$C$7-C17</f>
        <v>1943</v>
      </c>
    </row>
    <row r="19">
      <c r="B19" s="3" t="inlineStr">
        <is>
          <t>DISTRIBUIÇÃO DOS LOCAIS PELA CÂMERA MAIS PRÓXIMA</t>
        </is>
      </c>
    </row>
    <row r="20">
      <c r="B20" s="18" t="inlineStr">
        <is>
          <t>Faixa de distância</t>
        </is>
      </c>
      <c r="C20" s="18" t="inlineStr">
        <is>
          <t>Locais</t>
        </is>
      </c>
      <c r="D20" s="18" t="inlineStr">
        <is>
          <t>% do total</t>
        </is>
      </c>
    </row>
    <row r="21">
      <c r="B21" s="14" t="inlineStr">
        <is>
          <t>1. Até 50 m</t>
        </is>
      </c>
      <c r="C21" s="15">
        <f>COUNTIF('Resumo por Local'!$K$4:$K$3030,"1. Até 50 m")</f>
        <v>148</v>
      </c>
      <c r="D21" s="16">
        <f>C21/$C$7</f>
        <v>0.048893293690122235</v>
      </c>
    </row>
    <row r="22">
      <c r="B22" s="14" t="inlineStr">
        <is>
          <t>2. De 50 a 100 m</t>
        </is>
      </c>
      <c r="C22" s="15">
        <f>COUNTIF('Resumo por Local'!$K$4:$K$3030,"2. De 50 a 100 m")</f>
        <v>200</v>
      </c>
      <c r="D22" s="16">
        <f>C22/$C$7</f>
        <v>0.06607201850016518</v>
      </c>
    </row>
    <row r="23">
      <c r="B23" s="14" t="inlineStr">
        <is>
          <t>3. De 100 a 200 m</t>
        </is>
      </c>
      <c r="C23" s="15">
        <f>COUNTIF('Resumo por Local'!$K$4:$K$3030,"3. De 100 a 200 m")</f>
        <v>426</v>
      </c>
      <c r="D23" s="16">
        <f>C23/$C$7</f>
        <v>0.14073339940535184</v>
      </c>
    </row>
    <row r="24">
      <c r="B24" s="14" t="inlineStr">
        <is>
          <t>4. De 200 a 300 m</t>
        </is>
      </c>
      <c r="C24" s="15">
        <f>COUNTIF('Resumo por Local'!$K$4:$K$3030,"4. De 200 a 300 m")</f>
        <v>313</v>
      </c>
      <c r="D24" s="16">
        <f>C24/$C$7</f>
        <v>0.1034027089527585</v>
      </c>
    </row>
    <row r="25">
      <c r="B25" s="14" t="inlineStr">
        <is>
          <t>5. De 300 a 500 m</t>
        </is>
      </c>
      <c r="C25" s="15">
        <f>COUNTIF('Resumo por Local'!$K$4:$K$3030,"5. De 300 a 500 m")</f>
        <v>402</v>
      </c>
      <c r="D25" s="16">
        <f>C25/$C$7</f>
        <v>0.13280475718533202</v>
      </c>
    </row>
    <row r="26">
      <c r="B26" s="14" t="inlineStr">
        <is>
          <t>6. De 500 m a 2 km</t>
        </is>
      </c>
      <c r="C26" s="15">
        <f>COUNTIF('Resumo por Local'!$K$4:$K$3030,"6. De 500 m a 2 km")</f>
        <v>431</v>
      </c>
      <c r="D26" s="16">
        <f>C26/$C$7</f>
        <v>0.14238519986785597</v>
      </c>
    </row>
    <row r="27">
      <c r="B27" s="14" t="inlineStr">
        <is>
          <t>7. Acima de 2 km</t>
        </is>
      </c>
      <c r="C27" s="15">
        <f>COUNTIF('Resumo por Local'!$K$4:$K$3030,"7. Acima de 2 km")</f>
        <v>1107</v>
      </c>
      <c r="D27" s="16">
        <f>C27/$C$7</f>
        <v>0.3657086223984143</v>
      </c>
    </row>
    <row r="28">
      <c r="B28" s="19" t="inlineStr">
        <is>
          <t>TOTAL</t>
        </is>
      </c>
      <c r="C28" s="20">
        <f>SUM(C21:C27)</f>
        <v>3027</v>
      </c>
      <c r="D28" s="21">
        <f>SUM(D21:D27)</f>
        <v>1</v>
      </c>
    </row>
    <row r="30">
      <c r="B30" s="3" t="inlineStr">
        <is>
          <t>12 MUNICÍPIOS COM MAIS LOCAIS SEM CÂMERA EM 100 m</t>
        </is>
      </c>
    </row>
    <row r="31">
      <c r="B31" s="13" t="inlineStr">
        <is>
          <t>Município</t>
        </is>
      </c>
      <c r="C31" s="13" t="inlineStr">
        <is>
          <t>Locais sem câmera</t>
        </is>
      </c>
      <c r="D31" s="13" t="inlineStr">
        <is>
          <t>Locais com câmera</t>
        </is>
      </c>
      <c r="E31" s="13" t="inlineStr">
        <is>
          <t>Total de locais</t>
        </is>
      </c>
      <c r="F31" s="13" t="inlineStr">
        <is>
          <t>Cobertura</t>
        </is>
      </c>
    </row>
    <row r="32">
      <c r="B32" s="14" t="inlineStr">
        <is>
          <t>SALVADOR</t>
        </is>
      </c>
      <c r="C32" s="15">
        <f>COUNTIFS('Resumo por Local'!$A$4:$A$3030,$B32,'Resumo por Local'!$I$4:$I$3030,"NÃO")</f>
        <v>290</v>
      </c>
      <c r="D32" s="15">
        <f>COUNTIFS('Resumo por Local'!$A$4:$A$3030,$B32,'Resumo por Local'!$I$4:$I$3030,"SIM")</f>
        <v>126</v>
      </c>
      <c r="E32" s="15">
        <f>COUNTIF('Resumo por Local'!$A$4:$A$3030,$B32)</f>
        <v>416</v>
      </c>
      <c r="F32" s="16">
        <f>IF(E32=0,"",D32/E32)</f>
        <v>0.30288461538461536</v>
      </c>
    </row>
    <row r="33">
      <c r="B33" s="14" t="inlineStr">
        <is>
          <t>FEIRA DE SANTANA</t>
        </is>
      </c>
      <c r="C33" s="15">
        <f>COUNTIFS('Resumo por Local'!$A$4:$A$3030,$B33,'Resumo por Local'!$I$4:$I$3030,"NÃO")</f>
        <v>125</v>
      </c>
      <c r="D33" s="15">
        <f>COUNTIFS('Resumo por Local'!$A$4:$A$3030,$B33,'Resumo por Local'!$I$4:$I$3030,"SIM")</f>
        <v>18</v>
      </c>
      <c r="E33" s="15">
        <f>COUNTIF('Resumo por Local'!$A$4:$A$3030,$B33)</f>
        <v>143</v>
      </c>
      <c r="F33" s="16">
        <f>IF(E33=0,"",D33/E33)</f>
        <v>0.1258741258741259</v>
      </c>
    </row>
    <row r="34">
      <c r="B34" s="14" t="inlineStr">
        <is>
          <t>VITÓRIA DA CONQUISTA</t>
        </is>
      </c>
      <c r="C34" s="15">
        <f>COUNTIFS('Resumo por Local'!$A$4:$A$3030,$B34,'Resumo por Local'!$I$4:$I$3030,"NÃO")</f>
        <v>125</v>
      </c>
      <c r="D34" s="15">
        <f>COUNTIFS('Resumo por Local'!$A$4:$A$3030,$B34,'Resumo por Local'!$I$4:$I$3030,"SIM")</f>
        <v>14</v>
      </c>
      <c r="E34" s="15">
        <f>COUNTIF('Resumo por Local'!$A$4:$A$3030,$B34)</f>
        <v>139</v>
      </c>
      <c r="F34" s="16">
        <f>IF(E34=0,"",D34/E34)</f>
        <v>0.10071942446043165</v>
      </c>
    </row>
    <row r="35">
      <c r="B35" s="14" t="inlineStr">
        <is>
          <t>JUAZEIRO</t>
        </is>
      </c>
      <c r="C35" s="15">
        <f>COUNTIFS('Resumo por Local'!$A$4:$A$3030,$B35,'Resumo por Local'!$I$4:$I$3030,"NÃO")</f>
        <v>100</v>
      </c>
      <c r="D35" s="15">
        <f>COUNTIFS('Resumo por Local'!$A$4:$A$3030,$B35,'Resumo por Local'!$I$4:$I$3030,"SIM")</f>
        <v>13</v>
      </c>
      <c r="E35" s="15">
        <f>COUNTIF('Resumo por Local'!$A$4:$A$3030,$B35)</f>
        <v>113</v>
      </c>
      <c r="F35" s="16">
        <f>IF(E35=0,"",D35/E35)</f>
        <v>0.11504424778761062</v>
      </c>
    </row>
    <row r="36">
      <c r="B36" s="14" t="inlineStr">
        <is>
          <t>CASA NOVA</t>
        </is>
      </c>
      <c r="C36" s="15">
        <f>COUNTIFS('Resumo por Local'!$A$4:$A$3030,$B36,'Resumo por Local'!$I$4:$I$3030,"NÃO")</f>
        <v>78</v>
      </c>
      <c r="D36" s="15">
        <f>COUNTIFS('Resumo por Local'!$A$4:$A$3030,$B36,'Resumo por Local'!$I$4:$I$3030,"SIM")</f>
        <v>3</v>
      </c>
      <c r="E36" s="15">
        <f>COUNTIF('Resumo por Local'!$A$4:$A$3030,$B36)</f>
        <v>81</v>
      </c>
      <c r="F36" s="16">
        <f>IF(E36=0,"",D36/E36)</f>
        <v>0.037037037037037035</v>
      </c>
    </row>
    <row r="37">
      <c r="B37" s="14" t="inlineStr">
        <is>
          <t>JEQUIÉ</t>
        </is>
      </c>
      <c r="C37" s="15">
        <f>COUNTIFS('Resumo por Local'!$A$4:$A$3030,$B37,'Resumo por Local'!$I$4:$I$3030,"NÃO")</f>
        <v>78</v>
      </c>
      <c r="D37" s="15">
        <f>COUNTIFS('Resumo por Local'!$A$4:$A$3030,$B37,'Resumo por Local'!$I$4:$I$3030,"SIM")</f>
        <v>1</v>
      </c>
      <c r="E37" s="15">
        <f>COUNTIF('Resumo por Local'!$A$4:$A$3030,$B37)</f>
        <v>79</v>
      </c>
      <c r="F37" s="16">
        <f>IF(E37=0,"",D37/E37)</f>
        <v>0.012658227848101266</v>
      </c>
    </row>
    <row r="38">
      <c r="B38" s="14" t="inlineStr">
        <is>
          <t>BARREIRAS</t>
        </is>
      </c>
      <c r="C38" s="15">
        <f>COUNTIFS('Resumo por Local'!$A$4:$A$3030,$B38,'Resumo por Local'!$I$4:$I$3030,"NÃO")</f>
        <v>68</v>
      </c>
      <c r="D38" s="15">
        <f>COUNTIFS('Resumo por Local'!$A$4:$A$3030,$B38,'Resumo por Local'!$I$4:$I$3030,"SIM")</f>
        <v>6</v>
      </c>
      <c r="E38" s="15">
        <f>COUNTIF('Resumo por Local'!$A$4:$A$3030,$B38)</f>
        <v>74</v>
      </c>
      <c r="F38" s="16">
        <f>IF(E38=0,"",D38/E38)</f>
        <v>0.08108108108108109</v>
      </c>
    </row>
    <row r="39">
      <c r="B39" s="14" t="inlineStr">
        <is>
          <t>SERRINHA</t>
        </is>
      </c>
      <c r="C39" s="15">
        <f>COUNTIFS('Resumo por Local'!$A$4:$A$3030,$B39,'Resumo por Local'!$I$4:$I$3030,"NÃO")</f>
        <v>67</v>
      </c>
      <c r="D39" s="15">
        <f>COUNTIFS('Resumo por Local'!$A$4:$A$3030,$B39,'Resumo por Local'!$I$4:$I$3030,"SIM")</f>
        <v>0</v>
      </c>
      <c r="E39" s="15">
        <f>COUNTIF('Resumo por Local'!$A$4:$A$3030,$B39)</f>
        <v>67</v>
      </c>
      <c r="F39" s="16">
        <f>IF(E39=0,"",D39/E39)</f>
        <v>0</v>
      </c>
    </row>
    <row r="40">
      <c r="B40" s="14" t="inlineStr">
        <is>
          <t>SEABRA</t>
        </is>
      </c>
      <c r="C40" s="15">
        <f>COUNTIFS('Resumo por Local'!$A$4:$A$3030,$B40,'Resumo por Local'!$I$4:$I$3030,"NÃO")</f>
        <v>66</v>
      </c>
      <c r="D40" s="15">
        <f>COUNTIFS('Resumo por Local'!$A$4:$A$3030,$B40,'Resumo por Local'!$I$4:$I$3030,"SIM")</f>
        <v>0</v>
      </c>
      <c r="E40" s="15">
        <f>COUNTIF('Resumo por Local'!$A$4:$A$3030,$B40)</f>
        <v>66</v>
      </c>
      <c r="F40" s="16">
        <f>IF(E40=0,"",D40/E40)</f>
        <v>0</v>
      </c>
    </row>
    <row r="41">
      <c r="B41" s="14" t="inlineStr">
        <is>
          <t>CAMAÇARI</t>
        </is>
      </c>
      <c r="C41" s="15">
        <f>COUNTIFS('Resumo por Local'!$A$4:$A$3030,$B41,'Resumo por Local'!$I$4:$I$3030,"NÃO")</f>
        <v>62</v>
      </c>
      <c r="D41" s="15">
        <f>COUNTIFS('Resumo por Local'!$A$4:$A$3030,$B41,'Resumo por Local'!$I$4:$I$3030,"SIM")</f>
        <v>8</v>
      </c>
      <c r="E41" s="15">
        <f>COUNTIF('Resumo por Local'!$A$4:$A$3030,$B41)</f>
        <v>70</v>
      </c>
      <c r="F41" s="16">
        <f>IF(E41=0,"",D41/E41)</f>
        <v>0.11428571428571428</v>
      </c>
    </row>
    <row r="42">
      <c r="B42" s="14" t="inlineStr">
        <is>
          <t>PAULO AFONSO</t>
        </is>
      </c>
      <c r="C42" s="15">
        <f>COUNTIFS('Resumo por Local'!$A$4:$A$3030,$B42,'Resumo por Local'!$I$4:$I$3030,"NÃO")</f>
        <v>60</v>
      </c>
      <c r="D42" s="15">
        <f>COUNTIFS('Resumo por Local'!$A$4:$A$3030,$B42,'Resumo por Local'!$I$4:$I$3030,"SIM")</f>
        <v>1</v>
      </c>
      <c r="E42" s="15">
        <f>COUNTIF('Resumo por Local'!$A$4:$A$3030,$B42)</f>
        <v>61</v>
      </c>
      <c r="F42" s="16">
        <f>IF(E42=0,"",D42/E42)</f>
        <v>0.01639344262295082</v>
      </c>
    </row>
    <row r="43">
      <c r="B43" s="14" t="inlineStr">
        <is>
          <t>CAETITÉ</t>
        </is>
      </c>
      <c r="C43" s="15">
        <f>COUNTIFS('Resumo por Local'!$A$4:$A$3030,$B43,'Resumo por Local'!$I$4:$I$3030,"NÃO")</f>
        <v>57</v>
      </c>
      <c r="D43" s="15">
        <f>COUNTIFS('Resumo por Local'!$A$4:$A$3030,$B43,'Resumo por Local'!$I$4:$I$3030,"SIM")</f>
        <v>0</v>
      </c>
      <c r="E43" s="15">
        <f>COUNTIF('Resumo por Local'!$A$4:$A$3030,$B43)</f>
        <v>57</v>
      </c>
      <c r="F43" s="16">
        <f>IF(E43=0,"",D43/E43)</f>
        <v>0</v>
      </c>
    </row>
    <row r="45">
      <c r="B45" s="3" t="inlineStr">
        <is>
          <t>NOTAS METODOLÓGICAS</t>
        </is>
      </c>
    </row>
    <row r="46" ht="14" customHeight="1">
      <c r="B46" s="22" t="inlineStr">
        <is>
          <t>•  Fonte: planilha "cameras_100m_locais_votacao_VPE.xlsx", aba "resumo_por_local". Esta planilha reorganiza os mesmos dados, sem alterá-los.</t>
        </is>
      </c>
    </row>
    <row r="47" ht="14" customHeight="1">
      <c r="B47" s="22" t="inlineStr">
        <is>
          <t>•  Base de câmeras de 16/09/2026 e base de locais de votação de 09/07/2026. Distâncias por fórmula de Haversine (WGS84, R = 6.371.008,8 m).</t>
        </is>
      </c>
    </row>
    <row r="48" ht="14" customHeight="1">
      <c r="B48" s="22" t="inlineStr">
        <is>
          <t>•  O critério é de PROXIMIDADE geodésica, não de cobertura visual: a base de câmeras não possui azimute, campo de visão nem alcance preenchidos.</t>
        </is>
      </c>
    </row>
    <row r="49" ht="14" customHeight="1">
      <c r="B49" s="22" t="inlineStr">
        <is>
          <t>•  Foram analisados os 3.027 locais com coordenada válida. Outros 315 locais dos municípios VPE estão sem coordenada e ficaram fora do cálculo.</t>
        </is>
      </c>
    </row>
    <row r="50" ht="14" customHeight="1">
      <c r="B50" s="22" t="inlineStr">
        <is>
          <t>•  Não existe campo de status operacional na base de câmeras; foram excluídos apenas os grupos VANDALIZADO e IVS_VCM_INTERNAL_STORAGE.</t>
        </is>
      </c>
    </row>
    <row r="51" ht="14" customHeight="1">
      <c r="B51" s="22" t="inlineStr">
        <is>
          <t>•  Distâncias foram calculadas até 2 km. Locais sem câmera nesse raio aparecem sem valor na coluna de distância e na faixa "Acima de 2 km".</t>
        </is>
      </c>
    </row>
    <row r="52" ht="14" customHeight="1">
      <c r="B52" s="22" t="inlineStr">
        <is>
          <t>•  Uma mesma câmera pode atender mais de um local, portanto a soma das câmeras por local é maior que o número de câmeras distintas.</t>
        </is>
      </c>
    </row>
  </sheetData>
  <mergeCells count="14">
    <mergeCell ref="B51:H51"/>
    <mergeCell ref="B50:H50"/>
    <mergeCell ref="B19:H19"/>
    <mergeCell ref="B49:H49"/>
    <mergeCell ref="B52:H52"/>
    <mergeCell ref="B12:H12"/>
    <mergeCell ref="B30:H30"/>
    <mergeCell ref="B2:H2"/>
    <mergeCell ref="B47:H47"/>
    <mergeCell ref="B48:H48"/>
    <mergeCell ref="B3:H3"/>
    <mergeCell ref="B5:H5"/>
    <mergeCell ref="B45:H45"/>
    <mergeCell ref="B46:H46"/>
  </mergeCells>
  <conditionalFormatting sqref="F32:F43">
    <cfRule type="cellIs" priority="1" operator="lessThanOrEqual" dxfId="0">
      <formula>0.05</formula>
    </cfRule>
  </conditionalFormatting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E5496"/>
    <outlinePr summaryBelow="1" summaryRight="0"/>
    <pageSetUpPr fitToPage="1"/>
  </sheetPr>
  <dimension ref="A1:T3030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46" customWidth="1" min="4" max="4"/>
    <col width="24" customWidth="1" min="5" max="5"/>
    <col width="46" customWidth="1" min="6" max="6"/>
    <col width="11" customWidth="1" min="7" max="7"/>
    <col width="8" customWidth="1" min="8" max="8"/>
    <col width="14" customWidth="1" min="9" max="9"/>
    <col width="17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  <col hidden="1" outlineLevel="1" width="13" customWidth="1" min="16" max="16"/>
    <col hidden="1" outlineLevel="1" width="13" customWidth="1" min="17" max="17"/>
    <col hidden="1" outlineLevel="1" width="60" customWidth="1" min="18" max="18"/>
    <col hidden="1" width="2" customWidth="1" min="19" max="19"/>
    <col hidden="1" width="2" customWidth="1" min="20" max="20"/>
  </cols>
  <sheetData>
    <row r="1" ht="26" customHeight="1">
      <c r="A1" s="23" t="inlineStr">
        <is>
          <t>LOCAIS DE VOTAÇÃO E COBERTURA DE CÂMERAS — MUNICÍPIOS VPE / BAHIA</t>
        </is>
      </c>
    </row>
    <row r="2" ht="16" customHeight="1">
      <c r="A2" s="24" t="inlineStr">
        <is>
          <t>Critério: proximidade geodésica (Haversine/WGS84). Câmeras: 16/09/2026 · Locais: 09/07/2026. Use os filtros do cabeçalho para navegar. As colunas de coordenadas e junta eleitoral estão recolhidas no botão [+] acima.</t>
        </is>
      </c>
    </row>
    <row r="3" ht="34" customHeight="1">
      <c r="A3" s="25" t="inlineStr">
        <is>
          <t>Município</t>
        </is>
      </c>
      <c r="B3" s="25" t="inlineStr">
        <is>
          <t>Zona
Eleitoral</t>
        </is>
      </c>
      <c r="C3" s="25" t="inlineStr">
        <is>
          <t>Nº do
Local</t>
        </is>
      </c>
      <c r="D3" s="25" t="inlineStr">
        <is>
          <t>Nome do Local de Votação</t>
        </is>
      </c>
      <c r="E3" s="25" t="inlineStr">
        <is>
          <t>Bairro</t>
        </is>
      </c>
      <c r="F3" s="25" t="inlineStr">
        <is>
          <t>Endereço</t>
        </is>
      </c>
      <c r="G3" s="25" t="inlineStr">
        <is>
          <t>CEP</t>
        </is>
      </c>
      <c r="H3" s="25" t="inlineStr">
        <is>
          <t>Seções</t>
        </is>
      </c>
      <c r="I3" s="25" t="inlineStr">
        <is>
          <t>Câmera
em até 100 m</t>
        </is>
      </c>
      <c r="J3" s="25" t="inlineStr">
        <is>
          <t>Distância da câmera
mais próxima (m)</t>
        </is>
      </c>
      <c r="K3" s="25" t="inlineStr">
        <is>
          <t>Faixa de distância</t>
        </is>
      </c>
      <c r="L3" s="25" t="inlineStr">
        <is>
          <t>Câmeras
até 50 m</t>
        </is>
      </c>
      <c r="M3" s="25" t="inlineStr">
        <is>
          <t>Câmeras
até 100 m</t>
        </is>
      </c>
      <c r="N3" s="25" t="inlineStr">
        <is>
          <t>Câmeras
até 200 m</t>
        </is>
      </c>
      <c r="O3" s="25" t="inlineStr">
        <is>
          <t>Câmeras
até 300 m</t>
        </is>
      </c>
      <c r="P3" s="25" t="inlineStr">
        <is>
          <t>Latitude</t>
        </is>
      </c>
      <c r="Q3" s="25" t="inlineStr">
        <is>
          <t>Longitude</t>
        </is>
      </c>
      <c r="R3" s="25" t="inlineStr">
        <is>
          <t>Endereço da Junta Eleitoral</t>
        </is>
      </c>
      <c r="S3" s="25" t="inlineStr">
        <is>
          <t>aux_municipio</t>
        </is>
      </c>
      <c r="T3" s="25" t="inlineStr">
        <is>
          <t>aux_zona</t>
        </is>
      </c>
    </row>
    <row r="4">
      <c r="A4" s="14" t="inlineStr">
        <is>
          <t>ALAGOINHAS</t>
        </is>
      </c>
      <c r="B4" s="26" t="n">
        <v>163</v>
      </c>
      <c r="C4" s="26" t="n">
        <v>1015</v>
      </c>
      <c r="D4" s="14" t="inlineStr">
        <is>
          <t>COLÉGIO MARIA DE LOURDES</t>
        </is>
      </c>
      <c r="E4" s="14" t="inlineStr">
        <is>
          <t>RIACHO DA GUIA</t>
        </is>
      </c>
      <c r="F4" s="14" t="inlineStr">
        <is>
          <t>RUA MANOEL LUIZ CARVALHO - ZONA RURAL</t>
        </is>
      </c>
      <c r="G4" s="27" t="inlineStr">
        <is>
          <t>48105-000</t>
        </is>
      </c>
      <c r="H4" s="15" t="n">
        <v>5</v>
      </c>
      <c r="I4" s="28" t="inlineStr">
        <is>
          <t>NÃO</t>
        </is>
      </c>
      <c r="J4" s="29" t="n"/>
      <c r="K4" s="14" t="str">
        <f>IF(J4="","7. Acima de 2 km",IF(J4&lt;=50,"1. Até 50 m",IF(J4&lt;=100,"2. De 50 a 100 m",IF(J4&lt;=200,"3. De 100 a 200 m",IF(J4&lt;=300,"4. De 200 a 300 m",IF(J4&lt;=500,"5. De 300 a 500 m","6. De 500 m a 2 km"))))))</f>
        <v>7. Acima de 2 km</v>
      </c>
      <c r="L4" s="26" t="n">
        <v>0</v>
      </c>
      <c r="M4" s="26" t="n">
        <v>0</v>
      </c>
      <c r="N4" s="26" t="n">
        <v>0</v>
      </c>
      <c r="O4" s="26" t="n">
        <v>0</v>
      </c>
      <c r="P4" s="30" t="n">
        <v>-11.9569914</v>
      </c>
      <c r="Q4" s="30" t="n">
        <v>-38.3786089</v>
      </c>
      <c r="R4" s="14" t="inlineStr">
        <is>
          <t>FÓRUM DES. MOACYR PITTA LIMA, AVENIDA AIRTON SENNA, S/N, ALAGOINHAS VELHA, ALAGOINHAS/BA</t>
        </is>
      </c>
      <c r="S4" s="26">
        <f>IF(A4=A3,0,1)</f>
        <v>1</v>
      </c>
      <c r="T4" s="26">
        <f>IF(COUNTIF($B$4:B4,B4)=1,1,0)</f>
        <v>1</v>
      </c>
    </row>
    <row r="5">
      <c r="A5" s="14" t="inlineStr">
        <is>
          <t>ALAGOINHAS</t>
        </is>
      </c>
      <c r="B5" s="26" t="n">
        <v>163</v>
      </c>
      <c r="C5" s="26" t="n">
        <v>1023</v>
      </c>
      <c r="D5" s="14" t="inlineStr">
        <is>
          <t>COLÉGIO JAIRO AZI</t>
        </is>
      </c>
      <c r="E5" s="14" t="inlineStr">
        <is>
          <t>RIACHO DA GUIA</t>
        </is>
      </c>
      <c r="F5" s="14" t="inlineStr">
        <is>
          <t>RUA SAGRADA FAMÍLIA, S/N - ZONA RURAL</t>
        </is>
      </c>
      <c r="G5" s="27" t="inlineStr">
        <is>
          <t>48105-000</t>
        </is>
      </c>
      <c r="H5" s="15" t="n">
        <v>10</v>
      </c>
      <c r="I5" s="28" t="inlineStr">
        <is>
          <t>NÃO</t>
        </is>
      </c>
      <c r="J5" s="29" t="n"/>
      <c r="K5" s="14" t="str">
        <f>IF(J5="","7. Acima de 2 km",IF(J5&lt;=50,"1. Até 50 m",IF(J5&lt;=100,"2. De 50 a 100 m",IF(J5&lt;=200,"3. De 100 a 200 m",IF(J5&lt;=300,"4. De 200 a 300 m",IF(J5&lt;=500,"5. De 300 a 500 m","6. De 500 m a 2 km"))))))</f>
        <v>7. Acima de 2 km</v>
      </c>
      <c r="L5" s="26" t="n">
        <v>0</v>
      </c>
      <c r="M5" s="26" t="n">
        <v>0</v>
      </c>
      <c r="N5" s="26" t="n">
        <v>0</v>
      </c>
      <c r="O5" s="26" t="n">
        <v>0</v>
      </c>
      <c r="P5" s="30" t="n">
        <v>-11.9584911</v>
      </c>
      <c r="Q5" s="30" t="n">
        <v>-38.3775513</v>
      </c>
      <c r="R5" s="14" t="inlineStr">
        <is>
          <t>FÓRUM DES. MOACYR PITTA LIMA, AVENIDA AIRTON SENNA, S/N, ALAGOINHAS VELHA, ALAGOINHAS/BA</t>
        </is>
      </c>
      <c r="S5" s="26">
        <f>IF(A5=A4,0,1)</f>
        <v>0</v>
      </c>
      <c r="T5" s="26">
        <f>IF(COUNTIF($B$4:B5,B5)=1,1,0)</f>
        <v>0</v>
      </c>
    </row>
    <row r="6">
      <c r="A6" s="14" t="inlineStr">
        <is>
          <t>ALAGOINHAS</t>
        </is>
      </c>
      <c r="B6" s="26" t="n">
        <v>163</v>
      </c>
      <c r="C6" s="26" t="n">
        <v>1090</v>
      </c>
      <c r="D6" s="14" t="inlineStr">
        <is>
          <t>ESCOLA MUNICIPAL D. AVELAR BRANDÃO VILELA</t>
        </is>
      </c>
      <c r="E6" s="14" t="inlineStr">
        <is>
          <t>DISTRITO BOA UNIÃO</t>
        </is>
      </c>
      <c r="F6" s="14" t="inlineStr">
        <is>
          <t>RUA DA CAPELINHA - ZONA RURAL</t>
        </is>
      </c>
      <c r="G6" s="27" t="inlineStr">
        <is>
          <t>48103-000</t>
        </is>
      </c>
      <c r="H6" s="15" t="n">
        <v>6</v>
      </c>
      <c r="I6" s="28" t="inlineStr">
        <is>
          <t>NÃO</t>
        </is>
      </c>
      <c r="J6" s="29" t="n"/>
      <c r="K6" s="14" t="str">
        <f>IF(J6="","7. Acima de 2 km",IF(J6&lt;=50,"1. Até 50 m",IF(J6&lt;=100,"2. De 50 a 100 m",IF(J6&lt;=200,"3. De 100 a 200 m",IF(J6&lt;=300,"4. De 200 a 300 m",IF(J6&lt;=500,"5. De 300 a 500 m","6. De 500 m a 2 km"))))))</f>
        <v>7. Acima de 2 km</v>
      </c>
      <c r="L6" s="26" t="n">
        <v>0</v>
      </c>
      <c r="M6" s="26" t="n">
        <v>0</v>
      </c>
      <c r="N6" s="26" t="n">
        <v>0</v>
      </c>
      <c r="O6" s="26" t="n">
        <v>0</v>
      </c>
      <c r="P6" s="30" t="n">
        <v>-12.1843162</v>
      </c>
      <c r="Q6" s="30" t="n">
        <v>-38.504754</v>
      </c>
      <c r="R6" s="14" t="inlineStr">
        <is>
          <t>FÓRUM DES. MOACYR PITTA LIMA, AVENIDA AIRTON SENNA, S/N, ALAGOINHAS VELHA, ALAGOINHAS/BA</t>
        </is>
      </c>
      <c r="S6" s="26">
        <f>IF(A6=A5,0,1)</f>
        <v>0</v>
      </c>
      <c r="T6" s="26">
        <f>IF(COUNTIF($B$4:B6,B6)=1,1,0)</f>
        <v>0</v>
      </c>
    </row>
    <row r="7">
      <c r="A7" s="14" t="inlineStr">
        <is>
          <t>ALAGOINHAS</t>
        </is>
      </c>
      <c r="B7" s="26" t="n">
        <v>163</v>
      </c>
      <c r="C7" s="26" t="n">
        <v>1139</v>
      </c>
      <c r="D7" s="14" t="inlineStr">
        <is>
          <t>GINÁSIO MIGUEL FONTES</t>
        </is>
      </c>
      <c r="E7" s="14" t="inlineStr">
        <is>
          <t>DISTRITO BOA UNIÃO</t>
        </is>
      </c>
      <c r="F7" s="14" t="inlineStr">
        <is>
          <t>RUA MANOEL TEIXEIRA LEAL - ZONA RURAL</t>
        </is>
      </c>
      <c r="G7" s="27" t="inlineStr">
        <is>
          <t>48103-000</t>
        </is>
      </c>
      <c r="H7" s="15" t="n">
        <v>5</v>
      </c>
      <c r="I7" s="28" t="inlineStr">
        <is>
          <t>NÃO</t>
        </is>
      </c>
      <c r="J7" s="29" t="n"/>
      <c r="K7" s="14" t="str">
        <f>IF(J7="","7. Acima de 2 km",IF(J7&lt;=50,"1. Até 50 m",IF(J7&lt;=100,"2. De 50 a 100 m",IF(J7&lt;=200,"3. De 100 a 200 m",IF(J7&lt;=300,"4. De 200 a 300 m",IF(J7&lt;=500,"5. De 300 a 500 m","6. De 500 m a 2 km"))))))</f>
        <v>7. Acima de 2 km</v>
      </c>
      <c r="L7" s="26" t="n">
        <v>0</v>
      </c>
      <c r="M7" s="26" t="n">
        <v>0</v>
      </c>
      <c r="N7" s="26" t="n">
        <v>0</v>
      </c>
      <c r="O7" s="26" t="n">
        <v>0</v>
      </c>
      <c r="P7" s="30" t="n">
        <v>-12.1871568</v>
      </c>
      <c r="Q7" s="30" t="n">
        <v>-38.5063059</v>
      </c>
      <c r="R7" s="14" t="inlineStr">
        <is>
          <t>FÓRUM DES. MOACYR PITTA LIMA, AVENIDA AIRTON SENNA, S/N, ALAGOINHAS VELHA, ALAGOINHAS/BA</t>
        </is>
      </c>
      <c r="S7" s="26">
        <f>IF(A7=A6,0,1)</f>
        <v>0</v>
      </c>
      <c r="T7" s="26">
        <f>IF(COUNTIF($B$4:B7,B7)=1,1,0)</f>
        <v>0</v>
      </c>
    </row>
    <row r="8">
      <c r="A8" s="14" t="inlineStr">
        <is>
          <t>ALAGOINHAS</t>
        </is>
      </c>
      <c r="B8" s="26" t="n">
        <v>163</v>
      </c>
      <c r="C8" s="26" t="n">
        <v>1147</v>
      </c>
      <c r="D8" s="14" t="inlineStr">
        <is>
          <t>COLÉGIO ESTADUAL DEPUTADO LUIS EDUARDO MAGALHÃES</t>
        </is>
      </c>
      <c r="E8" s="14" t="inlineStr">
        <is>
          <t>BARREIRO</t>
        </is>
      </c>
      <c r="F8" s="14" t="inlineStr">
        <is>
          <t>RUA MARGEM DA LINHA - ZONA URBANA</t>
        </is>
      </c>
      <c r="G8" s="27" t="inlineStr">
        <is>
          <t>48022-100</t>
        </is>
      </c>
      <c r="H8" s="15" t="n">
        <v>10</v>
      </c>
      <c r="I8" s="28" t="inlineStr">
        <is>
          <t>NÃO</t>
        </is>
      </c>
      <c r="J8" s="29" t="n">
        <v>171.3</v>
      </c>
      <c r="K8" s="14" t="str">
        <f>IF(J8="","7. Acima de 2 km",IF(J8&lt;=50,"1. Até 50 m",IF(J8&lt;=100,"2. De 50 a 100 m",IF(J8&lt;=200,"3. De 100 a 200 m",IF(J8&lt;=300,"4. De 200 a 300 m",IF(J8&lt;=500,"5. De 300 a 500 m","6. De 500 m a 2 km"))))))</f>
        <v>3. De 100 a 200 m</v>
      </c>
      <c r="L8" s="26" t="n">
        <v>0</v>
      </c>
      <c r="M8" s="26" t="n">
        <v>0</v>
      </c>
      <c r="N8" s="26" t="n">
        <v>1</v>
      </c>
      <c r="O8" s="26" t="n">
        <v>1</v>
      </c>
      <c r="P8" s="30" t="n">
        <v>-12.13983396</v>
      </c>
      <c r="Q8" s="30" t="n">
        <v>-38.43926296</v>
      </c>
      <c r="R8" s="14" t="inlineStr">
        <is>
          <t>FÓRUM DES. MOACYR PITTA LIMA, AVENIDA AIRTON SENNA, S/N, ALAGOINHAS VELHA, ALAGOINHAS/BA</t>
        </is>
      </c>
      <c r="S8" s="26">
        <f>IF(A8=A7,0,1)</f>
        <v>0</v>
      </c>
      <c r="T8" s="26">
        <f>IF(COUNTIF($B$4:B8,B8)=1,1,0)</f>
        <v>0</v>
      </c>
    </row>
    <row r="9">
      <c r="A9" s="14" t="inlineStr">
        <is>
          <t>ALAGOINHAS</t>
        </is>
      </c>
      <c r="B9" s="26" t="n">
        <v>163</v>
      </c>
      <c r="C9" s="26" t="n">
        <v>1163</v>
      </c>
      <c r="D9" s="14" t="inlineStr">
        <is>
          <t>COLÉGIO DA POLÍCIA MILITAR</t>
        </is>
      </c>
      <c r="E9" s="14" t="inlineStr">
        <is>
          <t>SILVA JARDIM</t>
        </is>
      </c>
      <c r="F9" s="14" t="inlineStr">
        <is>
          <t>RUA ARTHUR PEREIRA DE AZEVEDO -  S/N - ZONA URBANA</t>
        </is>
      </c>
      <c r="G9" s="27" t="inlineStr">
        <is>
          <t>48021-740</t>
        </is>
      </c>
      <c r="H9" s="15" t="n">
        <v>24</v>
      </c>
      <c r="I9" s="28" t="inlineStr">
        <is>
          <t>NÃO</t>
        </is>
      </c>
      <c r="J9" s="29" t="n">
        <v>486.9</v>
      </c>
      <c r="K9" s="14" t="str">
        <f>IF(J9="","7. Acima de 2 km",IF(J9&lt;=50,"1. Até 50 m",IF(J9&lt;=100,"2. De 50 a 100 m",IF(J9&lt;=200,"3. De 100 a 200 m",IF(J9&lt;=300,"4. De 200 a 300 m",IF(J9&lt;=500,"5. De 300 a 500 m","6. De 500 m a 2 km"))))))</f>
        <v>5. De 300 a 500 m</v>
      </c>
      <c r="L9" s="26" t="n">
        <v>0</v>
      </c>
      <c r="M9" s="26" t="n">
        <v>0</v>
      </c>
      <c r="N9" s="26" t="n">
        <v>0</v>
      </c>
      <c r="O9" s="26" t="n">
        <v>0</v>
      </c>
      <c r="P9" s="30" t="n">
        <v>-12.13927066</v>
      </c>
      <c r="Q9" s="30" t="n">
        <v>-38.43433532</v>
      </c>
      <c r="R9" s="14" t="inlineStr">
        <is>
          <t>FÓRUM DES. MOACYR PITTA LIMA, AVENIDA AIRTON SENNA, S/N, ALAGOINHAS VELHA, ALAGOINHAS/BA</t>
        </is>
      </c>
      <c r="S9" s="26">
        <f>IF(A9=A8,0,1)</f>
        <v>0</v>
      </c>
      <c r="T9" s="26">
        <f>IF(COUNTIF($B$4:B9,B9)=1,1,0)</f>
        <v>0</v>
      </c>
    </row>
    <row r="10">
      <c r="A10" s="14" t="inlineStr">
        <is>
          <t>ALAGOINHAS</t>
        </is>
      </c>
      <c r="B10" s="26" t="n">
        <v>163</v>
      </c>
      <c r="C10" s="26" t="n">
        <v>1210</v>
      </c>
      <c r="D10" s="14" t="inlineStr">
        <is>
          <t>ESCOLA MARIA JOSÉ BASTOS DA SILVA</t>
        </is>
      </c>
      <c r="E10" s="14" t="inlineStr">
        <is>
          <t>SILVA JARDIM</t>
        </is>
      </c>
      <c r="F10" s="14" t="inlineStr">
        <is>
          <t>RUA ARTHUR  PEREIRA DE AZEVEDO- ZONA URBANA</t>
        </is>
      </c>
      <c r="G10" s="27" t="inlineStr">
        <is>
          <t>48021-740</t>
        </is>
      </c>
      <c r="H10" s="15" t="n">
        <v>9</v>
      </c>
      <c r="I10" s="28" t="inlineStr">
        <is>
          <t>NÃO</t>
        </is>
      </c>
      <c r="J10" s="29" t="n">
        <v>509.6</v>
      </c>
      <c r="K10" s="14" t="str">
        <f>IF(J10="","7. Acima de 2 km",IF(J10&lt;=50,"1. Até 50 m",IF(J10&lt;=100,"2. De 50 a 100 m",IF(J10&lt;=200,"3. De 100 a 200 m",IF(J10&lt;=300,"4. De 200 a 300 m",IF(J10&lt;=500,"5. De 300 a 500 m","6. De 500 m a 2 km"))))))</f>
        <v>6. De 500 m a 2 km</v>
      </c>
      <c r="L10" s="26" t="n">
        <v>0</v>
      </c>
      <c r="M10" s="26" t="n">
        <v>0</v>
      </c>
      <c r="N10" s="26" t="n">
        <v>0</v>
      </c>
      <c r="O10" s="26" t="n">
        <v>0</v>
      </c>
      <c r="P10" s="30" t="n">
        <v>-12.140387</v>
      </c>
      <c r="Q10" s="30" t="n">
        <v>-38.43521349</v>
      </c>
      <c r="R10" s="14" t="inlineStr">
        <is>
          <t>FÓRUM DES. MOACYR PITTA LIMA, AVENIDA AIRTON SENNA, S/N, ALAGOINHAS VELHA, ALAGOINHAS/BA</t>
        </is>
      </c>
      <c r="S10" s="26">
        <f>IF(A10=A9,0,1)</f>
        <v>0</v>
      </c>
      <c r="T10" s="26">
        <f>IF(COUNTIF($B$4:B10,B10)=1,1,0)</f>
        <v>0</v>
      </c>
    </row>
    <row r="11">
      <c r="A11" s="14" t="inlineStr">
        <is>
          <t>ALAGOINHAS</t>
        </is>
      </c>
      <c r="B11" s="26" t="n">
        <v>163</v>
      </c>
      <c r="C11" s="26" t="n">
        <v>1252</v>
      </c>
      <c r="D11" s="14" t="inlineStr">
        <is>
          <t>ESCOLA MUNICIPAL JOSÉ HONORATO</t>
        </is>
      </c>
      <c r="E11" s="14" t="inlineStr">
        <is>
          <t>MIGUEL VELHO</t>
        </is>
      </c>
      <c r="F11" s="14" t="inlineStr">
        <is>
          <t>RUA GALDÊNCIO DE SOUZA, S/N, MIGUEL VELHO - ZONA URBANA</t>
        </is>
      </c>
      <c r="G11" s="27" t="inlineStr">
        <is>
          <t>48024-305</t>
        </is>
      </c>
      <c r="H11" s="15" t="n">
        <v>4</v>
      </c>
      <c r="I11" s="28" t="inlineStr">
        <is>
          <t>NÃO</t>
        </is>
      </c>
      <c r="J11" s="29" t="n">
        <v>136.9</v>
      </c>
      <c r="K11" s="14" t="str">
        <f>IF(J11="","7. Acima de 2 km",IF(J11&lt;=50,"1. Até 50 m",IF(J11&lt;=100,"2. De 50 a 100 m",IF(J11&lt;=200,"3. De 100 a 200 m",IF(J11&lt;=300,"4. De 200 a 300 m",IF(J11&lt;=500,"5. De 300 a 500 m","6. De 500 m a 2 km"))))))</f>
        <v>3. De 100 a 200 m</v>
      </c>
      <c r="L11" s="26" t="n">
        <v>0</v>
      </c>
      <c r="M11" s="26" t="n">
        <v>0</v>
      </c>
      <c r="N11" s="26" t="n">
        <v>1</v>
      </c>
      <c r="O11" s="26" t="n">
        <v>1</v>
      </c>
      <c r="P11" s="30" t="n">
        <v>-12.1414563</v>
      </c>
      <c r="Q11" s="30" t="n">
        <v>-38.4661042</v>
      </c>
      <c r="R11" s="14" t="inlineStr">
        <is>
          <t>FÓRUM DES. MOACYR PITTA LIMA, AVENIDA AIRTON SENNA, S/N, ALAGOINHAS VELHA, ALAGOINHAS/BA</t>
        </is>
      </c>
      <c r="S11" s="26">
        <f>IF(A11=A10,0,1)</f>
        <v>0</v>
      </c>
      <c r="T11" s="26">
        <f>IF(COUNTIF($B$4:B11,B11)=1,1,0)</f>
        <v>0</v>
      </c>
    </row>
    <row r="12">
      <c r="A12" s="14" t="inlineStr">
        <is>
          <t>ALAGOINHAS</t>
        </is>
      </c>
      <c r="B12" s="26" t="n">
        <v>163</v>
      </c>
      <c r="C12" s="26" t="n">
        <v>1317</v>
      </c>
      <c r="D12" s="14" t="inlineStr">
        <is>
          <t>ASSOCIAÇÃO SOLIDÁRIA DO QUIZAMBU</t>
        </is>
      </c>
      <c r="E12" s="14" t="inlineStr">
        <is>
          <t>RIACHO DA GUIA</t>
        </is>
      </c>
      <c r="F12" s="14" t="inlineStr">
        <is>
          <t>POVOADO QUIZAMBU - ZONA RURAL</t>
        </is>
      </c>
      <c r="G12" s="27" t="inlineStr">
        <is>
          <t>48000-000</t>
        </is>
      </c>
      <c r="H12" s="15" t="n">
        <v>2</v>
      </c>
      <c r="I12" s="28" t="inlineStr">
        <is>
          <t>NÃO</t>
        </is>
      </c>
      <c r="J12" s="29" t="n"/>
      <c r="K12" s="14" t="str">
        <f>IF(J12="","7. Acima de 2 km",IF(J12&lt;=50,"1. Até 50 m",IF(J12&lt;=100,"2. De 50 a 100 m",IF(J12&lt;=200,"3. De 100 a 200 m",IF(J12&lt;=300,"4. De 200 a 300 m",IF(J12&lt;=500,"5. De 300 a 500 m","6. De 500 m a 2 km"))))))</f>
        <v>7. Acima de 2 km</v>
      </c>
      <c r="L12" s="26" t="n">
        <v>0</v>
      </c>
      <c r="M12" s="26" t="n">
        <v>0</v>
      </c>
      <c r="N12" s="26" t="n">
        <v>0</v>
      </c>
      <c r="O12" s="26" t="n">
        <v>0</v>
      </c>
      <c r="P12" s="30" t="n">
        <v>-11.9387218</v>
      </c>
      <c r="Q12" s="30" t="n">
        <v>-38.4048568</v>
      </c>
      <c r="R12" s="14" t="inlineStr">
        <is>
          <t>FÓRUM DES. MOACYR PITTA LIMA, AVENIDA AIRTON SENNA, S/N, ALAGOINHAS VELHA, ALAGOINHAS/BA</t>
        </is>
      </c>
      <c r="S12" s="26">
        <f>IF(A12=A11,0,1)</f>
        <v>0</v>
      </c>
      <c r="T12" s="26">
        <f>IF(COUNTIF($B$4:B12,B12)=1,1,0)</f>
        <v>0</v>
      </c>
    </row>
    <row r="13">
      <c r="A13" s="14" t="inlineStr">
        <is>
          <t>ALAGOINHAS</t>
        </is>
      </c>
      <c r="B13" s="26" t="n">
        <v>163</v>
      </c>
      <c r="C13" s="26" t="n">
        <v>1325</v>
      </c>
      <c r="D13" s="14" t="inlineStr">
        <is>
          <t>ESCOLA MUNICIPAL PROFESSOR MARIO LAERT</t>
        </is>
      </c>
      <c r="E13" s="14" t="inlineStr">
        <is>
          <t>BARREIRO</t>
        </is>
      </c>
      <c r="F13" s="14" t="inlineStr">
        <is>
          <t>RUA DR MURILO CAVALCANTE, 372, BARREIRO</t>
        </is>
      </c>
      <c r="G13" s="27" t="inlineStr">
        <is>
          <t>48022-025</t>
        </is>
      </c>
      <c r="H13" s="15" t="n">
        <v>3</v>
      </c>
      <c r="I13" s="28" t="inlineStr">
        <is>
          <t>NÃO</t>
        </is>
      </c>
      <c r="J13" s="29" t="n">
        <v>105.2</v>
      </c>
      <c r="K13" s="14" t="str">
        <f>IF(J13="","7. Acima de 2 km",IF(J13&lt;=50,"1. Até 50 m",IF(J13&lt;=100,"2. De 50 a 100 m",IF(J13&lt;=200,"3. De 100 a 200 m",IF(J13&lt;=300,"4. De 200 a 300 m",IF(J13&lt;=500,"5. De 300 a 500 m","6. De 500 m a 2 km"))))))</f>
        <v>3. De 100 a 200 m</v>
      </c>
      <c r="L13" s="26" t="n">
        <v>0</v>
      </c>
      <c r="M13" s="26" t="n">
        <v>0</v>
      </c>
      <c r="N13" s="26" t="n">
        <v>1</v>
      </c>
      <c r="O13" s="26" t="n">
        <v>1</v>
      </c>
      <c r="P13" s="30" t="n">
        <v>-12.13486573</v>
      </c>
      <c r="Q13" s="30" t="n">
        <v>-38.43568057</v>
      </c>
      <c r="R13" s="14" t="inlineStr">
        <is>
          <t>FÓRUM DES. MOACYR PITTA LIMA, AVENIDA AIRTON SENNA, S/N, ALAGOINHAS VELHA, ALAGOINHAS/BA</t>
        </is>
      </c>
      <c r="S13" s="26">
        <f>IF(A13=A12,0,1)</f>
        <v>0</v>
      </c>
      <c r="T13" s="26">
        <f>IF(COUNTIF($B$4:B13,B13)=1,1,0)</f>
        <v>0</v>
      </c>
    </row>
    <row r="14">
      <c r="A14" s="14" t="inlineStr">
        <is>
          <t>ALAGOINHAS</t>
        </is>
      </c>
      <c r="B14" s="26" t="n">
        <v>163</v>
      </c>
      <c r="C14" s="26" t="n">
        <v>1333</v>
      </c>
      <c r="D14" s="14" t="inlineStr">
        <is>
          <t>ESCOLA MUNICIPAL TANCREDO DE ALMEIDA NEVES</t>
        </is>
      </c>
      <c r="E14" s="14" t="inlineStr">
        <is>
          <t>BARREIRO</t>
        </is>
      </c>
      <c r="F14" s="14" t="inlineStr">
        <is>
          <t>RUA DO AVIÃO, S/N - BARREIRO, ZONA URBANA</t>
        </is>
      </c>
      <c r="G14" s="27" t="inlineStr">
        <is>
          <t>48022-195</t>
        </is>
      </c>
      <c r="H14" s="15" t="n">
        <v>6</v>
      </c>
      <c r="I14" s="28" t="inlineStr">
        <is>
          <t>SIM</t>
        </is>
      </c>
      <c r="J14" s="29" t="n">
        <v>61.9</v>
      </c>
      <c r="K14" s="14" t="str">
        <f>IF(J14="","7. Acima de 2 km",IF(J14&lt;=50,"1. Até 50 m",IF(J14&lt;=100,"2. De 50 a 100 m",IF(J14&lt;=200,"3. De 100 a 200 m",IF(J14&lt;=300,"4. De 200 a 300 m",IF(J14&lt;=500,"5. De 300 a 500 m","6. De 500 m a 2 km"))))))</f>
        <v>2. De 50 a 100 m</v>
      </c>
      <c r="L14" s="26" t="n">
        <v>0</v>
      </c>
      <c r="M14" s="26" t="n">
        <v>1</v>
      </c>
      <c r="N14" s="26" t="n">
        <v>1</v>
      </c>
      <c r="O14" s="26" t="n">
        <v>1</v>
      </c>
      <c r="P14" s="30" t="n">
        <v>-12.1383286</v>
      </c>
      <c r="Q14" s="30" t="n">
        <v>-38.4399543</v>
      </c>
      <c r="R14" s="14" t="inlineStr">
        <is>
          <t>FÓRUM DES. MOACYR PITTA LIMA, AVENIDA AIRTON SENNA, S/N, ALAGOINHAS VELHA, ALAGOINHAS/BA</t>
        </is>
      </c>
      <c r="S14" s="26">
        <f>IF(A14=A13,0,1)</f>
        <v>0</v>
      </c>
      <c r="T14" s="26">
        <f>IF(COUNTIF($B$4:B14,B14)=1,1,0)</f>
        <v>0</v>
      </c>
    </row>
    <row r="15">
      <c r="A15" s="14" t="inlineStr">
        <is>
          <t>ALAGOINHAS</t>
        </is>
      </c>
      <c r="B15" s="26" t="n">
        <v>163</v>
      </c>
      <c r="C15" s="26" t="n">
        <v>1350</v>
      </c>
      <c r="D15" s="14" t="inlineStr">
        <is>
          <t>FACULDADE SANTO ANTONIO</t>
        </is>
      </c>
      <c r="E15" s="14" t="inlineStr">
        <is>
          <t>CATU</t>
        </is>
      </c>
      <c r="F15" s="14" t="inlineStr">
        <is>
          <t>RUA CONSELHEIRO JUNQUEIRA, S/N - ZONA URBANA</t>
        </is>
      </c>
      <c r="G15" s="27" t="inlineStr">
        <is>
          <t>48015-020</t>
        </is>
      </c>
      <c r="H15" s="15" t="n">
        <v>8</v>
      </c>
      <c r="I15" s="28" t="inlineStr">
        <is>
          <t>NÃO</t>
        </is>
      </c>
      <c r="J15" s="29" t="n">
        <v>819.5</v>
      </c>
      <c r="K15" s="14" t="str">
        <f>IF(J15="","7. Acima de 2 km",IF(J15&lt;=50,"1. Até 50 m",IF(J15&lt;=100,"2. De 50 a 100 m",IF(J15&lt;=200,"3. De 100 a 200 m",IF(J15&lt;=300,"4. De 200 a 300 m",IF(J15&lt;=500,"5. De 300 a 500 m","6. De 500 m a 2 km"))))))</f>
        <v>6. De 500 m a 2 km</v>
      </c>
      <c r="L15" s="26" t="n">
        <v>0</v>
      </c>
      <c r="M15" s="26" t="n">
        <v>0</v>
      </c>
      <c r="N15" s="26" t="n">
        <v>0</v>
      </c>
      <c r="O15" s="26" t="n">
        <v>0</v>
      </c>
      <c r="P15" s="30" t="n">
        <v>-12.1125768</v>
      </c>
      <c r="Q15" s="30" t="n">
        <v>-38.4379061</v>
      </c>
      <c r="R15" s="14" t="inlineStr">
        <is>
          <t>FÓRUM DES. MOACYR PITTA LIMA, AVENIDA AIRTON SENNA, S/N, ALAGOINHAS VELHA, ALAGOINHAS/BA</t>
        </is>
      </c>
      <c r="S15" s="26">
        <f>IF(A15=A14,0,1)</f>
        <v>0</v>
      </c>
      <c r="T15" s="26">
        <f>IF(COUNTIF($B$4:B15,B15)=1,1,0)</f>
        <v>0</v>
      </c>
    </row>
    <row r="16">
      <c r="A16" s="14" t="inlineStr">
        <is>
          <t>ALAGOINHAS</t>
        </is>
      </c>
      <c r="B16" s="26" t="n">
        <v>163</v>
      </c>
      <c r="C16" s="26" t="n">
        <v>1368</v>
      </c>
      <c r="D16" s="14" t="inlineStr">
        <is>
          <t>ESCOLA MUNICIPAL QUILOMBOLA PROFESSOR JOÃO ANASTÁCIO</t>
        </is>
      </c>
      <c r="E16" s="14" t="inlineStr">
        <is>
          <t>DISTRITO BOA UNIÃO</t>
        </is>
      </c>
      <c r="F16" s="14" t="inlineStr">
        <is>
          <t>POVOADO CANGULA, DISTRITO DE BOA UNIÃO</t>
        </is>
      </c>
      <c r="G16" s="27" t="inlineStr">
        <is>
          <t>48024-899</t>
        </is>
      </c>
      <c r="H16" s="15" t="n">
        <v>1</v>
      </c>
      <c r="I16" s="28" t="inlineStr">
        <is>
          <t>NÃO</t>
        </is>
      </c>
      <c r="J16" s="29" t="n"/>
      <c r="K16" s="14" t="str">
        <f>IF(J16="","7. Acima de 2 km",IF(J16&lt;=50,"1. Até 50 m",IF(J16&lt;=100,"2. De 50 a 100 m",IF(J16&lt;=200,"3. De 100 a 200 m",IF(J16&lt;=300,"4. De 200 a 300 m",IF(J16&lt;=500,"5. De 300 a 500 m","6. De 500 m a 2 km"))))))</f>
        <v>7. Acima de 2 km</v>
      </c>
      <c r="L16" s="26" t="n">
        <v>0</v>
      </c>
      <c r="M16" s="26" t="n">
        <v>0</v>
      </c>
      <c r="N16" s="26" t="n">
        <v>0</v>
      </c>
      <c r="O16" s="26" t="n">
        <v>0</v>
      </c>
      <c r="P16" s="30" t="n">
        <v>-12.1784697</v>
      </c>
      <c r="Q16" s="30" t="n">
        <v>-38.4896734</v>
      </c>
      <c r="R16" s="14" t="inlineStr">
        <is>
          <t>FÓRUM DES. MOACYR PITTA LIMA, AVENIDA AIRTON SENNA, S/N, ALAGOINHAS VELHA, ALAGOINHAS/BA</t>
        </is>
      </c>
      <c r="S16" s="26">
        <f>IF(A16=A15,0,1)</f>
        <v>0</v>
      </c>
      <c r="T16" s="26">
        <f>IF(COUNTIF($B$4:B16,B16)=1,1,0)</f>
        <v>0</v>
      </c>
    </row>
    <row r="17">
      <c r="A17" s="14" t="inlineStr">
        <is>
          <t>ALAGOINHAS</t>
        </is>
      </c>
      <c r="B17" s="26" t="n">
        <v>163</v>
      </c>
      <c r="C17" s="26" t="n">
        <v>1376</v>
      </c>
      <c r="D17" s="14" t="inlineStr">
        <is>
          <t>COLÉGIO ESTADUAL JÚLIO LEAL DE ARAÚJO</t>
        </is>
      </c>
      <c r="E17" s="14" t="inlineStr">
        <is>
          <t>MANGALÔ</t>
        </is>
      </c>
      <c r="F17" s="14" t="inlineStr">
        <is>
          <t>AV. MARECHAL ARISTÓTELES DE SOUZA DANTAS, BAIRRO MANGALÔ- ZONA URBANA</t>
        </is>
      </c>
      <c r="G17" s="27" t="inlineStr">
        <is>
          <t>48005-470</t>
        </is>
      </c>
      <c r="H17" s="15" t="n">
        <v>2</v>
      </c>
      <c r="I17" s="28" t="inlineStr">
        <is>
          <t>NÃO</t>
        </is>
      </c>
      <c r="J17" s="29" t="n">
        <v>1229</v>
      </c>
      <c r="K17" s="14" t="str">
        <f>IF(J17="","7. Acima de 2 km",IF(J17&lt;=50,"1. Até 50 m",IF(J17&lt;=100,"2. De 50 a 100 m",IF(J17&lt;=200,"3. De 100 a 200 m",IF(J17&lt;=300,"4. De 200 a 300 m",IF(J17&lt;=500,"5. De 300 a 500 m","6. De 500 m a 2 km"))))))</f>
        <v>6. De 500 m a 2 km</v>
      </c>
      <c r="L17" s="26" t="n">
        <v>0</v>
      </c>
      <c r="M17" s="26" t="n">
        <v>0</v>
      </c>
      <c r="N17" s="26" t="n">
        <v>0</v>
      </c>
      <c r="O17" s="26" t="n">
        <v>0</v>
      </c>
      <c r="P17" s="30" t="n">
        <v>-12.1491219</v>
      </c>
      <c r="Q17" s="30" t="n">
        <v>-38.4431105</v>
      </c>
      <c r="R17" s="14" t="inlineStr">
        <is>
          <t>FÓRUM DES. MOACYR PITTA LIMA, AVENIDA AIRTON SENNA, S/N, ALAGOINHAS VELHA, ALAGOINHAS/BA</t>
        </is>
      </c>
      <c r="S17" s="26">
        <f>IF(A17=A16,0,1)</f>
        <v>0</v>
      </c>
      <c r="T17" s="26">
        <f>IF(COUNTIF($B$4:B17,B17)=1,1,0)</f>
        <v>0</v>
      </c>
    </row>
    <row r="18">
      <c r="A18" s="14" t="inlineStr">
        <is>
          <t>ALAGOINHAS</t>
        </is>
      </c>
      <c r="B18" s="26" t="n">
        <v>163</v>
      </c>
      <c r="C18" s="26" t="n">
        <v>1384</v>
      </c>
      <c r="D18" s="14" t="inlineStr">
        <is>
          <t>ESCOLA PROFESSOR ROBERTO SANTOS</t>
        </is>
      </c>
      <c r="E18" s="14" t="inlineStr">
        <is>
          <t>21 DE SETEMBRO</t>
        </is>
      </c>
      <c r="F18" s="14" t="inlineStr">
        <is>
          <t>RUA 21 DE SETEMBRO, S/N - BARREIRO, ZONA URBANA</t>
        </is>
      </c>
      <c r="G18" s="27" t="inlineStr">
        <is>
          <t>48022-035</t>
        </is>
      </c>
      <c r="H18" s="15" t="n">
        <v>3</v>
      </c>
      <c r="I18" s="28" t="inlineStr">
        <is>
          <t>NÃO</t>
        </is>
      </c>
      <c r="J18" s="29" t="n">
        <v>550.3</v>
      </c>
      <c r="K18" s="14" t="str">
        <f>IF(J18="","7. Acima de 2 km",IF(J18&lt;=50,"1. Até 50 m",IF(J18&lt;=100,"2. De 50 a 100 m",IF(J18&lt;=200,"3. De 100 a 200 m",IF(J18&lt;=300,"4. De 200 a 300 m",IF(J18&lt;=500,"5. De 300 a 500 m","6. De 500 m a 2 km"))))))</f>
        <v>6. De 500 m a 2 km</v>
      </c>
      <c r="L18" s="26" t="n">
        <v>0</v>
      </c>
      <c r="M18" s="26" t="n">
        <v>0</v>
      </c>
      <c r="N18" s="26" t="n">
        <v>0</v>
      </c>
      <c r="O18" s="26" t="n">
        <v>0</v>
      </c>
      <c r="P18" s="30" t="n">
        <v>-12.1312674</v>
      </c>
      <c r="Q18" s="30" t="n">
        <v>-38.4392212</v>
      </c>
      <c r="R18" s="14" t="inlineStr">
        <is>
          <t>FÓRUM DES. MOACYR PITTA LIMA, AVENIDA AIRTON SENNA, S/N, ALAGOINHAS VELHA, ALAGOINHAS/BA</t>
        </is>
      </c>
      <c r="S18" s="26">
        <f>IF(A18=A17,0,1)</f>
        <v>0</v>
      </c>
      <c r="T18" s="26">
        <f>IF(COUNTIF($B$4:B18,B18)=1,1,0)</f>
        <v>0</v>
      </c>
    </row>
    <row r="19">
      <c r="A19" s="14" t="inlineStr">
        <is>
          <t>ALAGOINHAS</t>
        </is>
      </c>
      <c r="B19" s="26" t="n">
        <v>163</v>
      </c>
      <c r="C19" s="26" t="n">
        <v>1414</v>
      </c>
      <c r="D19" s="14" t="inlineStr">
        <is>
          <t>ESCOLA MUNICIPAL JOANA D'ARC</t>
        </is>
      </c>
      <c r="E19" s="14" t="inlineStr">
        <is>
          <t>DOIS DE JULHO</t>
        </is>
      </c>
      <c r="F19" s="14" t="inlineStr">
        <is>
          <t>PARQUE SENHOR DO BONFIM - 2 DE JULHO- ZONA URBANA</t>
        </is>
      </c>
      <c r="G19" s="27" t="inlineStr">
        <is>
          <t>48050-000</t>
        </is>
      </c>
      <c r="H19" s="15" t="n">
        <v>3</v>
      </c>
      <c r="I19" s="28" t="inlineStr">
        <is>
          <t>NÃO</t>
        </is>
      </c>
      <c r="J19" s="29" t="n">
        <v>1353</v>
      </c>
      <c r="K19" s="14" t="str">
        <f>IF(J19="","7. Acima de 2 km",IF(J19&lt;=50,"1. Até 50 m",IF(J19&lt;=100,"2. De 50 a 100 m",IF(J19&lt;=200,"3. De 100 a 200 m",IF(J19&lt;=300,"4. De 200 a 300 m",IF(J19&lt;=500,"5. De 300 a 500 m","6. De 500 m a 2 km"))))))</f>
        <v>6. De 500 m a 2 km</v>
      </c>
      <c r="L19" s="26" t="n">
        <v>0</v>
      </c>
      <c r="M19" s="26" t="n">
        <v>0</v>
      </c>
      <c r="N19" s="26" t="n">
        <v>0</v>
      </c>
      <c r="O19" s="26" t="n">
        <v>0</v>
      </c>
      <c r="P19" s="30" t="n">
        <v>-12.15255797</v>
      </c>
      <c r="Q19" s="30" t="n">
        <v>-38.43054936</v>
      </c>
      <c r="R19" s="14" t="inlineStr">
        <is>
          <t>FÓRUM DES. MOACYR PITTA LIMA, AVENIDA AIRTON SENNA, S/N, ALAGOINHAS VELHA, ALAGOINHAS/BA</t>
        </is>
      </c>
      <c r="S19" s="26">
        <f>IF(A19=A18,0,1)</f>
        <v>0</v>
      </c>
      <c r="T19" s="26">
        <f>IF(COUNTIF($B$4:B19,B19)=1,1,0)</f>
        <v>0</v>
      </c>
    </row>
    <row r="20">
      <c r="A20" s="14" t="inlineStr">
        <is>
          <t>ALAGOINHAS</t>
        </is>
      </c>
      <c r="B20" s="26" t="n">
        <v>163</v>
      </c>
      <c r="C20" s="26" t="n">
        <v>1422</v>
      </c>
      <c r="D20" s="14" t="inlineStr">
        <is>
          <t>ESCOLA MUNICIPAL PAULO FREIRE</t>
        </is>
      </c>
      <c r="E20" s="14" t="inlineStr">
        <is>
          <t>SILVA JARDIM</t>
        </is>
      </c>
      <c r="F20" s="14" t="inlineStr">
        <is>
          <t xml:space="preserve">RUA GETÚLIO VARGAS, S/N, PARQUE VITÓRIA, ZONA URBANA </t>
        </is>
      </c>
      <c r="G20" s="27" t="inlineStr">
        <is>
          <t>48070-040</t>
        </is>
      </c>
      <c r="H20" s="15" t="n">
        <v>4</v>
      </c>
      <c r="I20" s="28" t="inlineStr">
        <is>
          <t>NÃO</t>
        </is>
      </c>
      <c r="J20" s="29" t="n">
        <v>263.4</v>
      </c>
      <c r="K20" s="14" t="str">
        <f>IF(J20="","7. Acima de 2 km",IF(J20&lt;=50,"1. Até 50 m",IF(J20&lt;=100,"2. De 50 a 100 m",IF(J20&lt;=200,"3. De 100 a 200 m",IF(J20&lt;=300,"4. De 200 a 300 m",IF(J20&lt;=500,"5. De 300 a 500 m","6. De 500 m a 2 km"))))))</f>
        <v>4. De 200 a 300 m</v>
      </c>
      <c r="L20" s="26" t="n">
        <v>0</v>
      </c>
      <c r="M20" s="26" t="n">
        <v>0</v>
      </c>
      <c r="N20" s="26" t="n">
        <v>0</v>
      </c>
      <c r="O20" s="26" t="n">
        <v>1</v>
      </c>
      <c r="P20" s="30" t="n">
        <v>-12.1369202</v>
      </c>
      <c r="Q20" s="30" t="n">
        <v>-38.4330351</v>
      </c>
      <c r="R20" s="14" t="inlineStr">
        <is>
          <t>FÓRUM DES. MOACYR PITTA LIMA, AVENIDA AIRTON SENNA, S/N, ALAGOINHAS VELHA, ALAGOINHAS/BA</t>
        </is>
      </c>
      <c r="S20" s="26">
        <f>IF(A20=A19,0,1)</f>
        <v>0</v>
      </c>
      <c r="T20" s="26">
        <f>IF(COUNTIF($B$4:B20,B20)=1,1,0)</f>
        <v>0</v>
      </c>
    </row>
    <row r="21">
      <c r="A21" s="14" t="inlineStr">
        <is>
          <t>ALAGOINHAS</t>
        </is>
      </c>
      <c r="B21" s="26" t="n">
        <v>163</v>
      </c>
      <c r="C21" s="26" t="n">
        <v>1430</v>
      </c>
      <c r="D21" s="14" t="inlineStr">
        <is>
          <t>ESCOLA MUNICIPAL MENINO JESUS</t>
        </is>
      </c>
      <c r="E21" s="14" t="inlineStr">
        <is>
          <t>TEREZÓPOLIS</t>
        </is>
      </c>
      <c r="F21" s="14" t="inlineStr">
        <is>
          <t>RUA DOM AVELAR BRANDÃO VILELA, 498 - ZONA URBANA</t>
        </is>
      </c>
      <c r="G21" s="27" t="inlineStr">
        <is>
          <t>48022-010</t>
        </is>
      </c>
      <c r="H21" s="15" t="n">
        <v>3</v>
      </c>
      <c r="I21" s="28" t="inlineStr">
        <is>
          <t>NÃO</t>
        </is>
      </c>
      <c r="J21" s="29" t="n">
        <v>450.4</v>
      </c>
      <c r="K21" s="14" t="str">
        <f>IF(J21="","7. Acima de 2 km",IF(J21&lt;=50,"1. Até 50 m",IF(J21&lt;=100,"2. De 50 a 100 m",IF(J21&lt;=200,"3. De 100 a 200 m",IF(J21&lt;=300,"4. De 200 a 300 m",IF(J21&lt;=500,"5. De 300 a 500 m","6. De 500 m a 2 km"))))))</f>
        <v>5. De 300 a 500 m</v>
      </c>
      <c r="L21" s="26" t="n">
        <v>0</v>
      </c>
      <c r="M21" s="26" t="n">
        <v>0</v>
      </c>
      <c r="N21" s="26" t="n">
        <v>0</v>
      </c>
      <c r="O21" s="26" t="n">
        <v>0</v>
      </c>
      <c r="P21" s="30" t="n">
        <v>-12.13132886</v>
      </c>
      <c r="Q21" s="30" t="n">
        <v>-38.43440135</v>
      </c>
      <c r="R21" s="14" t="inlineStr">
        <is>
          <t>FÓRUM DES. MOACYR PITTA LIMA, AVENIDA AIRTON SENNA, S/N, ALAGOINHAS VELHA, ALAGOINHAS/BA</t>
        </is>
      </c>
      <c r="S21" s="26">
        <f>IF(A21=A20,0,1)</f>
        <v>0</v>
      </c>
      <c r="T21" s="26">
        <f>IF(COUNTIF($B$4:B21,B21)=1,1,0)</f>
        <v>0</v>
      </c>
    </row>
    <row r="22">
      <c r="A22" s="14" t="inlineStr">
        <is>
          <t>ALAGOINHAS</t>
        </is>
      </c>
      <c r="B22" s="26" t="n">
        <v>163</v>
      </c>
      <c r="C22" s="26" t="n">
        <v>1457</v>
      </c>
      <c r="D22" s="14" t="inlineStr">
        <is>
          <t>ESCOLA MUNICIPAL GONÇALO MUNIZ</t>
        </is>
      </c>
      <c r="E22" s="14" t="inlineStr">
        <is>
          <t>DISTRITO BOA UNIÃO</t>
        </is>
      </c>
      <c r="F22" s="14" t="inlineStr">
        <is>
          <t>POVOADO PINDOBAL</t>
        </is>
      </c>
      <c r="G22" s="27" t="inlineStr">
        <is>
          <t>48024-899</t>
        </is>
      </c>
      <c r="H22" s="15" t="n">
        <v>2</v>
      </c>
      <c r="I22" s="28" t="inlineStr">
        <is>
          <t>NÃO</t>
        </is>
      </c>
      <c r="J22" s="29" t="n"/>
      <c r="K22" s="14" t="str">
        <f>IF(J22="","7. Acima de 2 km",IF(J22&lt;=50,"1. Até 50 m",IF(J22&lt;=100,"2. De 50 a 100 m",IF(J22&lt;=200,"3. De 100 a 200 m",IF(J22&lt;=300,"4. De 200 a 300 m",IF(J22&lt;=500,"5. De 300 a 500 m","6. De 500 m a 2 km"))))))</f>
        <v>7. Acima de 2 km</v>
      </c>
      <c r="L22" s="26" t="n">
        <v>0</v>
      </c>
      <c r="M22" s="26" t="n">
        <v>0</v>
      </c>
      <c r="N22" s="26" t="n">
        <v>0</v>
      </c>
      <c r="O22" s="26" t="n">
        <v>0</v>
      </c>
      <c r="P22" s="30" t="n">
        <v>-12.2650535</v>
      </c>
      <c r="Q22" s="30" t="n">
        <v>-38.4708538</v>
      </c>
      <c r="R22" s="14" t="inlineStr">
        <is>
          <t>FÓRUM DES. MOACYR PITTA LIMA, AVENIDA AIRTON SENNA, S/N, ALAGOINHAS VELHA, ALAGOINHAS/BA</t>
        </is>
      </c>
      <c r="S22" s="26">
        <f>IF(A22=A21,0,1)</f>
        <v>0</v>
      </c>
      <c r="T22" s="26">
        <f>IF(COUNTIF($B$4:B22,B22)=1,1,0)</f>
        <v>0</v>
      </c>
    </row>
    <row r="23">
      <c r="A23" s="14" t="inlineStr">
        <is>
          <t>ALAGOINHAS</t>
        </is>
      </c>
      <c r="B23" s="26" t="n">
        <v>163</v>
      </c>
      <c r="C23" s="26" t="n">
        <v>1465</v>
      </c>
      <c r="D23" s="14" t="inlineStr">
        <is>
          <t>ESCOLA MUNICIPAL MIGUEL CALMON - PRÉDIO 02</t>
        </is>
      </c>
      <c r="E23" s="14" t="inlineStr">
        <is>
          <t>SANTA ISABEL</t>
        </is>
      </c>
      <c r="F23" s="14" t="inlineStr">
        <is>
          <t>RUA 1 DE JANEIRO SN - ZONA URBANA</t>
        </is>
      </c>
      <c r="G23" s="27" t="inlineStr">
        <is>
          <t>48000-000</t>
        </is>
      </c>
      <c r="H23" s="15" t="n">
        <v>3</v>
      </c>
      <c r="I23" s="28" t="inlineStr">
        <is>
          <t>NÃO</t>
        </is>
      </c>
      <c r="J23" s="29" t="n">
        <v>727.5</v>
      </c>
      <c r="K23" s="14" t="str">
        <f>IF(J23="","7. Acima de 2 km",IF(J23&lt;=50,"1. Até 50 m",IF(J23&lt;=100,"2. De 50 a 100 m",IF(J23&lt;=200,"3. De 100 a 200 m",IF(J23&lt;=300,"4. De 200 a 300 m",IF(J23&lt;=500,"5. De 300 a 500 m","6. De 500 m a 2 km"))))))</f>
        <v>6. De 500 m a 2 km</v>
      </c>
      <c r="L23" s="26" t="n">
        <v>0</v>
      </c>
      <c r="M23" s="26" t="n">
        <v>0</v>
      </c>
      <c r="N23" s="26" t="n">
        <v>0</v>
      </c>
      <c r="O23" s="26" t="n">
        <v>0</v>
      </c>
      <c r="P23" s="30" t="n">
        <v>-12.1449745</v>
      </c>
      <c r="Q23" s="30" t="n">
        <v>-38.432403</v>
      </c>
      <c r="R23" s="14" t="inlineStr">
        <is>
          <t>FÓRUM DES. MOACYR PITTA LIMA, AVENIDA AIRTON SENNA, S/N, ALAGOINHAS VELHA, ALAGOINHAS/BA</t>
        </is>
      </c>
      <c r="S23" s="26">
        <f>IF(A23=A22,0,1)</f>
        <v>0</v>
      </c>
      <c r="T23" s="26">
        <f>IF(COUNTIF($B$4:B23,B23)=1,1,0)</f>
        <v>0</v>
      </c>
    </row>
    <row r="24">
      <c r="A24" s="14" t="inlineStr">
        <is>
          <t>ALAGOINHAS</t>
        </is>
      </c>
      <c r="B24" s="26" t="n">
        <v>163</v>
      </c>
      <c r="C24" s="26" t="n">
        <v>1473</v>
      </c>
      <c r="D24" s="14" t="inlineStr">
        <is>
          <t>FATEC - FACULDADE DE TECNOLOGIA E CIÊNCIA DA BAHIA</t>
        </is>
      </c>
      <c r="E24" s="14" t="inlineStr">
        <is>
          <t>SANTA ISABEL</t>
        </is>
      </c>
      <c r="F24" s="14" t="inlineStr">
        <is>
          <t>RUA IZIDÓRIO CARNEIRO DOS SANTOS, 1.111, BAIRRO MANGALÔ, ZONA URBANA</t>
        </is>
      </c>
      <c r="G24" s="27" t="inlineStr">
        <is>
          <t>48021-855</t>
        </is>
      </c>
      <c r="H24" s="15" t="n">
        <v>23</v>
      </c>
      <c r="I24" s="28" t="inlineStr">
        <is>
          <t>NÃO</t>
        </is>
      </c>
      <c r="J24" s="29" t="n">
        <v>605.4</v>
      </c>
      <c r="K24" s="14" t="str">
        <f>IF(J24="","7. Acima de 2 km",IF(J24&lt;=50,"1. Até 50 m",IF(J24&lt;=100,"2. De 50 a 100 m",IF(J24&lt;=200,"3. De 100 a 200 m",IF(J24&lt;=300,"4. De 200 a 300 m",IF(J24&lt;=500,"5. De 300 a 500 m","6. De 500 m a 2 km"))))))</f>
        <v>6. De 500 m a 2 km</v>
      </c>
      <c r="L24" s="26" t="n">
        <v>0</v>
      </c>
      <c r="M24" s="26" t="n">
        <v>0</v>
      </c>
      <c r="N24" s="26" t="n">
        <v>0</v>
      </c>
      <c r="O24" s="26" t="n">
        <v>0</v>
      </c>
      <c r="P24" s="30" t="n">
        <v>-12.1428986</v>
      </c>
      <c r="Q24" s="30" t="n">
        <v>-38.4364068</v>
      </c>
      <c r="R24" s="14" t="inlineStr">
        <is>
          <t>FÓRUM DES. MOACYR PITTA LIMA, AVENIDA AIRTON SENNA, S/N, ALAGOINHAS VELHA, ALAGOINHAS/BA</t>
        </is>
      </c>
      <c r="S24" s="26">
        <f>IF(A24=A23,0,1)</f>
        <v>0</v>
      </c>
      <c r="T24" s="26">
        <f>IF(COUNTIF($B$4:B24,B24)=1,1,0)</f>
        <v>0</v>
      </c>
    </row>
    <row r="25">
      <c r="A25" s="14" t="inlineStr">
        <is>
          <t>ALAGOINHAS</t>
        </is>
      </c>
      <c r="B25" s="26" t="n">
        <v>163</v>
      </c>
      <c r="C25" s="26" t="n">
        <v>1490</v>
      </c>
      <c r="D25" s="14" t="inlineStr">
        <is>
          <t>ESCOLA DOS RODOVIÁRIOS</t>
        </is>
      </c>
      <c r="E25" s="14" t="inlineStr">
        <is>
          <t>PIRINEL</t>
        </is>
      </c>
      <c r="F25" s="14" t="inlineStr">
        <is>
          <t>RUA ÁUREA CRAVO, 138, PIRINEL - ZONA URBANA</t>
        </is>
      </c>
      <c r="G25" s="27" t="inlineStr">
        <is>
          <t>48012-318</t>
        </is>
      </c>
      <c r="H25" s="15" t="n">
        <v>6</v>
      </c>
      <c r="I25" s="28" t="inlineStr">
        <is>
          <t>NÃO</t>
        </is>
      </c>
      <c r="J25" s="29" t="n">
        <v>690.8</v>
      </c>
      <c r="K25" s="14" t="str">
        <f>IF(J25="","7. Acima de 2 km",IF(J25&lt;=50,"1. Até 50 m",IF(J25&lt;=100,"2. De 50 a 100 m",IF(J25&lt;=200,"3. De 100 a 200 m",IF(J25&lt;=300,"4. De 200 a 300 m",IF(J25&lt;=500,"5. De 300 a 500 m","6. De 500 m a 2 km"))))))</f>
        <v>6. De 500 m a 2 km</v>
      </c>
      <c r="L25" s="26" t="n">
        <v>0</v>
      </c>
      <c r="M25" s="26" t="n">
        <v>0</v>
      </c>
      <c r="N25" s="26" t="n">
        <v>0</v>
      </c>
      <c r="O25" s="26" t="n">
        <v>0</v>
      </c>
      <c r="P25" s="30" t="n">
        <v>-12.1274763</v>
      </c>
      <c r="Q25" s="30" t="n">
        <v>-38.4176884</v>
      </c>
      <c r="R25" s="14" t="inlineStr">
        <is>
          <t>FÓRUM DES. MOACYR PITTA LIMA, AVENIDA AIRTON SENNA, S/N, ALAGOINHAS VELHA, ALAGOINHAS/BA</t>
        </is>
      </c>
      <c r="S25" s="26">
        <f>IF(A25=A24,0,1)</f>
        <v>0</v>
      </c>
      <c r="T25" s="26">
        <f>IF(COUNTIF($B$4:B25,B25)=1,1,0)</f>
        <v>0</v>
      </c>
    </row>
    <row r="26">
      <c r="A26" s="14" t="inlineStr">
        <is>
          <t>ALAGOINHAS</t>
        </is>
      </c>
      <c r="B26" s="26" t="n">
        <v>163</v>
      </c>
      <c r="C26" s="26" t="n">
        <v>1503</v>
      </c>
      <c r="D26" s="14" t="inlineStr">
        <is>
          <t>ESCOLA MUNICIPAL JARDIM PETROLAR</t>
        </is>
      </c>
      <c r="E26" s="14" t="inlineStr">
        <is>
          <t>JARDIM PETROLAR</t>
        </is>
      </c>
      <c r="F26" s="14" t="inlineStr">
        <is>
          <t>RUA SÃO FRANCISCO DE ASSIS, S/N - ZONA URBANA</t>
        </is>
      </c>
      <c r="G26" s="27" t="inlineStr">
        <is>
          <t>48005-492</t>
        </is>
      </c>
      <c r="H26" s="15" t="n">
        <v>2</v>
      </c>
      <c r="I26" s="28" t="inlineStr">
        <is>
          <t>NÃO</t>
        </is>
      </c>
      <c r="J26" s="29" t="n">
        <v>768.2</v>
      </c>
      <c r="K26" s="14" t="str">
        <f>IF(J26="","7. Acima de 2 km",IF(J26&lt;=50,"1. Até 50 m",IF(J26&lt;=100,"2. De 50 a 100 m",IF(J26&lt;=200,"3. De 100 a 200 m",IF(J26&lt;=300,"4. De 200 a 300 m",IF(J26&lt;=500,"5. De 300 a 500 m","6. De 500 m a 2 km"))))))</f>
        <v>6. De 500 m a 2 km</v>
      </c>
      <c r="L26" s="26" t="n">
        <v>0</v>
      </c>
      <c r="M26" s="26" t="n">
        <v>0</v>
      </c>
      <c r="N26" s="26" t="n">
        <v>0</v>
      </c>
      <c r="O26" s="26" t="n">
        <v>0</v>
      </c>
      <c r="P26" s="30" t="n">
        <v>-12.15243966</v>
      </c>
      <c r="Q26" s="30" t="n">
        <v>-38.412871</v>
      </c>
      <c r="R26" s="14" t="inlineStr">
        <is>
          <t>FÓRUM DES. MOACYR PITTA LIMA, AVENIDA AIRTON SENNA, S/N, ALAGOINHAS VELHA, ALAGOINHAS/BA</t>
        </is>
      </c>
      <c r="S26" s="26">
        <f>IF(A26=A25,0,1)</f>
        <v>0</v>
      </c>
      <c r="T26" s="26">
        <f>IF(COUNTIF($B$4:B26,B26)=1,1,0)</f>
        <v>0</v>
      </c>
    </row>
    <row r="27">
      <c r="A27" s="14" t="inlineStr">
        <is>
          <t>ALAGOINHAS</t>
        </is>
      </c>
      <c r="B27" s="26" t="n">
        <v>163</v>
      </c>
      <c r="C27" s="26" t="n">
        <v>1520</v>
      </c>
      <c r="D27" s="14" t="inlineStr">
        <is>
          <t>ESCOLA MUNICIPAL PADRE JOSÉ DE ANCHIETA</t>
        </is>
      </c>
      <c r="E27" s="14" t="inlineStr">
        <is>
          <t>POVOADO ESTEVÃO</t>
        </is>
      </c>
      <c r="F27" s="14" t="inlineStr">
        <is>
          <t>POVOADO ESTEVÃO - ZONA RURAL</t>
        </is>
      </c>
      <c r="G27" s="27" t="inlineStr">
        <is>
          <t>48000-000</t>
        </is>
      </c>
      <c r="H27" s="15" t="n">
        <v>3</v>
      </c>
      <c r="I27" s="28" t="inlineStr">
        <is>
          <t>NÃO</t>
        </is>
      </c>
      <c r="J27" s="29" t="n"/>
      <c r="K27" s="14" t="str">
        <f>IF(J27="","7. Acima de 2 km",IF(J27&lt;=50,"1. Até 50 m",IF(J27&lt;=100,"2. De 50 a 100 m",IF(J27&lt;=200,"3. De 100 a 200 m",IF(J27&lt;=300,"4. De 200 a 300 m",IF(J27&lt;=500,"5. De 300 a 500 m","6. De 500 m a 2 km"))))))</f>
        <v>7. Acima de 2 km</v>
      </c>
      <c r="L27" s="26" t="n">
        <v>0</v>
      </c>
      <c r="M27" s="26" t="n">
        <v>0</v>
      </c>
      <c r="N27" s="26" t="n">
        <v>0</v>
      </c>
      <c r="O27" s="26" t="n">
        <v>0</v>
      </c>
      <c r="P27" s="30" t="n">
        <v>-12.184458</v>
      </c>
      <c r="Q27" s="30" t="n">
        <v>-38.3617981</v>
      </c>
      <c r="R27" s="14" t="inlineStr">
        <is>
          <t>FÓRUM DES. MOACYR PITTA LIMA, AVENIDA AIRTON SENNA, S/N, ALAGOINHAS VELHA, ALAGOINHAS/BA</t>
        </is>
      </c>
      <c r="S27" s="26">
        <f>IF(A27=A26,0,1)</f>
        <v>0</v>
      </c>
      <c r="T27" s="26">
        <f>IF(COUNTIF($B$4:B27,B27)=1,1,0)</f>
        <v>0</v>
      </c>
    </row>
    <row r="28">
      <c r="A28" s="14" t="inlineStr">
        <is>
          <t>ALAGOINHAS</t>
        </is>
      </c>
      <c r="B28" s="26" t="n">
        <v>163</v>
      </c>
      <c r="C28" s="26" t="n">
        <v>1538</v>
      </c>
      <c r="D28" s="14" t="inlineStr">
        <is>
          <t>FACULDADE UNOPAR</t>
        </is>
      </c>
      <c r="E28" s="14" t="inlineStr">
        <is>
          <t>CENTRO</t>
        </is>
      </c>
      <c r="F28" s="14" t="inlineStr">
        <is>
          <t>AV. ELVIRA DA COSTA DÓREA, N 277 - CENTRO, ZONA URBANA</t>
        </is>
      </c>
      <c r="G28" s="27" t="inlineStr">
        <is>
          <t>48000-019</t>
        </is>
      </c>
      <c r="H28" s="15" t="n">
        <v>9</v>
      </c>
      <c r="I28" s="28" t="inlineStr">
        <is>
          <t>NÃO</t>
        </is>
      </c>
      <c r="J28" s="29" t="n">
        <v>250.1</v>
      </c>
      <c r="K28" s="14" t="str">
        <f>IF(J28="","7. Acima de 2 km",IF(J28&lt;=50,"1. Até 50 m",IF(J28&lt;=100,"2. De 50 a 100 m",IF(J28&lt;=200,"3. De 100 a 200 m",IF(J28&lt;=300,"4. De 200 a 300 m",IF(J28&lt;=500,"5. De 300 a 500 m","6. De 500 m a 2 km"))))))</f>
        <v>4. De 200 a 300 m</v>
      </c>
      <c r="L28" s="26" t="n">
        <v>0</v>
      </c>
      <c r="M28" s="26" t="n">
        <v>0</v>
      </c>
      <c r="N28" s="26" t="n">
        <v>0</v>
      </c>
      <c r="O28" s="26" t="n">
        <v>3</v>
      </c>
      <c r="P28" s="30" t="n">
        <v>-12.1384684</v>
      </c>
      <c r="Q28" s="30" t="n">
        <v>-38.4172518</v>
      </c>
      <c r="R28" s="14" t="inlineStr">
        <is>
          <t>FÓRUM DES. MOACYR PITTA LIMA, AVENIDA AIRTON SENNA, S/N, ALAGOINHAS VELHA, ALAGOINHAS/BA</t>
        </is>
      </c>
      <c r="S28" s="26">
        <f>IF(A28=A27,0,1)</f>
        <v>0</v>
      </c>
      <c r="T28" s="26">
        <f>IF(COUNTIF($B$4:B28,B28)=1,1,0)</f>
        <v>0</v>
      </c>
    </row>
    <row r="29">
      <c r="A29" s="14" t="inlineStr">
        <is>
          <t>ALAGOINHAS</t>
        </is>
      </c>
      <c r="B29" s="26" t="n">
        <v>163</v>
      </c>
      <c r="C29" s="26" t="n">
        <v>1554</v>
      </c>
      <c r="D29" s="14" t="inlineStr">
        <is>
          <t>ESCOLA ESTADUAL OSCAR CORDEIRO</t>
        </is>
      </c>
      <c r="E29" s="14" t="inlineStr">
        <is>
          <t>CENTRO</t>
        </is>
      </c>
      <c r="F29" s="14" t="inlineStr">
        <is>
          <t>AVENIDA LUIZ VIANA FILHO, S/N, CENTRO - ZONA URBANA</t>
        </is>
      </c>
      <c r="G29" s="27" t="inlineStr">
        <is>
          <t>48005-420</t>
        </is>
      </c>
      <c r="H29" s="15" t="n">
        <v>5</v>
      </c>
      <c r="I29" s="28" t="inlineStr">
        <is>
          <t>NÃO</t>
        </is>
      </c>
      <c r="J29" s="29" t="n">
        <v>820.4</v>
      </c>
      <c r="K29" s="14" t="str">
        <f>IF(J29="","7. Acima de 2 km",IF(J29&lt;=50,"1. Até 50 m",IF(J29&lt;=100,"2. De 50 a 100 m",IF(J29&lt;=200,"3. De 100 a 200 m",IF(J29&lt;=300,"4. De 200 a 300 m",IF(J29&lt;=500,"5. De 300 a 500 m","6. De 500 m a 2 km"))))))</f>
        <v>6. De 500 m a 2 km</v>
      </c>
      <c r="L29" s="26" t="n">
        <v>0</v>
      </c>
      <c r="M29" s="26" t="n">
        <v>0</v>
      </c>
      <c r="N29" s="26" t="n">
        <v>0</v>
      </c>
      <c r="O29" s="26" t="n">
        <v>0</v>
      </c>
      <c r="P29" s="30" t="n">
        <v>-12.1480285</v>
      </c>
      <c r="Q29" s="30" t="n">
        <v>-38.4255534</v>
      </c>
      <c r="R29" s="14" t="inlineStr">
        <is>
          <t>FÓRUM DES. MOACYR PITTA LIMA, AVENIDA AIRTON SENNA, S/N, ALAGOINHAS VELHA, ALAGOINHAS/BA</t>
        </is>
      </c>
      <c r="S29" s="26">
        <f>IF(A29=A28,0,1)</f>
        <v>0</v>
      </c>
      <c r="T29" s="26">
        <f>IF(COUNTIF($B$4:B29,B29)=1,1,0)</f>
        <v>0</v>
      </c>
    </row>
    <row r="30">
      <c r="A30" s="14" t="inlineStr">
        <is>
          <t>ALAGOINHAS</t>
        </is>
      </c>
      <c r="B30" s="26" t="n">
        <v>163</v>
      </c>
      <c r="C30" s="26" t="n">
        <v>1562</v>
      </c>
      <c r="D30" s="14" t="inlineStr">
        <is>
          <t>COLÉGIO SÃO FRANCISCO</t>
        </is>
      </c>
      <c r="E30" s="14" t="inlineStr">
        <is>
          <t>CENTRO</t>
        </is>
      </c>
      <c r="F30" s="14" t="inlineStr">
        <is>
          <t>AVENIDA LAURO DE FREITAS, 198, CENTRO- ZONA URBANA</t>
        </is>
      </c>
      <c r="G30" s="27" t="inlineStr">
        <is>
          <t>48000-103</t>
        </is>
      </c>
      <c r="H30" s="15" t="n">
        <v>12</v>
      </c>
      <c r="I30" s="28" t="inlineStr">
        <is>
          <t>NÃO</t>
        </is>
      </c>
      <c r="J30" s="29" t="n">
        <v>140.6</v>
      </c>
      <c r="K30" s="14" t="str">
        <f>IF(J30="","7. Acima de 2 km",IF(J30&lt;=50,"1. Até 50 m",IF(J30&lt;=100,"2. De 50 a 100 m",IF(J30&lt;=200,"3. De 100 a 200 m",IF(J30&lt;=300,"4. De 200 a 300 m",IF(J30&lt;=500,"5. De 300 a 500 m","6. De 500 m a 2 km"))))))</f>
        <v>3. De 100 a 200 m</v>
      </c>
      <c r="L30" s="26" t="n">
        <v>0</v>
      </c>
      <c r="M30" s="26" t="n">
        <v>0</v>
      </c>
      <c r="N30" s="26" t="n">
        <v>2</v>
      </c>
      <c r="O30" s="26" t="n">
        <v>2</v>
      </c>
      <c r="P30" s="30" t="n">
        <v>-12.13758789</v>
      </c>
      <c r="Q30" s="30" t="n">
        <v>-38.41792863</v>
      </c>
      <c r="R30" s="14" t="inlineStr">
        <is>
          <t>FÓRUM DES. MOACYR PITTA LIMA, AVENIDA AIRTON SENNA, S/N, ALAGOINHAS VELHA, ALAGOINHAS/BA</t>
        </is>
      </c>
      <c r="S30" s="26">
        <f>IF(A30=A29,0,1)</f>
        <v>0</v>
      </c>
      <c r="T30" s="26">
        <f>IF(COUNTIF($B$4:B30,B30)=1,1,0)</f>
        <v>0</v>
      </c>
    </row>
    <row r="31">
      <c r="A31" s="14" t="inlineStr">
        <is>
          <t>ALAGOINHAS</t>
        </is>
      </c>
      <c r="B31" s="26" t="n">
        <v>163</v>
      </c>
      <c r="C31" s="26" t="n">
        <v>1570</v>
      </c>
      <c r="D31" s="14" t="inlineStr">
        <is>
          <t>ESCOLA MUNICIPAL ADALGIZA SANTOS (ANEXO)</t>
        </is>
      </c>
      <c r="E31" s="14" t="inlineStr">
        <is>
          <t>CENTRO</t>
        </is>
      </c>
      <c r="F31" s="14" t="inlineStr">
        <is>
          <t>RUA LUIZ VIANA, 302, CENTRO - ZONA URBANA</t>
        </is>
      </c>
      <c r="G31" s="27" t="inlineStr">
        <is>
          <t>48005-420</t>
        </is>
      </c>
      <c r="H31" s="15" t="n">
        <v>3</v>
      </c>
      <c r="I31" s="28" t="inlineStr">
        <is>
          <t>NÃO</t>
        </is>
      </c>
      <c r="J31" s="29" t="n">
        <v>341.4</v>
      </c>
      <c r="K31" s="14" t="str">
        <f>IF(J31="","7. Acima de 2 km",IF(J31&lt;=50,"1. Até 50 m",IF(J31&lt;=100,"2. De 50 a 100 m",IF(J31&lt;=200,"3. De 100 a 200 m",IF(J31&lt;=300,"4. De 200 a 300 m",IF(J31&lt;=500,"5. De 300 a 500 m","6. De 500 m a 2 km"))))))</f>
        <v>5. De 300 a 500 m</v>
      </c>
      <c r="L31" s="26" t="n">
        <v>0</v>
      </c>
      <c r="M31" s="26" t="n">
        <v>0</v>
      </c>
      <c r="N31" s="26" t="n">
        <v>0</v>
      </c>
      <c r="O31" s="26" t="n">
        <v>0</v>
      </c>
      <c r="P31" s="30" t="n">
        <v>-12.1433419</v>
      </c>
      <c r="Q31" s="30" t="n">
        <v>-38.4239434</v>
      </c>
      <c r="R31" s="14" t="inlineStr">
        <is>
          <t>FÓRUM DES. MOACYR PITTA LIMA, AVENIDA AIRTON SENNA, S/N, ALAGOINHAS VELHA, ALAGOINHAS/BA</t>
        </is>
      </c>
      <c r="S31" s="26">
        <f>IF(A31=A30,0,1)</f>
        <v>0</v>
      </c>
      <c r="T31" s="26">
        <f>IF(COUNTIF($B$4:B31,B31)=1,1,0)</f>
        <v>0</v>
      </c>
    </row>
    <row r="32">
      <c r="A32" s="14" t="inlineStr">
        <is>
          <t>ALAGOINHAS</t>
        </is>
      </c>
      <c r="B32" s="26" t="n">
        <v>163</v>
      </c>
      <c r="C32" s="26" t="n">
        <v>1589</v>
      </c>
      <c r="D32" s="14" t="inlineStr">
        <is>
          <t>ESCOLA VISCONDE DO RIO BRANCO</t>
        </is>
      </c>
      <c r="E32" s="14" t="inlineStr">
        <is>
          <t>POVOADO RIO BRANCO</t>
        </is>
      </c>
      <c r="F32" s="14" t="inlineStr">
        <is>
          <t>POVOADO RIO BRANCO - ZONA RURAL</t>
        </is>
      </c>
      <c r="G32" s="27" t="inlineStr">
        <is>
          <t>48024-899</t>
        </is>
      </c>
      <c r="H32" s="15" t="n">
        <v>2</v>
      </c>
      <c r="I32" s="28" t="inlineStr">
        <is>
          <t>NÃO</t>
        </is>
      </c>
      <c r="J32" s="29" t="n"/>
      <c r="K32" s="14" t="str">
        <f>IF(J32="","7. Acima de 2 km",IF(J32&lt;=50,"1. Até 50 m",IF(J32&lt;=100,"2. De 50 a 100 m",IF(J32&lt;=200,"3. De 100 a 200 m",IF(J32&lt;=300,"4. De 200 a 300 m",IF(J32&lt;=500,"5. De 300 a 500 m","6. De 500 m a 2 km"))))))</f>
        <v>7. Acima de 2 km</v>
      </c>
      <c r="L32" s="26" t="n">
        <v>0</v>
      </c>
      <c r="M32" s="26" t="n">
        <v>0</v>
      </c>
      <c r="N32" s="26" t="n">
        <v>0</v>
      </c>
      <c r="O32" s="26" t="n">
        <v>0</v>
      </c>
      <c r="P32" s="30" t="n">
        <v>-12.0989425</v>
      </c>
      <c r="Q32" s="30" t="n">
        <v>-38.2857062</v>
      </c>
      <c r="R32" s="14" t="inlineStr">
        <is>
          <t>FÓRUM DES. MOACYR PITTA LIMA, AVENIDA AIRTON SENNA, S/N, ALAGOINHAS VELHA, ALAGOINHAS/BA</t>
        </is>
      </c>
      <c r="S32" s="26">
        <f>IF(A32=A31,0,1)</f>
        <v>0</v>
      </c>
      <c r="T32" s="26">
        <f>IF(COUNTIF($B$4:B32,B32)=1,1,0)</f>
        <v>0</v>
      </c>
    </row>
    <row r="33">
      <c r="A33" s="14" t="inlineStr">
        <is>
          <t>ALAGOINHAS</t>
        </is>
      </c>
      <c r="B33" s="26" t="n">
        <v>163</v>
      </c>
      <c r="C33" s="26" t="n">
        <v>1597</v>
      </c>
      <c r="D33" s="14" t="inlineStr">
        <is>
          <t>ESCOLA MUNICIPAL IRENE ANDRADE DE ASSIS</t>
        </is>
      </c>
      <c r="E33" s="14" t="inlineStr">
        <is>
          <t>CENTRO</t>
        </is>
      </c>
      <c r="F33" s="14" t="inlineStr">
        <is>
          <t>RUA JOSE BATISTA DE LIRO SOBRINHO, S/N , ALAGOINHAS VELHA- ZONA URBANA</t>
        </is>
      </c>
      <c r="G33" s="27" t="inlineStr">
        <is>
          <t>48007-526</t>
        </is>
      </c>
      <c r="H33" s="15" t="n">
        <v>5</v>
      </c>
      <c r="I33" s="28" t="inlineStr">
        <is>
          <t>NÃO</t>
        </is>
      </c>
      <c r="J33" s="29" t="n">
        <v>163</v>
      </c>
      <c r="K33" s="14" t="str">
        <f>IF(J33="","7. Acima de 2 km",IF(J33&lt;=50,"1. Até 50 m",IF(J33&lt;=100,"2. De 50 a 100 m",IF(J33&lt;=200,"3. De 100 a 200 m",IF(J33&lt;=300,"4. De 200 a 300 m",IF(J33&lt;=500,"5. De 300 a 500 m","6. De 500 m a 2 km"))))))</f>
        <v>3. De 100 a 200 m</v>
      </c>
      <c r="L33" s="26" t="n">
        <v>0</v>
      </c>
      <c r="M33" s="26" t="n">
        <v>0</v>
      </c>
      <c r="N33" s="26" t="n">
        <v>1</v>
      </c>
      <c r="O33" s="26" t="n">
        <v>2</v>
      </c>
      <c r="P33" s="30" t="n">
        <v>-12.13999792</v>
      </c>
      <c r="Q33" s="30" t="n">
        <v>-38.41236904</v>
      </c>
      <c r="R33" s="14" t="inlineStr">
        <is>
          <t>FÓRUM DES. MOACYR PITTA LIMA, AVENIDA AIRTON SENNA, S/N, ALAGOINHAS VELHA, ALAGOINHAS/BA</t>
        </is>
      </c>
      <c r="S33" s="26">
        <f>IF(A33=A32,0,1)</f>
        <v>0</v>
      </c>
      <c r="T33" s="26">
        <f>IF(COUNTIF($B$4:B33,B33)=1,1,0)</f>
        <v>0</v>
      </c>
    </row>
    <row r="34">
      <c r="A34" s="14" t="inlineStr">
        <is>
          <t>ALAGOINHAS</t>
        </is>
      </c>
      <c r="B34" s="26" t="n">
        <v>163</v>
      </c>
      <c r="C34" s="26" t="n">
        <v>1619</v>
      </c>
      <c r="D34" s="14" t="inlineStr">
        <is>
          <t>ESCOLA MUNICIPAL SANTA LUZIA</t>
        </is>
      </c>
      <c r="E34" s="14" t="inlineStr">
        <is>
          <t>POVOADO CALU</t>
        </is>
      </c>
      <c r="F34" s="14" t="inlineStr">
        <is>
          <t>POVOADO CALU - ZONA RURAL</t>
        </is>
      </c>
      <c r="G34" s="27" t="inlineStr">
        <is>
          <t>48030-640</t>
        </is>
      </c>
      <c r="H34" s="15" t="n">
        <v>1</v>
      </c>
      <c r="I34" s="28" t="inlineStr">
        <is>
          <t>NÃO</t>
        </is>
      </c>
      <c r="J34" s="29" t="n"/>
      <c r="K34" s="14" t="str">
        <f>IF(J34="","7. Acima de 2 km",IF(J34&lt;=50,"1. Até 50 m",IF(J34&lt;=100,"2. De 50 a 100 m",IF(J34&lt;=200,"3. De 100 a 200 m",IF(J34&lt;=300,"4. De 200 a 300 m",IF(J34&lt;=500,"5. De 300 a 500 m","6. De 500 m a 2 km"))))))</f>
        <v>7. Acima de 2 km</v>
      </c>
      <c r="L34" s="26" t="n">
        <v>0</v>
      </c>
      <c r="M34" s="26" t="n">
        <v>0</v>
      </c>
      <c r="N34" s="26" t="n">
        <v>0</v>
      </c>
      <c r="O34" s="26" t="n">
        <v>0</v>
      </c>
      <c r="P34" s="30" t="n">
        <v>-12.1625416</v>
      </c>
      <c r="Q34" s="30" t="n">
        <v>-38.3656416</v>
      </c>
      <c r="R34" s="14" t="inlineStr">
        <is>
          <t>FÓRUM DES. MOACYR PITTA LIMA, AVENIDA AIRTON SENNA, S/N, ALAGOINHAS VELHA, ALAGOINHAS/BA</t>
        </is>
      </c>
      <c r="S34" s="26">
        <f>IF(A34=A33,0,1)</f>
        <v>0</v>
      </c>
      <c r="T34" s="26">
        <f>IF(COUNTIF($B$4:B34,B34)=1,1,0)</f>
        <v>0</v>
      </c>
    </row>
    <row r="35">
      <c r="A35" s="14" t="inlineStr">
        <is>
          <t>ALAGOINHAS</t>
        </is>
      </c>
      <c r="B35" s="26" t="n">
        <v>163</v>
      </c>
      <c r="C35" s="26" t="n">
        <v>1627</v>
      </c>
      <c r="D35" s="14" t="inlineStr">
        <is>
          <t>COLÉGIO SANTÍSSIMO SACRAMENTO</t>
        </is>
      </c>
      <c r="E35" s="14" t="inlineStr">
        <is>
          <t>CENTRO</t>
        </is>
      </c>
      <c r="F35" s="14" t="inlineStr">
        <is>
          <t>RUA MARECHAL DEODORO, N 118 , CENTRO - ZONA URBANA</t>
        </is>
      </c>
      <c r="G35" s="27" t="inlineStr">
        <is>
          <t>48000-067</t>
        </is>
      </c>
      <c r="H35" s="15" t="n">
        <v>13</v>
      </c>
      <c r="I35" s="28" t="inlineStr">
        <is>
          <t>NÃO</t>
        </is>
      </c>
      <c r="J35" s="29" t="n">
        <v>133</v>
      </c>
      <c r="K35" s="14" t="str">
        <f>IF(J35="","7. Acima de 2 km",IF(J35&lt;=50,"1. Até 50 m",IF(J35&lt;=100,"2. De 50 a 100 m",IF(J35&lt;=200,"3. De 100 a 200 m",IF(J35&lt;=300,"4. De 200 a 300 m",IF(J35&lt;=500,"5. De 300 a 500 m","6. De 500 m a 2 km"))))))</f>
        <v>3. De 100 a 200 m</v>
      </c>
      <c r="L35" s="26" t="n">
        <v>0</v>
      </c>
      <c r="M35" s="26" t="n">
        <v>0</v>
      </c>
      <c r="N35" s="26" t="n">
        <v>3</v>
      </c>
      <c r="O35" s="26" t="n">
        <v>4</v>
      </c>
      <c r="P35" s="30" t="n">
        <v>-12.1386351</v>
      </c>
      <c r="Q35" s="30" t="n">
        <v>-38.42044699</v>
      </c>
      <c r="R35" s="14" t="inlineStr">
        <is>
          <t>FÓRUM DES. MOACYR PITTA LIMA, AVENIDA AIRTON SENNA, S/N, ALAGOINHAS VELHA, ALAGOINHAS/BA</t>
        </is>
      </c>
      <c r="S35" s="26">
        <f>IF(A35=A34,0,1)</f>
        <v>0</v>
      </c>
      <c r="T35" s="26">
        <f>IF(COUNTIF($B$4:B35,B35)=1,1,0)</f>
        <v>0</v>
      </c>
    </row>
    <row r="36">
      <c r="A36" s="14" t="inlineStr">
        <is>
          <t>ALAGOINHAS</t>
        </is>
      </c>
      <c r="B36" s="26" t="n">
        <v>163</v>
      </c>
      <c r="C36" s="26" t="n">
        <v>1643</v>
      </c>
      <c r="D36" s="14" t="inlineStr">
        <is>
          <t>COLÉGIO UIRASSU DE ASSIS BATISTA</t>
        </is>
      </c>
      <c r="E36" s="14" t="inlineStr">
        <is>
          <t>SANTA TEREZINHA</t>
        </is>
      </c>
      <c r="F36" s="14" t="inlineStr">
        <is>
          <t>RUA MÁRMORE, S/N - ZONA URBANA</t>
        </is>
      </c>
      <c r="G36" s="27" t="inlineStr">
        <is>
          <t>48020-000</t>
        </is>
      </c>
      <c r="H36" s="15" t="n">
        <v>5</v>
      </c>
      <c r="I36" s="28" t="inlineStr">
        <is>
          <t>NÃO</t>
        </is>
      </c>
      <c r="J36" s="29" t="n">
        <v>264.2</v>
      </c>
      <c r="K36" s="14" t="str">
        <f>IF(J36="","7. Acima de 2 km",IF(J36&lt;=50,"1. Até 50 m",IF(J36&lt;=100,"2. De 50 a 100 m",IF(J36&lt;=200,"3. De 100 a 200 m",IF(J36&lt;=300,"4. De 200 a 300 m",IF(J36&lt;=500,"5. De 300 a 500 m","6. De 500 m a 2 km"))))))</f>
        <v>4. De 200 a 300 m</v>
      </c>
      <c r="L36" s="26" t="n">
        <v>0</v>
      </c>
      <c r="M36" s="26" t="n">
        <v>0</v>
      </c>
      <c r="N36" s="26" t="n">
        <v>0</v>
      </c>
      <c r="O36" s="26" t="n">
        <v>1</v>
      </c>
      <c r="P36" s="30" t="n">
        <v>-12.12315179</v>
      </c>
      <c r="Q36" s="30" t="n">
        <v>-38.4154892</v>
      </c>
      <c r="R36" s="14" t="inlineStr">
        <is>
          <t>FÓRUM DES. MOACYR PITTA LIMA, AVENIDA AIRTON SENNA, S/N, ALAGOINHAS VELHA, ALAGOINHAS/BA</t>
        </is>
      </c>
      <c r="S36" s="26">
        <f>IF(A36=A35,0,1)</f>
        <v>0</v>
      </c>
      <c r="T36" s="26">
        <f>IF(COUNTIF($B$4:B36,B36)=1,1,0)</f>
        <v>0</v>
      </c>
    </row>
    <row r="37">
      <c r="A37" s="14" t="inlineStr">
        <is>
          <t>ALAGOINHAS</t>
        </is>
      </c>
      <c r="B37" s="26" t="n">
        <v>163</v>
      </c>
      <c r="C37" s="26" t="n">
        <v>1651</v>
      </c>
      <c r="D37" s="14" t="inlineStr">
        <is>
          <t>COLÉGIO MUNICIPAL DE ALAGOINHAS</t>
        </is>
      </c>
      <c r="E37" s="14" t="inlineStr">
        <is>
          <t>CENTRO</t>
        </is>
      </c>
      <c r="F37" s="14" t="inlineStr">
        <is>
          <t>PRAÇA PROF. MARIO LAERT, 421 - ZONA URBANA</t>
        </is>
      </c>
      <c r="G37" s="27" t="inlineStr">
        <is>
          <t>48000-021</t>
        </is>
      </c>
      <c r="H37" s="15" t="n">
        <v>16</v>
      </c>
      <c r="I37" s="28" t="inlineStr">
        <is>
          <t>NÃO</t>
        </is>
      </c>
      <c r="J37" s="29" t="n">
        <v>173.4</v>
      </c>
      <c r="K37" s="14" t="str">
        <f>IF(J37="","7. Acima de 2 km",IF(J37&lt;=50,"1. Até 50 m",IF(J37&lt;=100,"2. De 50 a 100 m",IF(J37&lt;=200,"3. De 100 a 200 m",IF(J37&lt;=300,"4. De 200 a 300 m",IF(J37&lt;=500,"5. De 300 a 500 m","6. De 500 m a 2 km"))))))</f>
        <v>3. De 100 a 200 m</v>
      </c>
      <c r="L37" s="26" t="n">
        <v>0</v>
      </c>
      <c r="M37" s="26" t="n">
        <v>0</v>
      </c>
      <c r="N37" s="26" t="n">
        <v>1</v>
      </c>
      <c r="O37" s="26" t="n">
        <v>1</v>
      </c>
      <c r="P37" s="30" t="n">
        <v>-12.13942723</v>
      </c>
      <c r="Q37" s="30" t="n">
        <v>-38.41626557</v>
      </c>
      <c r="R37" s="14" t="inlineStr">
        <is>
          <t>FÓRUM DES. MOACYR PITTA LIMA, AVENIDA AIRTON SENNA, S/N, ALAGOINHAS VELHA, ALAGOINHAS/BA</t>
        </is>
      </c>
      <c r="S37" s="26">
        <f>IF(A37=A36,0,1)</f>
        <v>0</v>
      </c>
      <c r="T37" s="26">
        <f>IF(COUNTIF($B$4:B37,B37)=1,1,0)</f>
        <v>0</v>
      </c>
    </row>
    <row r="38">
      <c r="A38" s="14" t="inlineStr">
        <is>
          <t>ALAGOINHAS</t>
        </is>
      </c>
      <c r="B38" s="26" t="n">
        <v>163</v>
      </c>
      <c r="C38" s="26" t="n">
        <v>1660</v>
      </c>
      <c r="D38" s="14" t="inlineStr">
        <is>
          <t>COLÉGIO MODELO LUÍS EDUARDO MAGALHÃES</t>
        </is>
      </c>
      <c r="E38" s="14" t="inlineStr">
        <is>
          <t>CENTRO</t>
        </is>
      </c>
      <c r="F38" s="14" t="inlineStr">
        <is>
          <t>AV. LUIZ VIANA, S/N, CENTRO - ZONA URBANA</t>
        </is>
      </c>
      <c r="G38" s="27" t="inlineStr">
        <is>
          <t>48005-420</t>
        </is>
      </c>
      <c r="H38" s="15" t="n">
        <v>12</v>
      </c>
      <c r="I38" s="28" t="inlineStr">
        <is>
          <t>NÃO</t>
        </is>
      </c>
      <c r="J38" s="29" t="n">
        <v>762.3</v>
      </c>
      <c r="K38" s="14" t="str">
        <f>IF(J38="","7. Acima de 2 km",IF(J38&lt;=50,"1. Até 50 m",IF(J38&lt;=100,"2. De 50 a 100 m",IF(J38&lt;=200,"3. De 100 a 200 m",IF(J38&lt;=300,"4. De 200 a 300 m",IF(J38&lt;=500,"5. De 300 a 500 m","6. De 500 m a 2 km"))))))</f>
        <v>6. De 500 m a 2 km</v>
      </c>
      <c r="L38" s="26" t="n">
        <v>0</v>
      </c>
      <c r="M38" s="26" t="n">
        <v>0</v>
      </c>
      <c r="N38" s="26" t="n">
        <v>0</v>
      </c>
      <c r="O38" s="26" t="n">
        <v>0</v>
      </c>
      <c r="P38" s="30" t="n">
        <v>-12.1474442</v>
      </c>
      <c r="Q38" s="30" t="n">
        <v>-38.4253673</v>
      </c>
      <c r="R38" s="14" t="inlineStr">
        <is>
          <t>FÓRUM DES. MOACYR PITTA LIMA, AVENIDA AIRTON SENNA, S/N, ALAGOINHAS VELHA, ALAGOINHAS/BA</t>
        </is>
      </c>
      <c r="S38" s="26">
        <f>IF(A38=A37,0,1)</f>
        <v>0</v>
      </c>
      <c r="T38" s="26">
        <f>IF(COUNTIF($B$4:B38,B38)=1,1,0)</f>
        <v>0</v>
      </c>
    </row>
    <row r="39">
      <c r="A39" s="14" t="inlineStr">
        <is>
          <t>ALAGOINHAS</t>
        </is>
      </c>
      <c r="B39" s="26" t="n">
        <v>163</v>
      </c>
      <c r="C39" s="26" t="n">
        <v>1678</v>
      </c>
      <c r="D39" s="14" t="inlineStr">
        <is>
          <t>ESCOLA MUNICIPAL MINISTRO MARCO MACIEL</t>
        </is>
      </c>
      <c r="E39" s="14" t="inlineStr">
        <is>
          <t>ALAGOINHAS VELHA</t>
        </is>
      </c>
      <c r="F39" s="14" t="inlineStr">
        <is>
          <t>AV. AYRTON SENNA DA SILVA, S/N - ZONA URBANA</t>
        </is>
      </c>
      <c r="G39" s="27" t="inlineStr">
        <is>
          <t>48007-314</t>
        </is>
      </c>
      <c r="H39" s="15" t="n">
        <v>4</v>
      </c>
      <c r="I39" s="28" t="inlineStr">
        <is>
          <t>SIM</t>
        </is>
      </c>
      <c r="J39" s="29" t="n">
        <v>89.3</v>
      </c>
      <c r="K39" s="14" t="str">
        <f>IF(J39="","7. Acima de 2 km",IF(J39&lt;=50,"1. Até 50 m",IF(J39&lt;=100,"2. De 50 a 100 m",IF(J39&lt;=200,"3. De 100 a 200 m",IF(J39&lt;=300,"4. De 200 a 300 m",IF(J39&lt;=500,"5. De 300 a 500 m","6. De 500 m a 2 km"))))))</f>
        <v>2. De 50 a 100 m</v>
      </c>
      <c r="L39" s="26" t="n">
        <v>0</v>
      </c>
      <c r="M39" s="26" t="n">
        <v>1</v>
      </c>
      <c r="N39" s="26" t="n">
        <v>1</v>
      </c>
      <c r="O39" s="26" t="n">
        <v>1</v>
      </c>
      <c r="P39" s="30" t="n">
        <v>-12.14403594</v>
      </c>
      <c r="Q39" s="30" t="n">
        <v>-38.40365861</v>
      </c>
      <c r="R39" s="14" t="inlineStr">
        <is>
          <t>FÓRUM DES. MOACYR PITTA LIMA, AVENIDA AIRTON SENNA, S/N, ALAGOINHAS VELHA, ALAGOINHAS/BA</t>
        </is>
      </c>
      <c r="S39" s="26">
        <f>IF(A39=A38,0,1)</f>
        <v>0</v>
      </c>
      <c r="T39" s="26">
        <f>IF(COUNTIF($B$4:B39,B39)=1,1,0)</f>
        <v>0</v>
      </c>
    </row>
    <row r="40">
      <c r="A40" s="14" t="inlineStr">
        <is>
          <t>ALAGOINHAS</t>
        </is>
      </c>
      <c r="B40" s="26" t="n">
        <v>163</v>
      </c>
      <c r="C40" s="26" t="n">
        <v>1686</v>
      </c>
      <c r="D40" s="14" t="inlineStr">
        <is>
          <t>COLÉGIO HELENITA SANTANA DA COSTA</t>
        </is>
      </c>
      <c r="E40" s="14" t="inlineStr">
        <is>
          <t>POVOADO NARANDIBA</t>
        </is>
      </c>
      <c r="F40" s="14" t="inlineStr">
        <is>
          <t>RUA JOÃO BATISTA, S/N - ZONA RURAL</t>
        </is>
      </c>
      <c r="G40" s="27" t="inlineStr">
        <is>
          <t>48010-700</t>
        </is>
      </c>
      <c r="H40" s="15" t="n">
        <v>2</v>
      </c>
      <c r="I40" s="28" t="inlineStr">
        <is>
          <t>NÃO</t>
        </is>
      </c>
      <c r="J40" s="29" t="n"/>
      <c r="K40" s="14" t="str">
        <f>IF(J40="","7. Acima de 2 km",IF(J40&lt;=50,"1. Até 50 m",IF(J40&lt;=100,"2. De 50 a 100 m",IF(J40&lt;=200,"3. De 100 a 200 m",IF(J40&lt;=300,"4. De 200 a 300 m",IF(J40&lt;=500,"5. De 300 a 500 m","6. De 500 m a 2 km"))))))</f>
        <v>7. Acima de 2 km</v>
      </c>
      <c r="L40" s="26" t="n">
        <v>0</v>
      </c>
      <c r="M40" s="26" t="n">
        <v>0</v>
      </c>
      <c r="N40" s="26" t="n">
        <v>0</v>
      </c>
      <c r="O40" s="26" t="n">
        <v>0</v>
      </c>
      <c r="P40" s="30" t="n">
        <v>-12.2001929</v>
      </c>
      <c r="Q40" s="30" t="n">
        <v>-38.3997719</v>
      </c>
      <c r="R40" s="14" t="inlineStr">
        <is>
          <t>FÓRUM DES. MOACYR PITTA LIMA, AVENIDA AIRTON SENNA, S/N, ALAGOINHAS VELHA, ALAGOINHAS/BA</t>
        </is>
      </c>
      <c r="S40" s="26">
        <f>IF(A40=A39,0,1)</f>
        <v>0</v>
      </c>
      <c r="T40" s="26">
        <f>IF(COUNTIF($B$4:B40,B40)=1,1,0)</f>
        <v>0</v>
      </c>
    </row>
    <row r="41">
      <c r="A41" s="14" t="inlineStr">
        <is>
          <t>ALAGOINHAS</t>
        </is>
      </c>
      <c r="B41" s="26" t="n">
        <v>163</v>
      </c>
      <c r="C41" s="26" t="n">
        <v>1694</v>
      </c>
      <c r="D41" s="14" t="inlineStr">
        <is>
          <t>ESCOLA NOSSA SENHORA DOS MILAGRES</t>
        </is>
      </c>
      <c r="E41" s="14" t="inlineStr">
        <is>
          <t>POVOADO PAPAGAIO II</t>
        </is>
      </c>
      <c r="F41" s="14" t="inlineStr">
        <is>
          <t>PRAÇA DOS MILAGRES, S/N - ZONA RURAL</t>
        </is>
      </c>
      <c r="G41" s="27" t="inlineStr">
        <is>
          <t>48000-000</t>
        </is>
      </c>
      <c r="H41" s="15" t="n">
        <v>2</v>
      </c>
      <c r="I41" s="28" t="inlineStr">
        <is>
          <t>NÃO</t>
        </is>
      </c>
      <c r="J41" s="29" t="n"/>
      <c r="K41" s="14" t="str">
        <f>IF(J41="","7. Acima de 2 km",IF(J41&lt;=50,"1. Até 50 m",IF(J41&lt;=100,"2. De 50 a 100 m",IF(J41&lt;=200,"3. De 100 a 200 m",IF(J41&lt;=300,"4. De 200 a 300 m",IF(J41&lt;=500,"5. De 300 a 500 m","6. De 500 m a 2 km"))))))</f>
        <v>7. Acima de 2 km</v>
      </c>
      <c r="L41" s="26" t="n">
        <v>0</v>
      </c>
      <c r="M41" s="26" t="n">
        <v>0</v>
      </c>
      <c r="N41" s="26" t="n">
        <v>0</v>
      </c>
      <c r="O41" s="26" t="n">
        <v>0</v>
      </c>
      <c r="P41" s="30" t="n">
        <v>-12.1736638</v>
      </c>
      <c r="Q41" s="30" t="n">
        <v>-38.3314889</v>
      </c>
      <c r="R41" s="14" t="inlineStr">
        <is>
          <t>FÓRUM DES. MOACYR PITTA LIMA, AVENIDA AIRTON SENNA, S/N, ALAGOINHAS VELHA, ALAGOINHAS/BA</t>
        </is>
      </c>
      <c r="S41" s="26">
        <f>IF(A41=A40,0,1)</f>
        <v>0</v>
      </c>
      <c r="T41" s="26">
        <f>IF(COUNTIF($B$4:B41,B41)=1,1,0)</f>
        <v>0</v>
      </c>
    </row>
    <row r="42">
      <c r="A42" s="14" t="inlineStr">
        <is>
          <t>ALAGOINHAS</t>
        </is>
      </c>
      <c r="B42" s="26" t="n">
        <v>163</v>
      </c>
      <c r="C42" s="26" t="n">
        <v>1708</v>
      </c>
      <c r="D42" s="14" t="inlineStr">
        <is>
          <t>CETEP/LNAB - CENTRO TERRIT DE EDUC PROF DO LITORAL E DO AGRESTE BAIANO</t>
        </is>
      </c>
      <c r="E42" s="14" t="inlineStr">
        <is>
          <t>CENTRO</t>
        </is>
      </c>
      <c r="F42" s="14" t="inlineStr">
        <is>
          <t>RUA PROFESSORA MARIA FEIJÓ, N13, CENTRO</t>
        </is>
      </c>
      <c r="G42" s="27" t="inlineStr">
        <is>
          <t>48000-023</t>
        </is>
      </c>
      <c r="H42" s="15" t="n">
        <v>26</v>
      </c>
      <c r="I42" s="28" t="inlineStr">
        <is>
          <t>NÃO</t>
        </is>
      </c>
      <c r="J42" s="29" t="n">
        <v>302.3</v>
      </c>
      <c r="K42" s="14" t="str">
        <f>IF(J42="","7. Acima de 2 km",IF(J42&lt;=50,"1. Até 50 m",IF(J42&lt;=100,"2. De 50 a 100 m",IF(J42&lt;=200,"3. De 100 a 200 m",IF(J42&lt;=300,"4. De 200 a 300 m",IF(J42&lt;=500,"5. De 300 a 500 m","6. De 500 m a 2 km"))))))</f>
        <v>5. De 300 a 500 m</v>
      </c>
      <c r="L42" s="26" t="n">
        <v>0</v>
      </c>
      <c r="M42" s="26" t="n">
        <v>0</v>
      </c>
      <c r="N42" s="26" t="n">
        <v>0</v>
      </c>
      <c r="O42" s="26" t="n">
        <v>0</v>
      </c>
      <c r="P42" s="30" t="n">
        <v>-12.1410573</v>
      </c>
      <c r="Q42" s="30" t="n">
        <v>-38.4167749</v>
      </c>
      <c r="R42" s="14" t="inlineStr">
        <is>
          <t>FÓRUM DES. MOACYR PITTA LIMA, AVENIDA AIRTON SENNA, S/N, ALAGOINHAS VELHA, ALAGOINHAS/BA</t>
        </is>
      </c>
      <c r="S42" s="26">
        <f>IF(A42=A41,0,1)</f>
        <v>0</v>
      </c>
      <c r="T42" s="26">
        <f>IF(COUNTIF($B$4:B42,B42)=1,1,0)</f>
        <v>0</v>
      </c>
    </row>
    <row r="43">
      <c r="A43" s="14" t="inlineStr">
        <is>
          <t>ALAGOINHAS</t>
        </is>
      </c>
      <c r="B43" s="26" t="n">
        <v>163</v>
      </c>
      <c r="C43" s="26" t="n">
        <v>1716</v>
      </c>
      <c r="D43" s="14" t="inlineStr">
        <is>
          <t>ESCOLA MUNICIPAL ALAGOINHAS IV</t>
        </is>
      </c>
      <c r="E43" s="14" t="inlineStr">
        <is>
          <t>ALAGOINHAS VELHA</t>
        </is>
      </c>
      <c r="F43" s="14" t="inlineStr">
        <is>
          <t>RUA 08 DE DEZEMBRO, S/N, NOVO HORIZONTE,,  - ZONA URBANA</t>
        </is>
      </c>
      <c r="G43" s="27" t="inlineStr">
        <is>
          <t>48010-366</t>
        </is>
      </c>
      <c r="H43" s="15" t="n">
        <v>3</v>
      </c>
      <c r="I43" s="28" t="inlineStr">
        <is>
          <t>NÃO</t>
        </is>
      </c>
      <c r="J43" s="29" t="n">
        <v>1179.4</v>
      </c>
      <c r="K43" s="14" t="str">
        <f>IF(J43="","7. Acima de 2 km",IF(J43&lt;=50,"1. Até 50 m",IF(J43&lt;=100,"2. De 50 a 100 m",IF(J43&lt;=200,"3. De 100 a 200 m",IF(J43&lt;=300,"4. De 200 a 300 m",IF(J43&lt;=500,"5. De 300 a 500 m","6. De 500 m a 2 km"))))))</f>
        <v>6. De 500 m a 2 km</v>
      </c>
      <c r="L43" s="26" t="n">
        <v>0</v>
      </c>
      <c r="M43" s="26" t="n">
        <v>0</v>
      </c>
      <c r="N43" s="26" t="n">
        <v>0</v>
      </c>
      <c r="O43" s="26" t="n">
        <v>0</v>
      </c>
      <c r="P43" s="30" t="n">
        <v>-12.1315643</v>
      </c>
      <c r="Q43" s="30" t="n">
        <v>-38.4035422</v>
      </c>
      <c r="R43" s="14" t="inlineStr">
        <is>
          <t>FÓRUM DES. MOACYR PITTA LIMA, AVENIDA AIRTON SENNA, S/N, ALAGOINHAS VELHA, ALAGOINHAS/BA</t>
        </is>
      </c>
      <c r="S43" s="26">
        <f>IF(A43=A42,0,1)</f>
        <v>0</v>
      </c>
      <c r="T43" s="26">
        <f>IF(COUNTIF($B$4:B43,B43)=1,1,0)</f>
        <v>0</v>
      </c>
    </row>
    <row r="44">
      <c r="A44" s="14" t="inlineStr">
        <is>
          <t>ALAGOINHAS</t>
        </is>
      </c>
      <c r="B44" s="26" t="n">
        <v>163</v>
      </c>
      <c r="C44" s="26" t="n">
        <v>1724</v>
      </c>
      <c r="D44" s="14" t="inlineStr">
        <is>
          <t>FACULDADE SANTÍSSIMO SACRAMENTO</t>
        </is>
      </c>
      <c r="E44" s="14" t="inlineStr">
        <is>
          <t>CENTRO</t>
        </is>
      </c>
      <c r="F44" s="14" t="inlineStr">
        <is>
          <t>PRIMEIRA TRAVESSA MARECHAL DEODORO, N 118 - ZONA URBANA</t>
        </is>
      </c>
      <c r="G44" s="27" t="inlineStr">
        <is>
          <t>48000-067</t>
        </is>
      </c>
      <c r="H44" s="15" t="n">
        <v>12</v>
      </c>
      <c r="I44" s="28" t="inlineStr">
        <is>
          <t>NÃO</t>
        </is>
      </c>
      <c r="J44" s="29" t="n">
        <v>225.6</v>
      </c>
      <c r="K44" s="14" t="str">
        <f>IF(J44="","7. Acima de 2 km",IF(J44&lt;=50,"1. Até 50 m",IF(J44&lt;=100,"2. De 50 a 100 m",IF(J44&lt;=200,"3. De 100 a 200 m",IF(J44&lt;=300,"4. De 200 a 300 m",IF(J44&lt;=500,"5. De 300 a 500 m","6. De 500 m a 2 km"))))))</f>
        <v>4. De 200 a 300 m</v>
      </c>
      <c r="L44" s="26" t="n">
        <v>0</v>
      </c>
      <c r="M44" s="26" t="n">
        <v>0</v>
      </c>
      <c r="N44" s="26" t="n">
        <v>0</v>
      </c>
      <c r="O44" s="26" t="n">
        <v>4</v>
      </c>
      <c r="P44" s="30" t="n">
        <v>-12.13946382</v>
      </c>
      <c r="Q44" s="30" t="n">
        <v>-38.42024451</v>
      </c>
      <c r="R44" s="14" t="inlineStr">
        <is>
          <t>FÓRUM DES. MOACYR PITTA LIMA, AVENIDA AIRTON SENNA, S/N, ALAGOINHAS VELHA, ALAGOINHAS/BA</t>
        </is>
      </c>
      <c r="S44" s="26">
        <f>IF(A44=A43,0,1)</f>
        <v>0</v>
      </c>
      <c r="T44" s="26">
        <f>IF(COUNTIF($B$4:B44,B44)=1,1,0)</f>
        <v>0</v>
      </c>
    </row>
    <row r="45">
      <c r="A45" s="14" t="inlineStr">
        <is>
          <t>ALAGOINHAS</t>
        </is>
      </c>
      <c r="B45" s="26" t="n">
        <v>163</v>
      </c>
      <c r="C45" s="26" t="n">
        <v>1740</v>
      </c>
      <c r="D45" s="14" t="inlineStr">
        <is>
          <t>COLEGIO ESTADUAL LUIZ NAVARRO DE BRITO</t>
        </is>
      </c>
      <c r="E45" s="14" t="inlineStr">
        <is>
          <t>CENTRO</t>
        </is>
      </c>
      <c r="F45" s="14" t="inlineStr">
        <is>
          <t>RUA 13 DE JUNHO, S/N, CENTRO</t>
        </is>
      </c>
      <c r="G45" s="27" t="inlineStr">
        <is>
          <t>48000-031</t>
        </is>
      </c>
      <c r="H45" s="15" t="n">
        <v>20</v>
      </c>
      <c r="I45" s="28" t="inlineStr">
        <is>
          <t>NÃO</t>
        </is>
      </c>
      <c r="J45" s="29" t="n">
        <v>293.6</v>
      </c>
      <c r="K45" s="14" t="str">
        <f>IF(J45="","7. Acima de 2 km",IF(J45&lt;=50,"1. Até 50 m",IF(J45&lt;=100,"2. De 50 a 100 m",IF(J45&lt;=200,"3. De 100 a 200 m",IF(J45&lt;=300,"4. De 200 a 300 m",IF(J45&lt;=500,"5. De 300 a 500 m","6. De 500 m a 2 km"))))))</f>
        <v>4. De 200 a 300 m</v>
      </c>
      <c r="L45" s="26" t="n">
        <v>0</v>
      </c>
      <c r="M45" s="26" t="n">
        <v>0</v>
      </c>
      <c r="N45" s="26" t="n">
        <v>0</v>
      </c>
      <c r="O45" s="26" t="n">
        <v>1</v>
      </c>
      <c r="P45" s="30" t="n">
        <v>-12.14145619</v>
      </c>
      <c r="Q45" s="30" t="n">
        <v>-38.41619354</v>
      </c>
      <c r="R45" s="14" t="inlineStr">
        <is>
          <t>FÓRUM DES. MOACYR PITTA LIMA, AVENIDA AIRTON SENNA, S/N, ALAGOINHAS VELHA, ALAGOINHAS/BA</t>
        </is>
      </c>
      <c r="S45" s="26">
        <f>IF(A45=A44,0,1)</f>
        <v>0</v>
      </c>
      <c r="T45" s="26">
        <f>IF(COUNTIF($B$4:B45,B45)=1,1,0)</f>
        <v>0</v>
      </c>
    </row>
    <row r="46">
      <c r="A46" s="14" t="inlineStr">
        <is>
          <t>ALAGOINHAS</t>
        </is>
      </c>
      <c r="B46" s="26" t="n">
        <v>163</v>
      </c>
      <c r="C46" s="26" t="n">
        <v>1759</v>
      </c>
      <c r="D46" s="14" t="inlineStr">
        <is>
          <t>ESCOLA MUNICIPAL PROFESSORA LUZIA MARGARIDA PINTO</t>
        </is>
      </c>
      <c r="E46" s="14" t="inlineStr">
        <is>
          <t>POVOADO PONTO DO BEIJU</t>
        </is>
      </c>
      <c r="F46" s="14" t="inlineStr">
        <is>
          <t>KM 09, BR 110 - ZONA RURAL</t>
        </is>
      </c>
      <c r="G46" s="27" t="inlineStr">
        <is>
          <t>48000-100</t>
        </is>
      </c>
      <c r="H46" s="15" t="n">
        <v>2</v>
      </c>
      <c r="I46" s="28" t="inlineStr">
        <is>
          <t>NÃO</t>
        </is>
      </c>
      <c r="J46" s="29" t="n"/>
      <c r="K46" s="14" t="str">
        <f>IF(J46="","7. Acima de 2 km",IF(J46&lt;=50,"1. Até 50 m",IF(J46&lt;=100,"2. De 50 a 100 m",IF(J46&lt;=200,"3. De 100 a 200 m",IF(J46&lt;=300,"4. De 200 a 300 m",IF(J46&lt;=500,"5. De 300 a 500 m","6. De 500 m a 2 km"))))))</f>
        <v>7. Acima de 2 km</v>
      </c>
      <c r="L46" s="26" t="n">
        <v>0</v>
      </c>
      <c r="M46" s="26" t="n">
        <v>0</v>
      </c>
      <c r="N46" s="26" t="n">
        <v>0</v>
      </c>
      <c r="O46" s="26" t="n">
        <v>0</v>
      </c>
      <c r="P46" s="30" t="n">
        <v>-12.2282707</v>
      </c>
      <c r="Q46" s="30" t="n">
        <v>-38.4121296</v>
      </c>
      <c r="R46" s="14" t="inlineStr">
        <is>
          <t>FÓRUM DES. MOACYR PITTA LIMA, AVENIDA AIRTON SENNA, S/N, ALAGOINHAS VELHA, ALAGOINHAS/BA</t>
        </is>
      </c>
      <c r="S46" s="26">
        <f>IF(A46=A45,0,1)</f>
        <v>0</v>
      </c>
      <c r="T46" s="26">
        <f>IF(COUNTIF($B$4:B46,B46)=1,1,0)</f>
        <v>0</v>
      </c>
    </row>
    <row r="47">
      <c r="A47" s="14" t="inlineStr">
        <is>
          <t>ALAGOINHAS</t>
        </is>
      </c>
      <c r="B47" s="26" t="n">
        <v>163</v>
      </c>
      <c r="C47" s="26" t="n">
        <v>1767</v>
      </c>
      <c r="D47" s="14" t="inlineStr">
        <is>
          <t>COLÉGIO ESTADUAL BRAZILINO VIEGAS</t>
        </is>
      </c>
      <c r="E47" s="14" t="inlineStr">
        <is>
          <t>CENTRO</t>
        </is>
      </c>
      <c r="F47" s="14" t="inlineStr">
        <is>
          <t>AV. MARECHAL BITTENCOURT, 182, CENTRO - ZONA URBANA</t>
        </is>
      </c>
      <c r="G47" s="27" t="inlineStr">
        <is>
          <t>48000-141</t>
        </is>
      </c>
      <c r="H47" s="15" t="n">
        <v>8</v>
      </c>
      <c r="I47" s="28" t="inlineStr">
        <is>
          <t>SIM</t>
        </is>
      </c>
      <c r="J47" s="29" t="n">
        <v>19.4</v>
      </c>
      <c r="K47" s="14" t="str">
        <f>IF(J47="","7. Acima de 2 km",IF(J47&lt;=50,"1. Até 50 m",IF(J47&lt;=100,"2. De 50 a 100 m",IF(J47&lt;=200,"3. De 100 a 200 m",IF(J47&lt;=300,"4. De 200 a 300 m",IF(J47&lt;=500,"5. De 300 a 500 m","6. De 500 m a 2 km"))))))</f>
        <v>1. Até 50 m</v>
      </c>
      <c r="L47" s="26" t="n">
        <v>1</v>
      </c>
      <c r="M47" s="26" t="n">
        <v>2</v>
      </c>
      <c r="N47" s="26" t="n">
        <v>3</v>
      </c>
      <c r="O47" s="26" t="n">
        <v>3</v>
      </c>
      <c r="P47" s="30" t="n">
        <v>-12.1338655</v>
      </c>
      <c r="Q47" s="30" t="n">
        <v>-38.4224654</v>
      </c>
      <c r="R47" s="14" t="inlineStr">
        <is>
          <t>FÓRUM DES. MOACYR PITTA LIMA, AVENIDA AIRTON SENNA, S/N, ALAGOINHAS VELHA, ALAGOINHAS/BA</t>
        </is>
      </c>
      <c r="S47" s="26">
        <f>IF(A47=A46,0,1)</f>
        <v>0</v>
      </c>
      <c r="T47" s="26">
        <f>IF(COUNTIF($B$4:B47,B47)=1,1,0)</f>
        <v>0</v>
      </c>
    </row>
    <row r="48">
      <c r="A48" s="14" t="inlineStr">
        <is>
          <t>ALAGOINHAS</t>
        </is>
      </c>
      <c r="B48" s="26" t="n">
        <v>163</v>
      </c>
      <c r="C48" s="26" t="n">
        <v>1791</v>
      </c>
      <c r="D48" s="14" t="inlineStr">
        <is>
          <t>CENTRO EDUCACIONAL MURILO COELHO CAVALCANTI</t>
        </is>
      </c>
      <c r="E48" s="14" t="inlineStr">
        <is>
          <t>KENNEDY</t>
        </is>
      </c>
      <c r="F48" s="14" t="inlineStr">
        <is>
          <t>RUA JOSÉ JOAQUIM LEAL, S/N - ZONA URBANA</t>
        </is>
      </c>
      <c r="G48" s="27" t="inlineStr">
        <is>
          <t>48013-224</t>
        </is>
      </c>
      <c r="H48" s="15" t="n">
        <v>11</v>
      </c>
      <c r="I48" s="28" t="inlineStr">
        <is>
          <t>NÃO</t>
        </is>
      </c>
      <c r="J48" s="29" t="n">
        <v>637.4</v>
      </c>
      <c r="K48" s="14" t="str">
        <f>IF(J48="","7. Acima de 2 km",IF(J48&lt;=50,"1. Até 50 m",IF(J48&lt;=100,"2. De 50 a 100 m",IF(J48&lt;=200,"3. De 100 a 200 m",IF(J48&lt;=300,"4. De 200 a 300 m",IF(J48&lt;=500,"5. De 300 a 500 m","6. De 500 m a 2 km"))))))</f>
        <v>6. De 500 m a 2 km</v>
      </c>
      <c r="L48" s="26" t="n">
        <v>0</v>
      </c>
      <c r="M48" s="26" t="n">
        <v>0</v>
      </c>
      <c r="N48" s="26" t="n">
        <v>0</v>
      </c>
      <c r="O48" s="26" t="n">
        <v>0</v>
      </c>
      <c r="P48" s="30" t="n">
        <v>-12.13076203</v>
      </c>
      <c r="Q48" s="30" t="n">
        <v>-38.41351658</v>
      </c>
      <c r="R48" s="14" t="inlineStr">
        <is>
          <t>FÓRUM DES. MOACYR PITTA LIMA, AVENIDA AIRTON SENNA, S/N, ALAGOINHAS VELHA, ALAGOINHAS/BA</t>
        </is>
      </c>
      <c r="S48" s="26">
        <f>IF(A48=A47,0,1)</f>
        <v>0</v>
      </c>
      <c r="T48" s="26">
        <f>IF(COUNTIF($B$4:B48,B48)=1,1,0)</f>
        <v>0</v>
      </c>
    </row>
    <row r="49">
      <c r="A49" s="14" t="inlineStr">
        <is>
          <t>ALAGOINHAS</t>
        </is>
      </c>
      <c r="B49" s="26" t="n">
        <v>163</v>
      </c>
      <c r="C49" s="26" t="n">
        <v>1813</v>
      </c>
      <c r="D49" s="14" t="inlineStr">
        <is>
          <t>ESCOLA ESTADUAL DE 1.º GRAU SÃO FRANCISCO</t>
        </is>
      </c>
      <c r="E49" s="14" t="inlineStr">
        <is>
          <t>ALAGOINHAS VELHA</t>
        </is>
      </c>
      <c r="F49" s="14" t="inlineStr">
        <is>
          <t>RUA MANOEL RUMÃO, S/N - ZONA URBANA</t>
        </is>
      </c>
      <c r="G49" s="27" t="inlineStr">
        <is>
          <t>48010-470</t>
        </is>
      </c>
      <c r="H49" s="15" t="n">
        <v>7</v>
      </c>
      <c r="I49" s="28" t="inlineStr">
        <is>
          <t>NÃO</t>
        </is>
      </c>
      <c r="J49" s="29" t="n">
        <v>176.2</v>
      </c>
      <c r="K49" s="14" t="str">
        <f>IF(J49="","7. Acima de 2 km",IF(J49&lt;=50,"1. Até 50 m",IF(J49&lt;=100,"2. De 50 a 100 m",IF(J49&lt;=200,"3. De 100 a 200 m",IF(J49&lt;=300,"4. De 200 a 300 m",IF(J49&lt;=500,"5. De 300 a 500 m","6. De 500 m a 2 km"))))))</f>
        <v>3. De 100 a 200 m</v>
      </c>
      <c r="L49" s="26" t="n">
        <v>0</v>
      </c>
      <c r="M49" s="26" t="n">
        <v>0</v>
      </c>
      <c r="N49" s="26" t="n">
        <v>1</v>
      </c>
      <c r="O49" s="26" t="n">
        <v>1</v>
      </c>
      <c r="P49" s="30" t="n">
        <v>-12.14568726</v>
      </c>
      <c r="Q49" s="30" t="n">
        <v>-38.40444946</v>
      </c>
      <c r="R49" s="14" t="inlineStr">
        <is>
          <t>FÓRUM DES. MOACYR PITTA LIMA, AVENIDA AIRTON SENNA, S/N, ALAGOINHAS VELHA, ALAGOINHAS/BA</t>
        </is>
      </c>
      <c r="S49" s="26">
        <f>IF(A49=A48,0,1)</f>
        <v>0</v>
      </c>
      <c r="T49" s="26">
        <f>IF(COUNTIF($B$4:B49,B49)=1,1,0)</f>
        <v>0</v>
      </c>
    </row>
    <row r="50">
      <c r="A50" s="14" t="inlineStr">
        <is>
          <t>ALAGOINHAS</t>
        </is>
      </c>
      <c r="B50" s="26" t="n">
        <v>163</v>
      </c>
      <c r="C50" s="26" t="n">
        <v>1856</v>
      </c>
      <c r="D50" s="14" t="inlineStr">
        <is>
          <t>ESCOLA MUNICIPAL PÉRICLES NOGUEIRA MAGALHÃES</t>
        </is>
      </c>
      <c r="E50" s="14" t="inlineStr">
        <is>
          <t>POVOADO CONCEIÇÃO</t>
        </is>
      </c>
      <c r="F50" s="14" t="inlineStr">
        <is>
          <t>FAZENDA CONCEIÇÃO - ZONA RURAL</t>
        </is>
      </c>
      <c r="G50" s="27" t="inlineStr">
        <is>
          <t>48000-000</t>
        </is>
      </c>
      <c r="H50" s="15" t="n">
        <v>1</v>
      </c>
      <c r="I50" s="28" t="inlineStr">
        <is>
          <t>NÃO</t>
        </is>
      </c>
      <c r="J50" s="29" t="n"/>
      <c r="K50" s="14" t="str">
        <f>IF(J50="","7. Acima de 2 km",IF(J50&lt;=50,"1. Até 50 m",IF(J50&lt;=100,"2. De 50 a 100 m",IF(J50&lt;=200,"3. De 100 a 200 m",IF(J50&lt;=300,"4. De 200 a 300 m",IF(J50&lt;=500,"5. De 300 a 500 m","6. De 500 m a 2 km"))))))</f>
        <v>7. Acima de 2 km</v>
      </c>
      <c r="L50" s="26" t="n">
        <v>0</v>
      </c>
      <c r="M50" s="26" t="n">
        <v>0</v>
      </c>
      <c r="N50" s="26" t="n">
        <v>0</v>
      </c>
      <c r="O50" s="26" t="n">
        <v>0</v>
      </c>
      <c r="P50" s="30" t="n">
        <v>-11.9427196</v>
      </c>
      <c r="Q50" s="30" t="n">
        <v>-38.4660776</v>
      </c>
      <c r="R50" s="14" t="inlineStr">
        <is>
          <t>FÓRUM DES. MOACYR PITTA LIMA, AVENIDA AIRTON SENNA, S/N, ALAGOINHAS VELHA, ALAGOINHAS/BA</t>
        </is>
      </c>
      <c r="S50" s="26">
        <f>IF(A50=A49,0,1)</f>
        <v>0</v>
      </c>
      <c r="T50" s="26">
        <f>IF(COUNTIF($B$4:B50,B50)=1,1,0)</f>
        <v>0</v>
      </c>
    </row>
    <row r="51">
      <c r="A51" s="14" t="inlineStr">
        <is>
          <t>ALAGOINHAS</t>
        </is>
      </c>
      <c r="B51" s="26" t="n">
        <v>163</v>
      </c>
      <c r="C51" s="26" t="n">
        <v>1872</v>
      </c>
      <c r="D51" s="14" t="inlineStr">
        <is>
          <t>IFBAIANO - ALAGOINHAS</t>
        </is>
      </c>
      <c r="E51" s="14" t="inlineStr">
        <is>
          <t>ALAGOINHAS VELHA</t>
        </is>
      </c>
      <c r="F51" s="14" t="inlineStr">
        <is>
          <t>AVENIDA MANOEL ROMÃO, 152/166- ZONA URBANA</t>
        </is>
      </c>
      <c r="G51" s="27" t="inlineStr">
        <is>
          <t>48007-656</t>
        </is>
      </c>
      <c r="H51" s="15" t="n">
        <v>9</v>
      </c>
      <c r="I51" s="28" t="inlineStr">
        <is>
          <t>NÃO</t>
        </is>
      </c>
      <c r="J51" s="29" t="n">
        <v>301</v>
      </c>
      <c r="K51" s="14" t="str">
        <f>IF(J51="","7. Acima de 2 km",IF(J51&lt;=50,"1. Até 50 m",IF(J51&lt;=100,"2. De 50 a 100 m",IF(J51&lt;=200,"3. De 100 a 200 m",IF(J51&lt;=300,"4. De 200 a 300 m",IF(J51&lt;=500,"5. De 300 a 500 m","6. De 500 m a 2 km"))))))</f>
        <v>5. De 300 a 500 m</v>
      </c>
      <c r="L51" s="26" t="n">
        <v>0</v>
      </c>
      <c r="M51" s="26" t="n">
        <v>0</v>
      </c>
      <c r="N51" s="26" t="n">
        <v>0</v>
      </c>
      <c r="O51" s="26" t="n">
        <v>0</v>
      </c>
      <c r="P51" s="30" t="n">
        <v>-12.14647367</v>
      </c>
      <c r="Q51" s="30" t="n">
        <v>-38.40314197</v>
      </c>
      <c r="R51" s="14" t="inlineStr">
        <is>
          <t>FÓRUM DES. MOACYR PITTA LIMA, AVENIDA AIRTON SENNA, S/N, ALAGOINHAS VELHA, ALAGOINHAS/BA</t>
        </is>
      </c>
      <c r="S51" s="26">
        <f>IF(A51=A50,0,1)</f>
        <v>0</v>
      </c>
      <c r="T51" s="26">
        <f>IF(COUNTIF($B$4:B51,B51)=1,1,0)</f>
        <v>0</v>
      </c>
    </row>
    <row r="52">
      <c r="A52" s="14" t="inlineStr">
        <is>
          <t>ALAGOINHAS</t>
        </is>
      </c>
      <c r="B52" s="26" t="n">
        <v>163</v>
      </c>
      <c r="C52" s="26" t="n">
        <v>1899</v>
      </c>
      <c r="D52" s="14" t="inlineStr">
        <is>
          <t>COLÉGIO STAR</t>
        </is>
      </c>
      <c r="E52" s="14" t="inlineStr">
        <is>
          <t>CENTRO</t>
        </is>
      </c>
      <c r="F52" s="14" t="inlineStr">
        <is>
          <t>AV. LUIS VIANA, S/N - ZONA URBANA</t>
        </is>
      </c>
      <c r="G52" s="27" t="inlineStr">
        <is>
          <t>48000-207</t>
        </is>
      </c>
      <c r="H52" s="15" t="n">
        <v>8</v>
      </c>
      <c r="I52" s="28" t="inlineStr">
        <is>
          <t>NÃO</t>
        </is>
      </c>
      <c r="J52" s="29" t="n">
        <v>170.3</v>
      </c>
      <c r="K52" s="14" t="str">
        <f>IF(J52="","7. Acima de 2 km",IF(J52&lt;=50,"1. Até 50 m",IF(J52&lt;=100,"2. De 50 a 100 m",IF(J52&lt;=200,"3. De 100 a 200 m",IF(J52&lt;=300,"4. De 200 a 300 m",IF(J52&lt;=500,"5. De 300 a 500 m","6. De 500 m a 2 km"))))))</f>
        <v>3. De 100 a 200 m</v>
      </c>
      <c r="L52" s="26" t="n">
        <v>0</v>
      </c>
      <c r="M52" s="26" t="n">
        <v>0</v>
      </c>
      <c r="N52" s="26" t="n">
        <v>1</v>
      </c>
      <c r="O52" s="26" t="n">
        <v>4</v>
      </c>
      <c r="P52" s="30" t="n">
        <v>-12.14143287</v>
      </c>
      <c r="Q52" s="30" t="n">
        <v>-38.42353839</v>
      </c>
      <c r="R52" s="14" t="inlineStr">
        <is>
          <t>FÓRUM DES. MOACYR PITTA LIMA, AVENIDA AIRTON SENNA, S/N, ALAGOINHAS VELHA, ALAGOINHAS/BA</t>
        </is>
      </c>
      <c r="S52" s="26">
        <f>IF(A52=A51,0,1)</f>
        <v>0</v>
      </c>
      <c r="T52" s="26">
        <f>IF(COUNTIF($B$4:B52,B52)=1,1,0)</f>
        <v>0</v>
      </c>
    </row>
    <row r="53">
      <c r="A53" s="14" t="inlineStr">
        <is>
          <t>ALAGOINHAS</t>
        </is>
      </c>
      <c r="B53" s="26" t="n">
        <v>163</v>
      </c>
      <c r="C53" s="26" t="n">
        <v>1902</v>
      </c>
      <c r="D53" s="14" t="inlineStr">
        <is>
          <t>SM  ESCOLA SONHO MEU</t>
        </is>
      </c>
      <c r="E53" s="14" t="inlineStr">
        <is>
          <t>BARREIRO</t>
        </is>
      </c>
      <c r="F53" s="14" t="inlineStr">
        <is>
          <t>PRACA HUGO DANTAS LUMA, 2 TRAV ANTONIO CARNEIRO, 77 - ZONA URBANA</t>
        </is>
      </c>
      <c r="G53" s="27" t="inlineStr">
        <is>
          <t>48022-050</t>
        </is>
      </c>
      <c r="H53" s="15" t="n">
        <v>2</v>
      </c>
      <c r="I53" s="28" t="inlineStr">
        <is>
          <t>SIM</t>
        </is>
      </c>
      <c r="J53" s="29" t="n">
        <v>80.3</v>
      </c>
      <c r="K53" s="14" t="str">
        <f>IF(J53="","7. Acima de 2 km",IF(J53&lt;=50,"1. Até 50 m",IF(J53&lt;=100,"2. De 50 a 100 m",IF(J53&lt;=200,"3. De 100 a 200 m",IF(J53&lt;=300,"4. De 200 a 300 m",IF(J53&lt;=500,"5. De 300 a 500 m","6. De 500 m a 2 km"))))))</f>
        <v>2. De 50 a 100 m</v>
      </c>
      <c r="L53" s="26" t="n">
        <v>0</v>
      </c>
      <c r="M53" s="26" t="n">
        <v>1</v>
      </c>
      <c r="N53" s="26" t="n">
        <v>1</v>
      </c>
      <c r="O53" s="26" t="n">
        <v>1</v>
      </c>
      <c r="P53" s="30" t="n">
        <v>-12.1357603</v>
      </c>
      <c r="Q53" s="30" t="n">
        <v>-38.43711718</v>
      </c>
      <c r="R53" s="14" t="inlineStr">
        <is>
          <t>FÓRUM DES. MOACYR PITTA LIMA, AVENIDA AIRTON SENNA, S/N, ALAGOINHAS VELHA, ALAGOINHAS/BA</t>
        </is>
      </c>
      <c r="S53" s="26">
        <f>IF(A53=A52,0,1)</f>
        <v>0</v>
      </c>
      <c r="T53" s="26">
        <f>IF(COUNTIF($B$4:B53,B53)=1,1,0)</f>
        <v>0</v>
      </c>
    </row>
    <row r="54">
      <c r="A54" s="14" t="inlineStr">
        <is>
          <t>ALAGOINHAS</t>
        </is>
      </c>
      <c r="B54" s="26" t="n">
        <v>163</v>
      </c>
      <c r="C54" s="26" t="n">
        <v>1910</v>
      </c>
      <c r="D54" s="14" t="inlineStr">
        <is>
          <t>SENAI - SERVIÇO NACIONAL DE APRENDIZAGEM INDUSTRIAL</t>
        </is>
      </c>
      <c r="E54" s="14" t="inlineStr">
        <is>
          <t>CENTRO</t>
        </is>
      </c>
      <c r="F54" s="14" t="inlineStr">
        <is>
          <t>PRAÇA BARÃO DO RIO BRANCO, 55</t>
        </is>
      </c>
      <c r="G54" s="27" t="inlineStr">
        <is>
          <t>48005-135</t>
        </is>
      </c>
      <c r="H54" s="15" t="n">
        <v>11</v>
      </c>
      <c r="I54" s="28" t="inlineStr">
        <is>
          <t>NÃO</t>
        </is>
      </c>
      <c r="J54" s="29" t="n">
        <v>124.9</v>
      </c>
      <c r="K54" s="14" t="str">
        <f>IF(J54="","7. Acima de 2 km",IF(J54&lt;=50,"1. Até 50 m",IF(J54&lt;=100,"2. De 50 a 100 m",IF(J54&lt;=200,"3. De 100 a 200 m",IF(J54&lt;=300,"4. De 200 a 300 m",IF(J54&lt;=500,"5. De 300 a 500 m","6. De 500 m a 2 km"))))))</f>
        <v>3. De 100 a 200 m</v>
      </c>
      <c r="L54" s="26" t="n">
        <v>0</v>
      </c>
      <c r="M54" s="26" t="n">
        <v>0</v>
      </c>
      <c r="N54" s="26" t="n">
        <v>2</v>
      </c>
      <c r="O54" s="26" t="n">
        <v>9</v>
      </c>
      <c r="P54" s="30" t="n">
        <v>-12.1384727</v>
      </c>
      <c r="Q54" s="30" t="n">
        <v>-38.4277893</v>
      </c>
      <c r="R54" s="14" t="inlineStr">
        <is>
          <t>FÓRUM DES. MOACYR PITTA LIMA, AVENIDA AIRTON SENNA, S/N, ALAGOINHAS VELHA, ALAGOINHAS/BA</t>
        </is>
      </c>
      <c r="S54" s="26">
        <f>IF(A54=A53,0,1)</f>
        <v>0</v>
      </c>
      <c r="T54" s="26">
        <f>IF(COUNTIF($B$4:B54,B54)=1,1,0)</f>
        <v>0</v>
      </c>
    </row>
    <row r="55">
      <c r="A55" s="14" t="inlineStr">
        <is>
          <t>ALAGOINHAS</t>
        </is>
      </c>
      <c r="B55" s="26" t="n">
        <v>163</v>
      </c>
      <c r="C55" s="26" t="n">
        <v>1937</v>
      </c>
      <c r="D55" s="14" t="inlineStr">
        <is>
          <t>ESCOLA MUNICIPAL MARIA FEIJÓ</t>
        </is>
      </c>
      <c r="E55" s="14" t="inlineStr">
        <is>
          <t>10 DE NOVEMBRO</t>
        </is>
      </c>
      <c r="F55" s="14" t="inlineStr">
        <is>
          <t>RUA DOM AVELAR BRANDÃO VILELA, S/N, TERESOPOLIS - ZONA URBANA</t>
        </is>
      </c>
      <c r="G55" s="27" t="inlineStr">
        <is>
          <t>48018-165</t>
        </is>
      </c>
      <c r="H55" s="15" t="n">
        <v>3</v>
      </c>
      <c r="I55" s="28" t="inlineStr">
        <is>
          <t>NÃO</t>
        </is>
      </c>
      <c r="J55" s="29" t="n">
        <v>892.7</v>
      </c>
      <c r="K55" s="14" t="str">
        <f>IF(J55="","7. Acima de 2 km",IF(J55&lt;=50,"1. Até 50 m",IF(J55&lt;=100,"2. De 50 a 100 m",IF(J55&lt;=200,"3. De 100 a 200 m",IF(J55&lt;=300,"4. De 200 a 300 m",IF(J55&lt;=500,"5. De 300 a 500 m","6. De 500 m a 2 km"))))))</f>
        <v>6. De 500 m a 2 km</v>
      </c>
      <c r="L55" s="26" t="n">
        <v>0</v>
      </c>
      <c r="M55" s="26" t="n">
        <v>0</v>
      </c>
      <c r="N55" s="26" t="n">
        <v>0</v>
      </c>
      <c r="O55" s="26" t="n">
        <v>0</v>
      </c>
      <c r="P55" s="30" t="n">
        <v>-12.1274776</v>
      </c>
      <c r="Q55" s="30" t="n">
        <v>-38.437672</v>
      </c>
      <c r="R55" s="14" t="inlineStr">
        <is>
          <t>FÓRUM DES. MOACYR PITTA LIMA, AVENIDA AIRTON SENNA, S/N, ALAGOINHAS VELHA, ALAGOINHAS/BA</t>
        </is>
      </c>
      <c r="S55" s="26">
        <f>IF(A55=A54,0,1)</f>
        <v>0</v>
      </c>
      <c r="T55" s="26">
        <f>IF(COUNTIF($B$4:B55,B55)=1,1,0)</f>
        <v>0</v>
      </c>
    </row>
    <row r="56">
      <c r="A56" s="14" t="inlineStr">
        <is>
          <t>ALAGOINHAS</t>
        </is>
      </c>
      <c r="B56" s="26" t="n">
        <v>163</v>
      </c>
      <c r="C56" s="26" t="n">
        <v>1945</v>
      </c>
      <c r="D56" s="14" t="inlineStr">
        <is>
          <t>ESCOLA MUNICIPAL ISAIAS FIGUEIREDO</t>
        </is>
      </c>
      <c r="E56" s="14" t="inlineStr">
        <is>
          <t>RUA DO CATU</t>
        </is>
      </c>
      <c r="F56" s="14" t="inlineStr">
        <is>
          <t>AVENIDA IMACULADA CONCEIÇÃO, S/N - ZONA URBANA</t>
        </is>
      </c>
      <c r="G56" s="27" t="inlineStr">
        <is>
          <t>48090-050</t>
        </is>
      </c>
      <c r="H56" s="15" t="n">
        <v>3</v>
      </c>
      <c r="I56" s="28" t="inlineStr">
        <is>
          <t>NÃO</t>
        </is>
      </c>
      <c r="J56" s="29" t="n">
        <v>1194.5</v>
      </c>
      <c r="K56" s="14" t="str">
        <f>IF(J56="","7. Acima de 2 km",IF(J56&lt;=50,"1. Até 50 m",IF(J56&lt;=100,"2. De 50 a 100 m",IF(J56&lt;=200,"3. De 100 a 200 m",IF(J56&lt;=300,"4. De 200 a 300 m",IF(J56&lt;=500,"5. De 300 a 500 m","6. De 500 m a 2 km"))))))</f>
        <v>6. De 500 m a 2 km</v>
      </c>
      <c r="L56" s="26" t="n">
        <v>0</v>
      </c>
      <c r="M56" s="26" t="n">
        <v>0</v>
      </c>
      <c r="N56" s="26" t="n">
        <v>0</v>
      </c>
      <c r="O56" s="26" t="n">
        <v>0</v>
      </c>
      <c r="P56" s="30" t="n">
        <v>-12.1241437</v>
      </c>
      <c r="Q56" s="30" t="n">
        <v>-38.4302109</v>
      </c>
      <c r="R56" s="14" t="inlineStr">
        <is>
          <t>FÓRUM DES. MOACYR PITTA LIMA, AVENIDA AIRTON SENNA, S/N, ALAGOINHAS VELHA, ALAGOINHAS/BA</t>
        </is>
      </c>
      <c r="S56" s="26">
        <f>IF(A56=A55,0,1)</f>
        <v>0</v>
      </c>
      <c r="T56" s="26">
        <f>IF(COUNTIF($B$4:B56,B56)=1,1,0)</f>
        <v>0</v>
      </c>
    </row>
    <row r="57">
      <c r="A57" s="14" t="inlineStr">
        <is>
          <t>ALAGOINHAS</t>
        </is>
      </c>
      <c r="B57" s="26" t="n">
        <v>163</v>
      </c>
      <c r="C57" s="26" t="n">
        <v>1961</v>
      </c>
      <c r="D57" s="14" t="inlineStr">
        <is>
          <t>ESCOLA MUNICIPAL PROFESSOR MAURÍLIO JOSÉ DO ESPÍRITO SANTO</t>
        </is>
      </c>
      <c r="E57" s="14" t="inlineStr">
        <is>
          <t>SÃO FRANCISCO</t>
        </is>
      </c>
      <c r="F57" s="14" t="inlineStr">
        <is>
          <t>RUA DAS ANDORINHAS, S/N</t>
        </is>
      </c>
      <c r="G57" s="27" t="inlineStr">
        <is>
          <t>48020-525</t>
        </is>
      </c>
      <c r="H57" s="15" t="n">
        <v>4</v>
      </c>
      <c r="I57" s="28" t="inlineStr">
        <is>
          <t>NÃO</t>
        </is>
      </c>
      <c r="J57" s="29" t="n">
        <v>794.2</v>
      </c>
      <c r="K57" s="14" t="str">
        <f>IF(J57="","7. Acima de 2 km",IF(J57&lt;=50,"1. Até 50 m",IF(J57&lt;=100,"2. De 50 a 100 m",IF(J57&lt;=200,"3. De 100 a 200 m",IF(J57&lt;=300,"4. De 200 a 300 m",IF(J57&lt;=500,"5. De 300 a 500 m","6. De 500 m a 2 km"))))))</f>
        <v>6. De 500 m a 2 km</v>
      </c>
      <c r="L57" s="26" t="n">
        <v>0</v>
      </c>
      <c r="M57" s="26" t="n">
        <v>0</v>
      </c>
      <c r="N57" s="26" t="n">
        <v>0</v>
      </c>
      <c r="O57" s="26" t="n">
        <v>0</v>
      </c>
      <c r="P57" s="30" t="n">
        <v>-12.1139165</v>
      </c>
      <c r="Q57" s="30" t="n">
        <v>-38.4413891</v>
      </c>
      <c r="R57" s="14" t="inlineStr">
        <is>
          <t>FÓRUM DES. MOACYR PITTA LIMA, AVENIDA AIRTON SENNA, S/N, ALAGOINHAS VELHA, ALAGOINHAS/BA</t>
        </is>
      </c>
      <c r="S57" s="26">
        <f>IF(A57=A56,0,1)</f>
        <v>0</v>
      </c>
      <c r="T57" s="26">
        <f>IF(COUNTIF($B$4:B57,B57)=1,1,0)</f>
        <v>0</v>
      </c>
    </row>
    <row r="58">
      <c r="A58" s="14" t="inlineStr">
        <is>
          <t>ALAGOINHAS</t>
        </is>
      </c>
      <c r="B58" s="26" t="n">
        <v>163</v>
      </c>
      <c r="C58" s="26" t="n">
        <v>1970</v>
      </c>
      <c r="D58" s="14" t="inlineStr">
        <is>
          <t>CRECHE MUNICIPAL SÃO JOSÉ</t>
        </is>
      </c>
      <c r="E58" s="14" t="inlineStr">
        <is>
          <t>MIGUEL VELHO</t>
        </is>
      </c>
      <c r="F58" s="14" t="inlineStr">
        <is>
          <t>RUA GALDÊNCIO DE SOUZA NUNES, N 55.</t>
        </is>
      </c>
      <c r="G58" s="27" t="inlineStr">
        <is>
          <t>48024-030</t>
        </is>
      </c>
      <c r="H58" s="15" t="n">
        <v>2</v>
      </c>
      <c r="I58" s="28" t="inlineStr">
        <is>
          <t>NÃO</t>
        </is>
      </c>
      <c r="J58" s="29" t="n">
        <v>114.5</v>
      </c>
      <c r="K58" s="14" t="str">
        <f>IF(J58="","7. Acima de 2 km",IF(J58&lt;=50,"1. Até 50 m",IF(J58&lt;=100,"2. De 50 a 100 m",IF(J58&lt;=200,"3. De 100 a 200 m",IF(J58&lt;=300,"4. De 200 a 300 m",IF(J58&lt;=500,"5. De 300 a 500 m","6. De 500 m a 2 km"))))))</f>
        <v>3. De 100 a 200 m</v>
      </c>
      <c r="L58" s="26" t="n">
        <v>0</v>
      </c>
      <c r="M58" s="26" t="n">
        <v>0</v>
      </c>
      <c r="N58" s="26" t="n">
        <v>1</v>
      </c>
      <c r="O58" s="26" t="n">
        <v>1</v>
      </c>
      <c r="P58" s="30" t="n">
        <v>-12.14149037</v>
      </c>
      <c r="Q58" s="30" t="n">
        <v>-38.46571315</v>
      </c>
      <c r="R58" s="14" t="inlineStr">
        <is>
          <t>FÓRUM DES. MOACYR PITTA LIMA, AVENIDA AIRTON SENNA, S/N, ALAGOINHAS VELHA, ALAGOINHAS/BA</t>
        </is>
      </c>
      <c r="S58" s="26">
        <f>IF(A58=A57,0,1)</f>
        <v>0</v>
      </c>
      <c r="T58" s="26">
        <f>IF(COUNTIF($B$4:B58,B58)=1,1,0)</f>
        <v>0</v>
      </c>
    </row>
    <row r="59">
      <c r="A59" s="14" t="inlineStr">
        <is>
          <t>ALAGOINHAS</t>
        </is>
      </c>
      <c r="B59" s="26" t="n">
        <v>163</v>
      </c>
      <c r="C59" s="26" t="n">
        <v>1988</v>
      </c>
      <c r="D59" s="14" t="inlineStr">
        <is>
          <t>ESCOLA MUNICIPAL DO CAMPO DE ALAGOINHAS</t>
        </is>
      </c>
      <c r="E59" s="14" t="inlineStr">
        <is>
          <t>ZONA RURAL</t>
        </is>
      </c>
      <c r="F59" s="14" t="inlineStr">
        <is>
          <t>RODOVIA MÁRIO COVAS, BR 101</t>
        </is>
      </c>
      <c r="G59" s="27" t="inlineStr">
        <is>
          <t>48024-899</t>
        </is>
      </c>
      <c r="H59" s="15" t="n">
        <v>4</v>
      </c>
      <c r="I59" s="28" t="inlineStr">
        <is>
          <t>NÃO</t>
        </is>
      </c>
      <c r="J59" s="29" t="n"/>
      <c r="K59" s="14" t="str">
        <f>IF(J59="","7. Acima de 2 km",IF(J59&lt;=50,"1. Até 50 m",IF(J59&lt;=100,"2. De 50 a 100 m",IF(J59&lt;=200,"3. De 100 a 200 m",IF(J59&lt;=300,"4. De 200 a 300 m",IF(J59&lt;=500,"5. De 300 a 500 m","6. De 500 m a 2 km"))))))</f>
        <v>7. Acima de 2 km</v>
      </c>
      <c r="L59" s="26" t="n">
        <v>0</v>
      </c>
      <c r="M59" s="26" t="n">
        <v>0</v>
      </c>
      <c r="N59" s="26" t="n">
        <v>0</v>
      </c>
      <c r="O59" s="26" t="n">
        <v>0</v>
      </c>
      <c r="P59" s="30" t="n">
        <v>-12.0973501</v>
      </c>
      <c r="Q59" s="30" t="n">
        <v>-38.3710017</v>
      </c>
      <c r="R59" s="14" t="inlineStr">
        <is>
          <t>FÓRUM DES. MOACYR PITTA LIMA, AVENIDA AIRTON SENNA, S/N, ALAGOINHAS VELHA, ALAGOINHAS/BA</t>
        </is>
      </c>
      <c r="S59" s="26">
        <f>IF(A59=A58,0,1)</f>
        <v>0</v>
      </c>
      <c r="T59" s="26">
        <f>IF(COUNTIF($B$4:B59,B59)=1,1,0)</f>
        <v>0</v>
      </c>
    </row>
    <row r="60">
      <c r="A60" s="14" t="inlineStr">
        <is>
          <t>ALAGOINHAS</t>
        </is>
      </c>
      <c r="B60" s="26" t="n">
        <v>163</v>
      </c>
      <c r="C60" s="26" t="n">
        <v>2003</v>
      </c>
      <c r="D60" s="14" t="inlineStr">
        <is>
          <t>ESCOLA MUNICIPAL PROFESSOR ÁLVARO PALMEIRA</t>
        </is>
      </c>
      <c r="E60" s="14" t="inlineStr">
        <is>
          <t>SILVA JARDIM</t>
        </is>
      </c>
      <c r="F60" s="14" t="inlineStr">
        <is>
          <t>RUA AMANDINA FERREIRA CARVALHO</t>
        </is>
      </c>
      <c r="G60" s="27" t="inlineStr">
        <is>
          <t>48021-545</t>
        </is>
      </c>
      <c r="H60" s="15" t="n">
        <v>5</v>
      </c>
      <c r="I60" s="28" t="inlineStr">
        <is>
          <t>NÃO</t>
        </is>
      </c>
      <c r="J60" s="29" t="n">
        <v>319.1</v>
      </c>
      <c r="K60" s="14" t="str">
        <f>IF(J60="","7. Acima de 2 km",IF(J60&lt;=50,"1. Até 50 m",IF(J60&lt;=100,"2. De 50 a 100 m",IF(J60&lt;=200,"3. De 100 a 200 m",IF(J60&lt;=300,"4. De 200 a 300 m",IF(J60&lt;=500,"5. De 300 a 500 m","6. De 500 m a 2 km"))))))</f>
        <v>5. De 300 a 500 m</v>
      </c>
      <c r="L60" s="26" t="n">
        <v>0</v>
      </c>
      <c r="M60" s="26" t="n">
        <v>0</v>
      </c>
      <c r="N60" s="26" t="n">
        <v>0</v>
      </c>
      <c r="O60" s="26" t="n">
        <v>0</v>
      </c>
      <c r="P60" s="30" t="n">
        <v>-12.1394603</v>
      </c>
      <c r="Q60" s="30" t="n">
        <v>-38.4304227</v>
      </c>
      <c r="R60" s="14" t="inlineStr">
        <is>
          <t>FÓRUM DES. MOACYR PITTA LIMA, AVENIDA AIRTON SENNA, S/N, ALAGOINHAS VELHA, ALAGOINHAS/BA</t>
        </is>
      </c>
      <c r="S60" s="26">
        <f>IF(A60=A59,0,1)</f>
        <v>0</v>
      </c>
      <c r="T60" s="26">
        <f>IF(COUNTIF($B$4:B60,B60)=1,1,0)</f>
        <v>0</v>
      </c>
    </row>
    <row r="61">
      <c r="A61" s="14" t="inlineStr">
        <is>
          <t>ALAGOINHAS</t>
        </is>
      </c>
      <c r="B61" s="26" t="n">
        <v>163</v>
      </c>
      <c r="C61" s="26" t="n">
        <v>2011</v>
      </c>
      <c r="D61" s="14" t="inlineStr">
        <is>
          <t>ESCOLA MUNICIPAL SANTA TEREZINHA</t>
        </is>
      </c>
      <c r="E61" s="14" t="inlineStr">
        <is>
          <t>SANTA TEREZINHA</t>
        </is>
      </c>
      <c r="F61" s="14" t="inlineStr">
        <is>
          <t>DR. JOÃO DANTAS</t>
        </is>
      </c>
      <c r="G61" s="27" t="inlineStr">
        <is>
          <t>48011-340</t>
        </is>
      </c>
      <c r="H61" s="15" t="n">
        <v>2</v>
      </c>
      <c r="I61" s="28" t="inlineStr">
        <is>
          <t>NÃO</t>
        </is>
      </c>
      <c r="J61" s="29" t="n">
        <v>366.1</v>
      </c>
      <c r="K61" s="14" t="str">
        <f>IF(J61="","7. Acima de 2 km",IF(J61&lt;=50,"1. Até 50 m",IF(J61&lt;=100,"2. De 50 a 100 m",IF(J61&lt;=200,"3. De 100 a 200 m",IF(J61&lt;=300,"4. De 200 a 300 m",IF(J61&lt;=500,"5. De 300 a 500 m","6. De 500 m a 2 km"))))))</f>
        <v>5. De 300 a 500 m</v>
      </c>
      <c r="L61" s="26" t="n">
        <v>0</v>
      </c>
      <c r="M61" s="26" t="n">
        <v>0</v>
      </c>
      <c r="N61" s="26" t="n">
        <v>0</v>
      </c>
      <c r="O61" s="26" t="n">
        <v>0</v>
      </c>
      <c r="P61" s="30" t="n">
        <v>-12.1238123</v>
      </c>
      <c r="Q61" s="30" t="n">
        <v>-38.4191874</v>
      </c>
      <c r="R61" s="14" t="inlineStr">
        <is>
          <t>FÓRUM DES. MOACYR PITTA LIMA, AVENIDA AIRTON SENNA, S/N, ALAGOINHAS VELHA, ALAGOINHAS/BA</t>
        </is>
      </c>
      <c r="S61" s="26">
        <f>IF(A61=A60,0,1)</f>
        <v>0</v>
      </c>
      <c r="T61" s="26">
        <f>IF(COUNTIF($B$4:B61,B61)=1,1,0)</f>
        <v>0</v>
      </c>
    </row>
    <row r="62">
      <c r="A62" s="14" t="inlineStr">
        <is>
          <t>ALAGOINHAS</t>
        </is>
      </c>
      <c r="B62" s="26" t="n">
        <v>163</v>
      </c>
      <c r="C62" s="26" t="n">
        <v>2020</v>
      </c>
      <c r="D62" s="14" t="inlineStr">
        <is>
          <t xml:space="preserve">COLÉGIO ADVENTISTA </t>
        </is>
      </c>
      <c r="E62" s="14" t="inlineStr">
        <is>
          <t>CENTRO</t>
        </is>
      </c>
      <c r="F62" s="14" t="inlineStr">
        <is>
          <t>AVENIDA SEVERINO VIEIRA</t>
        </is>
      </c>
      <c r="G62" s="27" t="inlineStr">
        <is>
          <t>48005-460</t>
        </is>
      </c>
      <c r="H62" s="15" t="n">
        <v>2</v>
      </c>
      <c r="I62" s="28" t="inlineStr">
        <is>
          <t>NÃO</t>
        </is>
      </c>
      <c r="J62" s="29" t="n">
        <v>738.7</v>
      </c>
      <c r="K62" s="14" t="str">
        <f>IF(J62="","7. Acima de 2 km",IF(J62&lt;=50,"1. Até 50 m",IF(J62&lt;=100,"2. De 50 a 100 m",IF(J62&lt;=200,"3. De 100 a 200 m",IF(J62&lt;=300,"4. De 200 a 300 m",IF(J62&lt;=500,"5. De 300 a 500 m","6. De 500 m a 2 km"))))))</f>
        <v>6. De 500 m a 2 km</v>
      </c>
      <c r="L62" s="26" t="n">
        <v>0</v>
      </c>
      <c r="M62" s="26" t="n">
        <v>0</v>
      </c>
      <c r="N62" s="26" t="n">
        <v>0</v>
      </c>
      <c r="O62" s="26" t="n">
        <v>0</v>
      </c>
      <c r="P62" s="30" t="n">
        <v>-12.1453341</v>
      </c>
      <c r="Q62" s="30" t="n">
        <v>-38.4201539</v>
      </c>
      <c r="R62" s="14" t="inlineStr">
        <is>
          <t>FÓRUM DES. MOACYR PITTA LIMA, AVENIDA AIRTON SENNA, S/N, ALAGOINHAS VELHA, ALAGOINHAS/BA</t>
        </is>
      </c>
      <c r="S62" s="26">
        <f>IF(A62=A61,0,1)</f>
        <v>0</v>
      </c>
      <c r="T62" s="26">
        <f>IF(COUNTIF($B$4:B62,B62)=1,1,0)</f>
        <v>0</v>
      </c>
    </row>
    <row r="63">
      <c r="A63" s="14" t="inlineStr">
        <is>
          <t>ALCOBAÇA</t>
        </is>
      </c>
      <c r="B63" s="26" t="n">
        <v>112</v>
      </c>
      <c r="C63" s="26" t="n">
        <v>1015</v>
      </c>
      <c r="D63" s="14" t="inlineStr">
        <is>
          <t>ESCOLA LOMANTO JUNIOR</t>
        </is>
      </c>
      <c r="E63" s="14" t="inlineStr">
        <is>
          <t>CENTRO</t>
        </is>
      </c>
      <c r="F63" s="14" t="inlineStr">
        <is>
          <t>RUA VILA PENHA   - ZONA URBANA</t>
        </is>
      </c>
      <c r="G63" s="27" t="inlineStr">
        <is>
          <t>45990-000</t>
        </is>
      </c>
      <c r="H63" s="15" t="n">
        <v>4</v>
      </c>
      <c r="I63" s="28" t="inlineStr">
        <is>
          <t>NÃO</t>
        </is>
      </c>
      <c r="J63" s="29" t="n">
        <v>140.1</v>
      </c>
      <c r="K63" s="14" t="str">
        <f>IF(J63="","7. Acima de 2 km",IF(J63&lt;=50,"1. Até 50 m",IF(J63&lt;=100,"2. De 50 a 100 m",IF(J63&lt;=200,"3. De 100 a 200 m",IF(J63&lt;=300,"4. De 200 a 300 m",IF(J63&lt;=500,"5. De 300 a 500 m","6. De 500 m a 2 km"))))))</f>
        <v>3. De 100 a 200 m</v>
      </c>
      <c r="L63" s="26" t="n">
        <v>0</v>
      </c>
      <c r="M63" s="26" t="n">
        <v>0</v>
      </c>
      <c r="N63" s="26" t="n">
        <v>4</v>
      </c>
      <c r="O63" s="26" t="n">
        <v>7</v>
      </c>
      <c r="P63" s="30" t="n">
        <v>-17.340315</v>
      </c>
      <c r="Q63" s="30" t="n">
        <v>-39.22404667</v>
      </c>
      <c r="R63" s="14" t="inlineStr">
        <is>
          <t>RUA GETÚLIO VARGAS, 60, CENTRO, PRADO/BA</t>
        </is>
      </c>
      <c r="S63" s="26">
        <f>IF(A63=A62,0,1)</f>
        <v>1</v>
      </c>
      <c r="T63" s="26">
        <f>IF(COUNTIF($B$4:B63,B63)=1,1,0)</f>
        <v>1</v>
      </c>
    </row>
    <row r="64">
      <c r="A64" s="14" t="inlineStr">
        <is>
          <t>ALCOBAÇA</t>
        </is>
      </c>
      <c r="B64" s="26" t="n">
        <v>112</v>
      </c>
      <c r="C64" s="26" t="n">
        <v>1023</v>
      </c>
      <c r="D64" s="14" t="inlineStr">
        <is>
          <t>EMEF EUNICE GERÔNIMO DE OLIVEIRA</t>
        </is>
      </c>
      <c r="E64" s="14" t="inlineStr">
        <is>
          <t>CENTRO</t>
        </is>
      </c>
      <c r="F64" s="14" t="inlineStr">
        <is>
          <t>RUA BRÁULIO NASCIMENTO, S/N - ZONA URBANA</t>
        </is>
      </c>
      <c r="G64" s="27" t="inlineStr">
        <is>
          <t>45990-000</t>
        </is>
      </c>
      <c r="H64" s="15" t="n">
        <v>5</v>
      </c>
      <c r="I64" s="28" t="inlineStr">
        <is>
          <t>NÃO</t>
        </is>
      </c>
      <c r="J64" s="29" t="n">
        <v>143.5</v>
      </c>
      <c r="K64" s="14" t="str">
        <f>IF(J64="","7. Acima de 2 km",IF(J64&lt;=50,"1. Até 50 m",IF(J64&lt;=100,"2. De 50 a 100 m",IF(J64&lt;=200,"3. De 100 a 200 m",IF(J64&lt;=300,"4. De 200 a 300 m",IF(J64&lt;=500,"5. De 300 a 500 m","6. De 500 m a 2 km"))))))</f>
        <v>3. De 100 a 200 m</v>
      </c>
      <c r="L64" s="26" t="n">
        <v>0</v>
      </c>
      <c r="M64" s="26" t="n">
        <v>0</v>
      </c>
      <c r="N64" s="26" t="n">
        <v>4</v>
      </c>
      <c r="O64" s="26" t="n">
        <v>7</v>
      </c>
      <c r="P64" s="30" t="n">
        <v>-17.34028667</v>
      </c>
      <c r="Q64" s="30" t="n">
        <v>-39.22407</v>
      </c>
      <c r="R64" s="14" t="inlineStr">
        <is>
          <t>RUA GETÚLIO VARGAS, 60, CENTRO, PRADO/BA</t>
        </is>
      </c>
      <c r="S64" s="26">
        <f>IF(A64=A63,0,1)</f>
        <v>0</v>
      </c>
      <c r="T64" s="26">
        <f>IF(COUNTIF($B$4:B64,B64)=1,1,0)</f>
        <v>0</v>
      </c>
    </row>
    <row r="65">
      <c r="A65" s="14" t="inlineStr">
        <is>
          <t>ALCOBAÇA</t>
        </is>
      </c>
      <c r="B65" s="26" t="n">
        <v>112</v>
      </c>
      <c r="C65" s="26" t="n">
        <v>1031</v>
      </c>
      <c r="D65" s="14" t="inlineStr">
        <is>
          <t>CENTRO EDUCACIONAL DE ALCOBAÇA</t>
        </is>
      </c>
      <c r="E65" s="14" t="inlineStr">
        <is>
          <t>CENTRO</t>
        </is>
      </c>
      <c r="F65" s="14" t="inlineStr">
        <is>
          <t>RUA PEDRO ALVARES CABRAL, SN - ZONA URBANA</t>
        </is>
      </c>
      <c r="G65" s="27" t="inlineStr">
        <is>
          <t>45990-000</t>
        </is>
      </c>
      <c r="H65" s="15" t="n">
        <v>12</v>
      </c>
      <c r="I65" s="28" t="inlineStr">
        <is>
          <t>NÃO</t>
        </is>
      </c>
      <c r="J65" s="29" t="n">
        <v>132.5</v>
      </c>
      <c r="K65" s="14" t="str">
        <f>IF(J65="","7. Acima de 2 km",IF(J65&lt;=50,"1. Até 50 m",IF(J65&lt;=100,"2. De 50 a 100 m",IF(J65&lt;=200,"3. De 100 a 200 m",IF(J65&lt;=300,"4. De 200 a 300 m",IF(J65&lt;=500,"5. De 300 a 500 m","6. De 500 m a 2 km"))))))</f>
        <v>3. De 100 a 200 m</v>
      </c>
      <c r="L65" s="26" t="n">
        <v>0</v>
      </c>
      <c r="M65" s="26" t="n">
        <v>0</v>
      </c>
      <c r="N65" s="26" t="n">
        <v>4</v>
      </c>
      <c r="O65" s="26" t="n">
        <v>7</v>
      </c>
      <c r="P65" s="30" t="n">
        <v>-17.34038167</v>
      </c>
      <c r="Q65" s="30" t="n">
        <v>-39.22401</v>
      </c>
      <c r="R65" s="14" t="inlineStr">
        <is>
          <t>RUA GETÚLIO VARGAS, 60, CENTRO, PRADO/BA</t>
        </is>
      </c>
      <c r="S65" s="26">
        <f>IF(A65=A64,0,1)</f>
        <v>0</v>
      </c>
      <c r="T65" s="26">
        <f>IF(COUNTIF($B$4:B65,B65)=1,1,0)</f>
        <v>0</v>
      </c>
    </row>
    <row r="66">
      <c r="A66" s="14" t="inlineStr">
        <is>
          <t>ALCOBAÇA</t>
        </is>
      </c>
      <c r="B66" s="26" t="n">
        <v>112</v>
      </c>
      <c r="C66" s="26" t="n">
        <v>1040</v>
      </c>
      <c r="D66" s="14" t="inlineStr">
        <is>
          <t>ESCOLA MUNICIPAL NOVO DESTINO</t>
        </is>
      </c>
      <c r="E66" s="14" t="inlineStr">
        <is>
          <t>POVOADO NOVO DESTINO</t>
        </is>
      </c>
      <c r="F66" s="14" t="inlineStr">
        <is>
          <t>POVOADO NOVO DESTINO - ZONA RURAL</t>
        </is>
      </c>
      <c r="G66" s="27" t="inlineStr">
        <is>
          <t>45990-000</t>
        </is>
      </c>
      <c r="H66" s="15" t="n">
        <v>3</v>
      </c>
      <c r="I66" s="28" t="inlineStr">
        <is>
          <t>NÃO</t>
        </is>
      </c>
      <c r="J66" s="29" t="n">
        <v>122.6</v>
      </c>
      <c r="K66" s="14" t="str">
        <f>IF(J66="","7. Acima de 2 km",IF(J66&lt;=50,"1. Até 50 m",IF(J66&lt;=100,"2. De 50 a 100 m",IF(J66&lt;=200,"3. De 100 a 200 m",IF(J66&lt;=300,"4. De 200 a 300 m",IF(J66&lt;=500,"5. De 300 a 500 m","6. De 500 m a 2 km"))))))</f>
        <v>3. De 100 a 200 m</v>
      </c>
      <c r="L66" s="26" t="n">
        <v>0</v>
      </c>
      <c r="M66" s="26" t="n">
        <v>0</v>
      </c>
      <c r="N66" s="26" t="n">
        <v>4</v>
      </c>
      <c r="O66" s="26" t="n">
        <v>7</v>
      </c>
      <c r="P66" s="30" t="n">
        <v>-17.34047333</v>
      </c>
      <c r="Q66" s="30" t="n">
        <v>-39.224045</v>
      </c>
      <c r="R66" s="14" t="inlineStr">
        <is>
          <t>RUA GETÚLIO VARGAS, 60, CENTRO, PRADO/BA</t>
        </is>
      </c>
      <c r="S66" s="26">
        <f>IF(A66=A65,0,1)</f>
        <v>0</v>
      </c>
      <c r="T66" s="26">
        <f>IF(COUNTIF($B$4:B66,B66)=1,1,0)</f>
        <v>0</v>
      </c>
    </row>
    <row r="67">
      <c r="A67" s="14" t="inlineStr">
        <is>
          <t>ALCOBAÇA</t>
        </is>
      </c>
      <c r="B67" s="26" t="n">
        <v>112</v>
      </c>
      <c r="C67" s="26" t="n">
        <v>1058</v>
      </c>
      <c r="D67" s="14" t="inlineStr">
        <is>
          <t>CENTRO EDUCACIONAL DE POUSO ALEGRE</t>
        </is>
      </c>
      <c r="E67" s="14" t="inlineStr">
        <is>
          <t>POVOADO POUSO ALEGRE</t>
        </is>
      </c>
      <c r="F67" s="14" t="inlineStr">
        <is>
          <t>POVOADO DE POUSO ALEGRE - ZONA RURAL</t>
        </is>
      </c>
      <c r="G67" s="27" t="inlineStr">
        <is>
          <t>45990-000</t>
        </is>
      </c>
      <c r="H67" s="15" t="n">
        <v>4</v>
      </c>
      <c r="I67" s="28" t="inlineStr">
        <is>
          <t>NÃO</t>
        </is>
      </c>
      <c r="J67" s="29" t="n">
        <v>143</v>
      </c>
      <c r="K67" s="14" t="str">
        <f>IF(J67="","7. Acima de 2 km",IF(J67&lt;=50,"1. Até 50 m",IF(J67&lt;=100,"2. De 50 a 100 m",IF(J67&lt;=200,"3. De 100 a 200 m",IF(J67&lt;=300,"4. De 200 a 300 m",IF(J67&lt;=500,"5. De 300 a 500 m","6. De 500 m a 2 km"))))))</f>
        <v>3. De 100 a 200 m</v>
      </c>
      <c r="L67" s="26" t="n">
        <v>0</v>
      </c>
      <c r="M67" s="26" t="n">
        <v>0</v>
      </c>
      <c r="N67" s="26" t="n">
        <v>4</v>
      </c>
      <c r="O67" s="26" t="n">
        <v>7</v>
      </c>
      <c r="P67" s="30" t="n">
        <v>-17.34029</v>
      </c>
      <c r="Q67" s="30" t="n">
        <v>-39.22405667</v>
      </c>
      <c r="R67" s="14" t="inlineStr">
        <is>
          <t>RUA GETÚLIO VARGAS, 60, CENTRO, PRADO/BA</t>
        </is>
      </c>
      <c r="S67" s="26">
        <f>IF(A67=A66,0,1)</f>
        <v>0</v>
      </c>
      <c r="T67" s="26">
        <f>IF(COUNTIF($B$4:B67,B67)=1,1,0)</f>
        <v>0</v>
      </c>
    </row>
    <row r="68">
      <c r="A68" s="14" t="inlineStr">
        <is>
          <t>ALCOBAÇA</t>
        </is>
      </c>
      <c r="B68" s="26" t="n">
        <v>112</v>
      </c>
      <c r="C68" s="26" t="n">
        <v>1066</v>
      </c>
      <c r="D68" s="14" t="inlineStr">
        <is>
          <t>ESCOLA MUNICIPAL DE EF SÃO JOSÉ</t>
        </is>
      </c>
      <c r="E68" s="14" t="inlineStr">
        <is>
          <t>POVOADO SAO JOSE DE ALCOBACA</t>
        </is>
      </c>
      <c r="F68" s="14" t="inlineStr">
        <is>
          <t>BA 290, S/N, RODOVIA - POVOADO SAO JOSE DE ALCOBACA - ZONA URBANA</t>
        </is>
      </c>
      <c r="G68" s="27" t="inlineStr">
        <is>
          <t>45990-000</t>
        </is>
      </c>
      <c r="H68" s="15" t="n">
        <v>11</v>
      </c>
      <c r="I68" s="28" t="inlineStr">
        <is>
          <t>NÃO</t>
        </is>
      </c>
      <c r="J68" s="29" t="n">
        <v>109.1</v>
      </c>
      <c r="K68" s="14" t="str">
        <f>IF(J68="","7. Acima de 2 km",IF(J68&lt;=50,"1. Até 50 m",IF(J68&lt;=100,"2. De 50 a 100 m",IF(J68&lt;=200,"3. De 100 a 200 m",IF(J68&lt;=300,"4. De 200 a 300 m",IF(J68&lt;=500,"5. De 300 a 500 m","6. De 500 m a 2 km"))))))</f>
        <v>3. De 100 a 200 m</v>
      </c>
      <c r="L68" s="26" t="n">
        <v>0</v>
      </c>
      <c r="M68" s="26" t="n">
        <v>0</v>
      </c>
      <c r="N68" s="26" t="n">
        <v>4</v>
      </c>
      <c r="O68" s="26" t="n">
        <v>8</v>
      </c>
      <c r="P68" s="30" t="n">
        <v>-17.34059</v>
      </c>
      <c r="Q68" s="30" t="n">
        <v>-39.22391</v>
      </c>
      <c r="R68" s="14" t="inlineStr">
        <is>
          <t>RUA GETÚLIO VARGAS, 60, CENTRO, PRADO/BA</t>
        </is>
      </c>
      <c r="S68" s="26">
        <f>IF(A68=A67,0,1)</f>
        <v>0</v>
      </c>
      <c r="T68" s="26">
        <f>IF(COUNTIF($B$4:B68,B68)=1,1,0)</f>
        <v>0</v>
      </c>
    </row>
    <row r="69">
      <c r="A69" s="14" t="inlineStr">
        <is>
          <t>ALCOBAÇA</t>
        </is>
      </c>
      <c r="B69" s="26" t="n">
        <v>112</v>
      </c>
      <c r="C69" s="26" t="n">
        <v>1082</v>
      </c>
      <c r="D69" s="14" t="inlineStr">
        <is>
          <t>ESCOLA MUNICIPAL PARAISO</t>
        </is>
      </c>
      <c r="E69" s="14" t="inlineStr">
        <is>
          <t>POVOADO IGREJINHA</t>
        </is>
      </c>
      <c r="F69" s="14" t="inlineStr">
        <is>
          <t>POVOADO DE IGREJINHA - ZONA RURAL</t>
        </is>
      </c>
      <c r="G69" s="27" t="inlineStr">
        <is>
          <t>45990-000</t>
        </is>
      </c>
      <c r="H69" s="15" t="n">
        <v>3</v>
      </c>
      <c r="I69" s="28" t="inlineStr">
        <is>
          <t>NÃO</t>
        </is>
      </c>
      <c r="J69" s="29" t="n">
        <v>138.8</v>
      </c>
      <c r="K69" s="14" t="str">
        <f>IF(J69="","7. Acima de 2 km",IF(J69&lt;=50,"1. Até 50 m",IF(J69&lt;=100,"2. De 50 a 100 m",IF(J69&lt;=200,"3. De 100 a 200 m",IF(J69&lt;=300,"4. De 200 a 300 m",IF(J69&lt;=500,"5. De 300 a 500 m","6. De 500 m a 2 km"))))))</f>
        <v>3. De 100 a 200 m</v>
      </c>
      <c r="L69" s="26" t="n">
        <v>0</v>
      </c>
      <c r="M69" s="26" t="n">
        <v>0</v>
      </c>
      <c r="N69" s="26" t="n">
        <v>4</v>
      </c>
      <c r="O69" s="26" t="n">
        <v>7</v>
      </c>
      <c r="P69" s="30" t="n">
        <v>-17.34033333</v>
      </c>
      <c r="Q69" s="30" t="n">
        <v>-39.22411</v>
      </c>
      <c r="R69" s="14" t="inlineStr">
        <is>
          <t>RUA GETÚLIO VARGAS, 60, CENTRO, PRADO/BA</t>
        </is>
      </c>
      <c r="S69" s="26">
        <f>IF(A69=A68,0,1)</f>
        <v>0</v>
      </c>
      <c r="T69" s="26">
        <f>IF(COUNTIF($B$4:B69,B69)=1,1,0)</f>
        <v>0</v>
      </c>
    </row>
    <row r="70">
      <c r="A70" s="14" t="inlineStr">
        <is>
          <t>ALCOBAÇA</t>
        </is>
      </c>
      <c r="B70" s="26" t="n">
        <v>112</v>
      </c>
      <c r="C70" s="26" t="n">
        <v>1090</v>
      </c>
      <c r="D70" s="14" t="inlineStr">
        <is>
          <t>ESCOLA MUNICIPAL SANDRA LIMA</t>
        </is>
      </c>
      <c r="E70" s="14" t="inlineStr">
        <is>
          <t>POVOADO COMUNIDADE CANTA GALO</t>
        </is>
      </c>
      <c r="F70" s="14" t="inlineStr">
        <is>
          <t>POVOADO COMUNIDADE DE CANTA GALO - ZONA URBANA</t>
        </is>
      </c>
      <c r="G70" s="27" t="inlineStr">
        <is>
          <t>45990-000</t>
        </is>
      </c>
      <c r="H70" s="15" t="n">
        <v>4</v>
      </c>
      <c r="I70" s="28" t="inlineStr">
        <is>
          <t>NÃO</t>
        </is>
      </c>
      <c r="J70" s="29" t="n">
        <v>138.5</v>
      </c>
      <c r="K70" s="14" t="str">
        <f>IF(J70="","7. Acima de 2 km",IF(J70&lt;=50,"1. Até 50 m",IF(J70&lt;=100,"2. De 50 a 100 m",IF(J70&lt;=200,"3. De 100 a 200 m",IF(J70&lt;=300,"4. De 200 a 300 m",IF(J70&lt;=500,"5. De 300 a 500 m","6. De 500 m a 2 km"))))))</f>
        <v>3. De 100 a 200 m</v>
      </c>
      <c r="L70" s="26" t="n">
        <v>0</v>
      </c>
      <c r="M70" s="26" t="n">
        <v>0</v>
      </c>
      <c r="N70" s="26" t="n">
        <v>4</v>
      </c>
      <c r="O70" s="26" t="n">
        <v>7</v>
      </c>
      <c r="P70" s="30" t="n">
        <v>-17.34034667</v>
      </c>
      <c r="Q70" s="30" t="n">
        <v>-39.224175</v>
      </c>
      <c r="R70" s="14" t="inlineStr">
        <is>
          <t>RUA GETÚLIO VARGAS, 60, CENTRO, PRADO/BA</t>
        </is>
      </c>
      <c r="S70" s="26">
        <f>IF(A70=A69,0,1)</f>
        <v>0</v>
      </c>
      <c r="T70" s="26">
        <f>IF(COUNTIF($B$4:B70,B70)=1,1,0)</f>
        <v>0</v>
      </c>
    </row>
    <row r="71">
      <c r="A71" s="14" t="inlineStr">
        <is>
          <t>ALCOBAÇA</t>
        </is>
      </c>
      <c r="B71" s="26" t="n">
        <v>112</v>
      </c>
      <c r="C71" s="26" t="n">
        <v>1139</v>
      </c>
      <c r="D71" s="14" t="inlineStr">
        <is>
          <t>ESCOLA MUNICIPAL ELOI FERREIRA</t>
        </is>
      </c>
      <c r="E71" s="14" t="inlineStr">
        <is>
          <t>POVOADO PROJETO 40-45</t>
        </is>
      </c>
      <c r="F71" s="14" t="inlineStr">
        <is>
          <t>POVOADO PROJETO 40-45 - ZONA RURAL</t>
        </is>
      </c>
      <c r="G71" s="27" t="inlineStr">
        <is>
          <t>45990-000</t>
        </is>
      </c>
      <c r="H71" s="15" t="n">
        <v>3</v>
      </c>
      <c r="I71" s="28" t="inlineStr">
        <is>
          <t>NÃO</t>
        </is>
      </c>
      <c r="J71" s="29" t="n">
        <v>136.5</v>
      </c>
      <c r="K71" s="14" t="str">
        <f>IF(J71="","7. Acima de 2 km",IF(J71&lt;=50,"1. Até 50 m",IF(J71&lt;=100,"2. De 50 a 100 m",IF(J71&lt;=200,"3. De 100 a 200 m",IF(J71&lt;=300,"4. De 200 a 300 m",IF(J71&lt;=500,"5. De 300 a 500 m","6. De 500 m a 2 km"))))))</f>
        <v>3. De 100 a 200 m</v>
      </c>
      <c r="L71" s="26" t="n">
        <v>0</v>
      </c>
      <c r="M71" s="26" t="n">
        <v>0</v>
      </c>
      <c r="N71" s="26" t="n">
        <v>4</v>
      </c>
      <c r="O71" s="26" t="n">
        <v>7</v>
      </c>
      <c r="P71" s="30" t="n">
        <v>-17.340355</v>
      </c>
      <c r="Q71" s="30" t="n">
        <v>-39.22411667</v>
      </c>
      <c r="R71" s="14" t="inlineStr">
        <is>
          <t>RUA GETÚLIO VARGAS, 60, CENTRO, PRADO/BA</t>
        </is>
      </c>
      <c r="S71" s="26">
        <f>IF(A71=A70,0,1)</f>
        <v>0</v>
      </c>
      <c r="T71" s="26">
        <f>IF(COUNTIF($B$4:B71,B71)=1,1,0)</f>
        <v>0</v>
      </c>
    </row>
    <row r="72">
      <c r="A72" s="14" t="inlineStr">
        <is>
          <t>ALCOBAÇA</t>
        </is>
      </c>
      <c r="B72" s="26" t="n">
        <v>112</v>
      </c>
      <c r="C72" s="26" t="n">
        <v>1155</v>
      </c>
      <c r="D72" s="14" t="inlineStr">
        <is>
          <t>GRUPO ESCOLAR TIRADENTES</t>
        </is>
      </c>
      <c r="E72" s="14" t="inlineStr">
        <is>
          <t>POVOADO APARAJU</t>
        </is>
      </c>
      <c r="F72" s="14" t="inlineStr">
        <is>
          <t>AV. PRINCIPAL, S/N - ZONA RURAL</t>
        </is>
      </c>
      <c r="G72" s="27" t="inlineStr">
        <is>
          <t>45990-000</t>
        </is>
      </c>
      <c r="H72" s="15" t="n">
        <v>2</v>
      </c>
      <c r="I72" s="28" t="inlineStr">
        <is>
          <t>NÃO</t>
        </is>
      </c>
      <c r="J72" s="29" t="n">
        <v>138.6</v>
      </c>
      <c r="K72" s="14" t="str">
        <f>IF(J72="","7. Acima de 2 km",IF(J72&lt;=50,"1. Até 50 m",IF(J72&lt;=100,"2. De 50 a 100 m",IF(J72&lt;=200,"3. De 100 a 200 m",IF(J72&lt;=300,"4. De 200 a 300 m",IF(J72&lt;=500,"5. De 300 a 500 m","6. De 500 m a 2 km"))))))</f>
        <v>3. De 100 a 200 m</v>
      </c>
      <c r="L72" s="26" t="n">
        <v>0</v>
      </c>
      <c r="M72" s="26" t="n">
        <v>0</v>
      </c>
      <c r="N72" s="26" t="n">
        <v>4</v>
      </c>
      <c r="O72" s="26" t="n">
        <v>7</v>
      </c>
      <c r="P72" s="30" t="n">
        <v>-17.34033333</v>
      </c>
      <c r="Q72" s="30" t="n">
        <v>-39.224095</v>
      </c>
      <c r="R72" s="14" t="inlineStr">
        <is>
          <t>RUA GETÚLIO VARGAS, 60, CENTRO, PRADO/BA</t>
        </is>
      </c>
      <c r="S72" s="26">
        <f>IF(A72=A71,0,1)</f>
        <v>0</v>
      </c>
      <c r="T72" s="26">
        <f>IF(COUNTIF($B$4:B72,B72)=1,1,0)</f>
        <v>0</v>
      </c>
    </row>
    <row r="73">
      <c r="A73" s="14" t="inlineStr">
        <is>
          <t>ALCOBAÇA</t>
        </is>
      </c>
      <c r="B73" s="26" t="n">
        <v>112</v>
      </c>
      <c r="C73" s="26" t="n">
        <v>1163</v>
      </c>
      <c r="D73" s="14" t="inlineStr">
        <is>
          <t>ESCOLA MUNICIPAL MARIA QUITERIA</t>
        </is>
      </c>
      <c r="E73" s="14" t="inlineStr">
        <is>
          <t>POVOADO TAQUARI</t>
        </is>
      </c>
      <c r="F73" s="14" t="inlineStr">
        <is>
          <t>AV. PRINCIPAL ,S/N - ZONA RURAL</t>
        </is>
      </c>
      <c r="G73" s="27" t="inlineStr">
        <is>
          <t>45990-000</t>
        </is>
      </c>
      <c r="H73" s="15" t="n">
        <v>2</v>
      </c>
      <c r="I73" s="28" t="inlineStr">
        <is>
          <t>NÃO</t>
        </is>
      </c>
      <c r="J73" s="29" t="n">
        <v>143</v>
      </c>
      <c r="K73" s="14" t="str">
        <f>IF(J73="","7. Acima de 2 km",IF(J73&lt;=50,"1. Até 50 m",IF(J73&lt;=100,"2. De 50 a 100 m",IF(J73&lt;=200,"3. De 100 a 200 m",IF(J73&lt;=300,"4. De 200 a 300 m",IF(J73&lt;=500,"5. De 300 a 500 m","6. De 500 m a 2 km"))))))</f>
        <v>3. De 100 a 200 m</v>
      </c>
      <c r="L73" s="26" t="n">
        <v>0</v>
      </c>
      <c r="M73" s="26" t="n">
        <v>0</v>
      </c>
      <c r="N73" s="26" t="n">
        <v>4</v>
      </c>
      <c r="O73" s="26" t="n">
        <v>7</v>
      </c>
      <c r="P73" s="30" t="n">
        <v>-17.34028667</v>
      </c>
      <c r="Q73" s="30" t="n">
        <v>-39.22400833</v>
      </c>
      <c r="R73" s="14" t="inlineStr">
        <is>
          <t>RUA GETÚLIO VARGAS, 60, CENTRO, PRADO/BA</t>
        </is>
      </c>
      <c r="S73" s="26">
        <f>IF(A73=A72,0,1)</f>
        <v>0</v>
      </c>
      <c r="T73" s="26">
        <f>IF(COUNTIF($B$4:B73,B73)=1,1,0)</f>
        <v>0</v>
      </c>
    </row>
    <row r="74">
      <c r="A74" s="14" t="inlineStr">
        <is>
          <t>ALCOBAÇA</t>
        </is>
      </c>
      <c r="B74" s="26" t="n">
        <v>112</v>
      </c>
      <c r="C74" s="26" t="n">
        <v>1171</v>
      </c>
      <c r="D74" s="14" t="inlineStr">
        <is>
          <t>ESCOLA MUNICIPAL BOM JESUS</t>
        </is>
      </c>
      <c r="E74" s="14" t="inlineStr">
        <is>
          <t>BEIJA FLOR</t>
        </is>
      </c>
      <c r="F74" s="14" t="inlineStr">
        <is>
          <t>REGIAO DO BEIJA FLOR - ZONA URBANA</t>
        </is>
      </c>
      <c r="G74" s="27" t="inlineStr">
        <is>
          <t>45990-970</t>
        </is>
      </c>
      <c r="H74" s="15" t="n">
        <v>6</v>
      </c>
      <c r="I74" s="28" t="inlineStr">
        <is>
          <t>NÃO</t>
        </is>
      </c>
      <c r="J74" s="29" t="n">
        <v>144.8</v>
      </c>
      <c r="K74" s="14" t="str">
        <f>IF(J74="","7. Acima de 2 km",IF(J74&lt;=50,"1. Até 50 m",IF(J74&lt;=100,"2. De 50 a 100 m",IF(J74&lt;=200,"3. De 100 a 200 m",IF(J74&lt;=300,"4. De 200 a 300 m",IF(J74&lt;=500,"5. De 300 a 500 m","6. De 500 m a 2 km"))))))</f>
        <v>3. De 100 a 200 m</v>
      </c>
      <c r="L74" s="26" t="n">
        <v>0</v>
      </c>
      <c r="M74" s="26" t="n">
        <v>0</v>
      </c>
      <c r="N74" s="26" t="n">
        <v>4</v>
      </c>
      <c r="O74" s="26" t="n">
        <v>7</v>
      </c>
      <c r="P74" s="30" t="n">
        <v>-17.34028</v>
      </c>
      <c r="Q74" s="30" t="n">
        <v>-39.22411667</v>
      </c>
      <c r="R74" s="14" t="inlineStr">
        <is>
          <t>RUA GETÚLIO VARGAS, 60, CENTRO, PRADO/BA</t>
        </is>
      </c>
      <c r="S74" s="26">
        <f>IF(A74=A73,0,1)</f>
        <v>0</v>
      </c>
      <c r="T74" s="26">
        <f>IF(COUNTIF($B$4:B74,B74)=1,1,0)</f>
        <v>0</v>
      </c>
    </row>
    <row r="75">
      <c r="A75" s="14" t="inlineStr">
        <is>
          <t>ALCOBAÇA</t>
        </is>
      </c>
      <c r="B75" s="26" t="n">
        <v>112</v>
      </c>
      <c r="C75" s="26" t="n">
        <v>1198</v>
      </c>
      <c r="D75" s="14" t="inlineStr">
        <is>
          <t>ESCOLA MUNICIPAL D. PEDRO I</t>
        </is>
      </c>
      <c r="E75" s="14" t="inlineStr">
        <is>
          <t>POVOADO RIBEIRAO</t>
        </is>
      </c>
      <c r="F75" s="14" t="inlineStr">
        <is>
          <t>POVOADO RIBEIRAO - ZONA RURAL</t>
        </is>
      </c>
      <c r="G75" s="27" t="inlineStr">
        <is>
          <t>45990-000</t>
        </is>
      </c>
      <c r="H75" s="15" t="n">
        <v>1</v>
      </c>
      <c r="I75" s="28" t="inlineStr">
        <is>
          <t>NÃO</t>
        </is>
      </c>
      <c r="J75" s="29" t="n">
        <v>115.6</v>
      </c>
      <c r="K75" s="14" t="str">
        <f>IF(J75="","7. Acima de 2 km",IF(J75&lt;=50,"1. Até 50 m",IF(J75&lt;=100,"2. De 50 a 100 m",IF(J75&lt;=200,"3. De 100 a 200 m",IF(J75&lt;=300,"4. De 200 a 300 m",IF(J75&lt;=500,"5. De 300 a 500 m","6. De 500 m a 2 km"))))))</f>
        <v>3. De 100 a 200 m</v>
      </c>
      <c r="L75" s="26" t="n">
        <v>0</v>
      </c>
      <c r="M75" s="26" t="n">
        <v>0</v>
      </c>
      <c r="N75" s="26" t="n">
        <v>4</v>
      </c>
      <c r="O75" s="26" t="n">
        <v>7</v>
      </c>
      <c r="P75" s="30" t="n">
        <v>-17.34053667</v>
      </c>
      <c r="Q75" s="30" t="n">
        <v>-39.22404333</v>
      </c>
      <c r="R75" s="14" t="inlineStr">
        <is>
          <t>RUA GETÚLIO VARGAS, 60, CENTRO, PRADO/BA</t>
        </is>
      </c>
      <c r="S75" s="26">
        <f>IF(A75=A74,0,1)</f>
        <v>0</v>
      </c>
      <c r="T75" s="26">
        <f>IF(COUNTIF($B$4:B75,B75)=1,1,0)</f>
        <v>0</v>
      </c>
    </row>
    <row r="76">
      <c r="A76" s="14" t="inlineStr">
        <is>
          <t>ALCOBAÇA</t>
        </is>
      </c>
      <c r="B76" s="26" t="n">
        <v>112</v>
      </c>
      <c r="C76" s="26" t="n">
        <v>1201</v>
      </c>
      <c r="D76" s="14" t="inlineStr">
        <is>
          <t>ESCOLA MUNICIPAL CHICO MENDES</t>
        </is>
      </c>
      <c r="E76" s="14" t="inlineStr">
        <is>
          <t>POVOADO ROSINHA DO PRADO</t>
        </is>
      </c>
      <c r="F76" s="14" t="inlineStr">
        <is>
          <t>POVOADO ROSINHA DO PRADO - ZONA RURAL</t>
        </is>
      </c>
      <c r="G76" s="27" t="inlineStr">
        <is>
          <t>45990-000</t>
        </is>
      </c>
      <c r="H76" s="15" t="n">
        <v>1</v>
      </c>
      <c r="I76" s="28" t="inlineStr">
        <is>
          <t>NÃO</t>
        </is>
      </c>
      <c r="J76" s="29" t="n">
        <v>114.6</v>
      </c>
      <c r="K76" s="14" t="str">
        <f>IF(J76="","7. Acima de 2 km",IF(J76&lt;=50,"1. Até 50 m",IF(J76&lt;=100,"2. De 50 a 100 m",IF(J76&lt;=200,"3. De 100 a 200 m",IF(J76&lt;=300,"4. De 200 a 300 m",IF(J76&lt;=500,"5. De 300 a 500 m","6. De 500 m a 2 km"))))))</f>
        <v>3. De 100 a 200 m</v>
      </c>
      <c r="L76" s="26" t="n">
        <v>0</v>
      </c>
      <c r="M76" s="26" t="n">
        <v>0</v>
      </c>
      <c r="N76" s="26" t="n">
        <v>4</v>
      </c>
      <c r="O76" s="26" t="n">
        <v>7</v>
      </c>
      <c r="P76" s="30" t="n">
        <v>-17.34054</v>
      </c>
      <c r="Q76" s="30" t="n">
        <v>-39.22395833</v>
      </c>
      <c r="R76" s="14" t="inlineStr">
        <is>
          <t>RUA GETÚLIO VARGAS, 60, CENTRO, PRADO/BA</t>
        </is>
      </c>
      <c r="S76" s="26">
        <f>IF(A76=A75,0,1)</f>
        <v>0</v>
      </c>
      <c r="T76" s="26">
        <f>IF(COUNTIF($B$4:B76,B76)=1,1,0)</f>
        <v>0</v>
      </c>
    </row>
    <row r="77">
      <c r="A77" s="14" t="inlineStr">
        <is>
          <t>AMARGOSA</t>
        </is>
      </c>
      <c r="B77" s="26" t="n">
        <v>36</v>
      </c>
      <c r="C77" s="26" t="n">
        <v>1015</v>
      </c>
      <c r="D77" s="14" t="inlineStr">
        <is>
          <t>ESCOLA MUNICIPAL ALMEIDA SAMPAIO</t>
        </is>
      </c>
      <c r="E77" s="14" t="inlineStr">
        <is>
          <t>CENTRO</t>
        </is>
      </c>
      <c r="F77" s="14" t="inlineStr">
        <is>
          <t>RUA LAURO DE FREITAS - ZONA URBANA</t>
        </is>
      </c>
      <c r="G77" s="27" t="inlineStr">
        <is>
          <t>45300-000</t>
        </is>
      </c>
      <c r="H77" s="15" t="n">
        <v>11</v>
      </c>
      <c r="I77" s="28" t="inlineStr">
        <is>
          <t>NÃO</t>
        </is>
      </c>
      <c r="J77" s="29" t="n">
        <v>214.7</v>
      </c>
      <c r="K77" s="14" t="str">
        <f>IF(J77="","7. Acima de 2 km",IF(J77&lt;=50,"1. Até 50 m",IF(J77&lt;=100,"2. De 50 a 100 m",IF(J77&lt;=200,"3. De 100 a 200 m",IF(J77&lt;=300,"4. De 200 a 300 m",IF(J77&lt;=500,"5. De 300 a 500 m","6. De 500 m a 2 km"))))))</f>
        <v>4. De 200 a 300 m</v>
      </c>
      <c r="L77" s="26" t="n">
        <v>0</v>
      </c>
      <c r="M77" s="26" t="n">
        <v>0</v>
      </c>
      <c r="N77" s="26" t="n">
        <v>0</v>
      </c>
      <c r="O77" s="26" t="n">
        <v>5</v>
      </c>
      <c r="P77" s="30" t="n">
        <v>-13.0314439</v>
      </c>
      <c r="Q77" s="30" t="n">
        <v>-39.6016739</v>
      </c>
      <c r="R77" s="14" t="inlineStr">
        <is>
          <t>PRAÇA JOSÉ VIANA SAMPAIO, Nº 417, CENTRO, AMARGOSA/BA</t>
        </is>
      </c>
      <c r="S77" s="26">
        <f>IF(A77=A76,0,1)</f>
        <v>1</v>
      </c>
      <c r="T77" s="26">
        <f>IF(COUNTIF($B$4:B77,B77)=1,1,0)</f>
        <v>1</v>
      </c>
    </row>
    <row r="78">
      <c r="A78" s="14" t="inlineStr">
        <is>
          <t>AMARGOSA</t>
        </is>
      </c>
      <c r="B78" s="26" t="n">
        <v>36</v>
      </c>
      <c r="C78" s="26" t="n">
        <v>1023</v>
      </c>
      <c r="D78" s="14" t="inlineStr">
        <is>
          <t>COLÉGIO ESTADUAL DE 1 GRAU SANTA BERNADETE</t>
        </is>
      </c>
      <c r="E78" s="14" t="inlineStr">
        <is>
          <t>CENTRO</t>
        </is>
      </c>
      <c r="F78" s="14" t="inlineStr">
        <is>
          <t>RUA BENEDITO ALMEIDA, S/N - ZONA URBANA</t>
        </is>
      </c>
      <c r="G78" s="27" t="inlineStr">
        <is>
          <t>45300-000</t>
        </is>
      </c>
      <c r="H78" s="15" t="n">
        <v>21</v>
      </c>
      <c r="I78" s="28" t="inlineStr">
        <is>
          <t>SIM</t>
        </is>
      </c>
      <c r="J78" s="29" t="n">
        <v>71.7</v>
      </c>
      <c r="K78" s="14" t="str">
        <f>IF(J78="","7. Acima de 2 km",IF(J78&lt;=50,"1. Até 50 m",IF(J78&lt;=100,"2. De 50 a 100 m",IF(J78&lt;=200,"3. De 100 a 200 m",IF(J78&lt;=300,"4. De 200 a 300 m",IF(J78&lt;=500,"5. De 300 a 500 m","6. De 500 m a 2 km"))))))</f>
        <v>2. De 50 a 100 m</v>
      </c>
      <c r="L78" s="26" t="n">
        <v>0</v>
      </c>
      <c r="M78" s="26" t="n">
        <v>1</v>
      </c>
      <c r="N78" s="26" t="n">
        <v>4</v>
      </c>
      <c r="O78" s="26" t="n">
        <v>7</v>
      </c>
      <c r="P78" s="30" t="n">
        <v>-13.0294909</v>
      </c>
      <c r="Q78" s="30" t="n">
        <v>-39.6050379</v>
      </c>
      <c r="R78" s="14" t="inlineStr">
        <is>
          <t>PRAÇA JOSÉ VIANA SAMPAIO, Nº 417, CENTRO, AMARGOSA/BA</t>
        </is>
      </c>
      <c r="S78" s="26">
        <f>IF(A78=A77,0,1)</f>
        <v>0</v>
      </c>
      <c r="T78" s="26">
        <f>IF(COUNTIF($B$4:B78,B78)=1,1,0)</f>
        <v>0</v>
      </c>
    </row>
    <row r="79">
      <c r="A79" s="14" t="inlineStr">
        <is>
          <t>AMARGOSA</t>
        </is>
      </c>
      <c r="B79" s="26" t="n">
        <v>36</v>
      </c>
      <c r="C79" s="26" t="n">
        <v>1040</v>
      </c>
      <c r="D79" s="14" t="inlineStr">
        <is>
          <t>ESCOLA MONSENHOR ANTÔNIO JOSÉ DE ALMEIDA</t>
        </is>
      </c>
      <c r="E79" s="14" t="inlineStr">
        <is>
          <t>CAJUEIRO</t>
        </is>
      </c>
      <c r="F79" s="14" t="inlineStr">
        <is>
          <t>RUA ALBINO LOPES, S/N - ZONA URBANA</t>
        </is>
      </c>
      <c r="G79" s="27" t="inlineStr">
        <is>
          <t>45300-000</t>
        </is>
      </c>
      <c r="H79" s="15" t="n">
        <v>5</v>
      </c>
      <c r="I79" s="28" t="inlineStr">
        <is>
          <t>NÃO</t>
        </is>
      </c>
      <c r="J79" s="29" t="n">
        <v>615.9</v>
      </c>
      <c r="K79" s="14" t="str">
        <f>IF(J79="","7. Acima de 2 km",IF(J79&lt;=50,"1. Até 50 m",IF(J79&lt;=100,"2. De 50 a 100 m",IF(J79&lt;=200,"3. De 100 a 200 m",IF(J79&lt;=300,"4. De 200 a 300 m",IF(J79&lt;=500,"5. De 300 a 500 m","6. De 500 m a 2 km"))))))</f>
        <v>6. De 500 m a 2 km</v>
      </c>
      <c r="L79" s="26" t="n">
        <v>0</v>
      </c>
      <c r="M79" s="26" t="n">
        <v>0</v>
      </c>
      <c r="N79" s="26" t="n">
        <v>0</v>
      </c>
      <c r="O79" s="26" t="n">
        <v>0</v>
      </c>
      <c r="P79" s="30" t="n">
        <v>-13.026801</v>
      </c>
      <c r="Q79" s="30" t="n">
        <v>-39.5943794</v>
      </c>
      <c r="R79" s="14" t="inlineStr">
        <is>
          <t>PRAÇA JOSÉ VIANA SAMPAIO, Nº 417, CENTRO, AMARGOSA/BA</t>
        </is>
      </c>
      <c r="S79" s="26">
        <f>IF(A79=A78,0,1)</f>
        <v>0</v>
      </c>
      <c r="T79" s="26">
        <f>IF(COUNTIF($B$4:B79,B79)=1,1,0)</f>
        <v>0</v>
      </c>
    </row>
    <row r="80">
      <c r="A80" s="14" t="inlineStr">
        <is>
          <t>AMARGOSA</t>
        </is>
      </c>
      <c r="B80" s="26" t="n">
        <v>36</v>
      </c>
      <c r="C80" s="26" t="n">
        <v>1058</v>
      </c>
      <c r="D80" s="14" t="inlineStr">
        <is>
          <t>ESCOLA MUNICIPAL JÚLIO PINHEIRO</t>
        </is>
      </c>
      <c r="E80" s="14" t="inlineStr">
        <is>
          <t>DISTRITO CORTA MÃO</t>
        </is>
      </c>
      <c r="F80" s="14" t="inlineStr">
        <is>
          <t>DISTRITO CORTA MÃO - ZONA RURAL</t>
        </is>
      </c>
      <c r="G80" s="27" t="inlineStr">
        <is>
          <t>45300-000</t>
        </is>
      </c>
      <c r="H80" s="15" t="n">
        <v>5</v>
      </c>
      <c r="I80" s="28" t="inlineStr">
        <is>
          <t>NÃO</t>
        </is>
      </c>
      <c r="J80" s="29" t="n"/>
      <c r="K80" s="14" t="str">
        <f>IF(J80="","7. Acima de 2 km",IF(J80&lt;=50,"1. Até 50 m",IF(J80&lt;=100,"2. De 50 a 100 m",IF(J80&lt;=200,"3. De 100 a 200 m",IF(J80&lt;=300,"4. De 200 a 300 m",IF(J80&lt;=500,"5. De 300 a 500 m","6. De 500 m a 2 km"))))))</f>
        <v>7. Acima de 2 km</v>
      </c>
      <c r="L80" s="26" t="n">
        <v>0</v>
      </c>
      <c r="M80" s="26" t="n">
        <v>0</v>
      </c>
      <c r="N80" s="26" t="n">
        <v>0</v>
      </c>
      <c r="O80" s="26" t="n">
        <v>0</v>
      </c>
      <c r="P80" s="30" t="n">
        <v>-13.0713396</v>
      </c>
      <c r="Q80" s="30" t="n">
        <v>-39.5036972</v>
      </c>
      <c r="R80" s="14" t="inlineStr">
        <is>
          <t>PRAÇA JOSÉ VIANA SAMPAIO, Nº 417, CENTRO, AMARGOSA/BA</t>
        </is>
      </c>
      <c r="S80" s="26">
        <f>IF(A80=A79,0,1)</f>
        <v>0</v>
      </c>
      <c r="T80" s="26">
        <f>IF(COUNTIF($B$4:B80,B80)=1,1,0)</f>
        <v>0</v>
      </c>
    </row>
    <row r="81">
      <c r="A81" s="14" t="inlineStr">
        <is>
          <t>AMARGOSA</t>
        </is>
      </c>
      <c r="B81" s="26" t="n">
        <v>36</v>
      </c>
      <c r="C81" s="26" t="n">
        <v>1074</v>
      </c>
      <c r="D81" s="14" t="inlineStr">
        <is>
          <t>ESCOLA MUNICIPAL SENADOR JOSAPHÁ MARINHO</t>
        </is>
      </c>
      <c r="E81" s="14" t="inlineStr">
        <is>
          <t>POVOADO CÓRREGO</t>
        </is>
      </c>
      <c r="F81" s="14" t="inlineStr">
        <is>
          <t>POVOADO CÓRREGO   - ZONA RURAL</t>
        </is>
      </c>
      <c r="G81" s="27" t="inlineStr">
        <is>
          <t>45300-000</t>
        </is>
      </c>
      <c r="H81" s="15" t="n">
        <v>2</v>
      </c>
      <c r="I81" s="28" t="inlineStr">
        <is>
          <t>NÃO</t>
        </is>
      </c>
      <c r="J81" s="29" t="n"/>
      <c r="K81" s="14" t="str">
        <f>IF(J81="","7. Acima de 2 km",IF(J81&lt;=50,"1. Até 50 m",IF(J81&lt;=100,"2. De 50 a 100 m",IF(J81&lt;=200,"3. De 100 a 200 m",IF(J81&lt;=300,"4. De 200 a 300 m",IF(J81&lt;=500,"5. De 300 a 500 m","6. De 500 m a 2 km"))))))</f>
        <v>7. Acima de 2 km</v>
      </c>
      <c r="L81" s="26" t="n">
        <v>0</v>
      </c>
      <c r="M81" s="26" t="n">
        <v>0</v>
      </c>
      <c r="N81" s="26" t="n">
        <v>0</v>
      </c>
      <c r="O81" s="26" t="n">
        <v>0</v>
      </c>
      <c r="P81" s="30" t="n">
        <v>-13.0706014</v>
      </c>
      <c r="Q81" s="30" t="n">
        <v>-39.5714136</v>
      </c>
      <c r="R81" s="14" t="inlineStr">
        <is>
          <t>PRAÇA JOSÉ VIANA SAMPAIO, Nº 417, CENTRO, AMARGOSA/BA</t>
        </is>
      </c>
      <c r="S81" s="26">
        <f>IF(A81=A80,0,1)</f>
        <v>0</v>
      </c>
      <c r="T81" s="26">
        <f>IF(COUNTIF($B$4:B81,B81)=1,1,0)</f>
        <v>0</v>
      </c>
    </row>
    <row r="82">
      <c r="A82" s="14" t="inlineStr">
        <is>
          <t>AMARGOSA</t>
        </is>
      </c>
      <c r="B82" s="26" t="n">
        <v>36</v>
      </c>
      <c r="C82" s="26" t="n">
        <v>1082</v>
      </c>
      <c r="D82" s="14" t="inlineStr">
        <is>
          <t>ESCOLA MUNICIPAL EDVALDO MACHADO BOAVENTURA</t>
        </is>
      </c>
      <c r="E82" s="14" t="inlineStr">
        <is>
          <t>DISTRITO DIÓGENES SAMPAIO</t>
        </is>
      </c>
      <c r="F82" s="14" t="inlineStr">
        <is>
          <t>DISTRITO DIÓGENES SAMPAIO - ZONA RURAL</t>
        </is>
      </c>
      <c r="G82" s="27" t="inlineStr">
        <is>
          <t>45300-000</t>
        </is>
      </c>
      <c r="H82" s="15" t="n">
        <v>2</v>
      </c>
      <c r="I82" s="28" t="inlineStr">
        <is>
          <t>NÃO</t>
        </is>
      </c>
      <c r="J82" s="29" t="n"/>
      <c r="K82" s="14" t="str">
        <f>IF(J82="","7. Acima de 2 km",IF(J82&lt;=50,"1. Até 50 m",IF(J82&lt;=100,"2. De 50 a 100 m",IF(J82&lt;=200,"3. De 100 a 200 m",IF(J82&lt;=300,"4. De 200 a 300 m",IF(J82&lt;=500,"5. De 300 a 500 m","6. De 500 m a 2 km"))))))</f>
        <v>7. Acima de 2 km</v>
      </c>
      <c r="L82" s="26" t="n">
        <v>0</v>
      </c>
      <c r="M82" s="26" t="n">
        <v>0</v>
      </c>
      <c r="N82" s="26" t="n">
        <v>0</v>
      </c>
      <c r="O82" s="26" t="n">
        <v>0</v>
      </c>
      <c r="P82" s="30" t="n">
        <v>-12.9565425</v>
      </c>
      <c r="Q82" s="30" t="n">
        <v>-39.5909707</v>
      </c>
      <c r="R82" s="14" t="inlineStr">
        <is>
          <t>PRAÇA JOSÉ VIANA SAMPAIO, Nº 417, CENTRO, AMARGOSA/BA</t>
        </is>
      </c>
      <c r="S82" s="26">
        <f>IF(A82=A81,0,1)</f>
        <v>0</v>
      </c>
      <c r="T82" s="26">
        <f>IF(COUNTIF($B$4:B82,B82)=1,1,0)</f>
        <v>0</v>
      </c>
    </row>
    <row r="83">
      <c r="A83" s="14" t="inlineStr">
        <is>
          <t>AMARGOSA</t>
        </is>
      </c>
      <c r="B83" s="26" t="n">
        <v>36</v>
      </c>
      <c r="C83" s="26" t="n">
        <v>1090</v>
      </c>
      <c r="D83" s="14" t="inlineStr">
        <is>
          <t>ESCOLA MUNICIPAL JOÃO LEAL SALES</t>
        </is>
      </c>
      <c r="E83" s="14" t="inlineStr">
        <is>
          <t>DISTRITO ITACHAMA</t>
        </is>
      </c>
      <c r="F83" s="14" t="inlineStr">
        <is>
          <t>DISTRITO ITACHAMA - ZONA RURAL</t>
        </is>
      </c>
      <c r="G83" s="27" t="inlineStr">
        <is>
          <t>45300-000</t>
        </is>
      </c>
      <c r="H83" s="15" t="n">
        <v>3</v>
      </c>
      <c r="I83" s="28" t="inlineStr">
        <is>
          <t>NÃO</t>
        </is>
      </c>
      <c r="J83" s="29" t="n"/>
      <c r="K83" s="14" t="str">
        <f>IF(J83="","7. Acima de 2 km",IF(J83&lt;=50,"1. Até 50 m",IF(J83&lt;=100,"2. De 50 a 100 m",IF(J83&lt;=200,"3. De 100 a 200 m",IF(J83&lt;=300,"4. De 200 a 300 m",IF(J83&lt;=500,"5. De 300 a 500 m","6. De 500 m a 2 km"))))))</f>
        <v>7. Acima de 2 km</v>
      </c>
      <c r="L83" s="26" t="n">
        <v>0</v>
      </c>
      <c r="M83" s="26" t="n">
        <v>0</v>
      </c>
      <c r="N83" s="26" t="n">
        <v>0</v>
      </c>
      <c r="O83" s="26" t="n">
        <v>0</v>
      </c>
      <c r="P83" s="30" t="n">
        <v>-13.0285367</v>
      </c>
      <c r="Q83" s="30" t="n">
        <v>-39.7222689</v>
      </c>
      <c r="R83" s="14" t="inlineStr">
        <is>
          <t>PRAÇA JOSÉ VIANA SAMPAIO, Nº 417, CENTRO, AMARGOSA/BA</t>
        </is>
      </c>
      <c r="S83" s="26">
        <f>IF(A83=A82,0,1)</f>
        <v>0</v>
      </c>
      <c r="T83" s="26">
        <f>IF(COUNTIF($B$4:B83,B83)=1,1,0)</f>
        <v>0</v>
      </c>
    </row>
    <row r="84">
      <c r="A84" s="14" t="inlineStr">
        <is>
          <t>AMARGOSA</t>
        </is>
      </c>
      <c r="B84" s="26" t="n">
        <v>36</v>
      </c>
      <c r="C84" s="26" t="n">
        <v>1104</v>
      </c>
      <c r="D84" s="14" t="inlineStr">
        <is>
          <t>COLÉGIO ESTADUAL PEDRO CALMON</t>
        </is>
      </c>
      <c r="E84" s="14" t="inlineStr">
        <is>
          <t>CENTRO</t>
        </is>
      </c>
      <c r="F84" s="14" t="inlineStr">
        <is>
          <t>RUA AGENOR GUEDES, S/N - ZONA URBANA</t>
        </is>
      </c>
      <c r="G84" s="27" t="inlineStr">
        <is>
          <t>45300-000</t>
        </is>
      </c>
      <c r="H84" s="15" t="n">
        <v>12</v>
      </c>
      <c r="I84" s="28" t="inlineStr">
        <is>
          <t>SIM</t>
        </is>
      </c>
      <c r="J84" s="29" t="n">
        <v>45.7</v>
      </c>
      <c r="K84" s="14" t="str">
        <f>IF(J84="","7. Acima de 2 km",IF(J84&lt;=50,"1. Até 50 m",IF(J84&lt;=100,"2. De 50 a 100 m",IF(J84&lt;=200,"3. De 100 a 200 m",IF(J84&lt;=300,"4. De 200 a 300 m",IF(J84&lt;=500,"5. De 300 a 500 m","6. De 500 m a 2 km"))))))</f>
        <v>1. Até 50 m</v>
      </c>
      <c r="L84" s="26" t="n">
        <v>1</v>
      </c>
      <c r="M84" s="26" t="n">
        <v>1</v>
      </c>
      <c r="N84" s="26" t="n">
        <v>1</v>
      </c>
      <c r="O84" s="26" t="n">
        <v>2</v>
      </c>
      <c r="P84" s="30" t="n">
        <v>-13.0318337</v>
      </c>
      <c r="Q84" s="30" t="n">
        <v>-39.5999369</v>
      </c>
      <c r="R84" s="14" t="inlineStr">
        <is>
          <t>PRAÇA JOSÉ VIANA SAMPAIO, Nº 417, CENTRO, AMARGOSA/BA</t>
        </is>
      </c>
      <c r="S84" s="26">
        <f>IF(A84=A83,0,1)</f>
        <v>0</v>
      </c>
      <c r="T84" s="26">
        <f>IF(COUNTIF($B$4:B84,B84)=1,1,0)</f>
        <v>0</v>
      </c>
    </row>
    <row r="85">
      <c r="A85" s="14" t="inlineStr">
        <is>
          <t>AMARGOSA</t>
        </is>
      </c>
      <c r="B85" s="26" t="n">
        <v>36</v>
      </c>
      <c r="C85" s="26" t="n">
        <v>1120</v>
      </c>
      <c r="D85" s="14" t="inlineStr">
        <is>
          <t>POSTO DE SAÚDE MANOEL DIAS DE OLIVEIRA FILHO</t>
        </is>
      </c>
      <c r="E85" s="14" t="inlineStr">
        <is>
          <t>DISTRITO DIÓGENES SAMPAIO</t>
        </is>
      </c>
      <c r="F85" s="14" t="inlineStr">
        <is>
          <t>DISTRITO DIÓGENES SAMPAIO - ZONA RURAL</t>
        </is>
      </c>
      <c r="G85" s="27" t="inlineStr">
        <is>
          <t>45300-000</t>
        </is>
      </c>
      <c r="H85" s="15" t="n">
        <v>1</v>
      </c>
      <c r="I85" s="28" t="inlineStr">
        <is>
          <t>NÃO</t>
        </is>
      </c>
      <c r="J85" s="29" t="n"/>
      <c r="K85" s="14" t="str">
        <f>IF(J85="","7. Acima de 2 km",IF(J85&lt;=50,"1. Até 50 m",IF(J85&lt;=100,"2. De 50 a 100 m",IF(J85&lt;=200,"3. De 100 a 200 m",IF(J85&lt;=300,"4. De 200 a 300 m",IF(J85&lt;=500,"5. De 300 a 500 m","6. De 500 m a 2 km"))))))</f>
        <v>7. Acima de 2 km</v>
      </c>
      <c r="L85" s="26" t="n">
        <v>0</v>
      </c>
      <c r="M85" s="26" t="n">
        <v>0</v>
      </c>
      <c r="N85" s="26" t="n">
        <v>0</v>
      </c>
      <c r="O85" s="26" t="n">
        <v>0</v>
      </c>
      <c r="P85" s="30" t="n">
        <v>-12.9563542</v>
      </c>
      <c r="Q85" s="30" t="n">
        <v>-39.5905739</v>
      </c>
      <c r="R85" s="14" t="inlineStr">
        <is>
          <t>PRAÇA JOSÉ VIANA SAMPAIO, Nº 417, CENTRO, AMARGOSA/BA</t>
        </is>
      </c>
      <c r="S85" s="26">
        <f>IF(A85=A84,0,1)</f>
        <v>0</v>
      </c>
      <c r="T85" s="26">
        <f>IF(COUNTIF($B$4:B85,B85)=1,1,0)</f>
        <v>0</v>
      </c>
    </row>
    <row r="86">
      <c r="A86" s="14" t="inlineStr">
        <is>
          <t>AMARGOSA</t>
        </is>
      </c>
      <c r="B86" s="26" t="n">
        <v>36</v>
      </c>
      <c r="C86" s="26" t="n">
        <v>1147</v>
      </c>
      <c r="D86" s="14" t="inlineStr">
        <is>
          <t>ESCOLA MUNICIPAL VIVALDA ANDRADE OLIVEIRA</t>
        </is>
      </c>
      <c r="E86" s="14" t="inlineStr">
        <is>
          <t>SANTA RITA</t>
        </is>
      </c>
      <c r="F86" s="14" t="inlineStr">
        <is>
          <t>RUA TENENTE MIGUEL, S/N - ZONA URBANA</t>
        </is>
      </c>
      <c r="G86" s="27" t="inlineStr">
        <is>
          <t>45300-000</t>
        </is>
      </c>
      <c r="H86" s="15" t="n">
        <v>8</v>
      </c>
      <c r="I86" s="28" t="inlineStr">
        <is>
          <t>NÃO</t>
        </is>
      </c>
      <c r="J86" s="29" t="n">
        <v>187.9</v>
      </c>
      <c r="K86" s="14" t="str">
        <f>IF(J86="","7. Acima de 2 km",IF(J86&lt;=50,"1. Até 50 m",IF(J86&lt;=100,"2. De 50 a 100 m",IF(J86&lt;=200,"3. De 100 a 200 m",IF(J86&lt;=300,"4. De 200 a 300 m",IF(J86&lt;=500,"5. De 300 a 500 m","6. De 500 m a 2 km"))))))</f>
        <v>3. De 100 a 200 m</v>
      </c>
      <c r="L86" s="26" t="n">
        <v>0</v>
      </c>
      <c r="M86" s="26" t="n">
        <v>0</v>
      </c>
      <c r="N86" s="26" t="n">
        <v>1</v>
      </c>
      <c r="O86" s="26" t="n">
        <v>1</v>
      </c>
      <c r="P86" s="30" t="n">
        <v>-13.02053</v>
      </c>
      <c r="Q86" s="30" t="n">
        <v>-39.6042574</v>
      </c>
      <c r="R86" s="14" t="inlineStr">
        <is>
          <t>PRAÇA JOSÉ VIANA SAMPAIO, Nº 417, CENTRO, AMARGOSA/BA</t>
        </is>
      </c>
      <c r="S86" s="26">
        <f>IF(A86=A85,0,1)</f>
        <v>0</v>
      </c>
      <c r="T86" s="26">
        <f>IF(COUNTIF($B$4:B86,B86)=1,1,0)</f>
        <v>0</v>
      </c>
    </row>
    <row r="87">
      <c r="A87" s="14" t="inlineStr">
        <is>
          <t>AMARGOSA</t>
        </is>
      </c>
      <c r="B87" s="26" t="n">
        <v>36</v>
      </c>
      <c r="C87" s="26" t="n">
        <v>1180</v>
      </c>
      <c r="D87" s="14" t="inlineStr">
        <is>
          <t>ESCOLA MUNICIPAL PROFESSOR ERALDO TINOCO</t>
        </is>
      </c>
      <c r="E87" s="14" t="inlineStr">
        <is>
          <t>POVOADO ALTO SECO</t>
        </is>
      </c>
      <c r="F87" s="14" t="inlineStr">
        <is>
          <t>POVOADO ALTO SECO - ZONA RURAL</t>
        </is>
      </c>
      <c r="G87" s="27" t="inlineStr">
        <is>
          <t>45300-000</t>
        </is>
      </c>
      <c r="H87" s="15" t="n">
        <v>2</v>
      </c>
      <c r="I87" s="28" t="inlineStr">
        <is>
          <t>NÃO</t>
        </is>
      </c>
      <c r="J87" s="29" t="n"/>
      <c r="K87" s="14" t="str">
        <f>IF(J87="","7. Acima de 2 km",IF(J87&lt;=50,"1. Até 50 m",IF(J87&lt;=100,"2. De 50 a 100 m",IF(J87&lt;=200,"3. De 100 a 200 m",IF(J87&lt;=300,"4. De 200 a 300 m",IF(J87&lt;=500,"5. De 300 a 500 m","6. De 500 m a 2 km"))))))</f>
        <v>7. Acima de 2 km</v>
      </c>
      <c r="L87" s="26" t="n">
        <v>0</v>
      </c>
      <c r="M87" s="26" t="n">
        <v>0</v>
      </c>
      <c r="N87" s="26" t="n">
        <v>0</v>
      </c>
      <c r="O87" s="26" t="n">
        <v>0</v>
      </c>
      <c r="P87" s="30" t="n">
        <v>-13.1070476</v>
      </c>
      <c r="Q87" s="30" t="n">
        <v>-39.5130333</v>
      </c>
      <c r="R87" s="14" t="inlineStr">
        <is>
          <t>PRAÇA JOSÉ VIANA SAMPAIO, Nº 417, CENTRO, AMARGOSA/BA</t>
        </is>
      </c>
      <c r="S87" s="26">
        <f>IF(A87=A86,0,1)</f>
        <v>0</v>
      </c>
      <c r="T87" s="26">
        <f>IF(COUNTIF($B$4:B87,B87)=1,1,0)</f>
        <v>0</v>
      </c>
    </row>
    <row r="88">
      <c r="A88" s="14" t="inlineStr">
        <is>
          <t>AMARGOSA</t>
        </is>
      </c>
      <c r="B88" s="26" t="n">
        <v>36</v>
      </c>
      <c r="C88" s="26" t="n">
        <v>1210</v>
      </c>
      <c r="D88" s="14" t="inlineStr">
        <is>
          <t>ESCOLA MUNICIPAL FRANCISCO JUVENTINO DE SOUZA</t>
        </is>
      </c>
      <c r="E88" s="14" t="inlineStr">
        <is>
          <t>POVOADO CAMBAÚBA</t>
        </is>
      </c>
      <c r="F88" s="14" t="inlineStr">
        <is>
          <t>POVOADO DA CAMBAÚBA - ZONA RURAL</t>
        </is>
      </c>
      <c r="G88" s="27" t="inlineStr">
        <is>
          <t>45300-000</t>
        </is>
      </c>
      <c r="H88" s="15" t="n">
        <v>2</v>
      </c>
      <c r="I88" s="28" t="inlineStr">
        <is>
          <t>NÃO</t>
        </is>
      </c>
      <c r="J88" s="29" t="n"/>
      <c r="K88" s="14" t="str">
        <f>IF(J88="","7. Acima de 2 km",IF(J88&lt;=50,"1. Até 50 m",IF(J88&lt;=100,"2. De 50 a 100 m",IF(J88&lt;=200,"3. De 100 a 200 m",IF(J88&lt;=300,"4. De 200 a 300 m",IF(J88&lt;=500,"5. De 300 a 500 m","6. De 500 m a 2 km"))))))</f>
        <v>7. Acima de 2 km</v>
      </c>
      <c r="L88" s="26" t="n">
        <v>0</v>
      </c>
      <c r="M88" s="26" t="n">
        <v>0</v>
      </c>
      <c r="N88" s="26" t="n">
        <v>0</v>
      </c>
      <c r="O88" s="26" t="n">
        <v>0</v>
      </c>
      <c r="P88" s="30" t="n">
        <v>-13.1175385</v>
      </c>
      <c r="Q88" s="30" t="n">
        <v>-39.5403209</v>
      </c>
      <c r="R88" s="14" t="inlineStr">
        <is>
          <t>PRAÇA JOSÉ VIANA SAMPAIO, Nº 417, CENTRO, AMARGOSA/BA</t>
        </is>
      </c>
      <c r="S88" s="26">
        <f>IF(A88=A87,0,1)</f>
        <v>0</v>
      </c>
      <c r="T88" s="26">
        <f>IF(COUNTIF($B$4:B88,B88)=1,1,0)</f>
        <v>0</v>
      </c>
    </row>
    <row r="89">
      <c r="A89" s="14" t="inlineStr">
        <is>
          <t>AMARGOSA</t>
        </is>
      </c>
      <c r="B89" s="26" t="n">
        <v>36</v>
      </c>
      <c r="C89" s="26" t="n">
        <v>1228</v>
      </c>
      <c r="D89" s="14" t="inlineStr">
        <is>
          <t>ESCOLA MUNICIPAL DEOLINDA MAIA SALES</t>
        </is>
      </c>
      <c r="E89" s="14" t="inlineStr">
        <is>
          <t>POVOADO MATA DAS COVAS</t>
        </is>
      </c>
      <c r="F89" s="14" t="inlineStr">
        <is>
          <t>POVOADO MATA DAS COVAS - ZONA RURAL</t>
        </is>
      </c>
      <c r="G89" s="27" t="inlineStr">
        <is>
          <t>45328-000</t>
        </is>
      </c>
      <c r="H89" s="15" t="n">
        <v>1</v>
      </c>
      <c r="I89" s="28" t="inlineStr">
        <is>
          <t>NÃO</t>
        </is>
      </c>
      <c r="J89" s="29" t="n"/>
      <c r="K89" s="14" t="str">
        <f>IF(J89="","7. Acima de 2 km",IF(J89&lt;=50,"1. Até 50 m",IF(J89&lt;=100,"2. De 50 a 100 m",IF(J89&lt;=200,"3. De 100 a 200 m",IF(J89&lt;=300,"4. De 200 a 300 m",IF(J89&lt;=500,"5. De 300 a 500 m","6. De 500 m a 2 km"))))))</f>
        <v>7. Acima de 2 km</v>
      </c>
      <c r="L89" s="26" t="n">
        <v>0</v>
      </c>
      <c r="M89" s="26" t="n">
        <v>0</v>
      </c>
      <c r="N89" s="26" t="n">
        <v>0</v>
      </c>
      <c r="O89" s="26" t="n">
        <v>0</v>
      </c>
      <c r="P89" s="30" t="n">
        <v>-12.9973394</v>
      </c>
      <c r="Q89" s="30" t="n">
        <v>-39.6331058</v>
      </c>
      <c r="R89" s="14" t="inlineStr">
        <is>
          <t>PRAÇA JOSÉ VIANA SAMPAIO, Nº 417, CENTRO, AMARGOSA/BA</t>
        </is>
      </c>
      <c r="S89" s="26">
        <f>IF(A89=A88,0,1)</f>
        <v>0</v>
      </c>
      <c r="T89" s="26">
        <f>IF(COUNTIF($B$4:B89,B89)=1,1,0)</f>
        <v>0</v>
      </c>
    </row>
    <row r="90">
      <c r="A90" s="14" t="inlineStr">
        <is>
          <t>AMARGOSA</t>
        </is>
      </c>
      <c r="B90" s="26" t="n">
        <v>36</v>
      </c>
      <c r="C90" s="26" t="n">
        <v>1236</v>
      </c>
      <c r="D90" s="14" t="inlineStr">
        <is>
          <t>ESCOLA MUNICIPAL DOM FLORÊNICIO SISINIO VIEIRA</t>
        </is>
      </c>
      <c r="E90" s="14" t="inlineStr">
        <is>
          <t>CATIARA</t>
        </is>
      </c>
      <c r="F90" s="14" t="inlineStr">
        <is>
          <t>RUA CATIARA N 203 - ZONA URBANA</t>
        </is>
      </c>
      <c r="G90" s="27" t="inlineStr">
        <is>
          <t>45300-000</t>
        </is>
      </c>
      <c r="H90" s="15" t="n">
        <v>12</v>
      </c>
      <c r="I90" s="28" t="inlineStr">
        <is>
          <t>SIM</t>
        </is>
      </c>
      <c r="J90" s="29" t="n">
        <v>6.6</v>
      </c>
      <c r="K90" s="14" t="str">
        <f>IF(J90="","7. Acima de 2 km",IF(J90&lt;=50,"1. Até 50 m",IF(J90&lt;=100,"2. De 50 a 100 m",IF(J90&lt;=200,"3. De 100 a 200 m",IF(J90&lt;=300,"4. De 200 a 300 m",IF(J90&lt;=500,"5. De 300 a 500 m","6. De 500 m a 2 km"))))))</f>
        <v>1. Até 50 m</v>
      </c>
      <c r="L90" s="26" t="n">
        <v>1</v>
      </c>
      <c r="M90" s="26" t="n">
        <v>1</v>
      </c>
      <c r="N90" s="26" t="n">
        <v>3</v>
      </c>
      <c r="O90" s="26" t="n">
        <v>3</v>
      </c>
      <c r="P90" s="30" t="n">
        <v>-13.0322864</v>
      </c>
      <c r="Q90" s="30" t="n">
        <v>-39.5898471</v>
      </c>
      <c r="R90" s="14" t="inlineStr">
        <is>
          <t>PRAÇA JOSÉ VIANA SAMPAIO, Nº 417, CENTRO, AMARGOSA/BA</t>
        </is>
      </c>
      <c r="S90" s="26">
        <f>IF(A90=A89,0,1)</f>
        <v>0</v>
      </c>
      <c r="T90" s="26">
        <f>IF(COUNTIF($B$4:B90,B90)=1,1,0)</f>
        <v>0</v>
      </c>
    </row>
    <row r="91">
      <c r="A91" s="14" t="inlineStr">
        <is>
          <t>AMARGOSA</t>
        </is>
      </c>
      <c r="B91" s="26" t="n">
        <v>36</v>
      </c>
      <c r="C91" s="26" t="n">
        <v>1244</v>
      </c>
      <c r="D91" s="14" t="inlineStr">
        <is>
          <t>ESCOLA MUNICIPAL PROFESSORA DÉLIA DO AMARAL GONÇALVES SANTOS</t>
        </is>
      </c>
      <c r="E91" s="14" t="inlineStr">
        <is>
          <t>POVOADO URBIS II</t>
        </is>
      </c>
      <c r="F91" s="14" t="inlineStr">
        <is>
          <t>PARQUE RESIDENCIAL AMARGOSA S/N - ZONA URBANA</t>
        </is>
      </c>
      <c r="G91" s="27" t="inlineStr">
        <is>
          <t>45300-000</t>
        </is>
      </c>
      <c r="H91" s="15" t="n">
        <v>1</v>
      </c>
      <c r="I91" s="28" t="inlineStr">
        <is>
          <t>NÃO</t>
        </is>
      </c>
      <c r="J91" s="29" t="n">
        <v>946.1</v>
      </c>
      <c r="K91" s="14" t="str">
        <f>IF(J91="","7. Acima de 2 km",IF(J91&lt;=50,"1. Até 50 m",IF(J91&lt;=100,"2. De 50 a 100 m",IF(J91&lt;=200,"3. De 100 a 200 m",IF(J91&lt;=300,"4. De 200 a 300 m",IF(J91&lt;=500,"5. De 300 a 500 m","6. De 500 m a 2 km"))))))</f>
        <v>6. De 500 m a 2 km</v>
      </c>
      <c r="L91" s="26" t="n">
        <v>0</v>
      </c>
      <c r="M91" s="26" t="n">
        <v>0</v>
      </c>
      <c r="N91" s="26" t="n">
        <v>0</v>
      </c>
      <c r="O91" s="26" t="n">
        <v>0</v>
      </c>
      <c r="P91" s="30" t="n">
        <v>-13.0106191</v>
      </c>
      <c r="Q91" s="30" t="n">
        <v>-39.603043</v>
      </c>
      <c r="R91" s="14" t="inlineStr">
        <is>
          <t>PRAÇA JOSÉ VIANA SAMPAIO, Nº 417, CENTRO, AMARGOSA/BA</t>
        </is>
      </c>
      <c r="S91" s="26">
        <f>IF(A91=A90,0,1)</f>
        <v>0</v>
      </c>
      <c r="T91" s="26">
        <f>IF(COUNTIF($B$4:B91,B91)=1,1,0)</f>
        <v>0</v>
      </c>
    </row>
    <row r="92">
      <c r="A92" s="14" t="inlineStr">
        <is>
          <t>AMARGOSA</t>
        </is>
      </c>
      <c r="B92" s="26" t="n">
        <v>36</v>
      </c>
      <c r="C92" s="26" t="n">
        <v>1260</v>
      </c>
      <c r="D92" s="14" t="inlineStr">
        <is>
          <t>ESCOLA MUNICIPAL PROFESSORA ROSALINA SOUZA BITTENCOURT</t>
        </is>
      </c>
      <c r="E92" s="14" t="inlineStr">
        <is>
          <t>RODÃO</t>
        </is>
      </c>
      <c r="F92" s="14" t="inlineStr">
        <is>
          <t>LOTEAMENTO PRIMAVERA, RUA A - ZONA URBANA</t>
        </is>
      </c>
      <c r="G92" s="27" t="inlineStr">
        <is>
          <t>45300-000</t>
        </is>
      </c>
      <c r="H92" s="15" t="n">
        <v>2</v>
      </c>
      <c r="I92" s="28" t="inlineStr">
        <is>
          <t>NÃO</t>
        </is>
      </c>
      <c r="J92" s="29" t="n">
        <v>202.9</v>
      </c>
      <c r="K92" s="14" t="str">
        <f>IF(J92="","7. Acima de 2 km",IF(J92&lt;=50,"1. Até 50 m",IF(J92&lt;=100,"2. De 50 a 100 m",IF(J92&lt;=200,"3. De 100 a 200 m",IF(J92&lt;=300,"4. De 200 a 300 m",IF(J92&lt;=500,"5. De 300 a 500 m","6. De 500 m a 2 km"))))))</f>
        <v>4. De 200 a 300 m</v>
      </c>
      <c r="L92" s="26" t="n">
        <v>0</v>
      </c>
      <c r="M92" s="26" t="n">
        <v>0</v>
      </c>
      <c r="N92" s="26" t="n">
        <v>0</v>
      </c>
      <c r="O92" s="26" t="n">
        <v>1</v>
      </c>
      <c r="P92" s="30" t="n">
        <v>-13.0364413</v>
      </c>
      <c r="Q92" s="30" t="n">
        <v>-39.5974446</v>
      </c>
      <c r="R92" s="14" t="inlineStr">
        <is>
          <t>PRAÇA JOSÉ VIANA SAMPAIO, Nº 417, CENTRO, AMARGOSA/BA</t>
        </is>
      </c>
      <c r="S92" s="26">
        <f>IF(A92=A91,0,1)</f>
        <v>0</v>
      </c>
      <c r="T92" s="26">
        <f>IF(COUNTIF($B$4:B92,B92)=1,1,0)</f>
        <v>0</v>
      </c>
    </row>
    <row r="93">
      <c r="A93" s="14" t="inlineStr">
        <is>
          <t>ANDARAÍ</t>
        </is>
      </c>
      <c r="B93" s="26" t="n">
        <v>119</v>
      </c>
      <c r="C93" s="26" t="n">
        <v>1015</v>
      </c>
      <c r="D93" s="14" t="inlineStr">
        <is>
          <t>CENTRO DE FORMAÇÃO PROFISSIONAL ÂNGELO COSTA - CEFAC</t>
        </is>
      </c>
      <c r="E93" s="14" t="inlineStr">
        <is>
          <t>CENTRO</t>
        </is>
      </c>
      <c r="F93" s="14" t="inlineStr">
        <is>
          <t>RUA DA GLORIA, S/N - ZONA URBANA</t>
        </is>
      </c>
      <c r="G93" s="27" t="inlineStr">
        <is>
          <t>46830-000</t>
        </is>
      </c>
      <c r="H93" s="15" t="n">
        <v>4</v>
      </c>
      <c r="I93" s="28" t="inlineStr">
        <is>
          <t>NÃO</t>
        </is>
      </c>
      <c r="J93" s="29" t="n">
        <v>105.9</v>
      </c>
      <c r="K93" s="14" t="str">
        <f>IF(J93="","7. Acima de 2 km",IF(J93&lt;=50,"1. Até 50 m",IF(J93&lt;=100,"2. De 50 a 100 m",IF(J93&lt;=200,"3. De 100 a 200 m",IF(J93&lt;=300,"4. De 200 a 300 m",IF(J93&lt;=500,"5. De 300 a 500 m","6. De 500 m a 2 km"))))))</f>
        <v>3. De 100 a 200 m</v>
      </c>
      <c r="L93" s="26" t="n">
        <v>0</v>
      </c>
      <c r="M93" s="26" t="n">
        <v>0</v>
      </c>
      <c r="N93" s="26" t="n">
        <v>3</v>
      </c>
      <c r="O93" s="26" t="n">
        <v>3</v>
      </c>
      <c r="P93" s="30" t="n">
        <v>-12.8102533</v>
      </c>
      <c r="Q93" s="30" t="n">
        <v>-41.3312924</v>
      </c>
      <c r="R93" s="14" t="inlineStr">
        <is>
          <t>FÓRUM DA COMARCA DE ANDARAÍ, PRAÇA SÃO FRANCISCO DE ASSIS, S/N, ALTO DO IBIRAPITANGA -ANDARAÍ/BA</t>
        </is>
      </c>
      <c r="S93" s="26">
        <f>IF(A93=A92,0,1)</f>
        <v>1</v>
      </c>
      <c r="T93" s="26">
        <f>IF(COUNTIF($B$4:B93,B93)=1,1,0)</f>
        <v>1</v>
      </c>
    </row>
    <row r="94">
      <c r="A94" s="14" t="inlineStr">
        <is>
          <t>ANDARAÍ</t>
        </is>
      </c>
      <c r="B94" s="26" t="n">
        <v>119</v>
      </c>
      <c r="C94" s="26" t="n">
        <v>1023</v>
      </c>
      <c r="D94" s="14" t="inlineStr">
        <is>
          <t>ESCOLA LUIZ VIANA FILHO</t>
        </is>
      </c>
      <c r="E94" s="14" t="inlineStr">
        <is>
          <t>VILA RIGOLETO</t>
        </is>
      </c>
      <c r="F94" s="14" t="inlineStr">
        <is>
          <t>PRAÇA JOÃO ESTEVES DO SOCORRO, S/N</t>
        </is>
      </c>
      <c r="G94" s="27" t="inlineStr">
        <is>
          <t>46830-000</t>
        </is>
      </c>
      <c r="H94" s="15" t="n">
        <v>5</v>
      </c>
      <c r="I94" s="28" t="inlineStr">
        <is>
          <t>NÃO</t>
        </is>
      </c>
      <c r="J94" s="29" t="n">
        <v>386.5</v>
      </c>
      <c r="K94" s="14" t="str">
        <f>IF(J94="","7. Acima de 2 km",IF(J94&lt;=50,"1. Até 50 m",IF(J94&lt;=100,"2. De 50 a 100 m",IF(J94&lt;=200,"3. De 100 a 200 m",IF(J94&lt;=300,"4. De 200 a 300 m",IF(J94&lt;=500,"5. De 300 a 500 m","6. De 500 m a 2 km"))))))</f>
        <v>5. De 300 a 500 m</v>
      </c>
      <c r="L94" s="26" t="n">
        <v>0</v>
      </c>
      <c r="M94" s="26" t="n">
        <v>0</v>
      </c>
      <c r="N94" s="26" t="n">
        <v>0</v>
      </c>
      <c r="O94" s="26" t="n">
        <v>0</v>
      </c>
      <c r="P94" s="30" t="n">
        <v>-12.8038282</v>
      </c>
      <c r="Q94" s="30" t="n">
        <v>-41.331935</v>
      </c>
      <c r="R94" s="14" t="inlineStr">
        <is>
          <t>FÓRUM DA COMARCA DE ANDARAÍ, PRAÇA SÃO FRANCISCO DE ASSIS, S/N, ALTO DO IBIRAPITANGA -ANDARAÍ/BA</t>
        </is>
      </c>
      <c r="S94" s="26">
        <f>IF(A94=A93,0,1)</f>
        <v>0</v>
      </c>
      <c r="T94" s="26">
        <f>IF(COUNTIF($B$4:B94,B94)=1,1,0)</f>
        <v>0</v>
      </c>
    </row>
    <row r="95">
      <c r="A95" s="14" t="inlineStr">
        <is>
          <t>ANDARAÍ</t>
        </is>
      </c>
      <c r="B95" s="26" t="n">
        <v>119</v>
      </c>
      <c r="C95" s="26" t="n">
        <v>1040</v>
      </c>
      <c r="D95" s="14" t="inlineStr">
        <is>
          <t>CRECHE PRÓ INFÂNCIA PADRE PÍNDARO</t>
        </is>
      </c>
      <c r="E95" s="14" t="inlineStr">
        <is>
          <t>IBIRAPITANGA</t>
        </is>
      </c>
      <c r="F95" s="14" t="inlineStr">
        <is>
          <t>RUA EDGAR OLIVEIRA SANTOS, S/N - ALTO DO IBIRAPITANGA</t>
        </is>
      </c>
      <c r="G95" s="27" t="inlineStr">
        <is>
          <t>46830-000</t>
        </is>
      </c>
      <c r="H95" s="15" t="n">
        <v>2</v>
      </c>
      <c r="I95" s="28" t="inlineStr">
        <is>
          <t>NÃO</t>
        </is>
      </c>
      <c r="J95" s="29" t="n">
        <v>559.9</v>
      </c>
      <c r="K95" s="14" t="str">
        <f>IF(J95="","7. Acima de 2 km",IF(J95&lt;=50,"1. Até 50 m",IF(J95&lt;=100,"2. De 50 a 100 m",IF(J95&lt;=200,"3. De 100 a 200 m",IF(J95&lt;=300,"4. De 200 a 300 m",IF(J95&lt;=500,"5. De 300 a 500 m","6. De 500 m a 2 km"))))))</f>
        <v>6. De 500 m a 2 km</v>
      </c>
      <c r="L95" s="26" t="n">
        <v>0</v>
      </c>
      <c r="M95" s="26" t="n">
        <v>0</v>
      </c>
      <c r="N95" s="26" t="n">
        <v>0</v>
      </c>
      <c r="O95" s="26" t="n">
        <v>0</v>
      </c>
      <c r="P95" s="30" t="n">
        <v>-12.7928111</v>
      </c>
      <c r="Q95" s="30" t="n">
        <v>-41.3311437</v>
      </c>
      <c r="R95" s="14" t="inlineStr">
        <is>
          <t>FÓRUM DA COMARCA DE ANDARAÍ, PRAÇA SÃO FRANCISCO DE ASSIS, S/N, ALTO DO IBIRAPITANGA -ANDARAÍ/BA</t>
        </is>
      </c>
      <c r="S95" s="26">
        <f>IF(A95=A94,0,1)</f>
        <v>0</v>
      </c>
      <c r="T95" s="26">
        <f>IF(COUNTIF($B$4:B95,B95)=1,1,0)</f>
        <v>0</v>
      </c>
    </row>
    <row r="96">
      <c r="A96" s="14" t="inlineStr">
        <is>
          <t>ANDARAÍ</t>
        </is>
      </c>
      <c r="B96" s="26" t="n">
        <v>119</v>
      </c>
      <c r="C96" s="26" t="n">
        <v>1058</v>
      </c>
      <c r="D96" s="14" t="inlineStr">
        <is>
          <t>ESCOLA MUNICIPAL EURICO ANTUNES COSTA</t>
        </is>
      </c>
      <c r="E96" s="14" t="inlineStr">
        <is>
          <t>POVOADO VILA DE IGATU</t>
        </is>
      </c>
      <c r="F96" s="14" t="inlineStr">
        <is>
          <t>RUA DA CONSTITUIÇÃO, S/N - ZONA RURAL</t>
        </is>
      </c>
      <c r="G96" s="27" t="inlineStr">
        <is>
          <t>46830-000</t>
        </is>
      </c>
      <c r="H96" s="15" t="n">
        <v>1</v>
      </c>
      <c r="I96" s="28" t="inlineStr">
        <is>
          <t>NÃO</t>
        </is>
      </c>
      <c r="J96" s="29" t="n"/>
      <c r="K96" s="14" t="str">
        <f>IF(J96="","7. Acima de 2 km",IF(J96&lt;=50,"1. Até 50 m",IF(J96&lt;=100,"2. De 50 a 100 m",IF(J96&lt;=200,"3. De 100 a 200 m",IF(J96&lt;=300,"4. De 200 a 300 m",IF(J96&lt;=500,"5. De 300 a 500 m","6. De 500 m a 2 km"))))))</f>
        <v>7. Acima de 2 km</v>
      </c>
      <c r="L96" s="26" t="n">
        <v>0</v>
      </c>
      <c r="M96" s="26" t="n">
        <v>0</v>
      </c>
      <c r="N96" s="26" t="n">
        <v>0</v>
      </c>
      <c r="O96" s="26" t="n">
        <v>0</v>
      </c>
      <c r="P96" s="30" t="n">
        <v>-12.8968927</v>
      </c>
      <c r="Q96" s="30" t="n">
        <v>-41.3180678</v>
      </c>
      <c r="R96" s="14" t="inlineStr">
        <is>
          <t>FÓRUM DA COMARCA DE ANDARAÍ, PRAÇA SÃO FRANCISCO DE ASSIS, S/N, ALTO DO IBIRAPITANGA -ANDARAÍ/BA</t>
        </is>
      </c>
      <c r="S96" s="26">
        <f>IF(A96=A95,0,1)</f>
        <v>0</v>
      </c>
      <c r="T96" s="26">
        <f>IF(COUNTIF($B$4:B96,B96)=1,1,0)</f>
        <v>0</v>
      </c>
    </row>
    <row r="97">
      <c r="A97" s="14" t="inlineStr">
        <is>
          <t>ANDARAÍ</t>
        </is>
      </c>
      <c r="B97" s="26" t="n">
        <v>119</v>
      </c>
      <c r="C97" s="26" t="n">
        <v>1066</v>
      </c>
      <c r="D97" s="14" t="inlineStr">
        <is>
          <t>ESCOLA DE EDUCAÇÃO INTEGRAL DR. BERNARDO SPECTOR</t>
        </is>
      </c>
      <c r="E97" s="14" t="inlineStr">
        <is>
          <t>POVOADO VILA DE UBIRAITA</t>
        </is>
      </c>
      <c r="F97" s="14" t="inlineStr">
        <is>
          <t>RUA HERMENEGILDO GONÇALVES S/N - ZONA RURAL</t>
        </is>
      </c>
      <c r="G97" s="27" t="inlineStr">
        <is>
          <t>46830-000</t>
        </is>
      </c>
      <c r="H97" s="15" t="n">
        <v>9</v>
      </c>
      <c r="I97" s="28" t="inlineStr">
        <is>
          <t>NÃO</t>
        </is>
      </c>
      <c r="J97" s="29" t="n"/>
      <c r="K97" s="14" t="str">
        <f>IF(J97="","7. Acima de 2 km",IF(J97&lt;=50,"1. Até 50 m",IF(J97&lt;=100,"2. De 50 a 100 m",IF(J97&lt;=200,"3. De 100 a 200 m",IF(J97&lt;=300,"4. De 200 a 300 m",IF(J97&lt;=500,"5. De 300 a 500 m","6. De 500 m a 2 km"))))))</f>
        <v>7. Acima de 2 km</v>
      </c>
      <c r="L97" s="26" t="n">
        <v>0</v>
      </c>
      <c r="M97" s="26" t="n">
        <v>0</v>
      </c>
      <c r="N97" s="26" t="n">
        <v>0</v>
      </c>
      <c r="O97" s="26" t="n">
        <v>0</v>
      </c>
      <c r="P97" s="30" t="n">
        <v>-12.588868</v>
      </c>
      <c r="Q97" s="30" t="n">
        <v>-41.005776</v>
      </c>
      <c r="R97" s="14" t="inlineStr">
        <is>
          <t>FÓRUM DA COMARCA DE ANDARAÍ, PRAÇA SÃO FRANCISCO DE ASSIS, S/N, ALTO DO IBIRAPITANGA -ANDARAÍ/BA</t>
        </is>
      </c>
      <c r="S97" s="26">
        <f>IF(A97=A96,0,1)</f>
        <v>0</v>
      </c>
      <c r="T97" s="26">
        <f>IF(COUNTIF($B$4:B97,B97)=1,1,0)</f>
        <v>0</v>
      </c>
    </row>
    <row r="98">
      <c r="A98" s="14" t="inlineStr">
        <is>
          <t>ANDARAÍ</t>
        </is>
      </c>
      <c r="B98" s="26" t="n">
        <v>119</v>
      </c>
      <c r="C98" s="26" t="n">
        <v>1082</v>
      </c>
      <c r="D98" s="14" t="inlineStr">
        <is>
          <t>COLEGIO MUNICIPAL ANTONIO CARLOS MAGALHAES</t>
        </is>
      </c>
      <c r="E98" s="14" t="inlineStr">
        <is>
          <t>POVOADO NOVA VISTA</t>
        </is>
      </c>
      <c r="F98" s="14" t="inlineStr">
        <is>
          <t>PRACA NOSSA SENHORA SANTANA, S/N - ZONA RURAL</t>
        </is>
      </c>
      <c r="G98" s="27" t="inlineStr">
        <is>
          <t>46830-000</t>
        </is>
      </c>
      <c r="H98" s="15" t="n">
        <v>4</v>
      </c>
      <c r="I98" s="28" t="inlineStr">
        <is>
          <t>NÃO</t>
        </is>
      </c>
      <c r="J98" s="29" t="n"/>
      <c r="K98" s="14" t="str">
        <f>IF(J98="","7. Acima de 2 km",IF(J98&lt;=50,"1. Até 50 m",IF(J98&lt;=100,"2. De 50 a 100 m",IF(J98&lt;=200,"3. De 100 a 200 m",IF(J98&lt;=300,"4. De 200 a 300 m",IF(J98&lt;=500,"5. De 300 a 500 m","6. De 500 m a 2 km"))))))</f>
        <v>7. Acima de 2 km</v>
      </c>
      <c r="L98" s="26" t="n">
        <v>0</v>
      </c>
      <c r="M98" s="26" t="n">
        <v>0</v>
      </c>
      <c r="N98" s="26" t="n">
        <v>0</v>
      </c>
      <c r="O98" s="26" t="n">
        <v>0</v>
      </c>
      <c r="P98" s="30" t="n">
        <v>-12.5908819</v>
      </c>
      <c r="Q98" s="30" t="n">
        <v>-41.1230304</v>
      </c>
      <c r="R98" s="14" t="inlineStr">
        <is>
          <t>FÓRUM DA COMARCA DE ANDARAÍ, PRAÇA SÃO FRANCISCO DE ASSIS, S/N, ALTO DO IBIRAPITANGA -ANDARAÍ/BA</t>
        </is>
      </c>
      <c r="S98" s="26">
        <f>IF(A98=A97,0,1)</f>
        <v>0</v>
      </c>
      <c r="T98" s="26">
        <f>IF(COUNTIF($B$4:B98,B98)=1,1,0)</f>
        <v>0</v>
      </c>
    </row>
    <row r="99">
      <c r="A99" s="14" t="inlineStr">
        <is>
          <t>ANDARAÍ</t>
        </is>
      </c>
      <c r="B99" s="26" t="n">
        <v>119</v>
      </c>
      <c r="C99" s="26" t="n">
        <v>1090</v>
      </c>
      <c r="D99" s="14" t="inlineStr">
        <is>
          <t>CRAS (ANTIGA ESCOLA CARLOS SANTANNA)</t>
        </is>
      </c>
      <c r="E99" s="14" t="inlineStr">
        <is>
          <t>IBIRAPITANGA</t>
        </is>
      </c>
      <c r="F99" s="14" t="inlineStr">
        <is>
          <t>RUA ALTO DO IBIRAPITANGA, S/N - ZONA URBANA</t>
        </is>
      </c>
      <c r="G99" s="27" t="inlineStr">
        <is>
          <t>46830-000</t>
        </is>
      </c>
      <c r="H99" s="15" t="n">
        <v>5</v>
      </c>
      <c r="I99" s="28" t="inlineStr">
        <is>
          <t>NÃO</t>
        </is>
      </c>
      <c r="J99" s="29" t="n">
        <v>278.7</v>
      </c>
      <c r="K99" s="14" t="str">
        <f>IF(J99="","7. Acima de 2 km",IF(J99&lt;=50,"1. Até 50 m",IF(J99&lt;=100,"2. De 50 a 100 m",IF(J99&lt;=200,"3. De 100 a 200 m",IF(J99&lt;=300,"4. De 200 a 300 m",IF(J99&lt;=500,"5. De 300 a 500 m","6. De 500 m a 2 km"))))))</f>
        <v>4. De 200 a 300 m</v>
      </c>
      <c r="L99" s="26" t="n">
        <v>0</v>
      </c>
      <c r="M99" s="26" t="n">
        <v>0</v>
      </c>
      <c r="N99" s="26" t="n">
        <v>0</v>
      </c>
      <c r="O99" s="26" t="n">
        <v>1</v>
      </c>
      <c r="P99" s="30" t="n">
        <v>-12.7984132</v>
      </c>
      <c r="Q99" s="30" t="n">
        <v>-41.3292432</v>
      </c>
      <c r="R99" s="14" t="inlineStr">
        <is>
          <t>FÓRUM DA COMARCA DE ANDARAÍ, PRAÇA SÃO FRANCISCO DE ASSIS, S/N, ALTO DO IBIRAPITANGA -ANDARAÍ/BA</t>
        </is>
      </c>
      <c r="S99" s="26">
        <f>IF(A99=A98,0,1)</f>
        <v>0</v>
      </c>
      <c r="T99" s="26">
        <f>IF(COUNTIF($B$4:B99,B99)=1,1,0)</f>
        <v>0</v>
      </c>
    </row>
    <row r="100">
      <c r="A100" s="14" t="inlineStr">
        <is>
          <t>ANDARAÍ</t>
        </is>
      </c>
      <c r="B100" s="26" t="n">
        <v>119</v>
      </c>
      <c r="C100" s="26" t="n">
        <v>1112</v>
      </c>
      <c r="D100" s="14" t="inlineStr">
        <is>
          <t>PRÉDIO ANTIGO DO COLÉGIO ESTADUAL EDGAR SILVA</t>
        </is>
      </c>
      <c r="E100" s="14" t="inlineStr">
        <is>
          <t>SOSSEGO</t>
        </is>
      </c>
      <c r="F100" s="14" t="inlineStr">
        <is>
          <t>PRACA DA BANDEIRA, S/N - ZONA URBANA</t>
        </is>
      </c>
      <c r="G100" s="27" t="inlineStr">
        <is>
          <t>46830-000</t>
        </is>
      </c>
      <c r="H100" s="15" t="n">
        <v>5</v>
      </c>
      <c r="I100" s="28" t="inlineStr">
        <is>
          <t>NÃO</t>
        </is>
      </c>
      <c r="J100" s="29" t="n">
        <v>225.1</v>
      </c>
      <c r="K100" s="14" t="str">
        <f>IF(J100="","7. Acima de 2 km",IF(J100&lt;=50,"1. Até 50 m",IF(J100&lt;=100,"2. De 50 a 100 m",IF(J100&lt;=200,"3. De 100 a 200 m",IF(J100&lt;=300,"4. De 200 a 300 m",IF(J100&lt;=500,"5. De 300 a 500 m","6. De 500 m a 2 km"))))))</f>
        <v>4. De 200 a 300 m</v>
      </c>
      <c r="L100" s="26" t="n">
        <v>0</v>
      </c>
      <c r="M100" s="26" t="n">
        <v>0</v>
      </c>
      <c r="N100" s="26" t="n">
        <v>0</v>
      </c>
      <c r="O100" s="26" t="n">
        <v>2</v>
      </c>
      <c r="P100" s="30" t="n">
        <v>-12.8053855</v>
      </c>
      <c r="Q100" s="30" t="n">
        <v>-41.3334039</v>
      </c>
      <c r="R100" s="14" t="inlineStr">
        <is>
          <t>FÓRUM DA COMARCA DE ANDARAÍ, PRAÇA SÃO FRANCISCO DE ASSIS, S/N, ALTO DO IBIRAPITANGA -ANDARAÍ/BA</t>
        </is>
      </c>
      <c r="S100" s="26">
        <f>IF(A100=A99,0,1)</f>
        <v>0</v>
      </c>
      <c r="T100" s="26">
        <f>IF(COUNTIF($B$4:B100,B100)=1,1,0)</f>
        <v>0</v>
      </c>
    </row>
    <row r="101">
      <c r="A101" s="14" t="inlineStr">
        <is>
          <t>ANDARAÍ</t>
        </is>
      </c>
      <c r="B101" s="26" t="n">
        <v>119</v>
      </c>
      <c r="C101" s="26" t="n">
        <v>1147</v>
      </c>
      <c r="D101" s="14" t="inlineStr">
        <is>
          <t>COLÉGIO MUNICIPAL DE ANDARAÍ</t>
        </is>
      </c>
      <c r="E101" s="14" t="inlineStr">
        <is>
          <t>ALTO DA BELA VISTA</t>
        </is>
      </c>
      <c r="F101" s="14" t="inlineStr">
        <is>
          <t>RUA DO CAMPO, S/N - CAMPO DE AVIÃO</t>
        </is>
      </c>
      <c r="G101" s="27" t="inlineStr">
        <is>
          <t>46830-000</t>
        </is>
      </c>
      <c r="H101" s="15" t="n">
        <v>1</v>
      </c>
      <c r="I101" s="28" t="inlineStr">
        <is>
          <t>NÃO</t>
        </is>
      </c>
      <c r="J101" s="29" t="n">
        <v>266.1</v>
      </c>
      <c r="K101" s="14" t="str">
        <f>IF(J101="","7. Acima de 2 km",IF(J101&lt;=50,"1. Até 50 m",IF(J101&lt;=100,"2. De 50 a 100 m",IF(J101&lt;=200,"3. De 100 a 200 m",IF(J101&lt;=300,"4. De 200 a 300 m",IF(J101&lt;=500,"5. De 300 a 500 m","6. De 500 m a 2 km"))))))</f>
        <v>4. De 200 a 300 m</v>
      </c>
      <c r="L101" s="26" t="n">
        <v>0</v>
      </c>
      <c r="M101" s="26" t="n">
        <v>0</v>
      </c>
      <c r="N101" s="26" t="n">
        <v>0</v>
      </c>
      <c r="O101" s="26" t="n">
        <v>2</v>
      </c>
      <c r="P101" s="30" t="n">
        <v>-12.8009221</v>
      </c>
      <c r="Q101" s="30" t="n">
        <v>-41.3237461</v>
      </c>
      <c r="R101" s="14" t="inlineStr">
        <is>
          <t>FÓRUM DA COMARCA DE ANDARAÍ, PRAÇA SÃO FRANCISCO DE ASSIS, S/N, ALTO DO IBIRAPITANGA -ANDARAÍ/BA</t>
        </is>
      </c>
      <c r="S101" s="26">
        <f>IF(A101=A100,0,1)</f>
        <v>0</v>
      </c>
      <c r="T101" s="26">
        <f>IF(COUNTIF($B$4:B101,B101)=1,1,0)</f>
        <v>0</v>
      </c>
    </row>
    <row r="102">
      <c r="A102" s="14" t="inlineStr">
        <is>
          <t>ANDARAÍ</t>
        </is>
      </c>
      <c r="B102" s="26" t="n">
        <v>119</v>
      </c>
      <c r="C102" s="26" t="n">
        <v>1180</v>
      </c>
      <c r="D102" s="14" t="inlineStr">
        <is>
          <t>ESCOLA DE TEMPO INTEGRAL ILZA GUEDES SILVA</t>
        </is>
      </c>
      <c r="E102" s="14" t="inlineStr">
        <is>
          <t>ASSENTAMENTO ITAGUACU VII</t>
        </is>
      </c>
      <c r="F102" s="14" t="inlineStr">
        <is>
          <t>ASSENTAMENTO ITAGUASSU VII - ZONA RURAL</t>
        </is>
      </c>
      <c r="G102" s="27" t="inlineStr">
        <is>
          <t>46830-000</t>
        </is>
      </c>
      <c r="H102" s="15" t="n">
        <v>2</v>
      </c>
      <c r="I102" s="28" t="inlineStr">
        <is>
          <t>NÃO</t>
        </is>
      </c>
      <c r="J102" s="29" t="n"/>
      <c r="K102" s="14" t="str">
        <f>IF(J102="","7. Acima de 2 km",IF(J102&lt;=50,"1. Até 50 m",IF(J102&lt;=100,"2. De 50 a 100 m",IF(J102&lt;=200,"3. De 100 a 200 m",IF(J102&lt;=300,"4. De 200 a 300 m",IF(J102&lt;=500,"5. De 300 a 500 m","6. De 500 m a 2 km"))))))</f>
        <v>7. Acima de 2 km</v>
      </c>
      <c r="L102" s="26" t="n">
        <v>0</v>
      </c>
      <c r="M102" s="26" t="n">
        <v>0</v>
      </c>
      <c r="N102" s="26" t="n">
        <v>0</v>
      </c>
      <c r="O102" s="26" t="n">
        <v>0</v>
      </c>
      <c r="P102" s="30" t="n">
        <v>-12.6420313</v>
      </c>
      <c r="Q102" s="30" t="n">
        <v>-41.1668323</v>
      </c>
      <c r="R102" s="14" t="inlineStr">
        <is>
          <t>FÓRUM DA COMARCA DE ANDARAÍ, PRAÇA SÃO FRANCISCO DE ASSIS, S/N, ALTO DO IBIRAPITANGA -ANDARAÍ/BA</t>
        </is>
      </c>
      <c r="S102" s="26">
        <f>IF(A102=A101,0,1)</f>
        <v>0</v>
      </c>
      <c r="T102" s="26">
        <f>IF(COUNTIF($B$4:B102,B102)=1,1,0)</f>
        <v>0</v>
      </c>
    </row>
    <row r="103">
      <c r="A103" s="14" t="inlineStr">
        <is>
          <t>ANDARAÍ</t>
        </is>
      </c>
      <c r="B103" s="26" t="n">
        <v>119</v>
      </c>
      <c r="C103" s="26" t="n">
        <v>1201</v>
      </c>
      <c r="D103" s="14" t="inlineStr">
        <is>
          <t>ESCOLA DE TEMPO INTEGRAL FERNANDO GOMES DE AZEVEDO</t>
        </is>
      </c>
      <c r="E103" s="14" t="inlineStr">
        <is>
          <t>ASSENTAMENTO MOCAMBO</t>
        </is>
      </c>
      <c r="F103" s="14" t="inlineStr">
        <is>
          <t>ASSENTAMENTO MOCAMBO - ZONA RURAL</t>
        </is>
      </c>
      <c r="G103" s="27" t="inlineStr">
        <is>
          <t>46830-000</t>
        </is>
      </c>
      <c r="H103" s="15" t="n">
        <v>2</v>
      </c>
      <c r="I103" s="28" t="inlineStr">
        <is>
          <t>NÃO</t>
        </is>
      </c>
      <c r="J103" s="29" t="n"/>
      <c r="K103" s="14" t="str">
        <f>IF(J103="","7. Acima de 2 km",IF(J103&lt;=50,"1. Até 50 m",IF(J103&lt;=100,"2. De 50 a 100 m",IF(J103&lt;=200,"3. De 100 a 200 m",IF(J103&lt;=300,"4. De 200 a 300 m",IF(J103&lt;=500,"5. De 300 a 500 m","6. De 500 m a 2 km"))))))</f>
        <v>7. Acima de 2 km</v>
      </c>
      <c r="L103" s="26" t="n">
        <v>0</v>
      </c>
      <c r="M103" s="26" t="n">
        <v>0</v>
      </c>
      <c r="N103" s="26" t="n">
        <v>0</v>
      </c>
      <c r="O103" s="26" t="n">
        <v>0</v>
      </c>
      <c r="P103" s="30" t="n">
        <v>-12.9083809</v>
      </c>
      <c r="Q103" s="30" t="n">
        <v>-41.2341726</v>
      </c>
      <c r="R103" s="14" t="inlineStr">
        <is>
          <t>FÓRUM DA COMARCA DE ANDARAÍ, PRAÇA SÃO FRANCISCO DE ASSIS, S/N, ALTO DO IBIRAPITANGA -ANDARAÍ/BA</t>
        </is>
      </c>
      <c r="S103" s="26">
        <f>IF(A103=A102,0,1)</f>
        <v>0</v>
      </c>
      <c r="T103" s="26">
        <f>IF(COUNTIF($B$4:B103,B103)=1,1,0)</f>
        <v>0</v>
      </c>
    </row>
    <row r="104">
      <c r="A104" s="14" t="inlineStr">
        <is>
          <t>ANDARAÍ</t>
        </is>
      </c>
      <c r="B104" s="26" t="n">
        <v>119</v>
      </c>
      <c r="C104" s="26" t="n">
        <v>1210</v>
      </c>
      <c r="D104" s="14" t="inlineStr">
        <is>
          <t>CENTRO EDUCACIONAL INFANTIL ERALDO TINOCO</t>
        </is>
      </c>
      <c r="E104" s="14" t="inlineStr">
        <is>
          <t>POVOADO NOVA VISTA</t>
        </is>
      </c>
      <c r="F104" s="14" t="inlineStr">
        <is>
          <t>RUA DR LUIS GONZAGA, S/N, ZONA RURAL</t>
        </is>
      </c>
      <c r="G104" s="27" t="inlineStr">
        <is>
          <t>46830-000</t>
        </is>
      </c>
      <c r="H104" s="15" t="n">
        <v>1</v>
      </c>
      <c r="I104" s="28" t="inlineStr">
        <is>
          <t>NÃO</t>
        </is>
      </c>
      <c r="J104" s="29" t="n"/>
      <c r="K104" s="14" t="str">
        <f>IF(J104="","7. Acima de 2 km",IF(J104&lt;=50,"1. Até 50 m",IF(J104&lt;=100,"2. De 50 a 100 m",IF(J104&lt;=200,"3. De 100 a 200 m",IF(J104&lt;=300,"4. De 200 a 300 m",IF(J104&lt;=500,"5. De 300 a 500 m","6. De 500 m a 2 km"))))))</f>
        <v>7. Acima de 2 km</v>
      </c>
      <c r="L104" s="26" t="n">
        <v>0</v>
      </c>
      <c r="M104" s="26" t="n">
        <v>0</v>
      </c>
      <c r="N104" s="26" t="n">
        <v>0</v>
      </c>
      <c r="O104" s="26" t="n">
        <v>0</v>
      </c>
      <c r="P104" s="30" t="n">
        <v>-12.5904659</v>
      </c>
      <c r="Q104" s="30" t="n">
        <v>-41.1245244</v>
      </c>
      <c r="R104" s="14" t="inlineStr">
        <is>
          <t>FÓRUM DA COMARCA DE ANDARAÍ, PRAÇA SÃO FRANCISCO DE ASSIS, S/N, ALTO DO IBIRAPITANGA -ANDARAÍ/BA</t>
        </is>
      </c>
      <c r="S104" s="26">
        <f>IF(A104=A103,0,1)</f>
        <v>0</v>
      </c>
      <c r="T104" s="26">
        <f>IF(COUNTIF($B$4:B104,B104)=1,1,0)</f>
        <v>0</v>
      </c>
    </row>
    <row r="105">
      <c r="A105" s="14" t="inlineStr">
        <is>
          <t>BARRA DO CHOÇA</t>
        </is>
      </c>
      <c r="B105" s="26" t="n">
        <v>139</v>
      </c>
      <c r="C105" s="26" t="n">
        <v>1015</v>
      </c>
      <c r="D105" s="14" t="inlineStr">
        <is>
          <t>ESCOLA MUNICIPAL ANTÔNIO CARLOS MAGALHÃES</t>
        </is>
      </c>
      <c r="E105" s="14" t="inlineStr">
        <is>
          <t>CENTRO</t>
        </is>
      </c>
      <c r="F105" s="14" t="inlineStr">
        <is>
          <t>PRAÇA DO ESTUDANTE, S/N, ZONA URBANA</t>
        </is>
      </c>
      <c r="G105" s="27" t="inlineStr">
        <is>
          <t>45120-000</t>
        </is>
      </c>
      <c r="H105" s="15" t="n">
        <v>5</v>
      </c>
      <c r="I105" s="28" t="inlineStr">
        <is>
          <t>NÃO</t>
        </is>
      </c>
      <c r="J105" s="29" t="n">
        <v>332.7</v>
      </c>
      <c r="K105" s="14" t="str">
        <f>IF(J105="","7. Acima de 2 km",IF(J105&lt;=50,"1. Até 50 m",IF(J105&lt;=100,"2. De 50 a 100 m",IF(J105&lt;=200,"3. De 100 a 200 m",IF(J105&lt;=300,"4. De 200 a 300 m",IF(J105&lt;=500,"5. De 300 a 500 m","6. De 500 m a 2 km"))))))</f>
        <v>5. De 300 a 500 m</v>
      </c>
      <c r="L105" s="26" t="n">
        <v>0</v>
      </c>
      <c r="M105" s="26" t="n">
        <v>0</v>
      </c>
      <c r="N105" s="26" t="n">
        <v>0</v>
      </c>
      <c r="O105" s="26" t="n">
        <v>0</v>
      </c>
      <c r="P105" s="30" t="n">
        <v>-14.862085</v>
      </c>
      <c r="Q105" s="30" t="n">
        <v>-40.5772383</v>
      </c>
      <c r="R105" s="14" t="inlineStr">
        <is>
          <t>AVENIDA GETÚLIO VARGAS, N. 85, CENTRO, BARRA DO CHOÇA/BA</t>
        </is>
      </c>
      <c r="S105" s="26">
        <f>IF(A105=A104,0,1)</f>
        <v>1</v>
      </c>
      <c r="T105" s="26">
        <f>IF(COUNTIF($B$4:B105,B105)=1,1,0)</f>
        <v>1</v>
      </c>
    </row>
    <row r="106">
      <c r="A106" s="14" t="inlineStr">
        <is>
          <t>BARRA DO CHOÇA</t>
        </is>
      </c>
      <c r="B106" s="26" t="n">
        <v>139</v>
      </c>
      <c r="C106" s="26" t="n">
        <v>1023</v>
      </c>
      <c r="D106" s="14" t="inlineStr">
        <is>
          <t>CEBC - CENTRO EDUCACIONAL MUNICIPAL DE BARRA DO CHOÇA</t>
        </is>
      </c>
      <c r="E106" s="14" t="inlineStr">
        <is>
          <t>CENTRO</t>
        </is>
      </c>
      <c r="F106" s="14" t="inlineStr">
        <is>
          <t>PRAÇA DO ESTUDANTE-S/N-ZONA URBANA</t>
        </is>
      </c>
      <c r="G106" s="27" t="inlineStr">
        <is>
          <t>45120-000</t>
        </is>
      </c>
      <c r="H106" s="15" t="n">
        <v>14</v>
      </c>
      <c r="I106" s="28" t="inlineStr">
        <is>
          <t>NÃO</t>
        </is>
      </c>
      <c r="J106" s="29" t="n">
        <v>427.7</v>
      </c>
      <c r="K106" s="14" t="str">
        <f>IF(J106="","7. Acima de 2 km",IF(J106&lt;=50,"1. Até 50 m",IF(J106&lt;=100,"2. De 50 a 100 m",IF(J106&lt;=200,"3. De 100 a 200 m",IF(J106&lt;=300,"4. De 200 a 300 m",IF(J106&lt;=500,"5. De 300 a 500 m","6. De 500 m a 2 km"))))))</f>
        <v>5. De 300 a 500 m</v>
      </c>
      <c r="L106" s="26" t="n">
        <v>0</v>
      </c>
      <c r="M106" s="26" t="n">
        <v>0</v>
      </c>
      <c r="N106" s="26" t="n">
        <v>0</v>
      </c>
      <c r="O106" s="26" t="n">
        <v>0</v>
      </c>
      <c r="P106" s="30" t="n">
        <v>-14.86138</v>
      </c>
      <c r="Q106" s="30" t="n">
        <v>-40.5754967</v>
      </c>
      <c r="R106" s="14" t="inlineStr">
        <is>
          <t>AVENIDA GETÚLIO VARGAS, N. 85, CENTRO, BARRA DO CHOÇA/BA</t>
        </is>
      </c>
      <c r="S106" s="26">
        <f>IF(A106=A105,0,1)</f>
        <v>0</v>
      </c>
      <c r="T106" s="26">
        <f>IF(COUNTIF($B$4:B106,B106)=1,1,0)</f>
        <v>0</v>
      </c>
    </row>
    <row r="107">
      <c r="A107" s="14" t="inlineStr">
        <is>
          <t>BARRA DO CHOÇA</t>
        </is>
      </c>
      <c r="B107" s="26" t="n">
        <v>139</v>
      </c>
      <c r="C107" s="26" t="n">
        <v>1040</v>
      </c>
      <c r="D107" s="14" t="inlineStr">
        <is>
          <t>UNIDADE MUNICIPAL DE ENSINO CONVENIADA DÁRIA VIANA DE QUEIROZ</t>
        </is>
      </c>
      <c r="E107" s="14" t="inlineStr">
        <is>
          <t>CENTRO</t>
        </is>
      </c>
      <c r="F107" s="14" t="inlineStr">
        <is>
          <t>AV.PROGRESSO-S/N - ZONA URBANA</t>
        </is>
      </c>
      <c r="G107" s="27" t="inlineStr">
        <is>
          <t>45120-000</t>
        </is>
      </c>
      <c r="H107" s="15" t="n">
        <v>7</v>
      </c>
      <c r="I107" s="28" t="inlineStr">
        <is>
          <t>NÃO</t>
        </is>
      </c>
      <c r="J107" s="29" t="n">
        <v>245.2</v>
      </c>
      <c r="K107" s="14" t="str">
        <f>IF(J107="","7. Acima de 2 km",IF(J107&lt;=50,"1. Até 50 m",IF(J107&lt;=100,"2. De 50 a 100 m",IF(J107&lt;=200,"3. De 100 a 200 m",IF(J107&lt;=300,"4. De 200 a 300 m",IF(J107&lt;=500,"5. De 300 a 500 m","6. De 500 m a 2 km"))))))</f>
        <v>4. De 200 a 300 m</v>
      </c>
      <c r="L107" s="26" t="n">
        <v>0</v>
      </c>
      <c r="M107" s="26" t="n">
        <v>0</v>
      </c>
      <c r="N107" s="26" t="n">
        <v>0</v>
      </c>
      <c r="O107" s="26" t="n">
        <v>1</v>
      </c>
      <c r="P107" s="30" t="n">
        <v>-14.86934</v>
      </c>
      <c r="Q107" s="30" t="n">
        <v>-40.5792767</v>
      </c>
      <c r="R107" s="14" t="inlineStr">
        <is>
          <t>AVENIDA GETÚLIO VARGAS, N. 85, CENTRO, BARRA DO CHOÇA/BA</t>
        </is>
      </c>
      <c r="S107" s="26">
        <f>IF(A107=A106,0,1)</f>
        <v>0</v>
      </c>
      <c r="T107" s="26">
        <f>IF(COUNTIF($B$4:B107,B107)=1,1,0)</f>
        <v>0</v>
      </c>
    </row>
    <row r="108">
      <c r="A108" s="14" t="inlineStr">
        <is>
          <t>BARRA DO CHOÇA</t>
        </is>
      </c>
      <c r="B108" s="26" t="n">
        <v>139</v>
      </c>
      <c r="C108" s="26" t="n">
        <v>1066</v>
      </c>
      <c r="D108" s="14" t="inlineStr">
        <is>
          <t>ESCOLA MUNICIPAL MARLENE DO CARMO OLIVEIRA SANTANA</t>
        </is>
      </c>
      <c r="E108" s="14" t="inlineStr">
        <is>
          <t>POVOADO BARRA NOVA</t>
        </is>
      </c>
      <c r="F108" s="14" t="inlineStr">
        <is>
          <t>RUA RUI BARBOSA, S/N - ZONA RURAL</t>
        </is>
      </c>
      <c r="G108" s="27" t="inlineStr">
        <is>
          <t>45120-000</t>
        </is>
      </c>
      <c r="H108" s="15" t="n">
        <v>6</v>
      </c>
      <c r="I108" s="28" t="inlineStr">
        <is>
          <t>NÃO</t>
        </is>
      </c>
      <c r="J108" s="29" t="n"/>
      <c r="K108" s="14" t="str">
        <f>IF(J108="","7. Acima de 2 km",IF(J108&lt;=50,"1. Até 50 m",IF(J108&lt;=100,"2. De 50 a 100 m",IF(J108&lt;=200,"3. De 100 a 200 m",IF(J108&lt;=300,"4. De 200 a 300 m",IF(J108&lt;=500,"5. De 300 a 500 m","6. De 500 m a 2 km"))))))</f>
        <v>7. Acima de 2 km</v>
      </c>
      <c r="L108" s="26" t="n">
        <v>0</v>
      </c>
      <c r="M108" s="26" t="n">
        <v>0</v>
      </c>
      <c r="N108" s="26" t="n">
        <v>0</v>
      </c>
      <c r="O108" s="26" t="n">
        <v>0</v>
      </c>
      <c r="P108" s="30" t="n">
        <v>-14.9702702</v>
      </c>
      <c r="Q108" s="30" t="n">
        <v>-40.5555586</v>
      </c>
      <c r="R108" s="14" t="inlineStr">
        <is>
          <t>AVENIDA GETÚLIO VARGAS, N. 85, CENTRO, BARRA DO CHOÇA/BA</t>
        </is>
      </c>
      <c r="S108" s="26">
        <f>IF(A108=A107,0,1)</f>
        <v>0</v>
      </c>
      <c r="T108" s="26">
        <f>IF(COUNTIF($B$4:B108,B108)=1,1,0)</f>
        <v>0</v>
      </c>
    </row>
    <row r="109">
      <c r="A109" s="14" t="inlineStr">
        <is>
          <t>BARRA DO CHOÇA</t>
        </is>
      </c>
      <c r="B109" s="26" t="n">
        <v>139</v>
      </c>
      <c r="C109" s="26" t="n">
        <v>1104</v>
      </c>
      <c r="D109" s="14" t="inlineStr">
        <is>
          <t>ESCOLA MUNICIPAL JOSENILDO LEITE</t>
        </is>
      </c>
      <c r="E109" s="14" t="inlineStr">
        <is>
          <t>POVOADO BOA VISTA</t>
        </is>
      </c>
      <c r="F109" s="14" t="inlineStr">
        <is>
          <t>POVOADO BOA VISTA - ZONA RURAL</t>
        </is>
      </c>
      <c r="G109" s="27" t="inlineStr">
        <is>
          <t>45120-000</t>
        </is>
      </c>
      <c r="H109" s="15" t="n">
        <v>2</v>
      </c>
      <c r="I109" s="28" t="inlineStr">
        <is>
          <t>NÃO</t>
        </is>
      </c>
      <c r="J109" s="29" t="n"/>
      <c r="K109" s="14" t="str">
        <f>IF(J109="","7. Acima de 2 km",IF(J109&lt;=50,"1. Até 50 m",IF(J109&lt;=100,"2. De 50 a 100 m",IF(J109&lt;=200,"3. De 100 a 200 m",IF(J109&lt;=300,"4. De 200 a 300 m",IF(J109&lt;=500,"5. De 300 a 500 m","6. De 500 m a 2 km"))))))</f>
        <v>7. Acima de 2 km</v>
      </c>
      <c r="L109" s="26" t="n">
        <v>0</v>
      </c>
      <c r="M109" s="26" t="n">
        <v>0</v>
      </c>
      <c r="N109" s="26" t="n">
        <v>0</v>
      </c>
      <c r="O109" s="26" t="n">
        <v>0</v>
      </c>
      <c r="P109" s="30" t="n">
        <v>-14.7813695</v>
      </c>
      <c r="Q109" s="30" t="n">
        <v>-40.4926968</v>
      </c>
      <c r="R109" s="14" t="inlineStr">
        <is>
          <t>AVENIDA GETÚLIO VARGAS, N. 85, CENTRO, BARRA DO CHOÇA/BA</t>
        </is>
      </c>
      <c r="S109" s="26">
        <f>IF(A109=A108,0,1)</f>
        <v>0</v>
      </c>
      <c r="T109" s="26">
        <f>IF(COUNTIF($B$4:B109,B109)=1,1,0)</f>
        <v>0</v>
      </c>
    </row>
    <row r="110">
      <c r="A110" s="14" t="inlineStr">
        <is>
          <t>BARRA DO CHOÇA</t>
        </is>
      </c>
      <c r="B110" s="26" t="n">
        <v>139</v>
      </c>
      <c r="C110" s="26" t="n">
        <v>1112</v>
      </c>
      <c r="D110" s="14" t="inlineStr">
        <is>
          <t>ESCOLA MUNICIPAL JOSÉ DIAS DOS SANTOS</t>
        </is>
      </c>
      <c r="E110" s="14" t="inlineStr">
        <is>
          <t>POVOADO CAFEZAL</t>
        </is>
      </c>
      <c r="F110" s="14" t="inlineStr">
        <is>
          <t>PRAÇA GILDÁSIO CAIRO, SN, CAFEZAL - ZONA RURAL</t>
        </is>
      </c>
      <c r="G110" s="27" t="inlineStr">
        <is>
          <t>45120-000</t>
        </is>
      </c>
      <c r="H110" s="15" t="n">
        <v>5</v>
      </c>
      <c r="I110" s="28" t="inlineStr">
        <is>
          <t>NÃO</t>
        </is>
      </c>
      <c r="J110" s="29" t="n"/>
      <c r="K110" s="14" t="str">
        <f>IF(J110="","7. Acima de 2 km",IF(J110&lt;=50,"1. Até 50 m",IF(J110&lt;=100,"2. De 50 a 100 m",IF(J110&lt;=200,"3. De 100 a 200 m",IF(J110&lt;=300,"4. De 200 a 300 m",IF(J110&lt;=500,"5. De 300 a 500 m","6. De 500 m a 2 km"))))))</f>
        <v>7. Acima de 2 km</v>
      </c>
      <c r="L110" s="26" t="n">
        <v>0</v>
      </c>
      <c r="M110" s="26" t="n">
        <v>0</v>
      </c>
      <c r="N110" s="26" t="n">
        <v>0</v>
      </c>
      <c r="O110" s="26" t="n">
        <v>0</v>
      </c>
      <c r="P110" s="30" t="n">
        <v>-14.893675</v>
      </c>
      <c r="Q110" s="30" t="n">
        <v>-40.6554317</v>
      </c>
      <c r="R110" s="14" t="inlineStr">
        <is>
          <t>AVENIDA GETÚLIO VARGAS, N. 85, CENTRO, BARRA DO CHOÇA/BA</t>
        </is>
      </c>
      <c r="S110" s="26">
        <f>IF(A110=A109,0,1)</f>
        <v>0</v>
      </c>
      <c r="T110" s="26">
        <f>IF(COUNTIF($B$4:B110,B110)=1,1,0)</f>
        <v>0</v>
      </c>
    </row>
    <row r="111">
      <c r="A111" s="14" t="inlineStr">
        <is>
          <t>BARRA DO CHOÇA</t>
        </is>
      </c>
      <c r="B111" s="26" t="n">
        <v>139</v>
      </c>
      <c r="C111" s="26" t="n">
        <v>1120</v>
      </c>
      <c r="D111" s="14" t="inlineStr">
        <is>
          <t>ESCOLA MUNICIPAL SANTO ANTÔNIO</t>
        </is>
      </c>
      <c r="E111" s="14" t="inlineStr">
        <is>
          <t>POVOADO SANTO ANTÔNIO I</t>
        </is>
      </c>
      <c r="F111" s="14" t="inlineStr">
        <is>
          <t>POVOADO SANTO ANÔNIO - ZONA RURAL</t>
        </is>
      </c>
      <c r="G111" s="27" t="inlineStr">
        <is>
          <t>45120-000</t>
        </is>
      </c>
      <c r="H111" s="15" t="n">
        <v>3</v>
      </c>
      <c r="I111" s="28" t="inlineStr">
        <is>
          <t>NÃO</t>
        </is>
      </c>
      <c r="J111" s="29" t="n"/>
      <c r="K111" s="14" t="str">
        <f>IF(J111="","7. Acima de 2 km",IF(J111&lt;=50,"1. Até 50 m",IF(J111&lt;=100,"2. De 50 a 100 m",IF(J111&lt;=200,"3. De 100 a 200 m",IF(J111&lt;=300,"4. De 200 a 300 m",IF(J111&lt;=500,"5. De 300 a 500 m","6. De 500 m a 2 km"))))))</f>
        <v>7. Acima de 2 km</v>
      </c>
      <c r="L111" s="26" t="n">
        <v>0</v>
      </c>
      <c r="M111" s="26" t="n">
        <v>0</v>
      </c>
      <c r="N111" s="26" t="n">
        <v>0</v>
      </c>
      <c r="O111" s="26" t="n">
        <v>0</v>
      </c>
      <c r="P111" s="30" t="n">
        <v>-14.8026591</v>
      </c>
      <c r="Q111" s="30" t="n">
        <v>-40.5470023</v>
      </c>
      <c r="R111" s="14" t="inlineStr">
        <is>
          <t>AVENIDA GETÚLIO VARGAS, N. 85, CENTRO, BARRA DO CHOÇA/BA</t>
        </is>
      </c>
      <c r="S111" s="26">
        <f>IF(A111=A110,0,1)</f>
        <v>0</v>
      </c>
      <c r="T111" s="26">
        <f>IF(COUNTIF($B$4:B111,B111)=1,1,0)</f>
        <v>0</v>
      </c>
    </row>
    <row r="112">
      <c r="A112" s="14" t="inlineStr">
        <is>
          <t>BARRA DO CHOÇA</t>
        </is>
      </c>
      <c r="B112" s="26" t="n">
        <v>139</v>
      </c>
      <c r="C112" s="26" t="n">
        <v>1147</v>
      </c>
      <c r="D112" s="14" t="inlineStr">
        <is>
          <t>ESCOLA ESTADUAL VITÓRIA LIMA DE OLIVEIRA</t>
        </is>
      </c>
      <c r="E112" s="14" t="inlineStr">
        <is>
          <t>POVOADO BARRA NOVA</t>
        </is>
      </c>
      <c r="F112" s="14" t="inlineStr">
        <is>
          <t>POVOADO BARRA NOVA - ZONA RURAL</t>
        </is>
      </c>
      <c r="G112" s="27" t="inlineStr">
        <is>
          <t>45120-000</t>
        </is>
      </c>
      <c r="H112" s="15" t="n">
        <v>5</v>
      </c>
      <c r="I112" s="28" t="inlineStr">
        <is>
          <t>NÃO</t>
        </is>
      </c>
      <c r="J112" s="29" t="n"/>
      <c r="K112" s="14" t="str">
        <f>IF(J112="","7. Acima de 2 km",IF(J112&lt;=50,"1. Até 50 m",IF(J112&lt;=100,"2. De 50 a 100 m",IF(J112&lt;=200,"3. De 100 a 200 m",IF(J112&lt;=300,"4. De 200 a 300 m",IF(J112&lt;=500,"5. De 300 a 500 m","6. De 500 m a 2 km"))))))</f>
        <v>7. Acima de 2 km</v>
      </c>
      <c r="L112" s="26" t="n">
        <v>0</v>
      </c>
      <c r="M112" s="26" t="n">
        <v>0</v>
      </c>
      <c r="N112" s="26" t="n">
        <v>0</v>
      </c>
      <c r="O112" s="26" t="n">
        <v>0</v>
      </c>
      <c r="P112" s="30" t="n">
        <v>-14.9698177</v>
      </c>
      <c r="Q112" s="30" t="n">
        <v>-40.5561919</v>
      </c>
      <c r="R112" s="14" t="inlineStr">
        <is>
          <t>AVENIDA GETÚLIO VARGAS, N. 85, CENTRO, BARRA DO CHOÇA/BA</t>
        </is>
      </c>
      <c r="S112" s="26">
        <f>IF(A112=A111,0,1)</f>
        <v>0</v>
      </c>
      <c r="T112" s="26">
        <f>IF(COUNTIF($B$4:B112,B112)=1,1,0)</f>
        <v>0</v>
      </c>
    </row>
    <row r="113">
      <c r="A113" s="14" t="inlineStr">
        <is>
          <t>BARRA DO CHOÇA</t>
        </is>
      </c>
      <c r="B113" s="26" t="n">
        <v>139</v>
      </c>
      <c r="C113" s="26" t="n">
        <v>1163</v>
      </c>
      <c r="D113" s="14" t="inlineStr">
        <is>
          <t>ESCOLA MUNICIPAL FRANCISCO AMORIM</t>
        </is>
      </c>
      <c r="E113" s="14" t="inlineStr">
        <is>
          <t>CENTRO</t>
        </is>
      </c>
      <c r="F113" s="14" t="inlineStr">
        <is>
          <t>TRAVESSA RODUZINDO SANTOS, S/N - ZONA URBANA</t>
        </is>
      </c>
      <c r="G113" s="27" t="inlineStr">
        <is>
          <t>45120-000</t>
        </is>
      </c>
      <c r="H113" s="15" t="n">
        <v>9</v>
      </c>
      <c r="I113" s="28" t="inlineStr">
        <is>
          <t>NÃO</t>
        </is>
      </c>
      <c r="J113" s="29" t="n">
        <v>488</v>
      </c>
      <c r="K113" s="14" t="str">
        <f>IF(J113="","7. Acima de 2 km",IF(J113&lt;=50,"1. Até 50 m",IF(J113&lt;=100,"2. De 50 a 100 m",IF(J113&lt;=200,"3. De 100 a 200 m",IF(J113&lt;=300,"4. De 200 a 300 m",IF(J113&lt;=500,"5. De 300 a 500 m","6. De 500 m a 2 km"))))))</f>
        <v>5. De 300 a 500 m</v>
      </c>
      <c r="L113" s="26" t="n">
        <v>0</v>
      </c>
      <c r="M113" s="26" t="n">
        <v>0</v>
      </c>
      <c r="N113" s="26" t="n">
        <v>0</v>
      </c>
      <c r="O113" s="26" t="n">
        <v>0</v>
      </c>
      <c r="P113" s="30" t="n">
        <v>-14.86096</v>
      </c>
      <c r="Q113" s="30" t="n">
        <v>-40.5746983</v>
      </c>
      <c r="R113" s="14" t="inlineStr">
        <is>
          <t>AVENIDA GETÚLIO VARGAS, N. 85, CENTRO, BARRA DO CHOÇA/BA</t>
        </is>
      </c>
      <c r="S113" s="26">
        <f>IF(A113=A112,0,1)</f>
        <v>0</v>
      </c>
      <c r="T113" s="26">
        <f>IF(COUNTIF($B$4:B113,B113)=1,1,0)</f>
        <v>0</v>
      </c>
    </row>
    <row r="114">
      <c r="A114" s="14" t="inlineStr">
        <is>
          <t>BARRA DO CHOÇA</t>
        </is>
      </c>
      <c r="B114" s="26" t="n">
        <v>139</v>
      </c>
      <c r="C114" s="26" t="n">
        <v>1171</v>
      </c>
      <c r="D114" s="14" t="inlineStr">
        <is>
          <t>CENTRO EDUCACIONAL MUNICIPAL MANOEL RAMOS</t>
        </is>
      </c>
      <c r="E114" s="14" t="inlineStr">
        <is>
          <t>POVOADO SOSSEGO</t>
        </is>
      </c>
      <c r="F114" s="14" t="inlineStr">
        <is>
          <t>POVOADO SOSSEGO,ZONA RURAL, BARRA DO CHOÇA</t>
        </is>
      </c>
      <c r="G114" s="27" t="inlineStr">
        <is>
          <t>45120-000</t>
        </is>
      </c>
      <c r="H114" s="15" t="n">
        <v>2</v>
      </c>
      <c r="I114" s="28" t="inlineStr">
        <is>
          <t>NÃO</t>
        </is>
      </c>
      <c r="J114" s="29" t="n"/>
      <c r="K114" s="14" t="str">
        <f>IF(J114="","7. Acima de 2 km",IF(J114&lt;=50,"1. Até 50 m",IF(J114&lt;=100,"2. De 50 a 100 m",IF(J114&lt;=200,"3. De 100 a 200 m",IF(J114&lt;=300,"4. De 200 a 300 m",IF(J114&lt;=500,"5. De 300 a 500 m","6. De 500 m a 2 km"))))))</f>
        <v>7. Acima de 2 km</v>
      </c>
      <c r="L114" s="26" t="n">
        <v>0</v>
      </c>
      <c r="M114" s="26" t="n">
        <v>0</v>
      </c>
      <c r="N114" s="26" t="n">
        <v>0</v>
      </c>
      <c r="O114" s="26" t="n">
        <v>0</v>
      </c>
      <c r="P114" s="30" t="n">
        <v>-14.8800266</v>
      </c>
      <c r="Q114" s="30" t="n">
        <v>-40.4475349</v>
      </c>
      <c r="R114" s="14" t="inlineStr">
        <is>
          <t>AVENIDA GETÚLIO VARGAS, N. 85, CENTRO, BARRA DO CHOÇA/BA</t>
        </is>
      </c>
      <c r="S114" s="26">
        <f>IF(A114=A113,0,1)</f>
        <v>0</v>
      </c>
      <c r="T114" s="26">
        <f>IF(COUNTIF($B$4:B114,B114)=1,1,0)</f>
        <v>0</v>
      </c>
    </row>
    <row r="115">
      <c r="A115" s="14" t="inlineStr">
        <is>
          <t>BARRA DO CHOÇA</t>
        </is>
      </c>
      <c r="B115" s="26" t="n">
        <v>139</v>
      </c>
      <c r="C115" s="26" t="n">
        <v>1180</v>
      </c>
      <c r="D115" s="14" t="inlineStr">
        <is>
          <t>ESCOLA MUNICIPAL TEÓDULO LEITE</t>
        </is>
      </c>
      <c r="E115" s="14" t="inlineStr">
        <is>
          <t>OURO VERDE</t>
        </is>
      </c>
      <c r="F115" s="14" t="inlineStr">
        <is>
          <t>RUA ISRAEL TAVARES, SN - ZONA URBANA</t>
        </is>
      </c>
      <c r="G115" s="27" t="inlineStr">
        <is>
          <t>45120-000</t>
        </is>
      </c>
      <c r="H115" s="15" t="n">
        <v>8</v>
      </c>
      <c r="I115" s="28" t="inlineStr">
        <is>
          <t>NÃO</t>
        </is>
      </c>
      <c r="J115" s="29" t="n">
        <v>794.1</v>
      </c>
      <c r="K115" s="14" t="str">
        <f>IF(J115="","7. Acima de 2 km",IF(J115&lt;=50,"1. Até 50 m",IF(J115&lt;=100,"2. De 50 a 100 m",IF(J115&lt;=200,"3. De 100 a 200 m",IF(J115&lt;=300,"4. De 200 a 300 m",IF(J115&lt;=500,"5. De 300 a 500 m","6. De 500 m a 2 km"))))))</f>
        <v>6. De 500 m a 2 km</v>
      </c>
      <c r="L115" s="26" t="n">
        <v>0</v>
      </c>
      <c r="M115" s="26" t="n">
        <v>0</v>
      </c>
      <c r="N115" s="26" t="n">
        <v>0</v>
      </c>
      <c r="O115" s="26" t="n">
        <v>0</v>
      </c>
      <c r="P115" s="30" t="n">
        <v>-14.8670183</v>
      </c>
      <c r="Q115" s="30" t="n">
        <v>-40.5701683</v>
      </c>
      <c r="R115" s="14" t="inlineStr">
        <is>
          <t>AVENIDA GETÚLIO VARGAS, N. 85, CENTRO, BARRA DO CHOÇA/BA</t>
        </is>
      </c>
      <c r="S115" s="26">
        <f>IF(A115=A114,0,1)</f>
        <v>0</v>
      </c>
      <c r="T115" s="26">
        <f>IF(COUNTIF($B$4:B115,B115)=1,1,0)</f>
        <v>0</v>
      </c>
    </row>
    <row r="116">
      <c r="A116" s="14" t="inlineStr">
        <is>
          <t>BARRA DO CHOÇA</t>
        </is>
      </c>
      <c r="B116" s="26" t="n">
        <v>139</v>
      </c>
      <c r="C116" s="26" t="n">
        <v>1201</v>
      </c>
      <c r="D116" s="14" t="inlineStr">
        <is>
          <t>ESCOLA MUNICIPAL JULIANA</t>
        </is>
      </c>
      <c r="E116" s="14" t="inlineStr">
        <is>
          <t>POVOADO CAPÃO VERDE</t>
        </is>
      </c>
      <c r="F116" s="14" t="inlineStr">
        <is>
          <t>POVOADO CAPÃO VERDE - ZONA RURAL</t>
        </is>
      </c>
      <c r="G116" s="27" t="inlineStr">
        <is>
          <t>45120-000</t>
        </is>
      </c>
      <c r="H116" s="15" t="n">
        <v>3</v>
      </c>
      <c r="I116" s="28" t="inlineStr">
        <is>
          <t>NÃO</t>
        </is>
      </c>
      <c r="J116" s="29" t="n"/>
      <c r="K116" s="14" t="str">
        <f>IF(J116="","7. Acima de 2 km",IF(J116&lt;=50,"1. Até 50 m",IF(J116&lt;=100,"2. De 50 a 100 m",IF(J116&lt;=200,"3. De 100 a 200 m",IF(J116&lt;=300,"4. De 200 a 300 m",IF(J116&lt;=500,"5. De 300 a 500 m","6. De 500 m a 2 km"))))))</f>
        <v>7. Acima de 2 km</v>
      </c>
      <c r="L116" s="26" t="n">
        <v>0</v>
      </c>
      <c r="M116" s="26" t="n">
        <v>0</v>
      </c>
      <c r="N116" s="26" t="n">
        <v>0</v>
      </c>
      <c r="O116" s="26" t="n">
        <v>0</v>
      </c>
      <c r="P116" s="30" t="n">
        <v>-15.0442316</v>
      </c>
      <c r="Q116" s="30" t="n">
        <v>-40.6220365</v>
      </c>
      <c r="R116" s="14" t="inlineStr">
        <is>
          <t>AVENIDA GETÚLIO VARGAS, N. 85, CENTRO, BARRA DO CHOÇA/BA</t>
        </is>
      </c>
      <c r="S116" s="26">
        <f>IF(A116=A115,0,1)</f>
        <v>0</v>
      </c>
      <c r="T116" s="26">
        <f>IF(COUNTIF($B$4:B116,B116)=1,1,0)</f>
        <v>0</v>
      </c>
    </row>
    <row r="117">
      <c r="A117" s="14" t="inlineStr">
        <is>
          <t>BARRA DO CHOÇA</t>
        </is>
      </c>
      <c r="B117" s="26" t="n">
        <v>139</v>
      </c>
      <c r="C117" s="26" t="n">
        <v>1210</v>
      </c>
      <c r="D117" s="14" t="inlineStr">
        <is>
          <t>ESCOLA MUNICIPAL PROFESSORA MARIA DA GLÓRIA AMORIM CÔRTES</t>
        </is>
      </c>
      <c r="E117" s="14" t="inlineStr">
        <is>
          <t>OURO VERDE</t>
        </is>
      </c>
      <c r="F117" s="14" t="inlineStr">
        <is>
          <t>RUA ISRAEL TAVARES, N 659 - ZONA URBANA</t>
        </is>
      </c>
      <c r="G117" s="27" t="inlineStr">
        <is>
          <t>45120-000</t>
        </is>
      </c>
      <c r="H117" s="15" t="n">
        <v>5</v>
      </c>
      <c r="I117" s="28" t="inlineStr">
        <is>
          <t>NÃO</t>
        </is>
      </c>
      <c r="J117" s="29" t="n">
        <v>630.8</v>
      </c>
      <c r="K117" s="14" t="str">
        <f>IF(J117="","7. Acima de 2 km",IF(J117&lt;=50,"1. Até 50 m",IF(J117&lt;=100,"2. De 50 a 100 m",IF(J117&lt;=200,"3. De 100 a 200 m",IF(J117&lt;=300,"4. De 200 a 300 m",IF(J117&lt;=500,"5. De 300 a 500 m","6. De 500 m a 2 km"))))))</f>
        <v>6. De 500 m a 2 km</v>
      </c>
      <c r="L117" s="26" t="n">
        <v>0</v>
      </c>
      <c r="M117" s="26" t="n">
        <v>0</v>
      </c>
      <c r="N117" s="26" t="n">
        <v>0</v>
      </c>
      <c r="O117" s="26" t="n">
        <v>0</v>
      </c>
      <c r="P117" s="30" t="n">
        <v>-14.865793</v>
      </c>
      <c r="Q117" s="30" t="n">
        <v>-40.5727501</v>
      </c>
      <c r="R117" s="14" t="inlineStr">
        <is>
          <t>AVENIDA GETÚLIO VARGAS, N. 85, CENTRO, BARRA DO CHOÇA/BA</t>
        </is>
      </c>
      <c r="S117" s="26">
        <f>IF(A117=A116,0,1)</f>
        <v>0</v>
      </c>
      <c r="T117" s="26">
        <f>IF(COUNTIF($B$4:B117,B117)=1,1,0)</f>
        <v>0</v>
      </c>
    </row>
    <row r="118">
      <c r="A118" s="14" t="inlineStr">
        <is>
          <t>BARRA DO CHOÇA</t>
        </is>
      </c>
      <c r="B118" s="26" t="n">
        <v>139</v>
      </c>
      <c r="C118" s="26" t="n">
        <v>1228</v>
      </c>
      <c r="D118" s="14" t="inlineStr">
        <is>
          <t>ESCOLA MUNICIPAL PRESIDENTE MÉDICI</t>
        </is>
      </c>
      <c r="E118" s="14" t="inlineStr">
        <is>
          <t>POVOADO CAVADA</t>
        </is>
      </c>
      <c r="F118" s="14" t="inlineStr">
        <is>
          <t>POVOADO DA CAVADA - ZONA RURAL, BARRA DO CHOÇA</t>
        </is>
      </c>
      <c r="G118" s="27" t="inlineStr">
        <is>
          <t>45120-000</t>
        </is>
      </c>
      <c r="H118" s="15" t="n">
        <v>2</v>
      </c>
      <c r="I118" s="28" t="inlineStr">
        <is>
          <t>NÃO</t>
        </is>
      </c>
      <c r="J118" s="29" t="n"/>
      <c r="K118" s="14" t="str">
        <f>IF(J118="","7. Acima de 2 km",IF(J118&lt;=50,"1. Até 50 m",IF(J118&lt;=100,"2. De 50 a 100 m",IF(J118&lt;=200,"3. De 100 a 200 m",IF(J118&lt;=300,"4. De 200 a 300 m",IF(J118&lt;=500,"5. De 300 a 500 m","6. De 500 m a 2 km"))))))</f>
        <v>7. Acima de 2 km</v>
      </c>
      <c r="L118" s="26" t="n">
        <v>0</v>
      </c>
      <c r="M118" s="26" t="n">
        <v>0</v>
      </c>
      <c r="N118" s="26" t="n">
        <v>0</v>
      </c>
      <c r="O118" s="26" t="n">
        <v>0</v>
      </c>
      <c r="P118" s="30" t="n">
        <v>-14.9917672</v>
      </c>
      <c r="Q118" s="30" t="n">
        <v>-40.5832873</v>
      </c>
      <c r="R118" s="14" t="inlineStr">
        <is>
          <t>AVENIDA GETÚLIO VARGAS, N. 85, CENTRO, BARRA DO CHOÇA/BA</t>
        </is>
      </c>
      <c r="S118" s="26">
        <f>IF(A118=A117,0,1)</f>
        <v>0</v>
      </c>
      <c r="T118" s="26">
        <f>IF(COUNTIF($B$4:B118,B118)=1,1,0)</f>
        <v>0</v>
      </c>
    </row>
    <row r="119">
      <c r="A119" s="14" t="inlineStr">
        <is>
          <t>BARRA DO CHOÇA</t>
        </is>
      </c>
      <c r="B119" s="26" t="n">
        <v>139</v>
      </c>
      <c r="C119" s="26" t="n">
        <v>1236</v>
      </c>
      <c r="D119" s="14" t="inlineStr">
        <is>
          <t>ESCOLA MUNICIPAL VIEIRA DE MELO</t>
        </is>
      </c>
      <c r="E119" s="14" t="inlineStr">
        <is>
          <t>POVOADO PAU BRASIL</t>
        </is>
      </c>
      <c r="F119" s="14" t="inlineStr">
        <is>
          <t>POVOADO PAU BRASIL - ZONA RURAL</t>
        </is>
      </c>
      <c r="G119" s="27" t="inlineStr">
        <is>
          <t>45120-000</t>
        </is>
      </c>
      <c r="H119" s="15" t="n">
        <v>3</v>
      </c>
      <c r="I119" s="28" t="inlineStr">
        <is>
          <t>NÃO</t>
        </is>
      </c>
      <c r="J119" s="29" t="n"/>
      <c r="K119" s="14" t="str">
        <f>IF(J119="","7. Acima de 2 km",IF(J119&lt;=50,"1. Até 50 m",IF(J119&lt;=100,"2. De 50 a 100 m",IF(J119&lt;=200,"3. De 100 a 200 m",IF(J119&lt;=300,"4. De 200 a 300 m",IF(J119&lt;=500,"5. De 300 a 500 m","6. De 500 m a 2 km"))))))</f>
        <v>7. Acima de 2 km</v>
      </c>
      <c r="L119" s="26" t="n">
        <v>0</v>
      </c>
      <c r="M119" s="26" t="n">
        <v>0</v>
      </c>
      <c r="N119" s="26" t="n">
        <v>0</v>
      </c>
      <c r="O119" s="26" t="n">
        <v>0</v>
      </c>
      <c r="P119" s="30" t="n">
        <v>-14.9847023</v>
      </c>
      <c r="Q119" s="30" t="n">
        <v>-40.6359047</v>
      </c>
      <c r="R119" s="14" t="inlineStr">
        <is>
          <t>AVENIDA GETÚLIO VARGAS, N. 85, CENTRO, BARRA DO CHOÇA/BA</t>
        </is>
      </c>
      <c r="S119" s="26">
        <f>IF(A119=A118,0,1)</f>
        <v>0</v>
      </c>
      <c r="T119" s="26">
        <f>IF(COUNTIF($B$4:B119,B119)=1,1,0)</f>
        <v>0</v>
      </c>
    </row>
    <row r="120">
      <c r="A120" s="14" t="inlineStr">
        <is>
          <t>BARRA DO CHOÇA</t>
        </is>
      </c>
      <c r="B120" s="26" t="n">
        <v>139</v>
      </c>
      <c r="C120" s="26" t="n">
        <v>1252</v>
      </c>
      <c r="D120" s="14" t="inlineStr">
        <is>
          <t>CEJA - CENTRO EDUCACIONAL PROFESSOR JOSÉ XAVIER DE AMORIM PRIMO</t>
        </is>
      </c>
      <c r="E120" s="14" t="inlineStr">
        <is>
          <t>PRIMAVERA</t>
        </is>
      </c>
      <c r="F120" s="14" t="inlineStr">
        <is>
          <t>RUA NILZA MATOS, N. 230 - ZONA URBANA</t>
        </is>
      </c>
      <c r="G120" s="27" t="inlineStr">
        <is>
          <t>45120-000</t>
        </is>
      </c>
      <c r="H120" s="15" t="n">
        <v>9</v>
      </c>
      <c r="I120" s="28" t="inlineStr">
        <is>
          <t>NÃO</t>
        </is>
      </c>
      <c r="J120" s="29" t="n">
        <v>315.8</v>
      </c>
      <c r="K120" s="14" t="str">
        <f>IF(J120="","7. Acima de 2 km",IF(J120&lt;=50,"1. Até 50 m",IF(J120&lt;=100,"2. De 50 a 100 m",IF(J120&lt;=200,"3. De 100 a 200 m",IF(J120&lt;=300,"4. De 200 a 300 m",IF(J120&lt;=500,"5. De 300 a 500 m","6. De 500 m a 2 km"))))))</f>
        <v>5. De 300 a 500 m</v>
      </c>
      <c r="L120" s="26" t="n">
        <v>0</v>
      </c>
      <c r="M120" s="26" t="n">
        <v>0</v>
      </c>
      <c r="N120" s="26" t="n">
        <v>0</v>
      </c>
      <c r="O120" s="26" t="n">
        <v>0</v>
      </c>
      <c r="P120" s="30" t="n">
        <v>-14.8608132</v>
      </c>
      <c r="Q120" s="30" t="n">
        <v>-40.567245</v>
      </c>
      <c r="R120" s="14" t="inlineStr">
        <is>
          <t>AVENIDA GETÚLIO VARGAS, N. 85, CENTRO, BARRA DO CHOÇA/BA</t>
        </is>
      </c>
      <c r="S120" s="26">
        <f>IF(A120=A119,0,1)</f>
        <v>0</v>
      </c>
      <c r="T120" s="26">
        <f>IF(COUNTIF($B$4:B120,B120)=1,1,0)</f>
        <v>0</v>
      </c>
    </row>
    <row r="121">
      <c r="A121" s="14" t="inlineStr">
        <is>
          <t>BARRA DO CHOÇA</t>
        </is>
      </c>
      <c r="B121" s="26" t="n">
        <v>139</v>
      </c>
      <c r="C121" s="26" t="n">
        <v>1260</v>
      </c>
      <c r="D121" s="14" t="inlineStr">
        <is>
          <t>CEBN - CENTRO EDUCACIONAL DE BARRA NOVA</t>
        </is>
      </c>
      <c r="E121" s="14" t="inlineStr">
        <is>
          <t>POVOADO BARRA NOVA</t>
        </is>
      </c>
      <c r="F121" s="14" t="inlineStr">
        <is>
          <t>RUA VALDEMAR FERNANDES, N 542, POVOADO BARRA NOVA - ZONA RURAL</t>
        </is>
      </c>
      <c r="G121" s="27" t="inlineStr">
        <is>
          <t>45120-000</t>
        </is>
      </c>
      <c r="H121" s="15" t="n">
        <v>5</v>
      </c>
      <c r="I121" s="28" t="inlineStr">
        <is>
          <t>NÃO</t>
        </is>
      </c>
      <c r="J121" s="29" t="n"/>
      <c r="K121" s="14" t="str">
        <f>IF(J121="","7. Acima de 2 km",IF(J121&lt;=50,"1. Até 50 m",IF(J121&lt;=100,"2. De 50 a 100 m",IF(J121&lt;=200,"3. De 100 a 200 m",IF(J121&lt;=300,"4. De 200 a 300 m",IF(J121&lt;=500,"5. De 300 a 500 m","6. De 500 m a 2 km"))))))</f>
        <v>7. Acima de 2 km</v>
      </c>
      <c r="L121" s="26" t="n">
        <v>0</v>
      </c>
      <c r="M121" s="26" t="n">
        <v>0</v>
      </c>
      <c r="N121" s="26" t="n">
        <v>0</v>
      </c>
      <c r="O121" s="26" t="n">
        <v>0</v>
      </c>
      <c r="P121" s="30" t="n">
        <v>-14.968635</v>
      </c>
      <c r="Q121" s="30" t="n">
        <v>-40.55429</v>
      </c>
      <c r="R121" s="14" t="inlineStr">
        <is>
          <t>AVENIDA GETÚLIO VARGAS, N. 85, CENTRO, BARRA DO CHOÇA/BA</t>
        </is>
      </c>
      <c r="S121" s="26">
        <f>IF(A121=A120,0,1)</f>
        <v>0</v>
      </c>
      <c r="T121" s="26">
        <f>IF(COUNTIF($B$4:B121,B121)=1,1,0)</f>
        <v>0</v>
      </c>
    </row>
    <row r="122">
      <c r="A122" s="14" t="inlineStr">
        <is>
          <t>BARRA DO CHOÇA</t>
        </is>
      </c>
      <c r="B122" s="26" t="n">
        <v>139</v>
      </c>
      <c r="C122" s="26" t="n">
        <v>1279</v>
      </c>
      <c r="D122" s="14" t="inlineStr">
        <is>
          <t>ESCOLA ANA NERY</t>
        </is>
      </c>
      <c r="E122" s="14" t="inlineStr">
        <is>
          <t>POVOADO VILA DIAS</t>
        </is>
      </c>
      <c r="F122" s="14" t="inlineStr">
        <is>
          <t>POVOADO VILA DIAS, BARRA DO CHOÇA - ZONA RURAL</t>
        </is>
      </c>
      <c r="G122" s="27" t="inlineStr">
        <is>
          <t>45120-000</t>
        </is>
      </c>
      <c r="H122" s="15" t="n">
        <v>1</v>
      </c>
      <c r="I122" s="28" t="inlineStr">
        <is>
          <t>NÃO</t>
        </is>
      </c>
      <c r="J122" s="29" t="n">
        <v>1605.7</v>
      </c>
      <c r="K122" s="14" t="str">
        <f>IF(J122="","7. Acima de 2 km",IF(J122&lt;=50,"1. Até 50 m",IF(J122&lt;=100,"2. De 50 a 100 m",IF(J122&lt;=200,"3. De 100 a 200 m",IF(J122&lt;=300,"4. De 200 a 300 m",IF(J122&lt;=500,"5. De 300 a 500 m","6. De 500 m a 2 km"))))))</f>
        <v>6. De 500 m a 2 km</v>
      </c>
      <c r="L122" s="26" t="n">
        <v>0</v>
      </c>
      <c r="M122" s="26" t="n">
        <v>0</v>
      </c>
      <c r="N122" s="26" t="n">
        <v>0</v>
      </c>
      <c r="O122" s="26" t="n">
        <v>0</v>
      </c>
      <c r="P122" s="30" t="n">
        <v>-14.8451167</v>
      </c>
      <c r="Q122" s="30" t="n">
        <v>-40.579145</v>
      </c>
      <c r="R122" s="14" t="inlineStr">
        <is>
          <t>AVENIDA GETÚLIO VARGAS, N. 85, CENTRO, BARRA DO CHOÇA/BA</t>
        </is>
      </c>
      <c r="S122" s="26">
        <f>IF(A122=A121,0,1)</f>
        <v>0</v>
      </c>
      <c r="T122" s="26">
        <f>IF(COUNTIF($B$4:B122,B122)=1,1,0)</f>
        <v>0</v>
      </c>
    </row>
    <row r="123">
      <c r="A123" s="14" t="inlineStr">
        <is>
          <t>BARRA DO CHOÇA</t>
        </is>
      </c>
      <c r="B123" s="26" t="n">
        <v>139</v>
      </c>
      <c r="C123" s="26" t="n">
        <v>1317</v>
      </c>
      <c r="D123" s="14" t="inlineStr">
        <is>
          <t>CEMEI - PROF. FRANCISCO DE ASSIS AMORIM BOMFIM</t>
        </is>
      </c>
      <c r="E123" s="14" t="inlineStr">
        <is>
          <t>BARRA DO CHOÇA</t>
        </is>
      </c>
      <c r="F123" s="14" t="inlineStr">
        <is>
          <t>AVENIDA JOÃO DI LAURO, N. 663, PEDRO SANTINO, ZONA URBANA</t>
        </is>
      </c>
      <c r="G123" s="27" t="inlineStr">
        <is>
          <t>45120-000</t>
        </is>
      </c>
      <c r="H123" s="15" t="n">
        <v>5</v>
      </c>
      <c r="I123" s="28" t="inlineStr">
        <is>
          <t>NÃO</t>
        </is>
      </c>
      <c r="J123" s="29" t="n">
        <v>478.9</v>
      </c>
      <c r="K123" s="14" t="str">
        <f>IF(J123="","7. Acima de 2 km",IF(J123&lt;=50,"1. Até 50 m",IF(J123&lt;=100,"2. De 50 a 100 m",IF(J123&lt;=200,"3. De 100 a 200 m",IF(J123&lt;=300,"4. De 200 a 300 m",IF(J123&lt;=500,"5. De 300 a 500 m","6. De 500 m a 2 km"))))))</f>
        <v>5. De 300 a 500 m</v>
      </c>
      <c r="L123" s="26" t="n">
        <v>0</v>
      </c>
      <c r="M123" s="26" t="n">
        <v>0</v>
      </c>
      <c r="N123" s="26" t="n">
        <v>0</v>
      </c>
      <c r="O123" s="26" t="n">
        <v>0</v>
      </c>
      <c r="P123" s="30" t="n">
        <v>-14.8754433</v>
      </c>
      <c r="Q123" s="30" t="n">
        <v>-40.5795733</v>
      </c>
      <c r="R123" s="14" t="inlineStr">
        <is>
          <t>AVENIDA GETÚLIO VARGAS, N. 85, CENTRO, BARRA DO CHOÇA/BA</t>
        </is>
      </c>
      <c r="S123" s="26">
        <f>IF(A123=A122,0,1)</f>
        <v>0</v>
      </c>
      <c r="T123" s="26">
        <f>IF(COUNTIF($B$4:B123,B123)=1,1,0)</f>
        <v>0</v>
      </c>
    </row>
    <row r="124">
      <c r="A124" s="14" t="inlineStr">
        <is>
          <t>BARRA DO CHOÇA</t>
        </is>
      </c>
      <c r="B124" s="26" t="n">
        <v>139</v>
      </c>
      <c r="C124" s="26" t="n">
        <v>1333</v>
      </c>
      <c r="D124" s="14" t="inlineStr">
        <is>
          <t>CENTRO CULTURAL JOÃO CARANHA</t>
        </is>
      </c>
      <c r="E124" s="14" t="inlineStr">
        <is>
          <t>CENTRO</t>
        </is>
      </c>
      <c r="F124" s="14" t="inlineStr">
        <is>
          <t>AVENIDA GETÚLIO VARGAS, SEM NÚMERO - ZONA URBANA</t>
        </is>
      </c>
      <c r="G124" s="27" t="inlineStr">
        <is>
          <t>45120-000</t>
        </is>
      </c>
      <c r="H124" s="15" t="n">
        <v>2</v>
      </c>
      <c r="I124" s="28" t="inlineStr">
        <is>
          <t>NÃO</t>
        </is>
      </c>
      <c r="J124" s="29" t="n">
        <v>131.2</v>
      </c>
      <c r="K124" s="14" t="str">
        <f>IF(J124="","7. Acima de 2 km",IF(J124&lt;=50,"1. Até 50 m",IF(J124&lt;=100,"2. De 50 a 100 m",IF(J124&lt;=200,"3. De 100 a 200 m",IF(J124&lt;=300,"4. De 200 a 300 m",IF(J124&lt;=500,"5. De 300 a 500 m","6. De 500 m a 2 km"))))))</f>
        <v>3. De 100 a 200 m</v>
      </c>
      <c r="L124" s="26" t="n">
        <v>0</v>
      </c>
      <c r="M124" s="26" t="n">
        <v>0</v>
      </c>
      <c r="N124" s="26" t="n">
        <v>1</v>
      </c>
      <c r="O124" s="26" t="n">
        <v>1</v>
      </c>
      <c r="P124" s="30" t="n">
        <v>-14.8583833</v>
      </c>
      <c r="Q124" s="30" t="n">
        <v>-40.5791333</v>
      </c>
      <c r="R124" s="14" t="inlineStr">
        <is>
          <t>AVENIDA GETÚLIO VARGAS, N. 85, CENTRO, BARRA DO CHOÇA/BA</t>
        </is>
      </c>
      <c r="S124" s="26">
        <f>IF(A124=A123,0,1)</f>
        <v>0</v>
      </c>
      <c r="T124" s="26">
        <f>IF(COUNTIF($B$4:B124,B124)=1,1,0)</f>
        <v>0</v>
      </c>
    </row>
    <row r="125">
      <c r="A125" s="14" t="inlineStr">
        <is>
          <t>BARRA DO CHOÇA</t>
        </is>
      </c>
      <c r="B125" s="26" t="n">
        <v>139</v>
      </c>
      <c r="C125" s="26" t="n">
        <v>1341</v>
      </c>
      <c r="D125" s="14" t="inlineStr">
        <is>
          <t>SALÃO COMUNITÁRIO VILA DIAS</t>
        </is>
      </c>
      <c r="E125" s="14" t="inlineStr">
        <is>
          <t>POVOADO VILA DIAS</t>
        </is>
      </c>
      <c r="F125" s="14" t="inlineStr">
        <is>
          <t>POVOADO VILA DIAS, BARRA DO CHOÇA, ZONA RURAL</t>
        </is>
      </c>
      <c r="G125" s="27" t="inlineStr">
        <is>
          <t>45120-000</t>
        </is>
      </c>
      <c r="H125" s="15" t="n">
        <v>1</v>
      </c>
      <c r="I125" s="28" t="inlineStr">
        <is>
          <t>NÃO</t>
        </is>
      </c>
      <c r="J125" s="29" t="n">
        <v>1611.7</v>
      </c>
      <c r="K125" s="14" t="str">
        <f>IF(J125="","7. Acima de 2 km",IF(J125&lt;=50,"1. Até 50 m",IF(J125&lt;=100,"2. De 50 a 100 m",IF(J125&lt;=200,"3. De 100 a 200 m",IF(J125&lt;=300,"4. De 200 a 300 m",IF(J125&lt;=500,"5. De 300 a 500 m","6. De 500 m a 2 km"))))))</f>
        <v>6. De 500 m a 2 km</v>
      </c>
      <c r="L125" s="26" t="n">
        <v>0</v>
      </c>
      <c r="M125" s="26" t="n">
        <v>0</v>
      </c>
      <c r="N125" s="26" t="n">
        <v>0</v>
      </c>
      <c r="O125" s="26" t="n">
        <v>0</v>
      </c>
      <c r="P125" s="30" t="n">
        <v>-14.8450617</v>
      </c>
      <c r="Q125" s="30" t="n">
        <v>-40.5790917</v>
      </c>
      <c r="R125" s="14" t="inlineStr">
        <is>
          <t>AVENIDA GETÚLIO VARGAS, N. 85, CENTRO, BARRA DO CHOÇA/BA</t>
        </is>
      </c>
      <c r="S125" s="26">
        <f>IF(A125=A124,0,1)</f>
        <v>0</v>
      </c>
      <c r="T125" s="26">
        <f>IF(COUNTIF($B$4:B125,B125)=1,1,0)</f>
        <v>0</v>
      </c>
    </row>
    <row r="126">
      <c r="A126" s="14" t="inlineStr">
        <is>
          <t>BARRA DO CHOÇA</t>
        </is>
      </c>
      <c r="B126" s="26" t="n">
        <v>139</v>
      </c>
      <c r="C126" s="26" t="n">
        <v>1376</v>
      </c>
      <c r="D126" s="14" t="inlineStr">
        <is>
          <t>CETI - COLÉGIO ESTADUAL DE TEMPO INTEGRAL</t>
        </is>
      </c>
      <c r="E126" s="14" t="inlineStr">
        <is>
          <t>BELA VISTA</t>
        </is>
      </c>
      <c r="F126" s="14" t="inlineStr">
        <is>
          <t>RUA BELA VISTA, N. 1055, BELA VISTA, ZONA URBANA, BARRA DO CHOÇA</t>
        </is>
      </c>
      <c r="G126" s="27" t="inlineStr">
        <is>
          <t>45120-000</t>
        </is>
      </c>
      <c r="H126" s="15" t="n">
        <v>7</v>
      </c>
      <c r="I126" s="28" t="inlineStr">
        <is>
          <t>NÃO</t>
        </is>
      </c>
      <c r="J126" s="29" t="n">
        <v>197.1</v>
      </c>
      <c r="K126" s="14" t="str">
        <f>IF(J126="","7. Acima de 2 km",IF(J126&lt;=50,"1. Até 50 m",IF(J126&lt;=100,"2. De 50 a 100 m",IF(J126&lt;=200,"3. De 100 a 200 m",IF(J126&lt;=300,"4. De 200 a 300 m",IF(J126&lt;=500,"5. De 300 a 500 m","6. De 500 m a 2 km"))))))</f>
        <v>3. De 100 a 200 m</v>
      </c>
      <c r="L126" s="26" t="n">
        <v>0</v>
      </c>
      <c r="M126" s="26" t="n">
        <v>0</v>
      </c>
      <c r="N126" s="26" t="n">
        <v>1</v>
      </c>
      <c r="O126" s="26" t="n">
        <v>1</v>
      </c>
      <c r="P126" s="30" t="n">
        <v>-14.8751863</v>
      </c>
      <c r="Q126" s="30" t="n">
        <v>-40.5831227</v>
      </c>
      <c r="R126" s="14" t="inlineStr">
        <is>
          <t>AVENIDA GETÚLIO VARGAS, N. 85, CENTRO, BARRA DO CHOÇA/BA</t>
        </is>
      </c>
      <c r="S126" s="26">
        <f>IF(A126=A125,0,1)</f>
        <v>0</v>
      </c>
      <c r="T126" s="26">
        <f>IF(COUNTIF($B$4:B126,B126)=1,1,0)</f>
        <v>0</v>
      </c>
    </row>
    <row r="127">
      <c r="A127" s="14" t="inlineStr">
        <is>
          <t>BARRA DO CHOÇA</t>
        </is>
      </c>
      <c r="B127" s="26" t="n">
        <v>139</v>
      </c>
      <c r="C127" s="26" t="n">
        <v>1384</v>
      </c>
      <c r="D127" s="14" t="inlineStr">
        <is>
          <t>ESCOLA MUNICIPAL IDÁLIA GALDINO COSTA/STO ANTÔNIO II</t>
        </is>
      </c>
      <c r="E127" s="14" t="inlineStr">
        <is>
          <t>POVOADO SANTO ANTÔNIO II</t>
        </is>
      </c>
      <c r="F127" s="14" t="inlineStr">
        <is>
          <t>POVOADO SANTO ANTÔNIO II, ZONA RURAL, BARRA DO CHOÇA</t>
        </is>
      </c>
      <c r="G127" s="27" t="inlineStr">
        <is>
          <t>45120-000</t>
        </is>
      </c>
      <c r="H127" s="15" t="n">
        <v>1</v>
      </c>
      <c r="I127" s="28" t="inlineStr">
        <is>
          <t>NÃO</t>
        </is>
      </c>
      <c r="J127" s="29" t="n"/>
      <c r="K127" s="14" t="str">
        <f>IF(J127="","7. Acima de 2 km",IF(J127&lt;=50,"1. Até 50 m",IF(J127&lt;=100,"2. De 50 a 100 m",IF(J127&lt;=200,"3. De 100 a 200 m",IF(J127&lt;=300,"4. De 200 a 300 m",IF(J127&lt;=500,"5. De 300 a 500 m","6. De 500 m a 2 km"))))))</f>
        <v>7. Acima de 2 km</v>
      </c>
      <c r="L127" s="26" t="n">
        <v>0</v>
      </c>
      <c r="M127" s="26" t="n">
        <v>0</v>
      </c>
      <c r="N127" s="26" t="n">
        <v>0</v>
      </c>
      <c r="O127" s="26" t="n">
        <v>0</v>
      </c>
      <c r="P127" s="30" t="n">
        <v>-14.8006447</v>
      </c>
      <c r="Q127" s="30" t="n">
        <v>-40.5349714</v>
      </c>
      <c r="R127" s="14" t="inlineStr">
        <is>
          <t>AVENIDA GETÚLIO VARGAS, N. 85, CENTRO, BARRA DO CHOÇA/BA</t>
        </is>
      </c>
      <c r="S127" s="26">
        <f>IF(A127=A126,0,1)</f>
        <v>0</v>
      </c>
      <c r="T127" s="26">
        <f>IF(COUNTIF($B$4:B127,B127)=1,1,0)</f>
        <v>0</v>
      </c>
    </row>
    <row r="128">
      <c r="A128" s="14" t="inlineStr">
        <is>
          <t>BARRA DO CHOÇA</t>
        </is>
      </c>
      <c r="B128" s="26" t="n">
        <v>139</v>
      </c>
      <c r="C128" s="26" t="n">
        <v>1422</v>
      </c>
      <c r="D128" s="14" t="inlineStr">
        <is>
          <t>ANEXO DO MANOEL RAMOS</t>
        </is>
      </c>
      <c r="E128" s="14" t="inlineStr">
        <is>
          <t>POVOADO SOSSEGO</t>
        </is>
      </c>
      <c r="F128" s="14" t="inlineStr">
        <is>
          <t>POVOADO SOSSEGO, BARRA DO CHOÇA, ZONA RURAL</t>
        </is>
      </c>
      <c r="G128" s="27" t="inlineStr">
        <is>
          <t>45120-000</t>
        </is>
      </c>
      <c r="H128" s="15" t="n">
        <v>1</v>
      </c>
      <c r="I128" s="28" t="inlineStr">
        <is>
          <t>NÃO</t>
        </is>
      </c>
      <c r="J128" s="29" t="n"/>
      <c r="K128" s="14" t="str">
        <f>IF(J128="","7. Acima de 2 km",IF(J128&lt;=50,"1. Até 50 m",IF(J128&lt;=100,"2. De 50 a 100 m",IF(J128&lt;=200,"3. De 100 a 200 m",IF(J128&lt;=300,"4. De 200 a 300 m",IF(J128&lt;=500,"5. De 300 a 500 m","6. De 500 m a 2 km"))))))</f>
        <v>7. Acima de 2 km</v>
      </c>
      <c r="L128" s="26" t="n">
        <v>0</v>
      </c>
      <c r="M128" s="26" t="n">
        <v>0</v>
      </c>
      <c r="N128" s="26" t="n">
        <v>0</v>
      </c>
      <c r="O128" s="26" t="n">
        <v>0</v>
      </c>
      <c r="P128" s="30" t="n">
        <v>-14.8801866</v>
      </c>
      <c r="Q128" s="30" t="n">
        <v>-40.4474218</v>
      </c>
      <c r="R128" s="14" t="inlineStr">
        <is>
          <t>AVENIDA GETÚLIO VARGAS, N. 85, CENTRO, BARRA DO CHOÇA/BA</t>
        </is>
      </c>
      <c r="S128" s="26">
        <f>IF(A128=A127,0,1)</f>
        <v>0</v>
      </c>
      <c r="T128" s="26">
        <f>IF(COUNTIF($B$4:B128,B128)=1,1,0)</f>
        <v>0</v>
      </c>
    </row>
    <row r="129">
      <c r="A129" s="14" t="inlineStr">
        <is>
          <t>BARREIRAS</t>
        </is>
      </c>
      <c r="B129" s="26" t="n">
        <v>70</v>
      </c>
      <c r="C129" s="26" t="n">
        <v>1015</v>
      </c>
      <c r="D129" s="14" t="inlineStr">
        <is>
          <t>ESCOLA DR. JOSE DA COSTA BORGES</t>
        </is>
      </c>
      <c r="E129" s="14" t="inlineStr">
        <is>
          <t>CENTRO</t>
        </is>
      </c>
      <c r="F129" s="14" t="inlineStr">
        <is>
          <t>AV PROFESSORA GUIOMAR PORTO, S/N  - ZONA URBANA</t>
        </is>
      </c>
      <c r="G129" s="27" t="inlineStr">
        <is>
          <t>47800-000</t>
        </is>
      </c>
      <c r="H129" s="15" t="n">
        <v>4</v>
      </c>
      <c r="I129" s="28" t="inlineStr">
        <is>
          <t>NÃO</t>
        </is>
      </c>
      <c r="J129" s="29" t="n">
        <v>106.5</v>
      </c>
      <c r="K129" s="14" t="str">
        <f>IF(J129="","7. Acima de 2 km",IF(J129&lt;=50,"1. Até 50 m",IF(J129&lt;=100,"2. De 50 a 100 m",IF(J129&lt;=200,"3. De 100 a 200 m",IF(J129&lt;=300,"4. De 200 a 300 m",IF(J129&lt;=500,"5. De 300 a 500 m","6. De 500 m a 2 km"))))))</f>
        <v>3. De 100 a 200 m</v>
      </c>
      <c r="L129" s="26" t="n">
        <v>0</v>
      </c>
      <c r="M129" s="26" t="n">
        <v>0</v>
      </c>
      <c r="N129" s="26" t="n">
        <v>1</v>
      </c>
      <c r="O129" s="26" t="n">
        <v>7</v>
      </c>
      <c r="P129" s="30" t="n">
        <v>-12.1478863</v>
      </c>
      <c r="Q129" s="30" t="n">
        <v>-44.9991088</v>
      </c>
      <c r="R129" s="14" t="inlineStr">
        <is>
          <t>RUA PADRE ALFREDO HASLER, S/N, MORADA DA LUA, BARREIRAS/BA</t>
        </is>
      </c>
      <c r="S129" s="26">
        <f>IF(A129=A128,0,1)</f>
        <v>1</v>
      </c>
      <c r="T129" s="26">
        <f>IF(COUNTIF($B$4:B129,B129)=1,1,0)</f>
        <v>1</v>
      </c>
    </row>
    <row r="130">
      <c r="A130" s="14" t="inlineStr">
        <is>
          <t>BARREIRAS</t>
        </is>
      </c>
      <c r="B130" s="26" t="n">
        <v>70</v>
      </c>
      <c r="C130" s="26" t="n">
        <v>1023</v>
      </c>
      <c r="D130" s="14" t="inlineStr">
        <is>
          <t>COLEGIO ESTADUAL ANTONIO GERALDO</t>
        </is>
      </c>
      <c r="E130" s="14" t="inlineStr">
        <is>
          <t>CENTRO</t>
        </is>
      </c>
      <c r="F130" s="14" t="inlineStr">
        <is>
          <t>RUA 19 DE MAIO, 1  - ZONA URBANA</t>
        </is>
      </c>
      <c r="G130" s="27" t="inlineStr">
        <is>
          <t>47800-000</t>
        </is>
      </c>
      <c r="H130" s="15" t="n">
        <v>12</v>
      </c>
      <c r="I130" s="28" t="inlineStr">
        <is>
          <t>NÃO</t>
        </is>
      </c>
      <c r="J130" s="29" t="n">
        <v>178.6</v>
      </c>
      <c r="K130" s="14" t="str">
        <f>IF(J130="","7. Acima de 2 km",IF(J130&lt;=50,"1. Até 50 m",IF(J130&lt;=100,"2. De 50 a 100 m",IF(J130&lt;=200,"3. De 100 a 200 m",IF(J130&lt;=300,"4. De 200 a 300 m",IF(J130&lt;=500,"5. De 300 a 500 m","6. De 500 m a 2 km"))))))</f>
        <v>3. De 100 a 200 m</v>
      </c>
      <c r="L130" s="26" t="n">
        <v>0</v>
      </c>
      <c r="M130" s="26" t="n">
        <v>0</v>
      </c>
      <c r="N130" s="26" t="n">
        <v>1</v>
      </c>
      <c r="O130" s="26" t="n">
        <v>3</v>
      </c>
      <c r="P130" s="30" t="n">
        <v>-12.1462919</v>
      </c>
      <c r="Q130" s="30" t="n">
        <v>-44.9960888</v>
      </c>
      <c r="R130" s="14" t="inlineStr">
        <is>
          <t>RUA PADRE ALFREDO HASLER, S/N, MORADA DA LUA, BARREIRAS/BA</t>
        </is>
      </c>
      <c r="S130" s="26">
        <f>IF(A130=A129,0,1)</f>
        <v>0</v>
      </c>
      <c r="T130" s="26">
        <f>IF(COUNTIF($B$4:B130,B130)=1,1,0)</f>
        <v>0</v>
      </c>
    </row>
    <row r="131">
      <c r="A131" s="14" t="inlineStr">
        <is>
          <t>BARREIRAS</t>
        </is>
      </c>
      <c r="B131" s="26" t="n">
        <v>70</v>
      </c>
      <c r="C131" s="26" t="n">
        <v>1040</v>
      </c>
      <c r="D131" s="14" t="inlineStr">
        <is>
          <t>ESCOLA MUNICIPAL DUQUE DE CAXIAS - POV. BEZERRO</t>
        </is>
      </c>
      <c r="E131" s="14" t="inlineStr">
        <is>
          <t>POVOADO BEZERRO</t>
        </is>
      </c>
      <c r="F131" s="14" t="inlineStr">
        <is>
          <t>POVOADO BEZERRO - ZONA RURAL</t>
        </is>
      </c>
      <c r="G131" s="27" t="inlineStr">
        <is>
          <t>47800-000</t>
        </is>
      </c>
      <c r="H131" s="15" t="n">
        <v>2</v>
      </c>
      <c r="I131" s="28" t="inlineStr">
        <is>
          <t>NÃO</t>
        </is>
      </c>
      <c r="J131" s="29" t="n"/>
      <c r="K131" s="14" t="str">
        <f>IF(J131="","7. Acima de 2 km",IF(J131&lt;=50,"1. Até 50 m",IF(J131&lt;=100,"2. De 50 a 100 m",IF(J131&lt;=200,"3. De 100 a 200 m",IF(J131&lt;=300,"4. De 200 a 300 m",IF(J131&lt;=500,"5. De 300 a 500 m","6. De 500 m a 2 km"))))))</f>
        <v>7. Acima de 2 km</v>
      </c>
      <c r="L131" s="26" t="n">
        <v>0</v>
      </c>
      <c r="M131" s="26" t="n">
        <v>0</v>
      </c>
      <c r="N131" s="26" t="n">
        <v>0</v>
      </c>
      <c r="O131" s="26" t="n">
        <v>0</v>
      </c>
      <c r="P131" s="30" t="n">
        <v>-12.2172994</v>
      </c>
      <c r="Q131" s="30" t="n">
        <v>-44.8838299</v>
      </c>
      <c r="R131" s="14" t="inlineStr">
        <is>
          <t>RUA PADRE ALFREDO HASLER, S/N, MORADA DA LUA, BARREIRAS/BA</t>
        </is>
      </c>
      <c r="S131" s="26">
        <f>IF(A131=A130,0,1)</f>
        <v>0</v>
      </c>
      <c r="T131" s="26">
        <f>IF(COUNTIF($B$4:B131,B131)=1,1,0)</f>
        <v>0</v>
      </c>
    </row>
    <row r="132">
      <c r="A132" s="14" t="inlineStr">
        <is>
          <t>BARREIRAS</t>
        </is>
      </c>
      <c r="B132" s="26" t="n">
        <v>70</v>
      </c>
      <c r="C132" s="26" t="n">
        <v>1074</v>
      </c>
      <c r="D132" s="14" t="inlineStr">
        <is>
          <t>COLÉGIO PADRE VIEIRA</t>
        </is>
      </c>
      <c r="E132" s="14" t="inlineStr">
        <is>
          <t>MORADA DA LUA</t>
        </is>
      </c>
      <c r="F132" s="14" t="inlineStr">
        <is>
          <t>RUA BARÃO DE COTEGIPE, S/N - ZONA URBANA</t>
        </is>
      </c>
      <c r="G132" s="27" t="inlineStr">
        <is>
          <t>47800-000</t>
        </is>
      </c>
      <c r="H132" s="15" t="n">
        <v>9</v>
      </c>
      <c r="I132" s="28" t="inlineStr">
        <is>
          <t>NÃO</t>
        </is>
      </c>
      <c r="J132" s="29" t="n">
        <v>712</v>
      </c>
      <c r="K132" s="14" t="str">
        <f>IF(J132="","7. Acima de 2 km",IF(J132&lt;=50,"1. Até 50 m",IF(J132&lt;=100,"2. De 50 a 100 m",IF(J132&lt;=200,"3. De 100 a 200 m",IF(J132&lt;=300,"4. De 200 a 300 m",IF(J132&lt;=500,"5. De 300 a 500 m","6. De 500 m a 2 km"))))))</f>
        <v>6. De 500 m a 2 km</v>
      </c>
      <c r="L132" s="26" t="n">
        <v>0</v>
      </c>
      <c r="M132" s="26" t="n">
        <v>0</v>
      </c>
      <c r="N132" s="26" t="n">
        <v>0</v>
      </c>
      <c r="O132" s="26" t="n">
        <v>0</v>
      </c>
      <c r="P132" s="30" t="n">
        <v>-12.159204</v>
      </c>
      <c r="Q132" s="30" t="n">
        <v>-44.9998776</v>
      </c>
      <c r="R132" s="14" t="inlineStr">
        <is>
          <t>RUA PADRE ALFREDO HASLER, S/N, MORADA DA LUA, BARREIRAS/BA</t>
        </is>
      </c>
      <c r="S132" s="26">
        <f>IF(A132=A131,0,1)</f>
        <v>0</v>
      </c>
      <c r="T132" s="26">
        <f>IF(COUNTIF($B$4:B132,B132)=1,1,0)</f>
        <v>0</v>
      </c>
    </row>
    <row r="133">
      <c r="A133" s="14" t="inlineStr">
        <is>
          <t>BARREIRAS</t>
        </is>
      </c>
      <c r="B133" s="26" t="n">
        <v>70</v>
      </c>
      <c r="C133" s="26" t="n">
        <v>1090</v>
      </c>
      <c r="D133" s="14" t="inlineStr">
        <is>
          <t>GRUPO ESCOLAR PRESIDENTE MEDICI</t>
        </is>
      </c>
      <c r="E133" s="14" t="inlineStr">
        <is>
          <t>CENTRO</t>
        </is>
      </c>
      <c r="F133" s="14" t="inlineStr">
        <is>
          <t>RUA MARECHAL DEODORO, S/N - ZONA URBANA</t>
        </is>
      </c>
      <c r="G133" s="27" t="inlineStr">
        <is>
          <t>47800-000</t>
        </is>
      </c>
      <c r="H133" s="15" t="n">
        <v>4</v>
      </c>
      <c r="I133" s="28" t="inlineStr">
        <is>
          <t>NÃO</t>
        </is>
      </c>
      <c r="J133" s="29" t="n">
        <v>390.9</v>
      </c>
      <c r="K133" s="14" t="str">
        <f>IF(J133="","7. Acima de 2 km",IF(J133&lt;=50,"1. Até 50 m",IF(J133&lt;=100,"2. De 50 a 100 m",IF(J133&lt;=200,"3. De 100 a 200 m",IF(J133&lt;=300,"4. De 200 a 300 m",IF(J133&lt;=500,"5. De 300 a 500 m","6. De 500 m a 2 km"))))))</f>
        <v>5. De 300 a 500 m</v>
      </c>
      <c r="L133" s="26" t="n">
        <v>0</v>
      </c>
      <c r="M133" s="26" t="n">
        <v>0</v>
      </c>
      <c r="N133" s="26" t="n">
        <v>0</v>
      </c>
      <c r="O133" s="26" t="n">
        <v>0</v>
      </c>
      <c r="P133" s="30" t="n">
        <v>-12.1435045</v>
      </c>
      <c r="Q133" s="30" t="n">
        <v>-44.9951346</v>
      </c>
      <c r="R133" s="14" t="inlineStr">
        <is>
          <t>RUA PADRE ALFREDO HASLER, S/N, MORADA DA LUA, BARREIRAS/BA</t>
        </is>
      </c>
      <c r="S133" s="26">
        <f>IF(A133=A132,0,1)</f>
        <v>0</v>
      </c>
      <c r="T133" s="26">
        <f>IF(COUNTIF($B$4:B133,B133)=1,1,0)</f>
        <v>0</v>
      </c>
    </row>
    <row r="134">
      <c r="A134" s="14" t="inlineStr">
        <is>
          <t>BARREIRAS</t>
        </is>
      </c>
      <c r="B134" s="26" t="n">
        <v>70</v>
      </c>
      <c r="C134" s="26" t="n">
        <v>1104</v>
      </c>
      <c r="D134" s="14" t="inlineStr">
        <is>
          <t>COLEGIO POLIVALENTE</t>
        </is>
      </c>
      <c r="E134" s="14" t="inlineStr">
        <is>
          <t>CENTRO</t>
        </is>
      </c>
      <c r="F134" s="14" t="inlineStr">
        <is>
          <t xml:space="preserve">RUA CEL MAGNO, 533 - ZONA URBANA  </t>
        </is>
      </c>
      <c r="G134" s="27" t="inlineStr">
        <is>
          <t>47800-000</t>
        </is>
      </c>
      <c r="H134" s="15" t="n">
        <v>8</v>
      </c>
      <c r="I134" s="28" t="inlineStr">
        <is>
          <t>NÃO</t>
        </is>
      </c>
      <c r="J134" s="29" t="n">
        <v>215.6</v>
      </c>
      <c r="K134" s="14" t="str">
        <f>IF(J134="","7. Acima de 2 km",IF(J134&lt;=50,"1. Até 50 m",IF(J134&lt;=100,"2. De 50 a 100 m",IF(J134&lt;=200,"3. De 100 a 200 m",IF(J134&lt;=300,"4. De 200 a 300 m",IF(J134&lt;=500,"5. De 300 a 500 m","6. De 500 m a 2 km"))))))</f>
        <v>4. De 200 a 300 m</v>
      </c>
      <c r="L134" s="26" t="n">
        <v>0</v>
      </c>
      <c r="M134" s="26" t="n">
        <v>0</v>
      </c>
      <c r="N134" s="26" t="n">
        <v>0</v>
      </c>
      <c r="O134" s="26" t="n">
        <v>2</v>
      </c>
      <c r="P134" s="30" t="n">
        <v>-12.1498918</v>
      </c>
      <c r="Q134" s="30" t="n">
        <v>-44.9960291</v>
      </c>
      <c r="R134" s="14" t="inlineStr">
        <is>
          <t>RUA PADRE ALFREDO HASLER, S/N, MORADA DA LUA, BARREIRAS/BA</t>
        </is>
      </c>
      <c r="S134" s="26">
        <f>IF(A134=A133,0,1)</f>
        <v>0</v>
      </c>
      <c r="T134" s="26">
        <f>IF(COUNTIF($B$4:B134,B134)=1,1,0)</f>
        <v>0</v>
      </c>
    </row>
    <row r="135">
      <c r="A135" s="14" t="inlineStr">
        <is>
          <t>BARREIRAS</t>
        </is>
      </c>
      <c r="B135" s="26" t="n">
        <v>70</v>
      </c>
      <c r="C135" s="26" t="n">
        <v>1120</v>
      </c>
      <c r="D135" s="14" t="inlineStr">
        <is>
          <t>ESCOLA MUNICIPAL JOAQUIM NETO</t>
        </is>
      </c>
      <c r="E135" s="14" t="inlineStr">
        <is>
          <t>VILA BRASIL</t>
        </is>
      </c>
      <c r="F135" s="14" t="inlineStr">
        <is>
          <t>PRAÇA JOAQUIM NETO - ZONA URBANA</t>
        </is>
      </c>
      <c r="G135" s="27" t="inlineStr">
        <is>
          <t>47800-000</t>
        </is>
      </c>
      <c r="H135" s="15" t="n">
        <v>3</v>
      </c>
      <c r="I135" s="28" t="inlineStr">
        <is>
          <t>NÃO</t>
        </is>
      </c>
      <c r="J135" s="29" t="n">
        <v>107.4</v>
      </c>
      <c r="K135" s="14" t="str">
        <f>IF(J135="","7. Acima de 2 km",IF(J135&lt;=50,"1. Até 50 m",IF(J135&lt;=100,"2. De 50 a 100 m",IF(J135&lt;=200,"3. De 100 a 200 m",IF(J135&lt;=300,"4. De 200 a 300 m",IF(J135&lt;=500,"5. De 300 a 500 m","6. De 500 m a 2 km"))))))</f>
        <v>3. De 100 a 200 m</v>
      </c>
      <c r="L135" s="26" t="n">
        <v>0</v>
      </c>
      <c r="M135" s="26" t="n">
        <v>0</v>
      </c>
      <c r="N135" s="26" t="n">
        <v>2</v>
      </c>
      <c r="O135" s="26" t="n">
        <v>2</v>
      </c>
      <c r="P135" s="30" t="n">
        <v>-12.1384043</v>
      </c>
      <c r="Q135" s="30" t="n">
        <v>-44.9880273</v>
      </c>
      <c r="R135" s="14" t="inlineStr">
        <is>
          <t>RUA PADRE ALFREDO HASLER, S/N, MORADA DA LUA, BARREIRAS/BA</t>
        </is>
      </c>
      <c r="S135" s="26">
        <f>IF(A135=A134,0,1)</f>
        <v>0</v>
      </c>
      <c r="T135" s="26">
        <f>IF(COUNTIF($B$4:B135,B135)=1,1,0)</f>
        <v>0</v>
      </c>
    </row>
    <row r="136">
      <c r="A136" s="14" t="inlineStr">
        <is>
          <t>BARREIRAS</t>
        </is>
      </c>
      <c r="B136" s="26" t="n">
        <v>70</v>
      </c>
      <c r="C136" s="26" t="n">
        <v>1163</v>
      </c>
      <c r="D136" s="14" t="inlineStr">
        <is>
          <t>GRUPO ESCOLAR PRISCO VIANA</t>
        </is>
      </c>
      <c r="E136" s="14" t="inlineStr">
        <is>
          <t>JUSCELINO KUBISTCHEK</t>
        </is>
      </c>
      <c r="F136" s="14" t="inlineStr">
        <is>
          <t>RUA PEDRO DOURADO, S/N - ZONA URBANA</t>
        </is>
      </c>
      <c r="G136" s="27" t="inlineStr">
        <is>
          <t>47800-000</t>
        </is>
      </c>
      <c r="H136" s="15" t="n">
        <v>10</v>
      </c>
      <c r="I136" s="28" t="inlineStr">
        <is>
          <t>NÃO</t>
        </is>
      </c>
      <c r="J136" s="29" t="n">
        <v>212.3</v>
      </c>
      <c r="K136" s="14" t="str">
        <f>IF(J136="","7. Acima de 2 km",IF(J136&lt;=50,"1. Até 50 m",IF(J136&lt;=100,"2. De 50 a 100 m",IF(J136&lt;=200,"3. De 100 a 200 m",IF(J136&lt;=300,"4. De 200 a 300 m",IF(J136&lt;=500,"5. De 300 a 500 m","6. De 500 m a 2 km"))))))</f>
        <v>4. De 200 a 300 m</v>
      </c>
      <c r="L136" s="26" t="n">
        <v>0</v>
      </c>
      <c r="M136" s="26" t="n">
        <v>0</v>
      </c>
      <c r="N136" s="26" t="n">
        <v>0</v>
      </c>
      <c r="O136" s="26" t="n">
        <v>2</v>
      </c>
      <c r="P136" s="30" t="n">
        <v>-12.1425863</v>
      </c>
      <c r="Q136" s="30" t="n">
        <v>-44.9889741</v>
      </c>
      <c r="R136" s="14" t="inlineStr">
        <is>
          <t>RUA PADRE ALFREDO HASLER, S/N, MORADA DA LUA, BARREIRAS/BA</t>
        </is>
      </c>
      <c r="S136" s="26">
        <f>IF(A136=A135,0,1)</f>
        <v>0</v>
      </c>
      <c r="T136" s="26">
        <f>IF(COUNTIF($B$4:B136,B136)=1,1,0)</f>
        <v>0</v>
      </c>
    </row>
    <row r="137">
      <c r="A137" s="14" t="inlineStr">
        <is>
          <t>BARREIRAS</t>
        </is>
      </c>
      <c r="B137" s="26" t="n">
        <v>70</v>
      </c>
      <c r="C137" s="26" t="n">
        <v>1180</v>
      </c>
      <c r="D137" s="14" t="inlineStr">
        <is>
          <t>GRUPO ESCOLAR HERCULANO FARIAS</t>
        </is>
      </c>
      <c r="E137" s="14" t="inlineStr">
        <is>
          <t>SANDRA REGINA</t>
        </is>
      </c>
      <c r="F137" s="14" t="inlineStr">
        <is>
          <t>RUA D PEDRO I - ZONA URBANA</t>
        </is>
      </c>
      <c r="G137" s="27" t="inlineStr">
        <is>
          <t>47800-000</t>
        </is>
      </c>
      <c r="H137" s="15" t="n">
        <v>10</v>
      </c>
      <c r="I137" s="28" t="inlineStr">
        <is>
          <t>NÃO</t>
        </is>
      </c>
      <c r="J137" s="29" t="n">
        <v>180.5</v>
      </c>
      <c r="K137" s="14" t="str">
        <f>IF(J137="","7. Acima de 2 km",IF(J137&lt;=50,"1. Até 50 m",IF(J137&lt;=100,"2. De 50 a 100 m",IF(J137&lt;=200,"3. De 100 a 200 m",IF(J137&lt;=300,"4. De 200 a 300 m",IF(J137&lt;=500,"5. De 300 a 500 m","6. De 500 m a 2 km"))))))</f>
        <v>3. De 100 a 200 m</v>
      </c>
      <c r="L137" s="26" t="n">
        <v>0</v>
      </c>
      <c r="M137" s="26" t="n">
        <v>0</v>
      </c>
      <c r="N137" s="26" t="n">
        <v>1</v>
      </c>
      <c r="O137" s="26" t="n">
        <v>2</v>
      </c>
      <c r="P137" s="30" t="n">
        <v>-12.1493742</v>
      </c>
      <c r="Q137" s="30" t="n">
        <v>-44.9898956</v>
      </c>
      <c r="R137" s="14" t="inlineStr">
        <is>
          <t>RUA PADRE ALFREDO HASLER, S/N, MORADA DA LUA, BARREIRAS/BA</t>
        </is>
      </c>
      <c r="S137" s="26">
        <f>IF(A137=A136,0,1)</f>
        <v>0</v>
      </c>
      <c r="T137" s="26">
        <f>IF(COUNTIF($B$4:B137,B137)=1,1,0)</f>
        <v>0</v>
      </c>
    </row>
    <row r="138">
      <c r="A138" s="14" t="inlineStr">
        <is>
          <t>BARREIRAS</t>
        </is>
      </c>
      <c r="B138" s="26" t="n">
        <v>70</v>
      </c>
      <c r="C138" s="26" t="n">
        <v>1244</v>
      </c>
      <c r="D138" s="14" t="inlineStr">
        <is>
          <t>ESCOLA MUNICIPAL PROFESSORA CARMERINA DIAS MELO</t>
        </is>
      </c>
      <c r="E138" s="14" t="inlineStr">
        <is>
          <t>POVOADO ARRAIAL DA PENHA</t>
        </is>
      </c>
      <c r="F138" s="14" t="inlineStr">
        <is>
          <t>POVOADO ARRAIAL DA PENHA - ZONA RURAL</t>
        </is>
      </c>
      <c r="G138" s="27" t="inlineStr">
        <is>
          <t>47800-000</t>
        </is>
      </c>
      <c r="H138" s="15" t="n">
        <v>2</v>
      </c>
      <c r="I138" s="28" t="inlineStr">
        <is>
          <t>NÃO</t>
        </is>
      </c>
      <c r="J138" s="29" t="n"/>
      <c r="K138" s="14" t="str">
        <f>IF(J138="","7. Acima de 2 km",IF(J138&lt;=50,"1. Até 50 m",IF(J138&lt;=100,"2. De 50 a 100 m",IF(J138&lt;=200,"3. De 100 a 200 m",IF(J138&lt;=300,"4. De 200 a 300 m",IF(J138&lt;=500,"5. De 300 a 500 m","6. De 500 m a 2 km"))))))</f>
        <v>7. Acima de 2 km</v>
      </c>
      <c r="L138" s="26" t="n">
        <v>0</v>
      </c>
      <c r="M138" s="26" t="n">
        <v>0</v>
      </c>
      <c r="N138" s="26" t="n">
        <v>0</v>
      </c>
      <c r="O138" s="26" t="n">
        <v>0</v>
      </c>
      <c r="P138" s="30" t="n">
        <v>-12.2078043</v>
      </c>
      <c r="Q138" s="30" t="n">
        <v>-44.9431683</v>
      </c>
      <c r="R138" s="14" t="inlineStr">
        <is>
          <t>RUA PADRE ALFREDO HASLER, S/N, MORADA DA LUA, BARREIRAS/BA</t>
        </is>
      </c>
      <c r="S138" s="26">
        <f>IF(A138=A137,0,1)</f>
        <v>0</v>
      </c>
      <c r="T138" s="26">
        <f>IF(COUNTIF($B$4:B138,B138)=1,1,0)</f>
        <v>0</v>
      </c>
    </row>
    <row r="139">
      <c r="A139" s="14" t="inlineStr">
        <is>
          <t>BARREIRAS</t>
        </is>
      </c>
      <c r="B139" s="26" t="n">
        <v>70</v>
      </c>
      <c r="C139" s="26" t="n">
        <v>1287</v>
      </c>
      <c r="D139" s="14" t="inlineStr">
        <is>
          <t>ESCOLA MUNICIPAL SÃO JOÃO - POV. RIACHINHO</t>
        </is>
      </c>
      <c r="E139" s="14" t="inlineStr">
        <is>
          <t>POVOADO RIACHINHO</t>
        </is>
      </c>
      <c r="F139" s="14" t="inlineStr">
        <is>
          <t>POVOADO RIACHINHO - ZONA RURAL</t>
        </is>
      </c>
      <c r="G139" s="27" t="inlineStr">
        <is>
          <t>47800-000</t>
        </is>
      </c>
      <c r="H139" s="15" t="n">
        <v>3</v>
      </c>
      <c r="I139" s="28" t="inlineStr">
        <is>
          <t>NÃO</t>
        </is>
      </c>
      <c r="J139" s="29" t="n"/>
      <c r="K139" s="14" t="str">
        <f>IF(J139="","7. Acima de 2 km",IF(J139&lt;=50,"1. Até 50 m",IF(J139&lt;=100,"2. De 50 a 100 m",IF(J139&lt;=200,"3. De 100 a 200 m",IF(J139&lt;=300,"4. De 200 a 300 m",IF(J139&lt;=500,"5. De 300 a 500 m","6. De 500 m a 2 km"))))))</f>
        <v>7. Acima de 2 km</v>
      </c>
      <c r="L139" s="26" t="n">
        <v>0</v>
      </c>
      <c r="M139" s="26" t="n">
        <v>0</v>
      </c>
      <c r="N139" s="26" t="n">
        <v>0</v>
      </c>
      <c r="O139" s="26" t="n">
        <v>0</v>
      </c>
      <c r="P139" s="30" t="n">
        <v>-12.1391183</v>
      </c>
      <c r="Q139" s="30" t="n">
        <v>-44.9094548</v>
      </c>
      <c r="R139" s="14" t="inlineStr">
        <is>
          <t>RUA PADRE ALFREDO HASLER, S/N, MORADA DA LUA, BARREIRAS/BA</t>
        </is>
      </c>
      <c r="S139" s="26">
        <f>IF(A139=A138,0,1)</f>
        <v>0</v>
      </c>
      <c r="T139" s="26">
        <f>IF(COUNTIF($B$4:B139,B139)=1,1,0)</f>
        <v>0</v>
      </c>
    </row>
    <row r="140">
      <c r="A140" s="14" t="inlineStr">
        <is>
          <t>BARREIRAS</t>
        </is>
      </c>
      <c r="B140" s="26" t="n">
        <v>70</v>
      </c>
      <c r="C140" s="26" t="n">
        <v>1376</v>
      </c>
      <c r="D140" s="14" t="inlineStr">
        <is>
          <t>COLEGIO MUNICIPAL SAGRADO CORACAO DE JESUS</t>
        </is>
      </c>
      <c r="E140" s="14" t="inlineStr">
        <is>
          <t>RENATO GONCALVES</t>
        </is>
      </c>
      <c r="F140" s="14" t="inlineStr">
        <is>
          <t>RUA GUARUJA, S/N - ZONA URBANA</t>
        </is>
      </c>
      <c r="G140" s="27" t="inlineStr">
        <is>
          <t>47800-000</t>
        </is>
      </c>
      <c r="H140" s="15" t="n">
        <v>10</v>
      </c>
      <c r="I140" s="28" t="inlineStr">
        <is>
          <t>NÃO</t>
        </is>
      </c>
      <c r="J140" s="29" t="n">
        <v>732.4</v>
      </c>
      <c r="K140" s="14" t="str">
        <f>IF(J140="","7. Acima de 2 km",IF(J140&lt;=50,"1. Até 50 m",IF(J140&lt;=100,"2. De 50 a 100 m",IF(J140&lt;=200,"3. De 100 a 200 m",IF(J140&lt;=300,"4. De 200 a 300 m",IF(J140&lt;=500,"5. De 300 a 500 m","6. De 500 m a 2 km"))))))</f>
        <v>6. De 500 m a 2 km</v>
      </c>
      <c r="L140" s="26" t="n">
        <v>0</v>
      </c>
      <c r="M140" s="26" t="n">
        <v>0</v>
      </c>
      <c r="N140" s="26" t="n">
        <v>0</v>
      </c>
      <c r="O140" s="26" t="n">
        <v>0</v>
      </c>
      <c r="P140" s="30" t="n">
        <v>-12.1548864</v>
      </c>
      <c r="Q140" s="30" t="n">
        <v>-44.993757</v>
      </c>
      <c r="R140" s="14" t="inlineStr">
        <is>
          <t>RUA PADRE ALFREDO HASLER, S/N, MORADA DA LUA, BARREIRAS/BA</t>
        </is>
      </c>
      <c r="S140" s="26">
        <f>IF(A140=A139,0,1)</f>
        <v>0</v>
      </c>
      <c r="T140" s="26">
        <f>IF(COUNTIF($B$4:B140,B140)=1,1,0)</f>
        <v>0</v>
      </c>
    </row>
    <row r="141">
      <c r="A141" s="14" t="inlineStr">
        <is>
          <t>BARREIRAS</t>
        </is>
      </c>
      <c r="B141" s="26" t="n">
        <v>70</v>
      </c>
      <c r="C141" s="26" t="n">
        <v>1392</v>
      </c>
      <c r="D141" s="14" t="inlineStr">
        <is>
          <t>ESCOLA MUNICIPAL SAO JOSE - POV. MANTIQUEIRA</t>
        </is>
      </c>
      <c r="E141" s="14" t="inlineStr">
        <is>
          <t>POVOADO MANTIQUEIRA</t>
        </is>
      </c>
      <c r="F141" s="14" t="inlineStr">
        <is>
          <t>POVOADO MANTIQUEIRA - ZONA RURAL</t>
        </is>
      </c>
      <c r="G141" s="27" t="inlineStr">
        <is>
          <t>47800-000</t>
        </is>
      </c>
      <c r="H141" s="15" t="n">
        <v>1</v>
      </c>
      <c r="I141" s="28" t="inlineStr">
        <is>
          <t>NÃO</t>
        </is>
      </c>
      <c r="J141" s="29" t="n"/>
      <c r="K141" s="14" t="str">
        <f>IF(J141="","7. Acima de 2 km",IF(J141&lt;=50,"1. Até 50 m",IF(J141&lt;=100,"2. De 50 a 100 m",IF(J141&lt;=200,"3. De 100 a 200 m",IF(J141&lt;=300,"4. De 200 a 300 m",IF(J141&lt;=500,"5. De 300 a 500 m","6. De 500 m a 2 km"))))))</f>
        <v>7. Acima de 2 km</v>
      </c>
      <c r="L141" s="26" t="n">
        <v>0</v>
      </c>
      <c r="M141" s="26" t="n">
        <v>0</v>
      </c>
      <c r="N141" s="26" t="n">
        <v>0</v>
      </c>
      <c r="O141" s="26" t="n">
        <v>0</v>
      </c>
      <c r="P141" s="30" t="n">
        <v>-12.2220576</v>
      </c>
      <c r="Q141" s="30" t="n">
        <v>-44.9042489</v>
      </c>
      <c r="R141" s="14" t="inlineStr">
        <is>
          <t>RUA PADRE ALFREDO HASLER, S/N, MORADA DA LUA, BARREIRAS/BA</t>
        </is>
      </c>
      <c r="S141" s="26">
        <f>IF(A141=A140,0,1)</f>
        <v>0</v>
      </c>
      <c r="T141" s="26">
        <f>IF(COUNTIF($B$4:B141,B141)=1,1,0)</f>
        <v>0</v>
      </c>
    </row>
    <row r="142">
      <c r="A142" s="14" t="inlineStr">
        <is>
          <t>BARREIRAS</t>
        </is>
      </c>
      <c r="B142" s="26" t="n">
        <v>70</v>
      </c>
      <c r="C142" s="26" t="n">
        <v>1414</v>
      </c>
      <c r="D142" s="14" t="inlineStr">
        <is>
          <t>SINDICATO DOS TRABALHADORES RURAIS</t>
        </is>
      </c>
      <c r="E142" s="14" t="inlineStr">
        <is>
          <t>CENTRO</t>
        </is>
      </c>
      <c r="F142" s="14" t="inlineStr">
        <is>
          <t>RUA BARAO DO COTEGIPE  , 164 - ZONA URBANA</t>
        </is>
      </c>
      <c r="G142" s="27" t="inlineStr">
        <is>
          <t>47800-000</t>
        </is>
      </c>
      <c r="H142" s="15" t="n">
        <v>2</v>
      </c>
      <c r="I142" s="28" t="inlineStr">
        <is>
          <t>NÃO</t>
        </is>
      </c>
      <c r="J142" s="29" t="n">
        <v>222.2</v>
      </c>
      <c r="K142" s="14" t="str">
        <f>IF(J142="","7. Acima de 2 km",IF(J142&lt;=50,"1. Até 50 m",IF(J142&lt;=100,"2. De 50 a 100 m",IF(J142&lt;=200,"3. De 100 a 200 m",IF(J142&lt;=300,"4. De 200 a 300 m",IF(J142&lt;=500,"5. De 300 a 500 m","6. De 500 m a 2 km"))))))</f>
        <v>4. De 200 a 300 m</v>
      </c>
      <c r="L142" s="26" t="n">
        <v>0</v>
      </c>
      <c r="M142" s="26" t="n">
        <v>0</v>
      </c>
      <c r="N142" s="26" t="n">
        <v>0</v>
      </c>
      <c r="O142" s="26" t="n">
        <v>1</v>
      </c>
      <c r="P142" s="30" t="n">
        <v>-12.1541094</v>
      </c>
      <c r="Q142" s="30" t="n">
        <v>-45.0007056</v>
      </c>
      <c r="R142" s="14" t="inlineStr">
        <is>
          <t>RUA PADRE ALFREDO HASLER, S/N, MORADA DA LUA, BARREIRAS/BA</t>
        </is>
      </c>
      <c r="S142" s="26">
        <f>IF(A142=A141,0,1)</f>
        <v>0</v>
      </c>
      <c r="T142" s="26">
        <f>IF(COUNTIF($B$4:B142,B142)=1,1,0)</f>
        <v>0</v>
      </c>
    </row>
    <row r="143">
      <c r="A143" s="14" t="inlineStr">
        <is>
          <t>BARREIRAS</t>
        </is>
      </c>
      <c r="B143" s="26" t="n">
        <v>70</v>
      </c>
      <c r="C143" s="26" t="n">
        <v>1481</v>
      </c>
      <c r="D143" s="14" t="inlineStr">
        <is>
          <t>GRUPO ESCOLAR JUAREZ DE SOUZA</t>
        </is>
      </c>
      <c r="E143" s="14" t="inlineStr">
        <is>
          <t>VILA BRASIL</t>
        </is>
      </c>
      <c r="F143" s="14" t="inlineStr">
        <is>
          <t>PRACA JOAQUIM NETO ,S/N - ZONA URBANA</t>
        </is>
      </c>
      <c r="G143" s="27" t="inlineStr">
        <is>
          <t>47800-000</t>
        </is>
      </c>
      <c r="H143" s="15" t="n">
        <v>5</v>
      </c>
      <c r="I143" s="28" t="inlineStr">
        <is>
          <t>SIM</t>
        </is>
      </c>
      <c r="J143" s="29" t="n">
        <v>69.8</v>
      </c>
      <c r="K143" s="14" t="str">
        <f>IF(J143="","7. Acima de 2 km",IF(J143&lt;=50,"1. Até 50 m",IF(J143&lt;=100,"2. De 50 a 100 m",IF(J143&lt;=200,"3. De 100 a 200 m",IF(J143&lt;=300,"4. De 200 a 300 m",IF(J143&lt;=500,"5. De 300 a 500 m","6. De 500 m a 2 km"))))))</f>
        <v>2. De 50 a 100 m</v>
      </c>
      <c r="L143" s="26" t="n">
        <v>0</v>
      </c>
      <c r="M143" s="26" t="n">
        <v>2</v>
      </c>
      <c r="N143" s="26" t="n">
        <v>2</v>
      </c>
      <c r="O143" s="26" t="n">
        <v>2</v>
      </c>
      <c r="P143" s="30" t="n">
        <v>-12.1395371</v>
      </c>
      <c r="Q143" s="30" t="n">
        <v>-44.9891004</v>
      </c>
      <c r="R143" s="14" t="inlineStr">
        <is>
          <t>RUA PADRE ALFREDO HASLER, S/N, MORADA DA LUA, BARREIRAS/BA</t>
        </is>
      </c>
      <c r="S143" s="26">
        <f>IF(A143=A142,0,1)</f>
        <v>0</v>
      </c>
      <c r="T143" s="26">
        <f>IF(COUNTIF($B$4:B143,B143)=1,1,0)</f>
        <v>0</v>
      </c>
    </row>
    <row r="144">
      <c r="A144" s="14" t="inlineStr">
        <is>
          <t>BARREIRAS</t>
        </is>
      </c>
      <c r="B144" s="26" t="n">
        <v>70</v>
      </c>
      <c r="C144" s="26" t="n">
        <v>1538</v>
      </c>
      <c r="D144" s="14" t="inlineStr">
        <is>
          <t>ESCOLA D. QUININHA DE MELO</t>
        </is>
      </c>
      <c r="E144" s="14" t="inlineStr">
        <is>
          <t>MORADA DA LUA</t>
        </is>
      </c>
      <c r="F144" s="14" t="inlineStr">
        <is>
          <t>RUA RUY BARBOSA, S/N - ZONA URBANA</t>
        </is>
      </c>
      <c r="G144" s="27" t="inlineStr">
        <is>
          <t>47800-000</t>
        </is>
      </c>
      <c r="H144" s="15" t="n">
        <v>3</v>
      </c>
      <c r="I144" s="28" t="inlineStr">
        <is>
          <t>NÃO</t>
        </is>
      </c>
      <c r="J144" s="29" t="n">
        <v>800.9</v>
      </c>
      <c r="K144" s="14" t="str">
        <f>IF(J144="","7. Acima de 2 km",IF(J144&lt;=50,"1. Até 50 m",IF(J144&lt;=100,"2. De 50 a 100 m",IF(J144&lt;=200,"3. De 100 a 200 m",IF(J144&lt;=300,"4. De 200 a 300 m",IF(J144&lt;=500,"5. De 300 a 500 m","6. De 500 m a 2 km"))))))</f>
        <v>6. De 500 m a 2 km</v>
      </c>
      <c r="L144" s="26" t="n">
        <v>0</v>
      </c>
      <c r="M144" s="26" t="n">
        <v>0</v>
      </c>
      <c r="N144" s="26" t="n">
        <v>0</v>
      </c>
      <c r="O144" s="26" t="n">
        <v>0</v>
      </c>
      <c r="P144" s="30" t="n">
        <v>-12.162848</v>
      </c>
      <c r="Q144" s="30" t="n">
        <v>-44.9948011</v>
      </c>
      <c r="R144" s="14" t="inlineStr">
        <is>
          <t>RUA PADRE ALFREDO HASLER, S/N, MORADA DA LUA, BARREIRAS/BA</t>
        </is>
      </c>
      <c r="S144" s="26">
        <f>IF(A144=A143,0,1)</f>
        <v>0</v>
      </c>
      <c r="T144" s="26">
        <f>IF(COUNTIF($B$4:B144,B144)=1,1,0)</f>
        <v>0</v>
      </c>
    </row>
    <row r="145">
      <c r="A145" s="14" t="inlineStr">
        <is>
          <t>BARREIRAS</t>
        </is>
      </c>
      <c r="B145" s="26" t="n">
        <v>70</v>
      </c>
      <c r="C145" s="26" t="n">
        <v>1554</v>
      </c>
      <c r="D145" s="14" t="inlineStr">
        <is>
          <t>ESCOLA VALDETE PIEDADE DE HOLANDA</t>
        </is>
      </c>
      <c r="E145" s="14" t="inlineStr">
        <is>
          <t>POVOADO BURITIS I</t>
        </is>
      </c>
      <c r="F145" s="14" t="inlineStr">
        <is>
          <t>CONJUNTO HABITACIONAL BURITIS I - ZONA RURAL</t>
        </is>
      </c>
      <c r="G145" s="27" t="inlineStr">
        <is>
          <t>47800-000</t>
        </is>
      </c>
      <c r="H145" s="15" t="n">
        <v>4</v>
      </c>
      <c r="I145" s="28" t="inlineStr">
        <is>
          <t>NÃO</t>
        </is>
      </c>
      <c r="J145" s="29" t="n">
        <v>979.2</v>
      </c>
      <c r="K145" s="14" t="str">
        <f>IF(J145="","7. Acima de 2 km",IF(J145&lt;=50,"1. Até 50 m",IF(J145&lt;=100,"2. De 50 a 100 m",IF(J145&lt;=200,"3. De 100 a 200 m",IF(J145&lt;=300,"4. De 200 a 300 m",IF(J145&lt;=500,"5. De 300 a 500 m","6. De 500 m a 2 km"))))))</f>
        <v>6. De 500 m a 2 km</v>
      </c>
      <c r="L145" s="26" t="n">
        <v>0</v>
      </c>
      <c r="M145" s="26" t="n">
        <v>0</v>
      </c>
      <c r="N145" s="26" t="n">
        <v>0</v>
      </c>
      <c r="O145" s="26" t="n">
        <v>0</v>
      </c>
      <c r="P145" s="30" t="n">
        <v>-12.113287</v>
      </c>
      <c r="Q145" s="30" t="n">
        <v>-44.9492722</v>
      </c>
      <c r="R145" s="14" t="inlineStr">
        <is>
          <t>RUA PADRE ALFREDO HASLER, S/N, MORADA DA LUA, BARREIRAS/BA</t>
        </is>
      </c>
      <c r="S145" s="26">
        <f>IF(A145=A144,0,1)</f>
        <v>0</v>
      </c>
      <c r="T145" s="26">
        <f>IF(COUNTIF($B$4:B145,B145)=1,1,0)</f>
        <v>0</v>
      </c>
    </row>
    <row r="146">
      <c r="A146" s="14" t="inlineStr">
        <is>
          <t>BARREIRAS</t>
        </is>
      </c>
      <c r="B146" s="26" t="n">
        <v>70</v>
      </c>
      <c r="C146" s="26" t="n">
        <v>1597</v>
      </c>
      <c r="D146" s="14" t="inlineStr">
        <is>
          <t>ESCOLA MUNICIPAL EUDILTON MIRANDA</t>
        </is>
      </c>
      <c r="E146" s="14" t="inlineStr">
        <is>
          <t>VILA NOVA</t>
        </is>
      </c>
      <c r="F146" s="14" t="inlineStr">
        <is>
          <t>AVENIDA JARDIM DA SAUDADE, S/N - ZONA URBANA</t>
        </is>
      </c>
      <c r="G146" s="27" t="inlineStr">
        <is>
          <t>47800-000</t>
        </is>
      </c>
      <c r="H146" s="15" t="n">
        <v>3</v>
      </c>
      <c r="I146" s="28" t="inlineStr">
        <is>
          <t>NÃO</t>
        </is>
      </c>
      <c r="J146" s="29" t="n">
        <v>103.7</v>
      </c>
      <c r="K146" s="14" t="str">
        <f>IF(J146="","7. Acima de 2 km",IF(J146&lt;=50,"1. Até 50 m",IF(J146&lt;=100,"2. De 50 a 100 m",IF(J146&lt;=200,"3. De 100 a 200 m",IF(J146&lt;=300,"4. De 200 a 300 m",IF(J146&lt;=500,"5. De 300 a 500 m","6. De 500 m a 2 km"))))))</f>
        <v>3. De 100 a 200 m</v>
      </c>
      <c r="L146" s="26" t="n">
        <v>0</v>
      </c>
      <c r="M146" s="26" t="n">
        <v>0</v>
      </c>
      <c r="N146" s="26" t="n">
        <v>1</v>
      </c>
      <c r="O146" s="26" t="n">
        <v>1</v>
      </c>
      <c r="P146" s="30" t="n">
        <v>-12.1393206</v>
      </c>
      <c r="Q146" s="30" t="n">
        <v>-44.9665038</v>
      </c>
      <c r="R146" s="14" t="inlineStr">
        <is>
          <t>RUA PADRE ALFREDO HASLER, S/N, MORADA DA LUA, BARREIRAS/BA</t>
        </is>
      </c>
      <c r="S146" s="26">
        <f>IF(A146=A145,0,1)</f>
        <v>0</v>
      </c>
      <c r="T146" s="26">
        <f>IF(COUNTIF($B$4:B146,B146)=1,1,0)</f>
        <v>0</v>
      </c>
    </row>
    <row r="147">
      <c r="A147" s="14" t="inlineStr">
        <is>
          <t>BARREIRAS</t>
        </is>
      </c>
      <c r="B147" s="26" t="n">
        <v>70</v>
      </c>
      <c r="C147" s="26" t="n">
        <v>1635</v>
      </c>
      <c r="D147" s="14" t="inlineStr">
        <is>
          <t>ESCOLA MUNICIPAL SANTO ANTÔNIO - POV. TÁBUA</t>
        </is>
      </c>
      <c r="E147" s="14" t="inlineStr">
        <is>
          <t>POVOADO TÁBUA DE ÁGUA VERMELHA</t>
        </is>
      </c>
      <c r="F147" s="14" t="inlineStr">
        <is>
          <t>POVOADO TÁBUA D'ÁGUA VERMELHA - ZONA RURAL</t>
        </is>
      </c>
      <c r="G147" s="27" t="inlineStr">
        <is>
          <t>47800-000</t>
        </is>
      </c>
      <c r="H147" s="15" t="n">
        <v>2</v>
      </c>
      <c r="I147" s="28" t="inlineStr">
        <is>
          <t>NÃO</t>
        </is>
      </c>
      <c r="J147" s="29" t="n"/>
      <c r="K147" s="14" t="str">
        <f>IF(J147="","7. Acima de 2 km",IF(J147&lt;=50,"1. Até 50 m",IF(J147&lt;=100,"2. De 50 a 100 m",IF(J147&lt;=200,"3. De 100 a 200 m",IF(J147&lt;=300,"4. De 200 a 300 m",IF(J147&lt;=500,"5. De 300 a 500 m","6. De 500 m a 2 km"))))))</f>
        <v>7. Acima de 2 km</v>
      </c>
      <c r="L147" s="26" t="n">
        <v>0</v>
      </c>
      <c r="M147" s="26" t="n">
        <v>0</v>
      </c>
      <c r="N147" s="26" t="n">
        <v>0</v>
      </c>
      <c r="O147" s="26" t="n">
        <v>0</v>
      </c>
      <c r="P147" s="30" t="n">
        <v>-12.1878441</v>
      </c>
      <c r="Q147" s="30" t="n">
        <v>-44.8577515</v>
      </c>
      <c r="R147" s="14" t="inlineStr">
        <is>
          <t>RUA PADRE ALFREDO HASLER, S/N, MORADA DA LUA, BARREIRAS/BA</t>
        </is>
      </c>
      <c r="S147" s="26">
        <f>IF(A147=A146,0,1)</f>
        <v>0</v>
      </c>
      <c r="T147" s="26">
        <f>IF(COUNTIF($B$4:B147,B147)=1,1,0)</f>
        <v>0</v>
      </c>
    </row>
    <row r="148">
      <c r="A148" s="14" t="inlineStr">
        <is>
          <t>BARREIRAS</t>
        </is>
      </c>
      <c r="B148" s="26" t="n">
        <v>70</v>
      </c>
      <c r="C148" s="26" t="n">
        <v>1643</v>
      </c>
      <c r="D148" s="14" t="inlineStr">
        <is>
          <t>COLEGIO IAZINHA PAMPLONA</t>
        </is>
      </c>
      <c r="E148" s="14" t="inlineStr">
        <is>
          <t>JARDIM OURO BRANCO</t>
        </is>
      </c>
      <c r="F148" s="14" t="inlineStr">
        <is>
          <t>RUA IAZINHA PAMPLONA, SN - ZONA URBANA</t>
        </is>
      </c>
      <c r="G148" s="27" t="inlineStr">
        <is>
          <t>47800-000</t>
        </is>
      </c>
      <c r="H148" s="15" t="n">
        <v>6</v>
      </c>
      <c r="I148" s="28" t="inlineStr">
        <is>
          <t>NÃO</t>
        </is>
      </c>
      <c r="J148" s="29" t="n">
        <v>719.6</v>
      </c>
      <c r="K148" s="14" t="str">
        <f>IF(J148="","7. Acima de 2 km",IF(J148&lt;=50,"1. Até 50 m",IF(J148&lt;=100,"2. De 50 a 100 m",IF(J148&lt;=200,"3. De 100 a 200 m",IF(J148&lt;=300,"4. De 200 a 300 m",IF(J148&lt;=500,"5. De 300 a 500 m","6. De 500 m a 2 km"))))))</f>
        <v>6. De 500 m a 2 km</v>
      </c>
      <c r="L148" s="26" t="n">
        <v>0</v>
      </c>
      <c r="M148" s="26" t="n">
        <v>0</v>
      </c>
      <c r="N148" s="26" t="n">
        <v>0</v>
      </c>
      <c r="O148" s="26" t="n">
        <v>0</v>
      </c>
      <c r="P148" s="30" t="n">
        <v>-12.1493355</v>
      </c>
      <c r="Q148" s="30" t="n">
        <v>-44.9826734</v>
      </c>
      <c r="R148" s="14" t="inlineStr">
        <is>
          <t>RUA PADRE ALFREDO HASLER, S/N, MORADA DA LUA, BARREIRAS/BA</t>
        </is>
      </c>
      <c r="S148" s="26">
        <f>IF(A148=A147,0,1)</f>
        <v>0</v>
      </c>
      <c r="T148" s="26">
        <f>IF(COUNTIF($B$4:B148,B148)=1,1,0)</f>
        <v>0</v>
      </c>
    </row>
    <row r="149">
      <c r="A149" s="14" t="inlineStr">
        <is>
          <t>BARREIRAS</t>
        </is>
      </c>
      <c r="B149" s="26" t="n">
        <v>70</v>
      </c>
      <c r="C149" s="26" t="n">
        <v>1732</v>
      </c>
      <c r="D149" s="14" t="inlineStr">
        <is>
          <t>GRUPO ESCOLAR OTAVIO MANGABEIRA</t>
        </is>
      </c>
      <c r="E149" s="14" t="inlineStr">
        <is>
          <t>RIO GRANDE</t>
        </is>
      </c>
      <c r="F149" s="14" t="inlineStr">
        <is>
          <t>RUA E, S/N - ZONA URBANA</t>
        </is>
      </c>
      <c r="G149" s="27" t="inlineStr">
        <is>
          <t>47800-000</t>
        </is>
      </c>
      <c r="H149" s="15" t="n">
        <v>10</v>
      </c>
      <c r="I149" s="28" t="inlineStr">
        <is>
          <t>NÃO</t>
        </is>
      </c>
      <c r="J149" s="29" t="n">
        <v>601.9</v>
      </c>
      <c r="K149" s="14" t="str">
        <f>IF(J149="","7. Acima de 2 km",IF(J149&lt;=50,"1. Até 50 m",IF(J149&lt;=100,"2. De 50 a 100 m",IF(J149&lt;=200,"3. De 100 a 200 m",IF(J149&lt;=300,"4. De 200 a 300 m",IF(J149&lt;=500,"5. De 300 a 500 m","6. De 500 m a 2 km"))))))</f>
        <v>6. De 500 m a 2 km</v>
      </c>
      <c r="L149" s="26" t="n">
        <v>0</v>
      </c>
      <c r="M149" s="26" t="n">
        <v>0</v>
      </c>
      <c r="N149" s="26" t="n">
        <v>0</v>
      </c>
      <c r="O149" s="26" t="n">
        <v>0</v>
      </c>
      <c r="P149" s="30" t="n">
        <v>-12.1387347</v>
      </c>
      <c r="Q149" s="30" t="n">
        <v>-44.9713382</v>
      </c>
      <c r="R149" s="14" t="inlineStr">
        <is>
          <t>RUA PADRE ALFREDO HASLER, S/N, MORADA DA LUA, BARREIRAS/BA</t>
        </is>
      </c>
      <c r="S149" s="26">
        <f>IF(A149=A148,0,1)</f>
        <v>0</v>
      </c>
      <c r="T149" s="26">
        <f>IF(COUNTIF($B$4:B149,B149)=1,1,0)</f>
        <v>0</v>
      </c>
    </row>
    <row r="150">
      <c r="A150" s="14" t="inlineStr">
        <is>
          <t>BARREIRAS</t>
        </is>
      </c>
      <c r="B150" s="26" t="n">
        <v>70</v>
      </c>
      <c r="C150" s="26" t="n">
        <v>1740</v>
      </c>
      <c r="D150" s="14" t="inlineStr">
        <is>
          <t>GRUPO ESCOLAR LUIZ VIANA</t>
        </is>
      </c>
      <c r="E150" s="14" t="inlineStr">
        <is>
          <t>VILA BRASIL</t>
        </is>
      </c>
      <c r="F150" s="14" t="inlineStr">
        <is>
          <t>RUA TARCILIO VIEIRA DE MELO, S/N - ZONA URBANA</t>
        </is>
      </c>
      <c r="G150" s="27" t="inlineStr">
        <is>
          <t>47800-000</t>
        </is>
      </c>
      <c r="H150" s="15" t="n">
        <v>7</v>
      </c>
      <c r="I150" s="28" t="inlineStr">
        <is>
          <t>NÃO</t>
        </is>
      </c>
      <c r="J150" s="29" t="n">
        <v>186.6</v>
      </c>
      <c r="K150" s="14" t="str">
        <f>IF(J150="","7. Acima de 2 km",IF(J150&lt;=50,"1. Até 50 m",IF(J150&lt;=100,"2. De 50 a 100 m",IF(J150&lt;=200,"3. De 100 a 200 m",IF(J150&lt;=300,"4. De 200 a 300 m",IF(J150&lt;=500,"5. De 300 a 500 m","6. De 500 m a 2 km"))))))</f>
        <v>3. De 100 a 200 m</v>
      </c>
      <c r="L150" s="26" t="n">
        <v>0</v>
      </c>
      <c r="M150" s="26" t="n">
        <v>0</v>
      </c>
      <c r="N150" s="26" t="n">
        <v>2</v>
      </c>
      <c r="O150" s="26" t="n">
        <v>2</v>
      </c>
      <c r="P150" s="30" t="n">
        <v>-12.1398697</v>
      </c>
      <c r="Q150" s="30" t="n">
        <v>-44.9869535</v>
      </c>
      <c r="R150" s="14" t="inlineStr">
        <is>
          <t>RUA PADRE ALFREDO HASLER, S/N, MORADA DA LUA, BARREIRAS/BA</t>
        </is>
      </c>
      <c r="S150" s="26">
        <f>IF(A150=A149,0,1)</f>
        <v>0</v>
      </c>
      <c r="T150" s="26">
        <f>IF(COUNTIF($B$4:B150,B150)=1,1,0)</f>
        <v>0</v>
      </c>
    </row>
    <row r="151">
      <c r="A151" s="14" t="inlineStr">
        <is>
          <t>BARREIRAS</t>
        </is>
      </c>
      <c r="B151" s="26" t="n">
        <v>70</v>
      </c>
      <c r="C151" s="26" t="n">
        <v>1759</v>
      </c>
      <c r="D151" s="14" t="inlineStr">
        <is>
          <t>GRUPO ESCOLAR CARMOSINA</t>
        </is>
      </c>
      <c r="E151" s="14" t="inlineStr">
        <is>
          <t>MORADA DA LUA</t>
        </is>
      </c>
      <c r="F151" s="14" t="inlineStr">
        <is>
          <t>RUA IAZINHA PAMPLONA, S/N - ZONA URBANA</t>
        </is>
      </c>
      <c r="G151" s="27" t="inlineStr">
        <is>
          <t>47800-000</t>
        </is>
      </c>
      <c r="H151" s="15" t="n">
        <v>4</v>
      </c>
      <c r="I151" s="28" t="inlineStr">
        <is>
          <t>NÃO</t>
        </is>
      </c>
      <c r="J151" s="29" t="n">
        <v>512</v>
      </c>
      <c r="K151" s="14" t="str">
        <f>IF(J151="","7. Acima de 2 km",IF(J151&lt;=50,"1. Até 50 m",IF(J151&lt;=100,"2. De 50 a 100 m",IF(J151&lt;=200,"3. De 100 a 200 m",IF(J151&lt;=300,"4. De 200 a 300 m",IF(J151&lt;=500,"5. De 300 a 500 m","6. De 500 m a 2 km"))))))</f>
        <v>6. De 500 m a 2 km</v>
      </c>
      <c r="L151" s="26" t="n">
        <v>0</v>
      </c>
      <c r="M151" s="26" t="n">
        <v>0</v>
      </c>
      <c r="N151" s="26" t="n">
        <v>0</v>
      </c>
      <c r="O151" s="26" t="n">
        <v>0</v>
      </c>
      <c r="P151" s="30" t="n">
        <v>-12.1656284</v>
      </c>
      <c r="Q151" s="30" t="n">
        <v>-44.9907391</v>
      </c>
      <c r="R151" s="14" t="inlineStr">
        <is>
          <t>RUA PADRE ALFREDO HASLER, S/N, MORADA DA LUA, BARREIRAS/BA</t>
        </is>
      </c>
      <c r="S151" s="26">
        <f>IF(A151=A150,0,1)</f>
        <v>0</v>
      </c>
      <c r="T151" s="26">
        <f>IF(COUNTIF($B$4:B151,B151)=1,1,0)</f>
        <v>0</v>
      </c>
    </row>
    <row r="152">
      <c r="A152" s="14" t="inlineStr">
        <is>
          <t>BARREIRAS</t>
        </is>
      </c>
      <c r="B152" s="26" t="n">
        <v>70</v>
      </c>
      <c r="C152" s="26" t="n">
        <v>1775</v>
      </c>
      <c r="D152" s="14" t="inlineStr">
        <is>
          <t>ESCOLA MUNICIPAL PAULO FREIRE</t>
        </is>
      </c>
      <c r="E152" s="14" t="inlineStr">
        <is>
          <t>VILA BRASIL</t>
        </is>
      </c>
      <c r="F152" s="14" t="inlineStr">
        <is>
          <t>RUA F, S/N - CONJUNTO  HABITACIONAL RIO GRANDE - ZONA URBANA</t>
        </is>
      </c>
      <c r="G152" s="27" t="inlineStr">
        <is>
          <t>47800-000</t>
        </is>
      </c>
      <c r="H152" s="15" t="n">
        <v>3</v>
      </c>
      <c r="I152" s="28" t="inlineStr">
        <is>
          <t>NÃO</t>
        </is>
      </c>
      <c r="J152" s="29" t="n">
        <v>1049.5</v>
      </c>
      <c r="K152" s="14" t="str">
        <f>IF(J152="","7. Acima de 2 km",IF(J152&lt;=50,"1. Até 50 m",IF(J152&lt;=100,"2. De 50 a 100 m",IF(J152&lt;=200,"3. De 100 a 200 m",IF(J152&lt;=300,"4. De 200 a 300 m",IF(J152&lt;=500,"5. De 300 a 500 m","6. De 500 m a 2 km"))))))</f>
        <v>6. De 500 m a 2 km</v>
      </c>
      <c r="L152" s="26" t="n">
        <v>0</v>
      </c>
      <c r="M152" s="26" t="n">
        <v>0</v>
      </c>
      <c r="N152" s="26" t="n">
        <v>0</v>
      </c>
      <c r="O152" s="26" t="n">
        <v>0</v>
      </c>
      <c r="P152" s="30" t="n">
        <v>-12.1299979</v>
      </c>
      <c r="Q152" s="30" t="n">
        <v>-44.9905481</v>
      </c>
      <c r="R152" s="14" t="inlineStr">
        <is>
          <t>RUA PADRE ALFREDO HASLER, S/N, MORADA DA LUA, BARREIRAS/BA</t>
        </is>
      </c>
      <c r="S152" s="26">
        <f>IF(A152=A151,0,1)</f>
        <v>0</v>
      </c>
      <c r="T152" s="26">
        <f>IF(COUNTIF($B$4:B152,B152)=1,1,0)</f>
        <v>0</v>
      </c>
    </row>
    <row r="153">
      <c r="A153" s="14" t="inlineStr">
        <is>
          <t>BARREIRAS</t>
        </is>
      </c>
      <c r="B153" s="26" t="n">
        <v>70</v>
      </c>
      <c r="C153" s="26" t="n">
        <v>1821</v>
      </c>
      <c r="D153" s="14" t="inlineStr">
        <is>
          <t>CETEP - CENTRO TERRITORIAL DE EDUCAÇÃO PROFISSIONAL DO OESTE BAIANO</t>
        </is>
      </c>
      <c r="E153" s="14" t="inlineStr">
        <is>
          <t>FLAMENGO</t>
        </is>
      </c>
      <c r="F153" s="14" t="inlineStr">
        <is>
          <t>BR 242, KM 03 - ZONA URBANA</t>
        </is>
      </c>
      <c r="G153" s="27" t="inlineStr">
        <is>
          <t>47800-000</t>
        </is>
      </c>
      <c r="H153" s="15" t="n">
        <v>12</v>
      </c>
      <c r="I153" s="28" t="inlineStr">
        <is>
          <t>SIM</t>
        </is>
      </c>
      <c r="J153" s="29" t="n">
        <v>88.09999999999999</v>
      </c>
      <c r="K153" s="14" t="str">
        <f>IF(J153="","7. Acima de 2 km",IF(J153&lt;=50,"1. Até 50 m",IF(J153&lt;=100,"2. De 50 a 100 m",IF(J153&lt;=200,"3. De 100 a 200 m",IF(J153&lt;=300,"4. De 200 a 300 m",IF(J153&lt;=500,"5. De 300 a 500 m","6. De 500 m a 2 km"))))))</f>
        <v>2. De 50 a 100 m</v>
      </c>
      <c r="L153" s="26" t="n">
        <v>0</v>
      </c>
      <c r="M153" s="26" t="n">
        <v>1</v>
      </c>
      <c r="N153" s="26" t="n">
        <v>1</v>
      </c>
      <c r="O153" s="26" t="n">
        <v>2</v>
      </c>
      <c r="P153" s="30" t="n">
        <v>-12.1420543</v>
      </c>
      <c r="Q153" s="30" t="n">
        <v>-44.9647942</v>
      </c>
      <c r="R153" s="14" t="inlineStr">
        <is>
          <t>RUA PADRE ALFREDO HASLER, S/N, MORADA DA LUA, BARREIRAS/BA</t>
        </is>
      </c>
      <c r="S153" s="26">
        <f>IF(A153=A152,0,1)</f>
        <v>0</v>
      </c>
      <c r="T153" s="26">
        <f>IF(COUNTIF($B$4:B153,B153)=1,1,0)</f>
        <v>0</v>
      </c>
    </row>
    <row r="154">
      <c r="A154" s="14" t="inlineStr">
        <is>
          <t>BARREIRAS</t>
        </is>
      </c>
      <c r="B154" s="26" t="n">
        <v>70</v>
      </c>
      <c r="C154" s="26" t="n">
        <v>1848</v>
      </c>
      <c r="D154" s="14" t="inlineStr">
        <is>
          <t>ESCOLA MUNICIPAL SANTA LUZIA</t>
        </is>
      </c>
      <c r="E154" s="14" t="inlineStr">
        <is>
          <t>SANTA LUZIA</t>
        </is>
      </c>
      <c r="F154" s="14" t="inlineStr">
        <is>
          <t>RUA PRUDENTE DE MORAES, S/N - ZONA URBANA</t>
        </is>
      </c>
      <c r="G154" s="27" t="inlineStr">
        <is>
          <t>47800-000</t>
        </is>
      </c>
      <c r="H154" s="15" t="n">
        <v>8</v>
      </c>
      <c r="I154" s="28" t="inlineStr">
        <is>
          <t>NÃO</t>
        </is>
      </c>
      <c r="J154" s="29" t="n">
        <v>648.4</v>
      </c>
      <c r="K154" s="14" t="str">
        <f>IF(J154="","7. Acima de 2 km",IF(J154&lt;=50,"1. Até 50 m",IF(J154&lt;=100,"2. De 50 a 100 m",IF(J154&lt;=200,"3. De 100 a 200 m",IF(J154&lt;=300,"4. De 200 a 300 m",IF(J154&lt;=500,"5. De 300 a 500 m","6. De 500 m a 2 km"))))))</f>
        <v>6. De 500 m a 2 km</v>
      </c>
      <c r="L154" s="26" t="n">
        <v>0</v>
      </c>
      <c r="M154" s="26" t="n">
        <v>0</v>
      </c>
      <c r="N154" s="26" t="n">
        <v>0</v>
      </c>
      <c r="O154" s="26" t="n">
        <v>0</v>
      </c>
      <c r="P154" s="30" t="n">
        <v>-12.1321207</v>
      </c>
      <c r="Q154" s="30" t="n">
        <v>-44.9746649</v>
      </c>
      <c r="R154" s="14" t="inlineStr">
        <is>
          <t>RUA PADRE ALFREDO HASLER, S/N, MORADA DA LUA, BARREIRAS/BA</t>
        </is>
      </c>
      <c r="S154" s="26">
        <f>IF(A154=A153,0,1)</f>
        <v>0</v>
      </c>
      <c r="T154" s="26">
        <f>IF(COUNTIF($B$4:B154,B154)=1,1,0)</f>
        <v>0</v>
      </c>
    </row>
    <row r="155">
      <c r="A155" s="14" t="inlineStr">
        <is>
          <t>BARREIRAS</t>
        </is>
      </c>
      <c r="B155" s="26" t="n">
        <v>70</v>
      </c>
      <c r="C155" s="26" t="n">
        <v>1902</v>
      </c>
      <c r="D155" s="14" t="inlineStr">
        <is>
          <t>ESCOLA MUNICIPAL PRINCÍPIO DA SABEDORIA</t>
        </is>
      </c>
      <c r="E155" s="14" t="inlineStr">
        <is>
          <t>NOVO HORIZONTE</t>
        </is>
      </c>
      <c r="F155" s="14" t="inlineStr">
        <is>
          <t>RUA RONALDO CAIADO, 41 - ZONA URBANA</t>
        </is>
      </c>
      <c r="G155" s="27" t="inlineStr">
        <is>
          <t>47800-000</t>
        </is>
      </c>
      <c r="H155" s="15" t="n">
        <v>3</v>
      </c>
      <c r="I155" s="28" t="inlineStr">
        <is>
          <t>NÃO</t>
        </is>
      </c>
      <c r="J155" s="29" t="n">
        <v>356.8</v>
      </c>
      <c r="K155" s="14" t="str">
        <f>IF(J155="","7. Acima de 2 km",IF(J155&lt;=50,"1. Até 50 m",IF(J155&lt;=100,"2. De 50 a 100 m",IF(J155&lt;=200,"3. De 100 a 200 m",IF(J155&lt;=300,"4. De 200 a 300 m",IF(J155&lt;=500,"5. De 300 a 500 m","6. De 500 m a 2 km"))))))</f>
        <v>5. De 300 a 500 m</v>
      </c>
      <c r="L155" s="26" t="n">
        <v>0</v>
      </c>
      <c r="M155" s="26" t="n">
        <v>0</v>
      </c>
      <c r="N155" s="26" t="n">
        <v>0</v>
      </c>
      <c r="O155" s="26" t="n">
        <v>0</v>
      </c>
      <c r="P155" s="30" t="n">
        <v>-12.1453494</v>
      </c>
      <c r="Q155" s="30" t="n">
        <v>-44.9799449</v>
      </c>
      <c r="R155" s="14" t="inlineStr">
        <is>
          <t>RUA PADRE ALFREDO HASLER, S/N, MORADA DA LUA, BARREIRAS/BA</t>
        </is>
      </c>
      <c r="S155" s="26">
        <f>IF(A155=A154,0,1)</f>
        <v>0</v>
      </c>
      <c r="T155" s="26">
        <f>IF(COUNTIF($B$4:B155,B155)=1,1,0)</f>
        <v>0</v>
      </c>
    </row>
    <row r="156">
      <c r="A156" s="14" t="inlineStr">
        <is>
          <t>BARREIRAS</t>
        </is>
      </c>
      <c r="B156" s="26" t="n">
        <v>70</v>
      </c>
      <c r="C156" s="26" t="n">
        <v>1988</v>
      </c>
      <c r="D156" s="14" t="inlineStr">
        <is>
          <t>ESCOLA MUNICIPAL ALCIVANDO LIGUORI DA LUZ - UNIDADE II</t>
        </is>
      </c>
      <c r="E156" s="14" t="inlineStr">
        <is>
          <t>FLAMENGO</t>
        </is>
      </c>
      <c r="F156" s="14" t="inlineStr">
        <is>
          <t>RUA AV. INTERNACIONAL SN</t>
        </is>
      </c>
      <c r="G156" s="27" t="inlineStr">
        <is>
          <t>47800-000</t>
        </is>
      </c>
      <c r="H156" s="15" t="n">
        <v>3</v>
      </c>
      <c r="I156" s="28" t="inlineStr">
        <is>
          <t>NÃO</t>
        </is>
      </c>
      <c r="J156" s="29" t="n">
        <v>588.8</v>
      </c>
      <c r="K156" s="14" t="str">
        <f>IF(J156="","7. Acima de 2 km",IF(J156&lt;=50,"1. Até 50 m",IF(J156&lt;=100,"2. De 50 a 100 m",IF(J156&lt;=200,"3. De 100 a 200 m",IF(J156&lt;=300,"4. De 200 a 300 m",IF(J156&lt;=500,"5. De 300 a 500 m","6. De 500 m a 2 km"))))))</f>
        <v>6. De 500 m a 2 km</v>
      </c>
      <c r="L156" s="26" t="n">
        <v>0</v>
      </c>
      <c r="M156" s="26" t="n">
        <v>0</v>
      </c>
      <c r="N156" s="26" t="n">
        <v>0</v>
      </c>
      <c r="O156" s="26" t="n">
        <v>0</v>
      </c>
      <c r="P156" s="30" t="n">
        <v>-12.1469294</v>
      </c>
      <c r="Q156" s="30" t="n">
        <v>-44.9676854</v>
      </c>
      <c r="R156" s="14" t="inlineStr">
        <is>
          <t>RUA PADRE ALFREDO HASLER, S/N, MORADA DA LUA, BARREIRAS/BA</t>
        </is>
      </c>
      <c r="S156" s="26">
        <f>IF(A156=A155,0,1)</f>
        <v>0</v>
      </c>
      <c r="T156" s="26">
        <f>IF(COUNTIF($B$4:B156,B156)=1,1,0)</f>
        <v>0</v>
      </c>
    </row>
    <row r="157">
      <c r="A157" s="14" t="inlineStr">
        <is>
          <t>BARREIRAS</t>
        </is>
      </c>
      <c r="B157" s="26" t="n">
        <v>70</v>
      </c>
      <c r="C157" s="26" t="n">
        <v>1996</v>
      </c>
      <c r="D157" s="14" t="inlineStr">
        <is>
          <t>ESCOLA MUNICIPAL SAGRADO CORAÇÃO DE MARIA</t>
        </is>
      </c>
      <c r="E157" s="14" t="inlineStr">
        <is>
          <t>POVOADO alto da BELA VISTA</t>
        </is>
      </c>
      <c r="F157" s="14" t="inlineStr">
        <is>
          <t>POVOADO BELA VISTA - ZONA RURAL</t>
        </is>
      </c>
      <c r="G157" s="27" t="inlineStr">
        <is>
          <t>47800-000</t>
        </is>
      </c>
      <c r="H157" s="15" t="n">
        <v>1</v>
      </c>
      <c r="I157" s="28" t="inlineStr">
        <is>
          <t>NÃO</t>
        </is>
      </c>
      <c r="J157" s="29" t="n"/>
      <c r="K157" s="14" t="str">
        <f>IF(J157="","7. Acima de 2 km",IF(J157&lt;=50,"1. Até 50 m",IF(J157&lt;=100,"2. De 50 a 100 m",IF(J157&lt;=200,"3. De 100 a 200 m",IF(J157&lt;=300,"4. De 200 a 300 m",IF(J157&lt;=500,"5. De 300 a 500 m","6. De 500 m a 2 km"))))))</f>
        <v>7. Acima de 2 km</v>
      </c>
      <c r="L157" s="26" t="n">
        <v>0</v>
      </c>
      <c r="M157" s="26" t="n">
        <v>0</v>
      </c>
      <c r="N157" s="26" t="n">
        <v>0</v>
      </c>
      <c r="O157" s="26" t="n">
        <v>0</v>
      </c>
      <c r="P157" s="30" t="n">
        <v>-12.1664734</v>
      </c>
      <c r="Q157" s="30" t="n">
        <v>-44.8599948</v>
      </c>
      <c r="R157" s="14" t="inlineStr">
        <is>
          <t>RUA PADRE ALFREDO HASLER, S/N, MORADA DA LUA, BARREIRAS/BA</t>
        </is>
      </c>
      <c r="S157" s="26">
        <f>IF(A157=A156,0,1)</f>
        <v>0</v>
      </c>
      <c r="T157" s="26">
        <f>IF(COUNTIF($B$4:B157,B157)=1,1,0)</f>
        <v>0</v>
      </c>
    </row>
    <row r="158">
      <c r="A158" s="14" t="inlineStr">
        <is>
          <t>BARREIRAS</t>
        </is>
      </c>
      <c r="B158" s="26" t="n">
        <v>70</v>
      </c>
      <c r="C158" s="26" t="n">
        <v>2003</v>
      </c>
      <c r="D158" s="14" t="inlineStr">
        <is>
          <t>COLÉGIO ESTADUAL DE TEMPO INTEGRAL PROFESSORA KELLY MAGALHÃES - CETI</t>
        </is>
      </c>
      <c r="E158" s="14" t="inlineStr">
        <is>
          <t>FLAMENGO</t>
        </is>
      </c>
      <c r="F158" s="14" t="inlineStr">
        <is>
          <t>AV. ANTÔNIO CARLOS MAGALHÃES, S/N</t>
        </is>
      </c>
      <c r="G158" s="27" t="inlineStr">
        <is>
          <t>47802-660</t>
        </is>
      </c>
      <c r="H158" s="15" t="n">
        <v>4</v>
      </c>
      <c r="I158" s="28" t="inlineStr">
        <is>
          <t>NÃO</t>
        </is>
      </c>
      <c r="J158" s="29" t="n">
        <v>620.6</v>
      </c>
      <c r="K158" s="14" t="str">
        <f>IF(J158="","7. Acima de 2 km",IF(J158&lt;=50,"1. Até 50 m",IF(J158&lt;=100,"2. De 50 a 100 m",IF(J158&lt;=200,"3. De 100 a 200 m",IF(J158&lt;=300,"4. De 200 a 300 m",IF(J158&lt;=500,"5. De 300 a 500 m","6. De 500 m a 2 km"))))))</f>
        <v>6. De 500 m a 2 km</v>
      </c>
      <c r="L158" s="26" t="n">
        <v>0</v>
      </c>
      <c r="M158" s="26" t="n">
        <v>0</v>
      </c>
      <c r="N158" s="26" t="n">
        <v>0</v>
      </c>
      <c r="O158" s="26" t="n">
        <v>0</v>
      </c>
      <c r="P158" s="30" t="n">
        <v>-12.1382514</v>
      </c>
      <c r="Q158" s="30" t="n">
        <v>-44.971367</v>
      </c>
      <c r="R158" s="14" t="inlineStr">
        <is>
          <t>RUA PADRE ALFREDO HASLER, S/N, MORADA DA LUA, BARREIRAS/BA</t>
        </is>
      </c>
      <c r="S158" s="26">
        <f>IF(A158=A157,0,1)</f>
        <v>0</v>
      </c>
      <c r="T158" s="26">
        <f>IF(COUNTIF($B$4:B158,B158)=1,1,0)</f>
        <v>0</v>
      </c>
    </row>
    <row r="159">
      <c r="A159" s="14" t="inlineStr">
        <is>
          <t>BARREIRAS</t>
        </is>
      </c>
      <c r="B159" s="26" t="n">
        <v>70</v>
      </c>
      <c r="C159" s="26" t="n">
        <v>2046</v>
      </c>
      <c r="D159" s="14" t="inlineStr">
        <is>
          <t>ESCOLA MUNICIPAL ANTÔNIA MATOS DE OLIVEIRA</t>
        </is>
      </c>
      <c r="E159" s="14" t="inlineStr">
        <is>
          <t>VILA DULCE</t>
        </is>
      </c>
      <c r="F159" s="14" t="inlineStr">
        <is>
          <t>RUA DO CANAL, 194</t>
        </is>
      </c>
      <c r="G159" s="27" t="inlineStr">
        <is>
          <t>47800-288</t>
        </is>
      </c>
      <c r="H159" s="15" t="n">
        <v>4</v>
      </c>
      <c r="I159" s="28" t="inlineStr">
        <is>
          <t>NÃO</t>
        </is>
      </c>
      <c r="J159" s="29" t="n">
        <v>630.1</v>
      </c>
      <c r="K159" s="14" t="str">
        <f>IF(J159="","7. Acima de 2 km",IF(J159&lt;=50,"1. Até 50 m",IF(J159&lt;=100,"2. De 50 a 100 m",IF(J159&lt;=200,"3. De 100 a 200 m",IF(J159&lt;=300,"4. De 200 a 300 m",IF(J159&lt;=500,"5. De 300 a 500 m","6. De 500 m a 2 km"))))))</f>
        <v>6. De 500 m a 2 km</v>
      </c>
      <c r="L159" s="26" t="n">
        <v>0</v>
      </c>
      <c r="M159" s="26" t="n">
        <v>0</v>
      </c>
      <c r="N159" s="26" t="n">
        <v>0</v>
      </c>
      <c r="O159" s="26" t="n">
        <v>0</v>
      </c>
      <c r="P159" s="30" t="n">
        <v>-12.1355452</v>
      </c>
      <c r="Q159" s="30" t="n">
        <v>-44.992944</v>
      </c>
      <c r="R159" s="14" t="inlineStr">
        <is>
          <t>RUA PADRE ALFREDO HASLER, S/N, MORADA DA LUA, BARREIRAS/BA</t>
        </is>
      </c>
      <c r="S159" s="26">
        <f>IF(A159=A158,0,1)</f>
        <v>0</v>
      </c>
      <c r="T159" s="26">
        <f>IF(COUNTIF($B$4:B159,B159)=1,1,0)</f>
        <v>0</v>
      </c>
    </row>
    <row r="160">
      <c r="A160" s="14" t="inlineStr">
        <is>
          <t>BARREIRAS</t>
        </is>
      </c>
      <c r="B160" s="26" t="n">
        <v>75</v>
      </c>
      <c r="C160" s="26" t="n">
        <v>1015</v>
      </c>
      <c r="D160" s="14" t="inlineStr">
        <is>
          <t>ESCOLA MUNICIPAL CAPITÃO MARCOLINO</t>
        </is>
      </c>
      <c r="E160" s="14" t="inlineStr">
        <is>
          <t>POVOADO VAU DA BOA ESPERANÇA</t>
        </is>
      </c>
      <c r="F160" s="14" t="inlineStr">
        <is>
          <t>POVOADO VAU DA BOA ESPERANÇA - ZONA RURAL</t>
        </is>
      </c>
      <c r="G160" s="27" t="inlineStr">
        <is>
          <t>47800-000</t>
        </is>
      </c>
      <c r="H160" s="15" t="n">
        <v>1</v>
      </c>
      <c r="I160" s="28" t="inlineStr">
        <is>
          <t>NÃO</t>
        </is>
      </c>
      <c r="J160" s="29" t="n"/>
      <c r="K160" s="14" t="str">
        <f>IF(J160="","7. Acima de 2 km",IF(J160&lt;=50,"1. Até 50 m",IF(J160&lt;=100,"2. De 50 a 100 m",IF(J160&lt;=200,"3. De 100 a 200 m",IF(J160&lt;=300,"4. De 200 a 300 m",IF(J160&lt;=500,"5. De 300 a 500 m","6. De 500 m a 2 km"))))))</f>
        <v>7. Acima de 2 km</v>
      </c>
      <c r="L160" s="26" t="n">
        <v>0</v>
      </c>
      <c r="M160" s="26" t="n">
        <v>0</v>
      </c>
      <c r="N160" s="26" t="n">
        <v>0</v>
      </c>
      <c r="O160" s="26" t="n">
        <v>0</v>
      </c>
      <c r="P160" s="30" t="n">
        <v>-12.2032799</v>
      </c>
      <c r="Q160" s="30" t="n">
        <v>-45.2241437</v>
      </c>
      <c r="R160" s="14" t="inlineStr">
        <is>
          <t>RUA PADRE ALFREDO HASLER, S/N, MORADA DA LUA, BARREIRAS/BA</t>
        </is>
      </c>
      <c r="S160" s="26">
        <f>IF(A160=A159,0,1)</f>
        <v>0</v>
      </c>
      <c r="T160" s="26">
        <f>IF(COUNTIF($B$4:B160,B160)=1,1,0)</f>
        <v>1</v>
      </c>
    </row>
    <row r="161">
      <c r="A161" s="14" t="inlineStr">
        <is>
          <t>BARREIRAS</t>
        </is>
      </c>
      <c r="B161" s="26" t="n">
        <v>75</v>
      </c>
      <c r="C161" s="26" t="n">
        <v>1023</v>
      </c>
      <c r="D161" s="14" t="inlineStr">
        <is>
          <t>ESCOLA MUNICIPAL ALBERTO AMORIM</t>
        </is>
      </c>
      <c r="E161" s="14" t="inlineStr">
        <is>
          <t>VILA AMORIM</t>
        </is>
      </c>
      <c r="F161" s="14" t="inlineStr">
        <is>
          <t xml:space="preserve">	- ZONA URBANA</t>
        </is>
      </c>
      <c r="G161" s="27" t="inlineStr">
        <is>
          <t>47800-000</t>
        </is>
      </c>
      <c r="H161" s="15" t="n">
        <v>5</v>
      </c>
      <c r="I161" s="28" t="inlineStr">
        <is>
          <t>NÃO</t>
        </is>
      </c>
      <c r="J161" s="29" t="n">
        <v>192.1</v>
      </c>
      <c r="K161" s="14" t="str">
        <f>IF(J161="","7. Acima de 2 km",IF(J161&lt;=50,"1. Até 50 m",IF(J161&lt;=100,"2. De 50 a 100 m",IF(J161&lt;=200,"3. De 100 a 200 m",IF(J161&lt;=300,"4. De 200 a 300 m",IF(J161&lt;=500,"5. De 300 a 500 m","6. De 500 m a 2 km"))))))</f>
        <v>3. De 100 a 200 m</v>
      </c>
      <c r="L161" s="26" t="n">
        <v>0</v>
      </c>
      <c r="M161" s="26" t="n">
        <v>0</v>
      </c>
      <c r="N161" s="26" t="n">
        <v>1</v>
      </c>
      <c r="O161" s="26" t="n">
        <v>2</v>
      </c>
      <c r="P161" s="30" t="n">
        <v>-12.1211373</v>
      </c>
      <c r="Q161" s="30" t="n">
        <v>-45.0022122</v>
      </c>
      <c r="R161" s="14" t="inlineStr">
        <is>
          <t>RUA PADRE ALFREDO HASLER, S/N, MORADA DA LUA, BARREIRAS/BA</t>
        </is>
      </c>
      <c r="S161" s="26">
        <f>IF(A161=A160,0,1)</f>
        <v>0</v>
      </c>
      <c r="T161" s="26">
        <f>IF(COUNTIF($B$4:B161,B161)=1,1,0)</f>
        <v>0</v>
      </c>
    </row>
    <row r="162">
      <c r="A162" s="14" t="inlineStr">
        <is>
          <t>BARREIRAS</t>
        </is>
      </c>
      <c r="B162" s="26" t="n">
        <v>75</v>
      </c>
      <c r="C162" s="26" t="n">
        <v>1031</v>
      </c>
      <c r="D162" s="14" t="inlineStr">
        <is>
          <t>ESCOLA MUNICIPAL DONA MARIA CASTRO E SILVA</t>
        </is>
      </c>
      <c r="E162" s="14" t="inlineStr">
        <is>
          <t>RIBEIRÃO</t>
        </is>
      </c>
      <c r="F162" s="14" t="inlineStr">
        <is>
          <t>RUA H, S/N - ZONA URBANA</t>
        </is>
      </c>
      <c r="G162" s="27" t="inlineStr">
        <is>
          <t>47800-000</t>
        </is>
      </c>
      <c r="H162" s="15" t="n">
        <v>4</v>
      </c>
      <c r="I162" s="28" t="inlineStr">
        <is>
          <t>NÃO</t>
        </is>
      </c>
      <c r="J162" s="29" t="n">
        <v>442.5</v>
      </c>
      <c r="K162" s="14" t="str">
        <f>IF(J162="","7. Acima de 2 km",IF(J162&lt;=50,"1. Até 50 m",IF(J162&lt;=100,"2. De 50 a 100 m",IF(J162&lt;=200,"3. De 100 a 200 m",IF(J162&lt;=300,"4. De 200 a 300 m",IF(J162&lt;=500,"5. De 300 a 500 m","6. De 500 m a 2 km"))))))</f>
        <v>5. De 300 a 500 m</v>
      </c>
      <c r="L162" s="26" t="n">
        <v>0</v>
      </c>
      <c r="M162" s="26" t="n">
        <v>0</v>
      </c>
      <c r="N162" s="26" t="n">
        <v>0</v>
      </c>
      <c r="O162" s="26" t="n">
        <v>0</v>
      </c>
      <c r="P162" s="30" t="n">
        <v>-12.1641842</v>
      </c>
      <c r="Q162" s="30" t="n">
        <v>-45.0075479</v>
      </c>
      <c r="R162" s="14" t="inlineStr">
        <is>
          <t>RUA PADRE ALFREDO HASLER, S/N, MORADA DA LUA, BARREIRAS/BA</t>
        </is>
      </c>
      <c r="S162" s="26">
        <f>IF(A162=A161,0,1)</f>
        <v>0</v>
      </c>
      <c r="T162" s="26">
        <f>IF(COUNTIF($B$4:B162,B162)=1,1,0)</f>
        <v>0</v>
      </c>
    </row>
    <row r="163">
      <c r="A163" s="14" t="inlineStr">
        <is>
          <t>BARREIRAS</t>
        </is>
      </c>
      <c r="B163" s="26" t="n">
        <v>75</v>
      </c>
      <c r="C163" s="26" t="n">
        <v>1040</v>
      </c>
      <c r="D163" s="14" t="inlineStr">
        <is>
          <t>CRECHE CMEI -  ROSÁLIA SILVA DE CARVALHO SOUZA</t>
        </is>
      </c>
      <c r="E163" s="14" t="inlineStr">
        <is>
          <t>VILA AMORIM</t>
        </is>
      </c>
      <c r="F163" s="14" t="inlineStr">
        <is>
          <t>RUA COSME E DAMIÃO, N 447 - ZONA URBANA</t>
        </is>
      </c>
      <c r="G163" s="27" t="inlineStr">
        <is>
          <t>47810-000</t>
        </is>
      </c>
      <c r="H163" s="15" t="n">
        <v>5</v>
      </c>
      <c r="I163" s="28" t="inlineStr">
        <is>
          <t>NÃO</t>
        </is>
      </c>
      <c r="J163" s="29" t="n">
        <v>267.5</v>
      </c>
      <c r="K163" s="14" t="str">
        <f>IF(J163="","7. Acima de 2 km",IF(J163&lt;=50,"1. Até 50 m",IF(J163&lt;=100,"2. De 50 a 100 m",IF(J163&lt;=200,"3. De 100 a 200 m",IF(J163&lt;=300,"4. De 200 a 300 m",IF(J163&lt;=500,"5. De 300 a 500 m","6. De 500 m a 2 km"))))))</f>
        <v>4. De 200 a 300 m</v>
      </c>
      <c r="L163" s="26" t="n">
        <v>0</v>
      </c>
      <c r="M163" s="26" t="n">
        <v>0</v>
      </c>
      <c r="N163" s="26" t="n">
        <v>0</v>
      </c>
      <c r="O163" s="26" t="n">
        <v>1</v>
      </c>
      <c r="P163" s="30" t="n">
        <v>-12.1163425</v>
      </c>
      <c r="Q163" s="30" t="n">
        <v>-45.0026687</v>
      </c>
      <c r="R163" s="14" t="inlineStr">
        <is>
          <t>RUA PADRE ALFREDO HASLER, S/N, MORADA DA LUA, BARREIRAS/BA</t>
        </is>
      </c>
      <c r="S163" s="26">
        <f>IF(A163=A162,0,1)</f>
        <v>0</v>
      </c>
      <c r="T163" s="26">
        <f>IF(COUNTIF($B$4:B163,B163)=1,1,0)</f>
        <v>0</v>
      </c>
    </row>
    <row r="164">
      <c r="A164" s="14" t="inlineStr">
        <is>
          <t>BARREIRAS</t>
        </is>
      </c>
      <c r="B164" s="26" t="n">
        <v>75</v>
      </c>
      <c r="C164" s="26" t="n">
        <v>1058</v>
      </c>
      <c r="D164" s="14" t="inlineStr">
        <is>
          <t>ESCOLA MUNICIPAL MIRANDOLINA RIBEIRO MACÊDO</t>
        </is>
      </c>
      <c r="E164" s="14" t="inlineStr">
        <is>
          <t>BARREIRINHAS</t>
        </is>
      </c>
      <c r="F164" s="14" t="inlineStr">
        <is>
          <t>PARQUE DE EXPOSICAO - ZONA URBANA</t>
        </is>
      </c>
      <c r="G164" s="27" t="inlineStr">
        <is>
          <t>47800-000</t>
        </is>
      </c>
      <c r="H164" s="15" t="n">
        <v>10</v>
      </c>
      <c r="I164" s="28" t="inlineStr">
        <is>
          <t>NÃO</t>
        </is>
      </c>
      <c r="J164" s="29" t="n">
        <v>253.4</v>
      </c>
      <c r="K164" s="14" t="str">
        <f>IF(J164="","7. Acima de 2 km",IF(J164&lt;=50,"1. Até 50 m",IF(J164&lt;=100,"2. De 50 a 100 m",IF(J164&lt;=200,"3. De 100 a 200 m",IF(J164&lt;=300,"4. De 200 a 300 m",IF(J164&lt;=500,"5. De 300 a 500 m","6. De 500 m a 2 km"))))))</f>
        <v>4. De 200 a 300 m</v>
      </c>
      <c r="L164" s="26" t="n">
        <v>0</v>
      </c>
      <c r="M164" s="26" t="n">
        <v>0</v>
      </c>
      <c r="N164" s="26" t="n">
        <v>0</v>
      </c>
      <c r="O164" s="26" t="n">
        <v>1</v>
      </c>
      <c r="P164" s="30" t="n">
        <v>-12.1390238</v>
      </c>
      <c r="Q164" s="30" t="n">
        <v>-45.0013012</v>
      </c>
      <c r="R164" s="14" t="inlineStr">
        <is>
          <t>RUA PADRE ALFREDO HASLER, S/N, MORADA DA LUA, BARREIRAS/BA</t>
        </is>
      </c>
      <c r="S164" s="26">
        <f>IF(A164=A163,0,1)</f>
        <v>0</v>
      </c>
      <c r="T164" s="26">
        <f>IF(COUNTIF($B$4:B164,B164)=1,1,0)</f>
        <v>0</v>
      </c>
    </row>
    <row r="165">
      <c r="A165" s="14" t="inlineStr">
        <is>
          <t>BARREIRAS</t>
        </is>
      </c>
      <c r="B165" s="26" t="n">
        <v>75</v>
      </c>
      <c r="C165" s="26" t="n">
        <v>1066</v>
      </c>
      <c r="D165" s="14" t="inlineStr">
        <is>
          <t>CENTRO DE ASSISTÊNCIA INTEGRAL A CRIANCA - CAIC</t>
        </is>
      </c>
      <c r="E165" s="14" t="inlineStr">
        <is>
          <t>CASCALHEIRA</t>
        </is>
      </c>
      <c r="F165" s="14" t="inlineStr">
        <is>
          <t>RUA HORTO FLORESTAL, S/N - ZONA URBANA</t>
        </is>
      </c>
      <c r="G165" s="27" t="inlineStr">
        <is>
          <t>47800-000</t>
        </is>
      </c>
      <c r="H165" s="15" t="n">
        <v>6</v>
      </c>
      <c r="I165" s="28" t="inlineStr">
        <is>
          <t>NÃO</t>
        </is>
      </c>
      <c r="J165" s="29" t="n">
        <v>402.7</v>
      </c>
      <c r="K165" s="14" t="str">
        <f>IF(J165="","7. Acima de 2 km",IF(J165&lt;=50,"1. Até 50 m",IF(J165&lt;=100,"2. De 50 a 100 m",IF(J165&lt;=200,"3. De 100 a 200 m",IF(J165&lt;=300,"4. De 200 a 300 m",IF(J165&lt;=500,"5. De 300 a 500 m","6. De 500 m a 2 km"))))))</f>
        <v>5. De 300 a 500 m</v>
      </c>
      <c r="L165" s="26" t="n">
        <v>0</v>
      </c>
      <c r="M165" s="26" t="n">
        <v>0</v>
      </c>
      <c r="N165" s="26" t="n">
        <v>0</v>
      </c>
      <c r="O165" s="26" t="n">
        <v>0</v>
      </c>
      <c r="P165" s="30" t="n">
        <v>-12.1168245</v>
      </c>
      <c r="Q165" s="30" t="n">
        <v>-45.0108909</v>
      </c>
      <c r="R165" s="14" t="inlineStr">
        <is>
          <t>RUA PADRE ALFREDO HASLER, S/N, MORADA DA LUA, BARREIRAS/BA</t>
        </is>
      </c>
      <c r="S165" s="26">
        <f>IF(A165=A164,0,1)</f>
        <v>0</v>
      </c>
      <c r="T165" s="26">
        <f>IF(COUNTIF($B$4:B165,B165)=1,1,0)</f>
        <v>0</v>
      </c>
    </row>
    <row r="166">
      <c r="A166" s="14" t="inlineStr">
        <is>
          <t>BARREIRAS</t>
        </is>
      </c>
      <c r="B166" s="26" t="n">
        <v>75</v>
      </c>
      <c r="C166" s="26" t="n">
        <v>1074</v>
      </c>
      <c r="D166" s="14" t="inlineStr">
        <is>
          <t>ESCOLA MUNICIPAL SENHOR DOS AFLITOS</t>
        </is>
      </c>
      <c r="E166" s="14" t="inlineStr">
        <is>
          <t>POVOADO CANTINHO DO SENHOR DOS AFLITOS</t>
        </is>
      </c>
      <c r="F166" s="14" t="inlineStr">
        <is>
          <t>POVOADO CANTINHO DO SENHOR DOS AFLITOS - ZONA RURAL</t>
        </is>
      </c>
      <c r="G166" s="27" t="inlineStr">
        <is>
          <t>47800-000</t>
        </is>
      </c>
      <c r="H166" s="15" t="n">
        <v>1</v>
      </c>
      <c r="I166" s="28" t="inlineStr">
        <is>
          <t>NÃO</t>
        </is>
      </c>
      <c r="J166" s="29" t="n"/>
      <c r="K166" s="14" t="str">
        <f>IF(J166="","7. Acima de 2 km",IF(J166&lt;=50,"1. Até 50 m",IF(J166&lt;=100,"2. De 50 a 100 m",IF(J166&lt;=200,"3. De 100 a 200 m",IF(J166&lt;=300,"4. De 200 a 300 m",IF(J166&lt;=500,"5. De 300 a 500 m","6. De 500 m a 2 km"))))))</f>
        <v>7. Acima de 2 km</v>
      </c>
      <c r="L166" s="26" t="n">
        <v>0</v>
      </c>
      <c r="M166" s="26" t="n">
        <v>0</v>
      </c>
      <c r="N166" s="26" t="n">
        <v>0</v>
      </c>
      <c r="O166" s="26" t="n">
        <v>0</v>
      </c>
      <c r="P166" s="30" t="n">
        <v>-11.9967134</v>
      </c>
      <c r="Q166" s="30" t="n">
        <v>-44.9683953</v>
      </c>
      <c r="R166" s="14" t="inlineStr">
        <is>
          <t>RUA PADRE ALFREDO HASLER, S/N, MORADA DA LUA, BARREIRAS/BA</t>
        </is>
      </c>
      <c r="S166" s="26">
        <f>IF(A166=A165,0,1)</f>
        <v>0</v>
      </c>
      <c r="T166" s="26">
        <f>IF(COUNTIF($B$4:B166,B166)=1,1,0)</f>
        <v>0</v>
      </c>
    </row>
    <row r="167">
      <c r="A167" s="14" t="inlineStr">
        <is>
          <t>BARREIRAS</t>
        </is>
      </c>
      <c r="B167" s="26" t="n">
        <v>75</v>
      </c>
      <c r="C167" s="26" t="n">
        <v>1082</v>
      </c>
      <c r="D167" s="14" t="inlineStr">
        <is>
          <t>ESCOLA MUNICIPAL DE 1 GRAU POVOADO BOA SORTE</t>
        </is>
      </c>
      <c r="E167" s="14" t="inlineStr">
        <is>
          <t>POVOADO BOA SORTE</t>
        </is>
      </c>
      <c r="F167" s="14" t="inlineStr">
        <is>
          <t>POVOADO BOA SORTE - ZONA RURAL</t>
        </is>
      </c>
      <c r="G167" s="27" t="inlineStr">
        <is>
          <t>47800-000</t>
        </is>
      </c>
      <c r="H167" s="15" t="n">
        <v>6</v>
      </c>
      <c r="I167" s="28" t="inlineStr">
        <is>
          <t>NÃO</t>
        </is>
      </c>
      <c r="J167" s="29" t="n">
        <v>216.7</v>
      </c>
      <c r="K167" s="14" t="str">
        <f>IF(J167="","7. Acima de 2 km",IF(J167&lt;=50,"1. Até 50 m",IF(J167&lt;=100,"2. De 50 a 100 m",IF(J167&lt;=200,"3. De 100 a 200 m",IF(J167&lt;=300,"4. De 200 a 300 m",IF(J167&lt;=500,"5. De 300 a 500 m","6. De 500 m a 2 km"))))))</f>
        <v>4. De 200 a 300 m</v>
      </c>
      <c r="L167" s="26" t="n">
        <v>0</v>
      </c>
      <c r="M167" s="26" t="n">
        <v>0</v>
      </c>
      <c r="N167" s="26" t="n">
        <v>0</v>
      </c>
      <c r="O167" s="26" t="n">
        <v>1</v>
      </c>
      <c r="P167" s="30" t="n">
        <v>-12.1686474</v>
      </c>
      <c r="Q167" s="30" t="n">
        <v>-45.005341</v>
      </c>
      <c r="R167" s="14" t="inlineStr">
        <is>
          <t>RUA PADRE ALFREDO HASLER, S/N, MORADA DA LUA, BARREIRAS/BA</t>
        </is>
      </c>
      <c r="S167" s="26">
        <f>IF(A167=A166,0,1)</f>
        <v>0</v>
      </c>
      <c r="T167" s="26">
        <f>IF(COUNTIF($B$4:B167,B167)=1,1,0)</f>
        <v>0</v>
      </c>
    </row>
    <row r="168">
      <c r="A168" s="14" t="inlineStr">
        <is>
          <t>BARREIRAS</t>
        </is>
      </c>
      <c r="B168" s="26" t="n">
        <v>75</v>
      </c>
      <c r="C168" s="26" t="n">
        <v>1090</v>
      </c>
      <c r="D168" s="14" t="inlineStr">
        <is>
          <t>ESCOLA MUNICIPAL SÃO JOÃO - POV. SUCURIU</t>
        </is>
      </c>
      <c r="E168" s="14" t="inlineStr">
        <is>
          <t>POVOADO SUCURIU</t>
        </is>
      </c>
      <c r="F168" s="14" t="inlineStr">
        <is>
          <t>POVOADO SUCURIU - ZONA RURAL</t>
        </is>
      </c>
      <c r="G168" s="27" t="inlineStr">
        <is>
          <t>47800-000</t>
        </is>
      </c>
      <c r="H168" s="15" t="n">
        <v>1</v>
      </c>
      <c r="I168" s="28" t="inlineStr">
        <is>
          <t>NÃO</t>
        </is>
      </c>
      <c r="J168" s="29" t="n"/>
      <c r="K168" s="14" t="str">
        <f>IF(J168="","7. Acima de 2 km",IF(J168&lt;=50,"1. Até 50 m",IF(J168&lt;=100,"2. De 50 a 100 m",IF(J168&lt;=200,"3. De 100 a 200 m",IF(J168&lt;=300,"4. De 200 a 300 m",IF(J168&lt;=500,"5. De 300 a 500 m","6. De 500 m a 2 km"))))))</f>
        <v>7. Acima de 2 km</v>
      </c>
      <c r="L168" s="26" t="n">
        <v>0</v>
      </c>
      <c r="M168" s="26" t="n">
        <v>0</v>
      </c>
      <c r="N168" s="26" t="n">
        <v>0</v>
      </c>
      <c r="O168" s="26" t="n">
        <v>0</v>
      </c>
      <c r="P168" s="30" t="n">
        <v>-12.1715181</v>
      </c>
      <c r="Q168" s="30" t="n">
        <v>-45.2012626</v>
      </c>
      <c r="R168" s="14" t="inlineStr">
        <is>
          <t>RUA PADRE ALFREDO HASLER, S/N, MORADA DA LUA, BARREIRAS/BA</t>
        </is>
      </c>
      <c r="S168" s="26">
        <f>IF(A168=A167,0,1)</f>
        <v>0</v>
      </c>
      <c r="T168" s="26">
        <f>IF(COUNTIF($B$4:B168,B168)=1,1,0)</f>
        <v>0</v>
      </c>
    </row>
    <row r="169">
      <c r="A169" s="14" t="inlineStr">
        <is>
          <t>BARREIRAS</t>
        </is>
      </c>
      <c r="B169" s="26" t="n">
        <v>75</v>
      </c>
      <c r="C169" s="26" t="n">
        <v>1104</v>
      </c>
      <c r="D169" s="14" t="inlineStr">
        <is>
          <t>ESCOLA MUNICIPAL SANTA LUZIA - POV. SANGUEIRA</t>
        </is>
      </c>
      <c r="E169" s="14" t="inlineStr">
        <is>
          <t>POVOADO DE SANGUEIRA</t>
        </is>
      </c>
      <c r="F169" s="14" t="inlineStr">
        <is>
          <t>POVOADO SANGUEIRA - ZONA RURAL</t>
        </is>
      </c>
      <c r="G169" s="27" t="inlineStr">
        <is>
          <t>47800-000</t>
        </is>
      </c>
      <c r="H169" s="15" t="n">
        <v>2</v>
      </c>
      <c r="I169" s="28" t="inlineStr">
        <is>
          <t>NÃO</t>
        </is>
      </c>
      <c r="J169" s="29" t="n"/>
      <c r="K169" s="14" t="str">
        <f>IF(J169="","7. Acima de 2 km",IF(J169&lt;=50,"1. Até 50 m",IF(J169&lt;=100,"2. De 50 a 100 m",IF(J169&lt;=200,"3. De 100 a 200 m",IF(J169&lt;=300,"4. De 200 a 300 m",IF(J169&lt;=500,"5. De 300 a 500 m","6. De 500 m a 2 km"))))))</f>
        <v>7. Acima de 2 km</v>
      </c>
      <c r="L169" s="26" t="n">
        <v>0</v>
      </c>
      <c r="M169" s="26" t="n">
        <v>0</v>
      </c>
      <c r="N169" s="26" t="n">
        <v>0</v>
      </c>
      <c r="O169" s="26" t="n">
        <v>0</v>
      </c>
      <c r="P169" s="30" t="n">
        <v>-12.1911608</v>
      </c>
      <c r="Q169" s="30" t="n">
        <v>-45.4854528</v>
      </c>
      <c r="R169" s="14" t="inlineStr">
        <is>
          <t>RUA PADRE ALFREDO HASLER, S/N, MORADA DA LUA, BARREIRAS/BA</t>
        </is>
      </c>
      <c r="S169" s="26">
        <f>IF(A169=A168,0,1)</f>
        <v>0</v>
      </c>
      <c r="T169" s="26">
        <f>IF(COUNTIF($B$4:B169,B169)=1,1,0)</f>
        <v>0</v>
      </c>
    </row>
    <row r="170">
      <c r="A170" s="14" t="inlineStr">
        <is>
          <t>BARREIRAS</t>
        </is>
      </c>
      <c r="B170" s="26" t="n">
        <v>75</v>
      </c>
      <c r="C170" s="26" t="n">
        <v>1112</v>
      </c>
      <c r="D170" s="14" t="inlineStr">
        <is>
          <t>ESCOLA MUNICIPAL ANTONIO JOAQUIM ALBERNAZ</t>
        </is>
      </c>
      <c r="E170" s="14" t="inlineStr">
        <is>
          <t>POVOADO VEREDA DAS LAJES</t>
        </is>
      </c>
      <c r="F170" s="14" t="inlineStr">
        <is>
          <t>POVOADO VEREDA DAS LAGES - ZONA RURAL</t>
        </is>
      </c>
      <c r="G170" s="27" t="inlineStr">
        <is>
          <t>47800-000</t>
        </is>
      </c>
      <c r="H170" s="15" t="n">
        <v>1</v>
      </c>
      <c r="I170" s="28" t="inlineStr">
        <is>
          <t>NÃO</t>
        </is>
      </c>
      <c r="J170" s="29" t="n"/>
      <c r="K170" s="14" t="str">
        <f>IF(J170="","7. Acima de 2 km",IF(J170&lt;=50,"1. Até 50 m",IF(J170&lt;=100,"2. De 50 a 100 m",IF(J170&lt;=200,"3. De 100 a 200 m",IF(J170&lt;=300,"4. De 200 a 300 m",IF(J170&lt;=500,"5. De 300 a 500 m","6. De 500 m a 2 km"))))))</f>
        <v>7. Acima de 2 km</v>
      </c>
      <c r="L170" s="26" t="n">
        <v>0</v>
      </c>
      <c r="M170" s="26" t="n">
        <v>0</v>
      </c>
      <c r="N170" s="26" t="n">
        <v>0</v>
      </c>
      <c r="O170" s="26" t="n">
        <v>0</v>
      </c>
      <c r="P170" s="30" t="n">
        <v>-12.1144519</v>
      </c>
      <c r="Q170" s="30" t="n">
        <v>-45.1963007</v>
      </c>
      <c r="R170" s="14" t="inlineStr">
        <is>
          <t>RUA PADRE ALFREDO HASLER, S/N, MORADA DA LUA, BARREIRAS/BA</t>
        </is>
      </c>
      <c r="S170" s="26">
        <f>IF(A170=A169,0,1)</f>
        <v>0</v>
      </c>
      <c r="T170" s="26">
        <f>IF(COUNTIF($B$4:B170,B170)=1,1,0)</f>
        <v>0</v>
      </c>
    </row>
    <row r="171">
      <c r="A171" s="14" t="inlineStr">
        <is>
          <t>BARREIRAS</t>
        </is>
      </c>
      <c r="B171" s="26" t="n">
        <v>75</v>
      </c>
      <c r="C171" s="26" t="n">
        <v>1120</v>
      </c>
      <c r="D171" s="14" t="inlineStr">
        <is>
          <t>ESCOLA MUNICIPAL SÃO JOÃO - POV. BARROCÃO DE CIMA</t>
        </is>
      </c>
      <c r="E171" s="14" t="inlineStr">
        <is>
          <t>POVOADO BARROCÃO DE CIMA</t>
        </is>
      </c>
      <c r="F171" s="14" t="inlineStr">
        <is>
          <t>POVOADO BARROCÃO DE CIMA - ZONA RURAL</t>
        </is>
      </c>
      <c r="G171" s="27" t="inlineStr">
        <is>
          <t>47800-000</t>
        </is>
      </c>
      <c r="H171" s="15" t="n">
        <v>2</v>
      </c>
      <c r="I171" s="28" t="inlineStr">
        <is>
          <t>NÃO</t>
        </is>
      </c>
      <c r="J171" s="29" t="n">
        <v>456</v>
      </c>
      <c r="K171" s="14" t="str">
        <f>IF(J171="","7. Acima de 2 km",IF(J171&lt;=50,"1. Até 50 m",IF(J171&lt;=100,"2. De 50 a 100 m",IF(J171&lt;=200,"3. De 100 a 200 m",IF(J171&lt;=300,"4. De 200 a 300 m",IF(J171&lt;=500,"5. De 300 a 500 m","6. De 500 m a 2 km"))))))</f>
        <v>5. De 300 a 500 m</v>
      </c>
      <c r="L171" s="26" t="n">
        <v>0</v>
      </c>
      <c r="M171" s="26" t="n">
        <v>0</v>
      </c>
      <c r="N171" s="26" t="n">
        <v>0</v>
      </c>
      <c r="O171" s="26" t="n">
        <v>0</v>
      </c>
      <c r="P171" s="30" t="n">
        <v>-12.1667227</v>
      </c>
      <c r="Q171" s="30" t="n">
        <v>-45.0087312</v>
      </c>
      <c r="R171" s="14" t="inlineStr">
        <is>
          <t>RUA PADRE ALFREDO HASLER, S/N, MORADA DA LUA, BARREIRAS/BA</t>
        </is>
      </c>
      <c r="S171" s="26">
        <f>IF(A171=A170,0,1)</f>
        <v>0</v>
      </c>
      <c r="T171" s="26">
        <f>IF(COUNTIF($B$4:B171,B171)=1,1,0)</f>
        <v>0</v>
      </c>
    </row>
    <row r="172">
      <c r="A172" s="14" t="inlineStr">
        <is>
          <t>BARREIRAS</t>
        </is>
      </c>
      <c r="B172" s="26" t="n">
        <v>75</v>
      </c>
      <c r="C172" s="26" t="n">
        <v>1139</v>
      </c>
      <c r="D172" s="14" t="inlineStr">
        <is>
          <t>ESCOLA MUNICIPAL SÃO JOÃO BATISTA - POV. PASSAGEM FUNDA</t>
        </is>
      </c>
      <c r="E172" s="14" t="inlineStr">
        <is>
          <t>POVOADO PASSAGEM FUNDA</t>
        </is>
      </c>
      <c r="F172" s="14" t="inlineStr">
        <is>
          <t>POVOADO PASSAGEM FUNDA - ZONA RURAL</t>
        </is>
      </c>
      <c r="G172" s="27" t="inlineStr">
        <is>
          <t>47800-000</t>
        </is>
      </c>
      <c r="H172" s="15" t="n">
        <v>1</v>
      </c>
      <c r="I172" s="28" t="inlineStr">
        <is>
          <t>NÃO</t>
        </is>
      </c>
      <c r="J172" s="29" t="n"/>
      <c r="K172" s="14" t="str">
        <f>IF(J172="","7. Acima de 2 km",IF(J172&lt;=50,"1. Até 50 m",IF(J172&lt;=100,"2. De 50 a 100 m",IF(J172&lt;=200,"3. De 100 a 200 m",IF(J172&lt;=300,"4. De 200 a 300 m",IF(J172&lt;=500,"5. De 300 a 500 m","6. De 500 m a 2 km"))))))</f>
        <v>7. Acima de 2 km</v>
      </c>
      <c r="L172" s="26" t="n">
        <v>0</v>
      </c>
      <c r="M172" s="26" t="n">
        <v>0</v>
      </c>
      <c r="N172" s="26" t="n">
        <v>0</v>
      </c>
      <c r="O172" s="26" t="n">
        <v>0</v>
      </c>
      <c r="P172" s="30" t="n">
        <v>-12.194212</v>
      </c>
      <c r="Q172" s="30" t="n">
        <v>-45.0503551</v>
      </c>
      <c r="R172" s="14" t="inlineStr">
        <is>
          <t>RUA PADRE ALFREDO HASLER, S/N, MORADA DA LUA, BARREIRAS/BA</t>
        </is>
      </c>
      <c r="S172" s="26">
        <f>IF(A172=A171,0,1)</f>
        <v>0</v>
      </c>
      <c r="T172" s="26">
        <f>IF(COUNTIF($B$4:B172,B172)=1,1,0)</f>
        <v>0</v>
      </c>
    </row>
    <row r="173">
      <c r="A173" s="14" t="inlineStr">
        <is>
          <t>BARREIRAS</t>
        </is>
      </c>
      <c r="B173" s="26" t="n">
        <v>75</v>
      </c>
      <c r="C173" s="26" t="n">
        <v>1163</v>
      </c>
      <c r="D173" s="14" t="inlineStr">
        <is>
          <t>ESCOLA MUNICIPAL PROFESSOR ROBERTO SANTOS</t>
        </is>
      </c>
      <c r="E173" s="14" t="inlineStr">
        <is>
          <t>BARREIRINHAS</t>
        </is>
      </c>
      <c r="F173" s="14" t="inlineStr">
        <is>
          <t>RUA SAO PAULO, S/N - ZONA URBANA</t>
        </is>
      </c>
      <c r="G173" s="27" t="inlineStr">
        <is>
          <t>47800-000</t>
        </is>
      </c>
      <c r="H173" s="15" t="n">
        <v>5</v>
      </c>
      <c r="I173" s="28" t="inlineStr">
        <is>
          <t>NÃO</t>
        </is>
      </c>
      <c r="J173" s="29" t="n">
        <v>129.1</v>
      </c>
      <c r="K173" s="14" t="str">
        <f>IF(J173="","7. Acima de 2 km",IF(J173&lt;=50,"1. Até 50 m",IF(J173&lt;=100,"2. De 50 a 100 m",IF(J173&lt;=200,"3. De 100 a 200 m",IF(J173&lt;=300,"4. De 200 a 300 m",IF(J173&lt;=500,"5. De 300 a 500 m","6. De 500 m a 2 km"))))))</f>
        <v>3. De 100 a 200 m</v>
      </c>
      <c r="L173" s="26" t="n">
        <v>0</v>
      </c>
      <c r="M173" s="26" t="n">
        <v>0</v>
      </c>
      <c r="N173" s="26" t="n">
        <v>2</v>
      </c>
      <c r="O173" s="26" t="n">
        <v>3</v>
      </c>
      <c r="P173" s="30" t="n">
        <v>-12.1376913</v>
      </c>
      <c r="Q173" s="30" t="n">
        <v>-45.0066511</v>
      </c>
      <c r="R173" s="14" t="inlineStr">
        <is>
          <t>RUA PADRE ALFREDO HASLER, S/N, MORADA DA LUA, BARREIRAS/BA</t>
        </is>
      </c>
      <c r="S173" s="26">
        <f>IF(A173=A172,0,1)</f>
        <v>0</v>
      </c>
      <c r="T173" s="26">
        <f>IF(COUNTIF($B$4:B173,B173)=1,1,0)</f>
        <v>0</v>
      </c>
    </row>
    <row r="174">
      <c r="A174" s="14" t="inlineStr">
        <is>
          <t>BARREIRAS</t>
        </is>
      </c>
      <c r="B174" s="26" t="n">
        <v>75</v>
      </c>
      <c r="C174" s="26" t="n">
        <v>1171</v>
      </c>
      <c r="D174" s="14" t="inlineStr">
        <is>
          <t>ESCOLA MUNICIIPAL CLEONICE LOPES</t>
        </is>
      </c>
      <c r="E174" s="14" t="inlineStr">
        <is>
          <t>VILA RICA</t>
        </is>
      </c>
      <c r="F174" s="14" t="inlineStr">
        <is>
          <t>RUA COSTA RICA, S/N - ZONA URBANA</t>
        </is>
      </c>
      <c r="G174" s="27" t="inlineStr">
        <is>
          <t>47800-000</t>
        </is>
      </c>
      <c r="H174" s="15" t="n">
        <v>13</v>
      </c>
      <c r="I174" s="28" t="inlineStr">
        <is>
          <t>NÃO</t>
        </is>
      </c>
      <c r="J174" s="29" t="n">
        <v>110.6</v>
      </c>
      <c r="K174" s="14" t="str">
        <f>IF(J174="","7. Acima de 2 km",IF(J174&lt;=50,"1. Até 50 m",IF(J174&lt;=100,"2. De 50 a 100 m",IF(J174&lt;=200,"3. De 100 a 200 m",IF(J174&lt;=300,"4. De 200 a 300 m",IF(J174&lt;=500,"5. De 300 a 500 m","6. De 500 m a 2 km"))))))</f>
        <v>3. De 100 a 200 m</v>
      </c>
      <c r="L174" s="26" t="n">
        <v>0</v>
      </c>
      <c r="M174" s="26" t="n">
        <v>0</v>
      </c>
      <c r="N174" s="26" t="n">
        <v>1</v>
      </c>
      <c r="O174" s="26" t="n">
        <v>2</v>
      </c>
      <c r="P174" s="30" t="n">
        <v>-12.1278866</v>
      </c>
      <c r="Q174" s="30" t="n">
        <v>-45.013644</v>
      </c>
      <c r="R174" s="14" t="inlineStr">
        <is>
          <t>RUA PADRE ALFREDO HASLER, S/N, MORADA DA LUA, BARREIRAS/BA</t>
        </is>
      </c>
      <c r="S174" s="26">
        <f>IF(A174=A173,0,1)</f>
        <v>0</v>
      </c>
      <c r="T174" s="26">
        <f>IF(COUNTIF($B$4:B174,B174)=1,1,0)</f>
        <v>0</v>
      </c>
    </row>
    <row r="175">
      <c r="A175" s="14" t="inlineStr">
        <is>
          <t>BARREIRAS</t>
        </is>
      </c>
      <c r="B175" s="26" t="n">
        <v>75</v>
      </c>
      <c r="C175" s="26" t="n">
        <v>1180</v>
      </c>
      <c r="D175" s="14" t="inlineStr">
        <is>
          <t>CENTRO EDUCACIONAL TARCILO VIEIRA DE MELO</t>
        </is>
      </c>
      <c r="E175" s="14" t="inlineStr">
        <is>
          <t>SÃO PEDRO</t>
        </is>
      </c>
      <c r="F175" s="14" t="inlineStr">
        <is>
          <t>RUA DA CARIDADE, S/N - ZONA URBANA</t>
        </is>
      </c>
      <c r="G175" s="27" t="inlineStr">
        <is>
          <t>47800-000</t>
        </is>
      </c>
      <c r="H175" s="15" t="n">
        <v>6</v>
      </c>
      <c r="I175" s="28" t="inlineStr">
        <is>
          <t>SIM</t>
        </is>
      </c>
      <c r="J175" s="29" t="n">
        <v>73.2</v>
      </c>
      <c r="K175" s="14" t="str">
        <f>IF(J175="","7. Acima de 2 km",IF(J175&lt;=50,"1. Até 50 m",IF(J175&lt;=100,"2. De 50 a 100 m",IF(J175&lt;=200,"3. De 100 a 200 m",IF(J175&lt;=300,"4. De 200 a 300 m",IF(J175&lt;=500,"5. De 300 a 500 m","6. De 500 m a 2 km"))))))</f>
        <v>2. De 50 a 100 m</v>
      </c>
      <c r="L175" s="26" t="n">
        <v>0</v>
      </c>
      <c r="M175" s="26" t="n">
        <v>1</v>
      </c>
      <c r="N175" s="26" t="n">
        <v>1</v>
      </c>
      <c r="O175" s="26" t="n">
        <v>1</v>
      </c>
      <c r="P175" s="30" t="n">
        <v>-12.1321289</v>
      </c>
      <c r="Q175" s="30" t="n">
        <v>-45.0090037</v>
      </c>
      <c r="R175" s="14" t="inlineStr">
        <is>
          <t>RUA PADRE ALFREDO HASLER, S/N, MORADA DA LUA, BARREIRAS/BA</t>
        </is>
      </c>
      <c r="S175" s="26">
        <f>IF(A175=A174,0,1)</f>
        <v>0</v>
      </c>
      <c r="T175" s="26">
        <f>IF(COUNTIF($B$4:B175,B175)=1,1,0)</f>
        <v>0</v>
      </c>
    </row>
    <row r="176">
      <c r="A176" s="14" t="inlineStr">
        <is>
          <t>BARREIRAS</t>
        </is>
      </c>
      <c r="B176" s="26" t="n">
        <v>75</v>
      </c>
      <c r="C176" s="26" t="n">
        <v>1198</v>
      </c>
      <c r="D176" s="14" t="inlineStr">
        <is>
          <t>ESCOLA MUNICIPAL SÃO JOSÉ - POV. SÃO JOSÉ CTI</t>
        </is>
      </c>
      <c r="E176" s="14" t="inlineStr">
        <is>
          <t>POVOADO SÃO JOSÉ</t>
        </is>
      </c>
      <c r="F176" s="14" t="inlineStr">
        <is>
          <t>POVOADO SÃO JOSÉ - ZONA RURAL</t>
        </is>
      </c>
      <c r="G176" s="27" t="inlineStr">
        <is>
          <t>47800-000</t>
        </is>
      </c>
      <c r="H176" s="15" t="n">
        <v>1</v>
      </c>
      <c r="I176" s="28" t="inlineStr">
        <is>
          <t>NÃO</t>
        </is>
      </c>
      <c r="J176" s="29" t="n"/>
      <c r="K176" s="14" t="str">
        <f>IF(J176="","7. Acima de 2 km",IF(J176&lt;=50,"1. Até 50 m",IF(J176&lt;=100,"2. De 50 a 100 m",IF(J176&lt;=200,"3. De 100 a 200 m",IF(J176&lt;=300,"4. De 200 a 300 m",IF(J176&lt;=500,"5. De 300 a 500 m","6. De 500 m a 2 km"))))))</f>
        <v>7. Acima de 2 km</v>
      </c>
      <c r="L176" s="26" t="n">
        <v>0</v>
      </c>
      <c r="M176" s="26" t="n">
        <v>0</v>
      </c>
      <c r="N176" s="26" t="n">
        <v>0</v>
      </c>
      <c r="O176" s="26" t="n">
        <v>0</v>
      </c>
      <c r="P176" s="30" t="n">
        <v>-12.2989593</v>
      </c>
      <c r="Q176" s="30" t="n">
        <v>-45.0291816</v>
      </c>
      <c r="R176" s="14" t="inlineStr">
        <is>
          <t>RUA PADRE ALFREDO HASLER, S/N, MORADA DA LUA, BARREIRAS/BA</t>
        </is>
      </c>
      <c r="S176" s="26">
        <f>IF(A176=A175,0,1)</f>
        <v>0</v>
      </c>
      <c r="T176" s="26">
        <f>IF(COUNTIF($B$4:B176,B176)=1,1,0)</f>
        <v>0</v>
      </c>
    </row>
    <row r="177">
      <c r="A177" s="14" t="inlineStr">
        <is>
          <t>BARREIRAS</t>
        </is>
      </c>
      <c r="B177" s="26" t="n">
        <v>75</v>
      </c>
      <c r="C177" s="26" t="n">
        <v>1201</v>
      </c>
      <c r="D177" s="14" t="inlineStr">
        <is>
          <t>ESCOLA MUNICIPAL DR. ABILIO FARIAS</t>
        </is>
      </c>
      <c r="E177" s="14" t="inlineStr">
        <is>
          <t>POVOADO MOCAMBO</t>
        </is>
      </c>
      <c r="F177" s="14" t="inlineStr">
        <is>
          <t>POVOADO MOCAMBO - ZONA RURAL</t>
        </is>
      </c>
      <c r="G177" s="27" t="inlineStr">
        <is>
          <t>47800-000</t>
        </is>
      </c>
      <c r="H177" s="15" t="n">
        <v>3</v>
      </c>
      <c r="I177" s="28" t="inlineStr">
        <is>
          <t>NÃO</t>
        </is>
      </c>
      <c r="J177" s="29" t="n"/>
      <c r="K177" s="14" t="str">
        <f>IF(J177="","7. Acima de 2 km",IF(J177&lt;=50,"1. Até 50 m",IF(J177&lt;=100,"2. De 50 a 100 m",IF(J177&lt;=200,"3. De 100 a 200 m",IF(J177&lt;=300,"4. De 200 a 300 m",IF(J177&lt;=500,"5. De 300 a 500 m","6. De 500 m a 2 km"))))))</f>
        <v>7. Acima de 2 km</v>
      </c>
      <c r="L177" s="26" t="n">
        <v>0</v>
      </c>
      <c r="M177" s="26" t="n">
        <v>0</v>
      </c>
      <c r="N177" s="26" t="n">
        <v>0</v>
      </c>
      <c r="O177" s="26" t="n">
        <v>0</v>
      </c>
      <c r="P177" s="30" t="n">
        <v>-12.2703111</v>
      </c>
      <c r="Q177" s="30" t="n">
        <v>-45.0351835</v>
      </c>
      <c r="R177" s="14" t="inlineStr">
        <is>
          <t>RUA PADRE ALFREDO HASLER, S/N, MORADA DA LUA, BARREIRAS/BA</t>
        </is>
      </c>
      <c r="S177" s="26">
        <f>IF(A177=A176,0,1)</f>
        <v>0</v>
      </c>
      <c r="T177" s="26">
        <f>IF(COUNTIF($B$4:B177,B177)=1,1,0)</f>
        <v>0</v>
      </c>
    </row>
    <row r="178">
      <c r="A178" s="14" t="inlineStr">
        <is>
          <t>BARREIRAS</t>
        </is>
      </c>
      <c r="B178" s="26" t="n">
        <v>75</v>
      </c>
      <c r="C178" s="26" t="n">
        <v>1210</v>
      </c>
      <c r="D178" s="14" t="inlineStr">
        <is>
          <t>ESCOLA MUNICIPAL ADROALDO FERNANDES DE MORAIS</t>
        </is>
      </c>
      <c r="E178" s="14" t="inlineStr">
        <is>
          <t>POVOADO CERRADÃO</t>
        </is>
      </c>
      <c r="F178" s="14" t="inlineStr">
        <is>
          <t>POVOADO CERRADAO - ZONA RURAL</t>
        </is>
      </c>
      <c r="G178" s="27" t="inlineStr">
        <is>
          <t>47800-000</t>
        </is>
      </c>
      <c r="H178" s="15" t="n">
        <v>1</v>
      </c>
      <c r="I178" s="28" t="inlineStr">
        <is>
          <t>NÃO</t>
        </is>
      </c>
      <c r="J178" s="29" t="n"/>
      <c r="K178" s="14" t="str">
        <f>IF(J178="","7. Acima de 2 km",IF(J178&lt;=50,"1. Até 50 m",IF(J178&lt;=100,"2. De 50 a 100 m",IF(J178&lt;=200,"3. De 100 a 200 m",IF(J178&lt;=300,"4. De 200 a 300 m",IF(J178&lt;=500,"5. De 300 a 500 m","6. De 500 m a 2 km"))))))</f>
        <v>7. Acima de 2 km</v>
      </c>
      <c r="L178" s="26" t="n">
        <v>0</v>
      </c>
      <c r="M178" s="26" t="n">
        <v>0</v>
      </c>
      <c r="N178" s="26" t="n">
        <v>0</v>
      </c>
      <c r="O178" s="26" t="n">
        <v>0</v>
      </c>
      <c r="P178" s="30" t="n">
        <v>-12.0616889</v>
      </c>
      <c r="Q178" s="30" t="n">
        <v>-45.5824676</v>
      </c>
      <c r="R178" s="14" t="inlineStr">
        <is>
          <t>RUA PADRE ALFREDO HASLER, S/N, MORADA DA LUA, BARREIRAS/BA</t>
        </is>
      </c>
      <c r="S178" s="26">
        <f>IF(A178=A177,0,1)</f>
        <v>0</v>
      </c>
      <c r="T178" s="26">
        <f>IF(COUNTIF($B$4:B178,B178)=1,1,0)</f>
        <v>0</v>
      </c>
    </row>
    <row r="179">
      <c r="A179" s="14" t="inlineStr">
        <is>
          <t>BARREIRAS</t>
        </is>
      </c>
      <c r="B179" s="26" t="n">
        <v>75</v>
      </c>
      <c r="C179" s="26" t="n">
        <v>1228</v>
      </c>
      <c r="D179" s="14" t="inlineStr">
        <is>
          <t>ESCOLA MUNICIPAL MONTEIRO LOBATO</t>
        </is>
      </c>
      <c r="E179" s="14" t="inlineStr">
        <is>
          <t>POVOADO CAMPO ERÊ</t>
        </is>
      </c>
      <c r="F179" s="14" t="inlineStr">
        <is>
          <t>POVOADO CAMPO ERÊ - ZONA RURAL</t>
        </is>
      </c>
      <c r="G179" s="27" t="inlineStr">
        <is>
          <t>47800-000</t>
        </is>
      </c>
      <c r="H179" s="15" t="n">
        <v>1</v>
      </c>
      <c r="I179" s="28" t="inlineStr">
        <is>
          <t>NÃO</t>
        </is>
      </c>
      <c r="J179" s="29" t="n"/>
      <c r="K179" s="14" t="str">
        <f>IF(J179="","7. Acima de 2 km",IF(J179&lt;=50,"1. Até 50 m",IF(J179&lt;=100,"2. De 50 a 100 m",IF(J179&lt;=200,"3. De 100 a 200 m",IF(J179&lt;=300,"4. De 200 a 300 m",IF(J179&lt;=500,"5. De 300 a 500 m","6. De 500 m a 2 km"))))))</f>
        <v>7. Acima de 2 km</v>
      </c>
      <c r="L179" s="26" t="n">
        <v>0</v>
      </c>
      <c r="M179" s="26" t="n">
        <v>0</v>
      </c>
      <c r="N179" s="26" t="n">
        <v>0</v>
      </c>
      <c r="O179" s="26" t="n">
        <v>0</v>
      </c>
      <c r="P179" s="30" t="n">
        <v>-12.2993195</v>
      </c>
      <c r="Q179" s="30" t="n">
        <v>-45.4499737</v>
      </c>
      <c r="R179" s="14" t="inlineStr">
        <is>
          <t>RUA PADRE ALFREDO HASLER, S/N, MORADA DA LUA, BARREIRAS/BA</t>
        </is>
      </c>
      <c r="S179" s="26">
        <f>IF(A179=A178,0,1)</f>
        <v>0</v>
      </c>
      <c r="T179" s="26">
        <f>IF(COUNTIF($B$4:B179,B179)=1,1,0)</f>
        <v>0</v>
      </c>
    </row>
    <row r="180">
      <c r="A180" s="14" t="inlineStr">
        <is>
          <t>BARREIRAS</t>
        </is>
      </c>
      <c r="B180" s="26" t="n">
        <v>75</v>
      </c>
      <c r="C180" s="26" t="n">
        <v>1236</v>
      </c>
      <c r="D180" s="14" t="inlineStr">
        <is>
          <t>COLEGIO ESTADUAL MARCOS FREIRE</t>
        </is>
      </c>
      <c r="E180" s="14" t="inlineStr">
        <is>
          <t>CENTRO</t>
        </is>
      </c>
      <c r="F180" s="14" t="inlineStr">
        <is>
          <t>RUA DAS VARZEAS, S/N - ZONA URBANA</t>
        </is>
      </c>
      <c r="G180" s="27" t="inlineStr">
        <is>
          <t>47800-000</t>
        </is>
      </c>
      <c r="H180" s="15" t="n">
        <v>2</v>
      </c>
      <c r="I180" s="28" t="inlineStr">
        <is>
          <t>NÃO</t>
        </is>
      </c>
      <c r="J180" s="29" t="n">
        <v>314.8</v>
      </c>
      <c r="K180" s="14" t="str">
        <f>IF(J180="","7. Acima de 2 km",IF(J180&lt;=50,"1. Até 50 m",IF(J180&lt;=100,"2. De 50 a 100 m",IF(J180&lt;=200,"3. De 100 a 200 m",IF(J180&lt;=300,"4. De 200 a 300 m",IF(J180&lt;=500,"5. De 300 a 500 m","6. De 500 m a 2 km"))))))</f>
        <v>5. De 300 a 500 m</v>
      </c>
      <c r="L180" s="26" t="n">
        <v>0</v>
      </c>
      <c r="M180" s="26" t="n">
        <v>0</v>
      </c>
      <c r="N180" s="26" t="n">
        <v>0</v>
      </c>
      <c r="O180" s="26" t="n">
        <v>0</v>
      </c>
      <c r="P180" s="30" t="n">
        <v>-12.1512915</v>
      </c>
      <c r="Q180" s="30" t="n">
        <v>-45.0047005</v>
      </c>
      <c r="R180" s="14" t="inlineStr">
        <is>
          <t>RUA PADRE ALFREDO HASLER, S/N, MORADA DA LUA, BARREIRAS/BA</t>
        </is>
      </c>
      <c r="S180" s="26">
        <f>IF(A180=A179,0,1)</f>
        <v>0</v>
      </c>
      <c r="T180" s="26">
        <f>IF(COUNTIF($B$4:B180,B180)=1,1,0)</f>
        <v>0</v>
      </c>
    </row>
    <row r="181">
      <c r="A181" s="14" t="inlineStr">
        <is>
          <t>BARREIRAS</t>
        </is>
      </c>
      <c r="B181" s="26" t="n">
        <v>75</v>
      </c>
      <c r="C181" s="26" t="n">
        <v>1244</v>
      </c>
      <c r="D181" s="14" t="inlineStr">
        <is>
          <t>COLÉGIO ESTADUAL DUQUE DE CAXIAS</t>
        </is>
      </c>
      <c r="E181" s="14" t="inlineStr">
        <is>
          <t>VILA DOS FUNCIONÁRIOS</t>
        </is>
      </c>
      <c r="F181" s="14" t="inlineStr">
        <is>
          <t>RUA A, S/N - ZONA URBANA</t>
        </is>
      </c>
      <c r="G181" s="27" t="inlineStr">
        <is>
          <t>47800-000</t>
        </is>
      </c>
      <c r="H181" s="15" t="n">
        <v>10</v>
      </c>
      <c r="I181" s="28" t="inlineStr">
        <is>
          <t>SIM</t>
        </is>
      </c>
      <c r="J181" s="29" t="n">
        <v>12.3</v>
      </c>
      <c r="K181" s="14" t="str">
        <f>IF(J181="","7. Acima de 2 km",IF(J181&lt;=50,"1. Até 50 m",IF(J181&lt;=100,"2. De 50 a 100 m",IF(J181&lt;=200,"3. De 100 a 200 m",IF(J181&lt;=300,"4. De 200 a 300 m",IF(J181&lt;=500,"5. De 300 a 500 m","6. De 500 m a 2 km"))))))</f>
        <v>1. Até 50 m</v>
      </c>
      <c r="L181" s="26" t="n">
        <v>1</v>
      </c>
      <c r="M181" s="26" t="n">
        <v>1</v>
      </c>
      <c r="N181" s="26" t="n">
        <v>1</v>
      </c>
      <c r="O181" s="26" t="n">
        <v>1</v>
      </c>
      <c r="P181" s="30" t="n">
        <v>-12.1237938</v>
      </c>
      <c r="Q181" s="30" t="n">
        <v>-45.0062846</v>
      </c>
      <c r="R181" s="14" t="inlineStr">
        <is>
          <t>RUA PADRE ALFREDO HASLER, S/N, MORADA DA LUA, BARREIRAS/BA</t>
        </is>
      </c>
      <c r="S181" s="26">
        <f>IF(A181=A180,0,1)</f>
        <v>0</v>
      </c>
      <c r="T181" s="26">
        <f>IF(COUNTIF($B$4:B181,B181)=1,1,0)</f>
        <v>0</v>
      </c>
    </row>
    <row r="182">
      <c r="A182" s="14" t="inlineStr">
        <is>
          <t>BARREIRAS</t>
        </is>
      </c>
      <c r="B182" s="26" t="n">
        <v>75</v>
      </c>
      <c r="C182" s="26" t="n">
        <v>1252</v>
      </c>
      <c r="D182" s="14" t="inlineStr">
        <is>
          <t>SHOPPING CENTER RIO DE ONDAS</t>
        </is>
      </c>
      <c r="E182" s="14" t="inlineStr">
        <is>
          <t>VILA RICA</t>
        </is>
      </c>
      <c r="F182" s="14" t="inlineStr">
        <is>
          <t>RODOVIA BR 020, KM 02 - ZONA URBANA</t>
        </is>
      </c>
      <c r="G182" s="27" t="inlineStr">
        <is>
          <t>47800-000</t>
        </is>
      </c>
      <c r="H182" s="15" t="n">
        <v>3</v>
      </c>
      <c r="I182" s="28" t="inlineStr">
        <is>
          <t>SIM</t>
        </is>
      </c>
      <c r="J182" s="29" t="n">
        <v>58.5</v>
      </c>
      <c r="K182" s="14" t="str">
        <f>IF(J182="","7. Acima de 2 km",IF(J182&lt;=50,"1. Até 50 m",IF(J182&lt;=100,"2. De 50 a 100 m",IF(J182&lt;=200,"3. De 100 a 200 m",IF(J182&lt;=300,"4. De 200 a 300 m",IF(J182&lt;=500,"5. De 300 a 500 m","6. De 500 m a 2 km"))))))</f>
        <v>2. De 50 a 100 m</v>
      </c>
      <c r="L182" s="26" t="n">
        <v>0</v>
      </c>
      <c r="M182" s="26" t="n">
        <v>3</v>
      </c>
      <c r="N182" s="26" t="n">
        <v>5</v>
      </c>
      <c r="O182" s="26" t="n">
        <v>6</v>
      </c>
      <c r="P182" s="30" t="n">
        <v>-12.1285601</v>
      </c>
      <c r="Q182" s="30" t="n">
        <v>-45.018129</v>
      </c>
      <c r="R182" s="14" t="inlineStr">
        <is>
          <t>RUA PADRE ALFREDO HASLER, S/N, MORADA DA LUA, BARREIRAS/BA</t>
        </is>
      </c>
      <c r="S182" s="26">
        <f>IF(A182=A181,0,1)</f>
        <v>0</v>
      </c>
      <c r="T182" s="26">
        <f>IF(COUNTIF($B$4:B182,B182)=1,1,0)</f>
        <v>0</v>
      </c>
    </row>
    <row r="183">
      <c r="A183" s="14" t="inlineStr">
        <is>
          <t>BARREIRAS</t>
        </is>
      </c>
      <c r="B183" s="26" t="n">
        <v>75</v>
      </c>
      <c r="C183" s="26" t="n">
        <v>1260</v>
      </c>
      <c r="D183" s="14" t="inlineStr">
        <is>
          <t>COOPEB - COOPERATIVA EDUCACIONAL DE BARREIRAS</t>
        </is>
      </c>
      <c r="E183" s="14" t="inlineStr">
        <is>
          <t>CENTRO</t>
        </is>
      </c>
      <c r="F183" s="14" t="inlineStr">
        <is>
          <t>RUA DR. GILENO SÁ DE OLIVEIRA, 268 - ZONA URBANA</t>
        </is>
      </c>
      <c r="G183" s="27" t="inlineStr">
        <is>
          <t>47800-000</t>
        </is>
      </c>
      <c r="H183" s="15" t="n">
        <v>6</v>
      </c>
      <c r="I183" s="28" t="inlineStr">
        <is>
          <t>NÃO</t>
        </is>
      </c>
      <c r="J183" s="29" t="n">
        <v>365.2</v>
      </c>
      <c r="K183" s="14" t="str">
        <f>IF(J183="","7. Acima de 2 km",IF(J183&lt;=50,"1. Até 50 m",IF(J183&lt;=100,"2. De 50 a 100 m",IF(J183&lt;=200,"3. De 100 a 200 m",IF(J183&lt;=300,"4. De 200 a 300 m",IF(J183&lt;=500,"5. De 300 a 500 m","6. De 500 m a 2 km"))))))</f>
        <v>5. De 300 a 500 m</v>
      </c>
      <c r="L183" s="26" t="n">
        <v>0</v>
      </c>
      <c r="M183" s="26" t="n">
        <v>0</v>
      </c>
      <c r="N183" s="26" t="n">
        <v>0</v>
      </c>
      <c r="O183" s="26" t="n">
        <v>0</v>
      </c>
      <c r="P183" s="30" t="n">
        <v>-12.1530376</v>
      </c>
      <c r="Q183" s="30" t="n">
        <v>-45.0056012</v>
      </c>
      <c r="R183" s="14" t="inlineStr">
        <is>
          <t>RUA PADRE ALFREDO HASLER, S/N, MORADA DA LUA, BARREIRAS/BA</t>
        </is>
      </c>
      <c r="S183" s="26">
        <f>IF(A183=A182,0,1)</f>
        <v>0</v>
      </c>
      <c r="T183" s="26">
        <f>IF(COUNTIF($B$4:B183,B183)=1,1,0)</f>
        <v>0</v>
      </c>
    </row>
    <row r="184">
      <c r="A184" s="14" t="inlineStr">
        <is>
          <t>BARREIRAS</t>
        </is>
      </c>
      <c r="B184" s="26" t="n">
        <v>75</v>
      </c>
      <c r="C184" s="26" t="n">
        <v>1279</v>
      </c>
      <c r="D184" s="14" t="inlineStr">
        <is>
          <t>ESCOLA MUNICIPAL LUÍS DE FREITAS LIMA</t>
        </is>
      </c>
      <c r="E184" s="14" t="inlineStr">
        <is>
          <t>POVOADO BARROCÃO DE BAIXO</t>
        </is>
      </c>
      <c r="F184" s="14" t="inlineStr">
        <is>
          <t>POVOADO BARROCÃO DE BAIXO - ZONA RURAL</t>
        </is>
      </c>
      <c r="G184" s="27" t="inlineStr">
        <is>
          <t>47800-000</t>
        </is>
      </c>
      <c r="H184" s="15" t="n">
        <v>3</v>
      </c>
      <c r="I184" s="28" t="inlineStr">
        <is>
          <t>NÃO</t>
        </is>
      </c>
      <c r="J184" s="29" t="n"/>
      <c r="K184" s="14" t="str">
        <f>IF(J184="","7. Acima de 2 km",IF(J184&lt;=50,"1. Até 50 m",IF(J184&lt;=100,"2. De 50 a 100 m",IF(J184&lt;=200,"3. De 100 a 200 m",IF(J184&lt;=300,"4. De 200 a 300 m",IF(J184&lt;=500,"5. De 300 a 500 m","6. De 500 m a 2 km"))))))</f>
        <v>7. Acima de 2 km</v>
      </c>
      <c r="L184" s="26" t="n">
        <v>0</v>
      </c>
      <c r="M184" s="26" t="n">
        <v>0</v>
      </c>
      <c r="N184" s="26" t="n">
        <v>0</v>
      </c>
      <c r="O184" s="26" t="n">
        <v>0</v>
      </c>
      <c r="P184" s="30" t="n">
        <v>-12.2226945</v>
      </c>
      <c r="Q184" s="30" t="n">
        <v>-45.060884</v>
      </c>
      <c r="R184" s="14" t="inlineStr">
        <is>
          <t>RUA PADRE ALFREDO HASLER, S/N, MORADA DA LUA, BARREIRAS/BA</t>
        </is>
      </c>
      <c r="S184" s="26">
        <f>IF(A184=A183,0,1)</f>
        <v>0</v>
      </c>
      <c r="T184" s="26">
        <f>IF(COUNTIF($B$4:B184,B184)=1,1,0)</f>
        <v>0</v>
      </c>
    </row>
    <row r="185">
      <c r="A185" s="14" t="inlineStr">
        <is>
          <t>BARREIRAS</t>
        </is>
      </c>
      <c r="B185" s="26" t="n">
        <v>75</v>
      </c>
      <c r="C185" s="26" t="n">
        <v>1287</v>
      </c>
      <c r="D185" s="14" t="inlineStr">
        <is>
          <t>ESCOLA MUNICIPAL DE 1 GRAU POVOADO TATU</t>
        </is>
      </c>
      <c r="E185" s="14" t="inlineStr">
        <is>
          <t>POVOADO TATU</t>
        </is>
      </c>
      <c r="F185" s="14" t="inlineStr">
        <is>
          <t>POVOADO TATU - ZONA RURAL</t>
        </is>
      </c>
      <c r="G185" s="27" t="inlineStr">
        <is>
          <t>47800-000</t>
        </is>
      </c>
      <c r="H185" s="15" t="n">
        <v>2</v>
      </c>
      <c r="I185" s="28" t="inlineStr">
        <is>
          <t>NÃO</t>
        </is>
      </c>
      <c r="J185" s="29" t="n"/>
      <c r="K185" s="14" t="str">
        <f>IF(J185="","7. Acima de 2 km",IF(J185&lt;=50,"1. Até 50 m",IF(J185&lt;=100,"2. De 50 a 100 m",IF(J185&lt;=200,"3. De 100 a 200 m",IF(J185&lt;=300,"4. De 200 a 300 m",IF(J185&lt;=500,"5. De 300 a 500 m","6. De 500 m a 2 km"))))))</f>
        <v>7. Acima de 2 km</v>
      </c>
      <c r="L185" s="26" t="n">
        <v>0</v>
      </c>
      <c r="M185" s="26" t="n">
        <v>0</v>
      </c>
      <c r="N185" s="26" t="n">
        <v>0</v>
      </c>
      <c r="O185" s="26" t="n">
        <v>0</v>
      </c>
      <c r="P185" s="30" t="n">
        <v>-12.2887568</v>
      </c>
      <c r="Q185" s="30" t="n">
        <v>-44.9980111</v>
      </c>
      <c r="R185" s="14" t="inlineStr">
        <is>
          <t>RUA PADRE ALFREDO HASLER, S/N, MORADA DA LUA, BARREIRAS/BA</t>
        </is>
      </c>
      <c r="S185" s="26">
        <f>IF(A185=A184,0,1)</f>
        <v>0</v>
      </c>
      <c r="T185" s="26">
        <f>IF(COUNTIF($B$4:B185,B185)=1,1,0)</f>
        <v>0</v>
      </c>
    </row>
    <row r="186">
      <c r="A186" s="14" t="inlineStr">
        <is>
          <t>BARREIRAS</t>
        </is>
      </c>
      <c r="B186" s="26" t="n">
        <v>75</v>
      </c>
      <c r="C186" s="26" t="n">
        <v>1295</v>
      </c>
      <c r="D186" s="14" t="inlineStr">
        <is>
          <t>ESCOLA MUNICIPAL DE 1 GRAU POVOADO BARAUNA</t>
        </is>
      </c>
      <c r="E186" s="14" t="inlineStr">
        <is>
          <t>POVOADO BARAÚNA</t>
        </is>
      </c>
      <c r="F186" s="14" t="inlineStr">
        <is>
          <t>POVOADO BARAUNA - ZONA RURAL</t>
        </is>
      </c>
      <c r="G186" s="27" t="inlineStr">
        <is>
          <t>47800-000</t>
        </is>
      </c>
      <c r="H186" s="15" t="n">
        <v>4</v>
      </c>
      <c r="I186" s="28" t="inlineStr">
        <is>
          <t>NÃO</t>
        </is>
      </c>
      <c r="J186" s="29" t="n"/>
      <c r="K186" s="14" t="str">
        <f>IF(J186="","7. Acima de 2 km",IF(J186&lt;=50,"1. Até 50 m",IF(J186&lt;=100,"2. De 50 a 100 m",IF(J186&lt;=200,"3. De 100 a 200 m",IF(J186&lt;=300,"4. De 200 a 300 m",IF(J186&lt;=500,"5. De 300 a 500 m","6. De 500 m a 2 km"))))))</f>
        <v>7. Acima de 2 km</v>
      </c>
      <c r="L186" s="26" t="n">
        <v>0</v>
      </c>
      <c r="M186" s="26" t="n">
        <v>0</v>
      </c>
      <c r="N186" s="26" t="n">
        <v>0</v>
      </c>
      <c r="O186" s="26" t="n">
        <v>0</v>
      </c>
      <c r="P186" s="30" t="n">
        <v>-12.2227751</v>
      </c>
      <c r="Q186" s="30" t="n">
        <v>-45.0256868</v>
      </c>
      <c r="R186" s="14" t="inlineStr">
        <is>
          <t>RUA PADRE ALFREDO HASLER, S/N, MORADA DA LUA, BARREIRAS/BA</t>
        </is>
      </c>
      <c r="S186" s="26">
        <f>IF(A186=A185,0,1)</f>
        <v>0</v>
      </c>
      <c r="T186" s="26">
        <f>IF(COUNTIF($B$4:B186,B186)=1,1,0)</f>
        <v>0</v>
      </c>
    </row>
    <row r="187">
      <c r="A187" s="14" t="inlineStr">
        <is>
          <t>BARREIRAS</t>
        </is>
      </c>
      <c r="B187" s="26" t="n">
        <v>75</v>
      </c>
      <c r="C187" s="26" t="n">
        <v>1309</v>
      </c>
      <c r="D187" s="14" t="inlineStr">
        <is>
          <t>ESCOLA MUNICIPAL SANTA LUCIA - POV. CACHOEIRA</t>
        </is>
      </c>
      <c r="E187" s="14" t="inlineStr">
        <is>
          <t>POVOADO CACHOEIRA DO ACABA VIDA</t>
        </is>
      </c>
      <c r="F187" s="14" t="inlineStr">
        <is>
          <t>POVOADO CACHOEIRA DO ACABA VIDA - ZONA RURAL</t>
        </is>
      </c>
      <c r="G187" s="27" t="inlineStr">
        <is>
          <t>47800-000</t>
        </is>
      </c>
      <c r="H187" s="15" t="n">
        <v>1</v>
      </c>
      <c r="I187" s="28" t="inlineStr">
        <is>
          <t>NÃO</t>
        </is>
      </c>
      <c r="J187" s="29" t="n"/>
      <c r="K187" s="14" t="str">
        <f>IF(J187="","7. Acima de 2 km",IF(J187&lt;=50,"1. Até 50 m",IF(J187&lt;=100,"2. De 50 a 100 m",IF(J187&lt;=200,"3. De 100 a 200 m",IF(J187&lt;=300,"4. De 200 a 300 m",IF(J187&lt;=500,"5. De 300 a 500 m","6. De 500 m a 2 km"))))))</f>
        <v>7. Acima de 2 km</v>
      </c>
      <c r="L187" s="26" t="n">
        <v>0</v>
      </c>
      <c r="M187" s="26" t="n">
        <v>0</v>
      </c>
      <c r="N187" s="26" t="n">
        <v>0</v>
      </c>
      <c r="O187" s="26" t="n">
        <v>0</v>
      </c>
      <c r="P187" s="30" t="n">
        <v>-11.8700416</v>
      </c>
      <c r="Q187" s="30" t="n">
        <v>-45.5314676</v>
      </c>
      <c r="R187" s="14" t="inlineStr">
        <is>
          <t>RUA PADRE ALFREDO HASLER, S/N, MORADA DA LUA, BARREIRAS/BA</t>
        </is>
      </c>
      <c r="S187" s="26">
        <f>IF(A187=A186,0,1)</f>
        <v>0</v>
      </c>
      <c r="T187" s="26">
        <f>IF(COUNTIF($B$4:B187,B187)=1,1,0)</f>
        <v>0</v>
      </c>
    </row>
    <row r="188">
      <c r="A188" s="14" t="inlineStr">
        <is>
          <t>BARREIRAS</t>
        </is>
      </c>
      <c r="B188" s="26" t="n">
        <v>75</v>
      </c>
      <c r="C188" s="26" t="n">
        <v>1317</v>
      </c>
      <c r="D188" s="14" t="inlineStr">
        <is>
          <t>ESCOLA MUNICIPAL DE 1 GRAU POVOADO BARREIRAS SUL</t>
        </is>
      </c>
      <c r="E188" s="14" t="inlineStr">
        <is>
          <t>POVOADO BARREIRAS SUL</t>
        </is>
      </c>
      <c r="F188" s="14" t="inlineStr">
        <is>
          <t>POVOADO BARREIRAS SUL - ZONA RURAL</t>
        </is>
      </c>
      <c r="G188" s="27" t="inlineStr">
        <is>
          <t>47800-000</t>
        </is>
      </c>
      <c r="H188" s="15" t="n">
        <v>3</v>
      </c>
      <c r="I188" s="28" t="inlineStr">
        <is>
          <t>NÃO</t>
        </is>
      </c>
      <c r="J188" s="29" t="n"/>
      <c r="K188" s="14" t="str">
        <f>IF(J188="","7. Acima de 2 km",IF(J188&lt;=50,"1. Até 50 m",IF(J188&lt;=100,"2. De 50 a 100 m",IF(J188&lt;=200,"3. De 100 a 200 m",IF(J188&lt;=300,"4. De 200 a 300 m",IF(J188&lt;=500,"5. De 300 a 500 m","6. De 500 m a 2 km"))))))</f>
        <v>7. Acima de 2 km</v>
      </c>
      <c r="L188" s="26" t="n">
        <v>0</v>
      </c>
      <c r="M188" s="26" t="n">
        <v>0</v>
      </c>
      <c r="N188" s="26" t="n">
        <v>0</v>
      </c>
      <c r="O188" s="26" t="n">
        <v>0</v>
      </c>
      <c r="P188" s="30" t="n">
        <v>-12.1917426</v>
      </c>
      <c r="Q188" s="30" t="n">
        <v>-44.9978166</v>
      </c>
      <c r="R188" s="14" t="inlineStr">
        <is>
          <t>RUA PADRE ALFREDO HASLER, S/N, MORADA DA LUA, BARREIRAS/BA</t>
        </is>
      </c>
      <c r="S188" s="26">
        <f>IF(A188=A187,0,1)</f>
        <v>0</v>
      </c>
      <c r="T188" s="26">
        <f>IF(COUNTIF($B$4:B188,B188)=1,1,0)</f>
        <v>0</v>
      </c>
    </row>
    <row r="189">
      <c r="A189" s="14" t="inlineStr">
        <is>
          <t>BARREIRAS</t>
        </is>
      </c>
      <c r="B189" s="26" t="n">
        <v>75</v>
      </c>
      <c r="C189" s="26" t="n">
        <v>1333</v>
      </c>
      <c r="D189" s="14" t="inlineStr">
        <is>
          <t>ESCOLA SENHOR DO BONFIM</t>
        </is>
      </c>
      <c r="E189" s="14" t="inlineStr">
        <is>
          <t>POVOADO RIO BRANCO</t>
        </is>
      </c>
      <c r="F189" s="14" t="inlineStr">
        <is>
          <t>POVOADO RIO BRANCO - ZONA RURAL</t>
        </is>
      </c>
      <c r="G189" s="27" t="inlineStr">
        <is>
          <t>47800-000</t>
        </is>
      </c>
      <c r="H189" s="15" t="n">
        <v>1</v>
      </c>
      <c r="I189" s="28" t="inlineStr">
        <is>
          <t>NÃO</t>
        </is>
      </c>
      <c r="J189" s="29" t="n"/>
      <c r="K189" s="14" t="str">
        <f>IF(J189="","7. Acima de 2 km",IF(J189&lt;=50,"1. Até 50 m",IF(J189&lt;=100,"2. De 50 a 100 m",IF(J189&lt;=200,"3. De 100 a 200 m",IF(J189&lt;=300,"4. De 200 a 300 m",IF(J189&lt;=500,"5. De 300 a 500 m","6. De 500 m a 2 km"))))))</f>
        <v>7. Acima de 2 km</v>
      </c>
      <c r="L189" s="26" t="n">
        <v>0</v>
      </c>
      <c r="M189" s="26" t="n">
        <v>0</v>
      </c>
      <c r="N189" s="26" t="n">
        <v>0</v>
      </c>
      <c r="O189" s="26" t="n">
        <v>0</v>
      </c>
      <c r="P189" s="30" t="n">
        <v>-11.8669049</v>
      </c>
      <c r="Q189" s="30" t="n">
        <v>-45.0888296</v>
      </c>
      <c r="R189" s="14" t="inlineStr">
        <is>
          <t>RUA PADRE ALFREDO HASLER, S/N, MORADA DA LUA, BARREIRAS/BA</t>
        </is>
      </c>
      <c r="S189" s="26">
        <f>IF(A189=A188,0,1)</f>
        <v>0</v>
      </c>
      <c r="T189" s="26">
        <f>IF(COUNTIF($B$4:B189,B189)=1,1,0)</f>
        <v>0</v>
      </c>
    </row>
    <row r="190">
      <c r="A190" s="14" t="inlineStr">
        <is>
          <t>BARREIRAS</t>
        </is>
      </c>
      <c r="B190" s="26" t="n">
        <v>75</v>
      </c>
      <c r="C190" s="26" t="n">
        <v>1341</v>
      </c>
      <c r="D190" s="14" t="inlineStr">
        <is>
          <t>COLÉGIO ESTADUAL DE BARREIRINHAS</t>
        </is>
      </c>
      <c r="E190" s="14" t="inlineStr">
        <is>
          <t>BARREIRINHAS</t>
        </is>
      </c>
      <c r="F190" s="14" t="inlineStr">
        <is>
          <t>RUA NOVA, S/N - ZONA URBANA</t>
        </is>
      </c>
      <c r="G190" s="27" t="inlineStr">
        <is>
          <t>47806-160</t>
        </is>
      </c>
      <c r="H190" s="15" t="n">
        <v>10</v>
      </c>
      <c r="I190" s="28" t="inlineStr">
        <is>
          <t>NÃO</t>
        </is>
      </c>
      <c r="J190" s="29" t="n">
        <v>157.2</v>
      </c>
      <c r="K190" s="14" t="str">
        <f>IF(J190="","7. Acima de 2 km",IF(J190&lt;=50,"1. Até 50 m",IF(J190&lt;=100,"2. De 50 a 100 m",IF(J190&lt;=200,"3. De 100 a 200 m",IF(J190&lt;=300,"4. De 200 a 300 m",IF(J190&lt;=500,"5. De 300 a 500 m","6. De 500 m a 2 km"))))))</f>
        <v>3. De 100 a 200 m</v>
      </c>
      <c r="L190" s="26" t="n">
        <v>0</v>
      </c>
      <c r="M190" s="26" t="n">
        <v>0</v>
      </c>
      <c r="N190" s="26" t="n">
        <v>2</v>
      </c>
      <c r="O190" s="26" t="n">
        <v>3</v>
      </c>
      <c r="P190" s="30" t="n">
        <v>-12.1376203</v>
      </c>
      <c r="Q190" s="30" t="n">
        <v>-45.0043156</v>
      </c>
      <c r="R190" s="14" t="inlineStr">
        <is>
          <t>RUA PADRE ALFREDO HASLER, S/N, MORADA DA LUA, BARREIRAS/BA</t>
        </is>
      </c>
      <c r="S190" s="26">
        <f>IF(A190=A189,0,1)</f>
        <v>0</v>
      </c>
      <c r="T190" s="26">
        <f>IF(COUNTIF($B$4:B190,B190)=1,1,0)</f>
        <v>0</v>
      </c>
    </row>
    <row r="191">
      <c r="A191" s="14" t="inlineStr">
        <is>
          <t>BARREIRAS</t>
        </is>
      </c>
      <c r="B191" s="26" t="n">
        <v>75</v>
      </c>
      <c r="C191" s="26" t="n">
        <v>1350</v>
      </c>
      <c r="D191" s="14" t="inlineStr">
        <is>
          <t>COLÉGIO MUNICIPAL EURIDES SANT'ANNA</t>
        </is>
      </c>
      <c r="E191" s="14" t="inlineStr">
        <is>
          <t>SÃO PEDRO</t>
        </is>
      </c>
      <c r="F191" s="14" t="inlineStr">
        <is>
          <t>RUA JOANA ANGELICA, S/N - ZONA URBANA</t>
        </is>
      </c>
      <c r="G191" s="27" t="inlineStr">
        <is>
          <t>47800-000</t>
        </is>
      </c>
      <c r="H191" s="15" t="n">
        <v>12</v>
      </c>
      <c r="I191" s="28" t="inlineStr">
        <is>
          <t>NÃO</t>
        </is>
      </c>
      <c r="J191" s="29" t="n">
        <v>350.5</v>
      </c>
      <c r="K191" s="14" t="str">
        <f>IF(J191="","7. Acima de 2 km",IF(J191&lt;=50,"1. Até 50 m",IF(J191&lt;=100,"2. De 50 a 100 m",IF(J191&lt;=200,"3. De 100 a 200 m",IF(J191&lt;=300,"4. De 200 a 300 m",IF(J191&lt;=500,"5. De 300 a 500 m","6. De 500 m a 2 km"))))))</f>
        <v>5. De 300 a 500 m</v>
      </c>
      <c r="L191" s="26" t="n">
        <v>0</v>
      </c>
      <c r="M191" s="26" t="n">
        <v>0</v>
      </c>
      <c r="N191" s="26" t="n">
        <v>0</v>
      </c>
      <c r="O191" s="26" t="n">
        <v>0</v>
      </c>
      <c r="P191" s="30" t="n">
        <v>-12.1286811</v>
      </c>
      <c r="Q191" s="30" t="n">
        <v>-45.0058204</v>
      </c>
      <c r="R191" s="14" t="inlineStr">
        <is>
          <t>RUA PADRE ALFREDO HASLER, S/N, MORADA DA LUA, BARREIRAS/BA</t>
        </is>
      </c>
      <c r="S191" s="26">
        <f>IF(A191=A190,0,1)</f>
        <v>0</v>
      </c>
      <c r="T191" s="26">
        <f>IF(COUNTIF($B$4:B191,B191)=1,1,0)</f>
        <v>0</v>
      </c>
    </row>
    <row r="192">
      <c r="A192" s="14" t="inlineStr">
        <is>
          <t>BARREIRAS</t>
        </is>
      </c>
      <c r="B192" s="26" t="n">
        <v>75</v>
      </c>
      <c r="C192" s="26" t="n">
        <v>1368</v>
      </c>
      <c r="D192" s="14" t="inlineStr">
        <is>
          <t>ESCOLA ANTONIO BENTO DE FREITAS</t>
        </is>
      </c>
      <c r="E192" s="14" t="inlineStr">
        <is>
          <t>CASCALHEIRA</t>
        </is>
      </c>
      <c r="F192" s="14" t="inlineStr">
        <is>
          <t>RUA CASCALHEIRA - ZONA URBANA</t>
        </is>
      </c>
      <c r="G192" s="27" t="inlineStr">
        <is>
          <t>47800-000</t>
        </is>
      </c>
      <c r="H192" s="15" t="n">
        <v>4</v>
      </c>
      <c r="I192" s="28" t="inlineStr">
        <is>
          <t>NÃO</t>
        </is>
      </c>
      <c r="J192" s="29" t="n">
        <v>394.3</v>
      </c>
      <c r="K192" s="14" t="str">
        <f>IF(J192="","7. Acima de 2 km",IF(J192&lt;=50,"1. Até 50 m",IF(J192&lt;=100,"2. De 50 a 100 m",IF(J192&lt;=200,"3. De 100 a 200 m",IF(J192&lt;=300,"4. De 200 a 300 m",IF(J192&lt;=500,"5. De 300 a 500 m","6. De 500 m a 2 km"))))))</f>
        <v>5. De 300 a 500 m</v>
      </c>
      <c r="L192" s="26" t="n">
        <v>0</v>
      </c>
      <c r="M192" s="26" t="n">
        <v>0</v>
      </c>
      <c r="N192" s="26" t="n">
        <v>0</v>
      </c>
      <c r="O192" s="26" t="n">
        <v>0</v>
      </c>
      <c r="P192" s="30" t="n">
        <v>-12.1189553</v>
      </c>
      <c r="Q192" s="30" t="n">
        <v>-45.0068612</v>
      </c>
      <c r="R192" s="14" t="inlineStr">
        <is>
          <t>RUA PADRE ALFREDO HASLER, S/N, MORADA DA LUA, BARREIRAS/BA</t>
        </is>
      </c>
      <c r="S192" s="26">
        <f>IF(A192=A191,0,1)</f>
        <v>0</v>
      </c>
      <c r="T192" s="26">
        <f>IF(COUNTIF($B$4:B192,B192)=1,1,0)</f>
        <v>0</v>
      </c>
    </row>
    <row r="193">
      <c r="A193" s="14" t="inlineStr">
        <is>
          <t>BARREIRAS</t>
        </is>
      </c>
      <c r="B193" s="26" t="n">
        <v>75</v>
      </c>
      <c r="C193" s="26" t="n">
        <v>1376</v>
      </c>
      <c r="D193" s="14" t="inlineStr">
        <is>
          <t>ESCOLA DA MINHA INFANCIA</t>
        </is>
      </c>
      <c r="E193" s="14" t="inlineStr">
        <is>
          <t>VILA DOS FUNCIONÁRIOS</t>
        </is>
      </c>
      <c r="F193" s="14" t="inlineStr">
        <is>
          <t>RUA GERALDO MAGELA, S/N - ZONA URBANA</t>
        </is>
      </c>
      <c r="G193" s="27" t="inlineStr">
        <is>
          <t>47800-000</t>
        </is>
      </c>
      <c r="H193" s="15" t="n">
        <v>3</v>
      </c>
      <c r="I193" s="28" t="inlineStr">
        <is>
          <t>NÃO</t>
        </is>
      </c>
      <c r="J193" s="29" t="n">
        <v>238.9</v>
      </c>
      <c r="K193" s="14" t="str">
        <f>IF(J193="","7. Acima de 2 km",IF(J193&lt;=50,"1. Até 50 m",IF(J193&lt;=100,"2. De 50 a 100 m",IF(J193&lt;=200,"3. De 100 a 200 m",IF(J193&lt;=300,"4. De 200 a 300 m",IF(J193&lt;=500,"5. De 300 a 500 m","6. De 500 m a 2 km"))))))</f>
        <v>4. De 200 a 300 m</v>
      </c>
      <c r="L193" s="26" t="n">
        <v>0</v>
      </c>
      <c r="M193" s="26" t="n">
        <v>0</v>
      </c>
      <c r="N193" s="26" t="n">
        <v>0</v>
      </c>
      <c r="O193" s="26" t="n">
        <v>1</v>
      </c>
      <c r="P193" s="30" t="n">
        <v>-12.1229602</v>
      </c>
      <c r="Q193" s="30" t="n">
        <v>-45.0042083</v>
      </c>
      <c r="R193" s="14" t="inlineStr">
        <is>
          <t>RUA PADRE ALFREDO HASLER, S/N, MORADA DA LUA, BARREIRAS/BA</t>
        </is>
      </c>
      <c r="S193" s="26">
        <f>IF(A193=A192,0,1)</f>
        <v>0</v>
      </c>
      <c r="T193" s="26">
        <f>IF(COUNTIF($B$4:B193,B193)=1,1,0)</f>
        <v>0</v>
      </c>
    </row>
    <row r="194">
      <c r="A194" s="14" t="inlineStr">
        <is>
          <t>BARREIRAS</t>
        </is>
      </c>
      <c r="B194" s="26" t="n">
        <v>75</v>
      </c>
      <c r="C194" s="26" t="n">
        <v>1384</v>
      </c>
      <c r="D194" s="14" t="inlineStr">
        <is>
          <t>ESCOLA MUNICIPAL LUZIA GONÇALVES DE SOUZA</t>
        </is>
      </c>
      <c r="E194" s="14" t="inlineStr">
        <is>
          <t>VILA AMORIM</t>
        </is>
      </c>
      <c r="F194" s="14" t="inlineStr">
        <is>
          <t>RUA 22, S/N - ZONA URBANA</t>
        </is>
      </c>
      <c r="G194" s="27" t="inlineStr">
        <is>
          <t>47800-000</t>
        </is>
      </c>
      <c r="H194" s="15" t="n">
        <v>2</v>
      </c>
      <c r="I194" s="28" t="inlineStr">
        <is>
          <t>NÃO</t>
        </is>
      </c>
      <c r="J194" s="29" t="n">
        <v>569.1</v>
      </c>
      <c r="K194" s="14" t="str">
        <f>IF(J194="","7. Acima de 2 km",IF(J194&lt;=50,"1. Até 50 m",IF(J194&lt;=100,"2. De 50 a 100 m",IF(J194&lt;=200,"3. De 100 a 200 m",IF(J194&lt;=300,"4. De 200 a 300 m",IF(J194&lt;=500,"5. De 300 a 500 m","6. De 500 m a 2 km"))))))</f>
        <v>6. De 500 m a 2 km</v>
      </c>
      <c r="L194" s="26" t="n">
        <v>0</v>
      </c>
      <c r="M194" s="26" t="n">
        <v>0</v>
      </c>
      <c r="N194" s="26" t="n">
        <v>0</v>
      </c>
      <c r="O194" s="26" t="n">
        <v>0</v>
      </c>
      <c r="P194" s="30" t="n">
        <v>-12.1168206</v>
      </c>
      <c r="Q194" s="30" t="n">
        <v>-44.996347</v>
      </c>
      <c r="R194" s="14" t="inlineStr">
        <is>
          <t>RUA PADRE ALFREDO HASLER, S/N, MORADA DA LUA, BARREIRAS/BA</t>
        </is>
      </c>
      <c r="S194" s="26">
        <f>IF(A194=A193,0,1)</f>
        <v>0</v>
      </c>
      <c r="T194" s="26">
        <f>IF(COUNTIF($B$4:B194,B194)=1,1,0)</f>
        <v>0</v>
      </c>
    </row>
    <row r="195">
      <c r="A195" s="14" t="inlineStr">
        <is>
          <t>BARREIRAS</t>
        </is>
      </c>
      <c r="B195" s="26" t="n">
        <v>75</v>
      </c>
      <c r="C195" s="26" t="n">
        <v>1392</v>
      </c>
      <c r="D195" s="14" t="inlineStr">
        <is>
          <t>IFBA-INSTITUTO FEDERAL DE EDUCAÇÃO, CIÊNCIA E TECNOLOGIA DA BAHIA</t>
        </is>
      </c>
      <c r="E195" s="14" t="inlineStr">
        <is>
          <t>CENTRO</t>
        </is>
      </c>
      <c r="F195" s="14" t="inlineStr">
        <is>
          <t>RUA DAS VÁRZEAS, S/N - ZONA URBANA</t>
        </is>
      </c>
      <c r="G195" s="27" t="inlineStr">
        <is>
          <t>47800-000</t>
        </is>
      </c>
      <c r="H195" s="15" t="n">
        <v>8</v>
      </c>
      <c r="I195" s="28" t="inlineStr">
        <is>
          <t>NÃO</t>
        </is>
      </c>
      <c r="J195" s="29" t="n">
        <v>349.8</v>
      </c>
      <c r="K195" s="14" t="str">
        <f>IF(J195="","7. Acima de 2 km",IF(J195&lt;=50,"1. Até 50 m",IF(J195&lt;=100,"2. De 50 a 100 m",IF(J195&lt;=200,"3. De 100 a 200 m",IF(J195&lt;=300,"4. De 200 a 300 m",IF(J195&lt;=500,"5. De 300 a 500 m","6. De 500 m a 2 km"))))))</f>
        <v>5. De 300 a 500 m</v>
      </c>
      <c r="L195" s="26" t="n">
        <v>0</v>
      </c>
      <c r="M195" s="26" t="n">
        <v>0</v>
      </c>
      <c r="N195" s="26" t="n">
        <v>0</v>
      </c>
      <c r="O195" s="26" t="n">
        <v>0</v>
      </c>
      <c r="P195" s="30" t="n">
        <v>-12.1513423</v>
      </c>
      <c r="Q195" s="30" t="n">
        <v>-45.0051012</v>
      </c>
      <c r="R195" s="14" t="inlineStr">
        <is>
          <t>RUA PADRE ALFREDO HASLER, S/N, MORADA DA LUA, BARREIRAS/BA</t>
        </is>
      </c>
      <c r="S195" s="26">
        <f>IF(A195=A194,0,1)</f>
        <v>0</v>
      </c>
      <c r="T195" s="26">
        <f>IF(COUNTIF($B$4:B195,B195)=1,1,0)</f>
        <v>0</v>
      </c>
    </row>
    <row r="196">
      <c r="A196" s="14" t="inlineStr">
        <is>
          <t>BARREIRAS</t>
        </is>
      </c>
      <c r="B196" s="26" t="n">
        <v>75</v>
      </c>
      <c r="C196" s="26" t="n">
        <v>1406</v>
      </c>
      <c r="D196" s="14" t="inlineStr">
        <is>
          <t>ESCOLA MUNICIPAL MARIA APARECIDA PIAU</t>
        </is>
      </c>
      <c r="E196" s="14" t="inlineStr">
        <is>
          <t>povoado retiro</t>
        </is>
      </c>
      <c r="F196" s="14" t="inlineStr">
        <is>
          <t>POVOADO DO RETIRO - ZONA RURAL</t>
        </is>
      </c>
      <c r="G196" s="27" t="inlineStr">
        <is>
          <t>47800-000</t>
        </is>
      </c>
      <c r="H196" s="15" t="n">
        <v>3</v>
      </c>
      <c r="I196" s="28" t="inlineStr">
        <is>
          <t>NÃO</t>
        </is>
      </c>
      <c r="J196" s="29" t="n"/>
      <c r="K196" s="14" t="str">
        <f>IF(J196="","7. Acima de 2 km",IF(J196&lt;=50,"1. Até 50 m",IF(J196&lt;=100,"2. De 50 a 100 m",IF(J196&lt;=200,"3. De 100 a 200 m",IF(J196&lt;=300,"4. De 200 a 300 m",IF(J196&lt;=500,"5. De 300 a 500 m","6. De 500 m a 2 km"))))))</f>
        <v>7. Acima de 2 km</v>
      </c>
      <c r="L196" s="26" t="n">
        <v>0</v>
      </c>
      <c r="M196" s="26" t="n">
        <v>0</v>
      </c>
      <c r="N196" s="26" t="n">
        <v>0</v>
      </c>
      <c r="O196" s="26" t="n">
        <v>0</v>
      </c>
      <c r="P196" s="30" t="n">
        <v>-11.842879</v>
      </c>
      <c r="Q196" s="30" t="n">
        <v>-45.2594492</v>
      </c>
      <c r="R196" s="14" t="inlineStr">
        <is>
          <t>RUA PADRE ALFREDO HASLER, S/N, MORADA DA LUA, BARREIRAS/BA</t>
        </is>
      </c>
      <c r="S196" s="26">
        <f>IF(A196=A195,0,1)</f>
        <v>0</v>
      </c>
      <c r="T196" s="26">
        <f>IF(COUNTIF($B$4:B196,B196)=1,1,0)</f>
        <v>0</v>
      </c>
    </row>
    <row r="197">
      <c r="A197" s="14" t="inlineStr">
        <is>
          <t>BARREIRAS</t>
        </is>
      </c>
      <c r="B197" s="26" t="n">
        <v>75</v>
      </c>
      <c r="C197" s="26" t="n">
        <v>1414</v>
      </c>
      <c r="D197" s="14" t="inlineStr">
        <is>
          <t>COLEGIO LAR FELIZ</t>
        </is>
      </c>
      <c r="E197" s="14" t="inlineStr">
        <is>
          <t>POVOADO CONQUISTA</t>
        </is>
      </c>
      <c r="F197" s="14" t="inlineStr">
        <is>
          <t>COMUNIDADE DE CONQUISTA - ZONA RURAL</t>
        </is>
      </c>
      <c r="G197" s="27" t="inlineStr">
        <is>
          <t>47800-000</t>
        </is>
      </c>
      <c r="H197" s="15" t="n">
        <v>1</v>
      </c>
      <c r="I197" s="28" t="inlineStr">
        <is>
          <t>NÃO</t>
        </is>
      </c>
      <c r="J197" s="29" t="n">
        <v>1109.1</v>
      </c>
      <c r="K197" s="14" t="str">
        <f>IF(J197="","7. Acima de 2 km",IF(J197&lt;=50,"1. Até 50 m",IF(J197&lt;=100,"2. De 50 a 100 m",IF(J197&lt;=200,"3. De 100 a 200 m",IF(J197&lt;=300,"4. De 200 a 300 m",IF(J197&lt;=500,"5. De 300 a 500 m","6. De 500 m a 2 km"))))))</f>
        <v>6. De 500 m a 2 km</v>
      </c>
      <c r="L197" s="26" t="n">
        <v>0</v>
      </c>
      <c r="M197" s="26" t="n">
        <v>0</v>
      </c>
      <c r="N197" s="26" t="n">
        <v>0</v>
      </c>
      <c r="O197" s="26" t="n">
        <v>0</v>
      </c>
      <c r="P197" s="30" t="n">
        <v>-12.1613069</v>
      </c>
      <c r="Q197" s="30" t="n">
        <v>-45.0164855</v>
      </c>
      <c r="R197" s="14" t="inlineStr">
        <is>
          <t>RUA PADRE ALFREDO HASLER, S/N, MORADA DA LUA, BARREIRAS/BA</t>
        </is>
      </c>
      <c r="S197" s="26">
        <f>IF(A197=A196,0,1)</f>
        <v>0</v>
      </c>
      <c r="T197" s="26">
        <f>IF(COUNTIF($B$4:B197,B197)=1,1,0)</f>
        <v>0</v>
      </c>
    </row>
    <row r="198">
      <c r="A198" s="14" t="inlineStr">
        <is>
          <t>BARREIRAS</t>
        </is>
      </c>
      <c r="B198" s="26" t="n">
        <v>75</v>
      </c>
      <c r="C198" s="26" t="n">
        <v>1422</v>
      </c>
      <c r="D198" s="14" t="inlineStr">
        <is>
          <t>ESCOLA MUNICIPAL MANOEL ROCHA FILHO - POVOADO SÃO MIGUEL</t>
        </is>
      </c>
      <c r="E198" s="14" t="inlineStr">
        <is>
          <t>POVOADO SÃO MIGUEL</t>
        </is>
      </c>
      <c r="F198" s="14" t="inlineStr">
        <is>
          <t>POVOADO SÃO MIGUEL - KM 30 - ZONA RURAL</t>
        </is>
      </c>
      <c r="G198" s="27" t="inlineStr">
        <is>
          <t>47800-000</t>
        </is>
      </c>
      <c r="H198" s="15" t="n">
        <v>2</v>
      </c>
      <c r="I198" s="28" t="inlineStr">
        <is>
          <t>SIM</t>
        </is>
      </c>
      <c r="J198" s="29" t="n">
        <v>26.1</v>
      </c>
      <c r="K198" s="14" t="str">
        <f>IF(J198="","7. Acima de 2 km",IF(J198&lt;=50,"1. Até 50 m",IF(J198&lt;=100,"2. De 50 a 100 m",IF(J198&lt;=200,"3. De 100 a 200 m",IF(J198&lt;=300,"4. De 200 a 300 m",IF(J198&lt;=500,"5. De 300 a 500 m","6. De 500 m a 2 km"))))))</f>
        <v>1. Até 50 m</v>
      </c>
      <c r="L198" s="26" t="n">
        <v>1</v>
      </c>
      <c r="M198" s="26" t="n">
        <v>1</v>
      </c>
      <c r="N198" s="26" t="n">
        <v>1</v>
      </c>
      <c r="O198" s="26" t="n">
        <v>1</v>
      </c>
      <c r="P198" s="30" t="n">
        <v>-12.117214</v>
      </c>
      <c r="Q198" s="30" t="n">
        <v>-45.2377647</v>
      </c>
      <c r="R198" s="14" t="inlineStr">
        <is>
          <t>RUA PADRE ALFREDO HASLER, S/N, MORADA DA LUA, BARREIRAS/BA</t>
        </is>
      </c>
      <c r="S198" s="26">
        <f>IF(A198=A197,0,1)</f>
        <v>0</v>
      </c>
      <c r="T198" s="26">
        <f>IF(COUNTIF($B$4:B198,B198)=1,1,0)</f>
        <v>0</v>
      </c>
    </row>
    <row r="199">
      <c r="A199" s="14" t="inlineStr">
        <is>
          <t>BARREIRAS</t>
        </is>
      </c>
      <c r="B199" s="26" t="n">
        <v>75</v>
      </c>
      <c r="C199" s="26" t="n">
        <v>1430</v>
      </c>
      <c r="D199" s="14" t="inlineStr">
        <is>
          <t>ESCOLA MUNICIPAL SALUSTIANO AYRES</t>
        </is>
      </c>
      <c r="E199" s="14" t="inlineStr">
        <is>
          <t>ANGÉLICA AYRES</t>
        </is>
      </c>
      <c r="F199" s="14" t="inlineStr">
        <is>
          <t>LOTEAMENTO ANGÉLICA AYRES, COMUNIDADE RIO DE ONDAS - ZONA RURAL</t>
        </is>
      </c>
      <c r="G199" s="27" t="inlineStr">
        <is>
          <t>47800-000</t>
        </is>
      </c>
      <c r="H199" s="15" t="n">
        <v>1</v>
      </c>
      <c r="I199" s="28" t="inlineStr">
        <is>
          <t>NÃO</t>
        </is>
      </c>
      <c r="J199" s="29" t="n"/>
      <c r="K199" s="14" t="str">
        <f>IF(J199="","7. Acima de 2 km",IF(J199&lt;=50,"1. Até 50 m",IF(J199&lt;=100,"2. De 50 a 100 m",IF(J199&lt;=200,"3. De 100 a 200 m",IF(J199&lt;=300,"4. De 200 a 300 m",IF(J199&lt;=500,"5. De 300 a 500 m","6. De 500 m a 2 km"))))))</f>
        <v>7. Acima de 2 km</v>
      </c>
      <c r="L199" s="26" t="n">
        <v>0</v>
      </c>
      <c r="M199" s="26" t="n">
        <v>0</v>
      </c>
      <c r="N199" s="26" t="n">
        <v>0</v>
      </c>
      <c r="O199" s="26" t="n">
        <v>0</v>
      </c>
      <c r="P199" s="30" t="n">
        <v>-12.1234716</v>
      </c>
      <c r="Q199" s="30" t="n">
        <v>-45.0558151</v>
      </c>
      <c r="R199" s="14" t="inlineStr">
        <is>
          <t>RUA PADRE ALFREDO HASLER, S/N, MORADA DA LUA, BARREIRAS/BA</t>
        </is>
      </c>
      <c r="S199" s="26">
        <f>IF(A199=A198,0,1)</f>
        <v>0</v>
      </c>
      <c r="T199" s="26">
        <f>IF(COUNTIF($B$4:B199,B199)=1,1,0)</f>
        <v>0</v>
      </c>
    </row>
    <row r="200">
      <c r="A200" s="14" t="inlineStr">
        <is>
          <t>BARREIRAS</t>
        </is>
      </c>
      <c r="B200" s="26" t="n">
        <v>75</v>
      </c>
      <c r="C200" s="26" t="n">
        <v>1449</v>
      </c>
      <c r="D200" s="14" t="inlineStr">
        <is>
          <t>PRISIONAL - CONJUNTO PENAL DE BARREIRAS</t>
        </is>
      </c>
      <c r="E200" s="14" t="inlineStr">
        <is>
          <t>POVOADO CANTINHO DO SENHOR DOS AFLITOS</t>
        </is>
      </c>
      <c r="F200" s="14" t="inlineStr">
        <is>
          <t>RODOVIA BA - 827 KM 01 - ZONA RURAL</t>
        </is>
      </c>
      <c r="G200" s="27" t="inlineStr">
        <is>
          <t>47819-899</t>
        </is>
      </c>
      <c r="H200" s="15" t="n">
        <v>1</v>
      </c>
      <c r="I200" s="28" t="inlineStr">
        <is>
          <t>NÃO</t>
        </is>
      </c>
      <c r="J200" s="29" t="n"/>
      <c r="K200" s="14" t="str">
        <f>IF(J200="","7. Acima de 2 km",IF(J200&lt;=50,"1. Até 50 m",IF(J200&lt;=100,"2. De 50 a 100 m",IF(J200&lt;=200,"3. De 100 a 200 m",IF(J200&lt;=300,"4. De 200 a 300 m",IF(J200&lt;=500,"5. De 300 a 500 m","6. De 500 m a 2 km"))))))</f>
        <v>7. Acima de 2 km</v>
      </c>
      <c r="L200" s="26" t="n">
        <v>0</v>
      </c>
      <c r="M200" s="26" t="n">
        <v>0</v>
      </c>
      <c r="N200" s="26" t="n">
        <v>0</v>
      </c>
      <c r="O200" s="26" t="n">
        <v>0</v>
      </c>
      <c r="P200" s="30" t="n">
        <v>-12.0632849</v>
      </c>
      <c r="Q200" s="30" t="n">
        <v>-44.970057</v>
      </c>
      <c r="R200" s="14" t="inlineStr">
        <is>
          <t>RUA PADRE ALFREDO HASLER, S/N, MORADA DA LUA, BARREIRAS/BA</t>
        </is>
      </c>
      <c r="S200" s="26">
        <f>IF(A200=A199,0,1)</f>
        <v>0</v>
      </c>
      <c r="T200" s="26">
        <f>IF(COUNTIF($B$4:B200,B200)=1,1,0)</f>
        <v>0</v>
      </c>
    </row>
    <row r="201">
      <c r="A201" s="14" t="inlineStr">
        <is>
          <t>BARREIRAS</t>
        </is>
      </c>
      <c r="B201" s="26" t="n">
        <v>75</v>
      </c>
      <c r="C201" s="26" t="n">
        <v>1457</v>
      </c>
      <c r="D201" s="14" t="inlineStr">
        <is>
          <t>ESCOLA MUNICIPAL SANTA RITA</t>
        </is>
      </c>
      <c r="E201" s="14" t="inlineStr">
        <is>
          <t>ASSENTAMENTO SANTA RITA</t>
        </is>
      </c>
      <c r="F201" s="14" t="inlineStr">
        <is>
          <t>COMUNIDADE ASSENTAMENTO SANTA RITA - ZONA RURAL</t>
        </is>
      </c>
      <c r="G201" s="27" t="inlineStr">
        <is>
          <t>47800-000</t>
        </is>
      </c>
      <c r="H201" s="15" t="n">
        <v>1</v>
      </c>
      <c r="I201" s="28" t="inlineStr">
        <is>
          <t>NÃO</t>
        </is>
      </c>
      <c r="J201" s="29" t="n"/>
      <c r="K201" s="14" t="str">
        <f>IF(J201="","7. Acima de 2 km",IF(J201&lt;=50,"1. Até 50 m",IF(J201&lt;=100,"2. De 50 a 100 m",IF(J201&lt;=200,"3. De 100 a 200 m",IF(J201&lt;=300,"4. De 200 a 300 m",IF(J201&lt;=500,"5. De 300 a 500 m","6. De 500 m a 2 km"))))))</f>
        <v>7. Acima de 2 km</v>
      </c>
      <c r="L201" s="26" t="n">
        <v>0</v>
      </c>
      <c r="M201" s="26" t="n">
        <v>0</v>
      </c>
      <c r="N201" s="26" t="n">
        <v>0</v>
      </c>
      <c r="O201" s="26" t="n">
        <v>0</v>
      </c>
      <c r="P201" s="30" t="n">
        <v>-12.1656431</v>
      </c>
      <c r="Q201" s="30" t="n">
        <v>-45.3747259</v>
      </c>
      <c r="R201" s="14" t="inlineStr">
        <is>
          <t>RUA PADRE ALFREDO HASLER, S/N, MORADA DA LUA, BARREIRAS/BA</t>
        </is>
      </c>
      <c r="S201" s="26">
        <f>IF(A201=A200,0,1)</f>
        <v>0</v>
      </c>
      <c r="T201" s="26">
        <f>IF(COUNTIF($B$4:B201,B201)=1,1,0)</f>
        <v>0</v>
      </c>
    </row>
    <row r="202">
      <c r="A202" s="14" t="inlineStr">
        <is>
          <t>BARREIRAS</t>
        </is>
      </c>
      <c r="B202" s="26" t="n">
        <v>75</v>
      </c>
      <c r="C202" s="26" t="n">
        <v>1465</v>
      </c>
      <c r="D202" s="14" t="inlineStr">
        <is>
          <t>ESCOLA MUNICIPAL PROFESSOR ITARAJU QUEIROZ SANTOS</t>
        </is>
      </c>
      <c r="E202" s="14" t="inlineStr">
        <is>
          <t>SÃO FRANCISCO</t>
        </is>
      </c>
      <c r="F202" s="14" t="inlineStr">
        <is>
          <t>RUA A, S/N - SÃO FRANCISCO</t>
        </is>
      </c>
      <c r="G202" s="27" t="inlineStr">
        <is>
          <t>47815-010</t>
        </is>
      </c>
      <c r="H202" s="15" t="n">
        <v>3</v>
      </c>
      <c r="I202" s="28" t="inlineStr">
        <is>
          <t>NÃO</t>
        </is>
      </c>
      <c r="J202" s="29" t="n">
        <v>299.9</v>
      </c>
      <c r="K202" s="14" t="str">
        <f>IF(J202="","7. Acima de 2 km",IF(J202&lt;=50,"1. Até 50 m",IF(J202&lt;=100,"2. De 50 a 100 m",IF(J202&lt;=200,"3. De 100 a 200 m",IF(J202&lt;=300,"4. De 200 a 300 m",IF(J202&lt;=500,"5. De 300 a 500 m","6. De 500 m a 2 km"))))))</f>
        <v>4. De 200 a 300 m</v>
      </c>
      <c r="L202" s="26" t="n">
        <v>0</v>
      </c>
      <c r="M202" s="26" t="n">
        <v>0</v>
      </c>
      <c r="N202" s="26" t="n">
        <v>0</v>
      </c>
      <c r="O202" s="26" t="n">
        <v>1</v>
      </c>
      <c r="P202" s="30" t="n">
        <v>-12.0947054</v>
      </c>
      <c r="Q202" s="30" t="n">
        <v>-44.9789151</v>
      </c>
      <c r="R202" s="14" t="inlineStr">
        <is>
          <t>RUA PADRE ALFREDO HASLER, S/N, MORADA DA LUA, BARREIRAS/BA</t>
        </is>
      </c>
      <c r="S202" s="26">
        <f>IF(A202=A201,0,1)</f>
        <v>0</v>
      </c>
      <c r="T202" s="26">
        <f>IF(COUNTIF($B$4:B202,B202)=1,1,0)</f>
        <v>0</v>
      </c>
    </row>
    <row r="203">
      <c r="A203" s="14" t="inlineStr">
        <is>
          <t>BOM JESUS DA LAPA</t>
        </is>
      </c>
      <c r="B203" s="26" t="n">
        <v>71</v>
      </c>
      <c r="C203" s="26" t="n">
        <v>1023</v>
      </c>
      <c r="D203" s="14" t="inlineStr">
        <is>
          <t>ESCOLA BATISTA</t>
        </is>
      </c>
      <c r="E203" s="14" t="inlineStr">
        <is>
          <t>CENTRO</t>
        </is>
      </c>
      <c r="F203" s="14" t="inlineStr">
        <is>
          <t>RUA GUANABARA - ZONA URBANA</t>
        </is>
      </c>
      <c r="G203" s="27" t="inlineStr">
        <is>
          <t>47600-000</t>
        </is>
      </c>
      <c r="H203" s="15" t="n">
        <v>4</v>
      </c>
      <c r="I203" s="28" t="inlineStr">
        <is>
          <t>NÃO</t>
        </is>
      </c>
      <c r="J203" s="29" t="n">
        <v>314.5</v>
      </c>
      <c r="K203" s="14" t="str">
        <f>IF(J203="","7. Acima de 2 km",IF(J203&lt;=50,"1. Até 50 m",IF(J203&lt;=100,"2. De 50 a 100 m",IF(J203&lt;=200,"3. De 100 a 200 m",IF(J203&lt;=300,"4. De 200 a 300 m",IF(J203&lt;=500,"5. De 300 a 500 m","6. De 500 m a 2 km"))))))</f>
        <v>5. De 300 a 500 m</v>
      </c>
      <c r="L203" s="26" t="n">
        <v>0</v>
      </c>
      <c r="M203" s="26" t="n">
        <v>0</v>
      </c>
      <c r="N203" s="26" t="n">
        <v>0</v>
      </c>
      <c r="O203" s="26" t="n">
        <v>0</v>
      </c>
      <c r="P203" s="30" t="n">
        <v>-13.2525036</v>
      </c>
      <c r="Q203" s="30" t="n">
        <v>-43.4170654</v>
      </c>
      <c r="R203" s="14" t="inlineStr">
        <is>
          <t>CARTÓRIO ELEITORAL - RUA GERALDO LISBOA, 521, BAIRRO SÃO JOÃO, BOM JESUS DA LAPA/BAHIA</t>
        </is>
      </c>
      <c r="S203" s="26">
        <f>IF(A203=A202,0,1)</f>
        <v>1</v>
      </c>
      <c r="T203" s="26">
        <f>IF(COUNTIF($B$4:B203,B203)=1,1,0)</f>
        <v>1</v>
      </c>
    </row>
    <row r="204">
      <c r="A204" s="14" t="inlineStr">
        <is>
          <t>BOM JESUS DA LAPA</t>
        </is>
      </c>
      <c r="B204" s="26" t="n">
        <v>71</v>
      </c>
      <c r="C204" s="26" t="n">
        <v>1040</v>
      </c>
      <c r="D204" s="14" t="inlineStr">
        <is>
          <t>CEI EUFROSINA BORGES DOURADO</t>
        </is>
      </c>
      <c r="E204" s="14" t="inlineStr">
        <is>
          <t>CAVALHADA</t>
        </is>
      </c>
      <c r="F204" s="14" t="inlineStr">
        <is>
          <t>AVENIDA ALMIRANTE BEIRUTE S/N - ZONA URBANA</t>
        </is>
      </c>
      <c r="G204" s="27" t="inlineStr">
        <is>
          <t>47600-000</t>
        </is>
      </c>
      <c r="H204" s="15" t="n">
        <v>4</v>
      </c>
      <c r="I204" s="28" t="inlineStr">
        <is>
          <t>NÃO</t>
        </is>
      </c>
      <c r="J204" s="29" t="n">
        <v>289.8</v>
      </c>
      <c r="K204" s="14" t="str">
        <f>IF(J204="","7. Acima de 2 km",IF(J204&lt;=50,"1. Até 50 m",IF(J204&lt;=100,"2. De 50 a 100 m",IF(J204&lt;=200,"3. De 100 a 200 m",IF(J204&lt;=300,"4. De 200 a 300 m",IF(J204&lt;=500,"5. De 300 a 500 m","6. De 500 m a 2 km"))))))</f>
        <v>4. De 200 a 300 m</v>
      </c>
      <c r="L204" s="26" t="n">
        <v>0</v>
      </c>
      <c r="M204" s="26" t="n">
        <v>0</v>
      </c>
      <c r="N204" s="26" t="n">
        <v>0</v>
      </c>
      <c r="O204" s="26" t="n">
        <v>1</v>
      </c>
      <c r="P204" s="30" t="n">
        <v>-13.2505019</v>
      </c>
      <c r="Q204" s="30" t="n">
        <v>-43.4186027</v>
      </c>
      <c r="R204" s="14" t="inlineStr">
        <is>
          <t>CARTÓRIO ELEITORAL - RUA GERALDO LISBOA, 521, BAIRRO SÃO JOÃO, BOM JESUS DA LAPA/BAHIA</t>
        </is>
      </c>
      <c r="S204" s="26">
        <f>IF(A204=A203,0,1)</f>
        <v>0</v>
      </c>
      <c r="T204" s="26">
        <f>IF(COUNTIF($B$4:B204,B204)=1,1,0)</f>
        <v>0</v>
      </c>
    </row>
    <row r="205">
      <c r="A205" s="14" t="inlineStr">
        <is>
          <t>BOM JESUS DA LAPA</t>
        </is>
      </c>
      <c r="B205" s="26" t="n">
        <v>71</v>
      </c>
      <c r="C205" s="26" t="n">
        <v>1082</v>
      </c>
      <c r="D205" s="14" t="inlineStr">
        <is>
          <t>UNIVERSIDADE FEDERAL DO OESTE DA BAHIA-UFOB</t>
        </is>
      </c>
      <c r="E205" s="14" t="inlineStr">
        <is>
          <t>CENTRO</t>
        </is>
      </c>
      <c r="F205" s="14" t="inlineStr">
        <is>
          <t>AVENIDA MANOEL NOVAES - ZONA URBANA</t>
        </is>
      </c>
      <c r="G205" s="27" t="inlineStr">
        <is>
          <t>47600-000</t>
        </is>
      </c>
      <c r="H205" s="15" t="n">
        <v>8</v>
      </c>
      <c r="I205" s="28" t="inlineStr">
        <is>
          <t>NÃO</t>
        </is>
      </c>
      <c r="J205" s="29" t="n">
        <v>197.3</v>
      </c>
      <c r="K205" s="14" t="str">
        <f>IF(J205="","7. Acima de 2 km",IF(J205&lt;=50,"1. Até 50 m",IF(J205&lt;=100,"2. De 50 a 100 m",IF(J205&lt;=200,"3. De 100 a 200 m",IF(J205&lt;=300,"4. De 200 a 300 m",IF(J205&lt;=500,"5. De 300 a 500 m","6. De 500 m a 2 km"))))))</f>
        <v>3. De 100 a 200 m</v>
      </c>
      <c r="L205" s="26" t="n">
        <v>0</v>
      </c>
      <c r="M205" s="26" t="n">
        <v>0</v>
      </c>
      <c r="N205" s="26" t="n">
        <v>1</v>
      </c>
      <c r="O205" s="26" t="n">
        <v>2</v>
      </c>
      <c r="P205" s="30" t="n">
        <v>-13.2564911</v>
      </c>
      <c r="Q205" s="30" t="n">
        <v>-43.4169412</v>
      </c>
      <c r="R205" s="14" t="inlineStr">
        <is>
          <t>CARTÓRIO ELEITORAL - RUA GERALDO LISBOA, 521, BAIRRO SÃO JOÃO, BOM JESUS DA LAPA/BAHIA</t>
        </is>
      </c>
      <c r="S205" s="26">
        <f>IF(A205=A204,0,1)</f>
        <v>0</v>
      </c>
      <c r="T205" s="26">
        <f>IF(COUNTIF($B$4:B205,B205)=1,1,0)</f>
        <v>0</v>
      </c>
    </row>
    <row r="206">
      <c r="A206" s="14" t="inlineStr">
        <is>
          <t>BOM JESUS DA LAPA</t>
        </is>
      </c>
      <c r="B206" s="26" t="n">
        <v>71</v>
      </c>
      <c r="C206" s="26" t="n">
        <v>1112</v>
      </c>
      <c r="D206" s="14" t="inlineStr">
        <is>
          <t>CENTRO EDUCACIONAL MUNICIPALIZADO SÃO JOSÉ</t>
        </is>
      </c>
      <c r="E206" s="14" t="inlineStr">
        <is>
          <t>CENTRO</t>
        </is>
      </c>
      <c r="F206" s="14" t="inlineStr">
        <is>
          <t>TRAVESSA MANOEL NOVAES S/N - ZONA URBANA</t>
        </is>
      </c>
      <c r="G206" s="27" t="inlineStr">
        <is>
          <t>47600-000</t>
        </is>
      </c>
      <c r="H206" s="15" t="n">
        <v>11</v>
      </c>
      <c r="I206" s="28" t="inlineStr">
        <is>
          <t>NÃO</t>
        </is>
      </c>
      <c r="J206" s="29" t="n">
        <v>355.5</v>
      </c>
      <c r="K206" s="14" t="str">
        <f>IF(J206="","7. Acima de 2 km",IF(J206&lt;=50,"1. Até 50 m",IF(J206&lt;=100,"2. De 50 a 100 m",IF(J206&lt;=200,"3. De 100 a 200 m",IF(J206&lt;=300,"4. De 200 a 300 m",IF(J206&lt;=500,"5. De 300 a 500 m","6. De 500 m a 2 km"))))))</f>
        <v>5. De 300 a 500 m</v>
      </c>
      <c r="L206" s="26" t="n">
        <v>0</v>
      </c>
      <c r="M206" s="26" t="n">
        <v>0</v>
      </c>
      <c r="N206" s="26" t="n">
        <v>0</v>
      </c>
      <c r="O206" s="26" t="n">
        <v>0</v>
      </c>
      <c r="P206" s="30" t="n">
        <v>-13.2592755</v>
      </c>
      <c r="Q206" s="30" t="n">
        <v>-43.4182058</v>
      </c>
      <c r="R206" s="14" t="inlineStr">
        <is>
          <t>CARTÓRIO ELEITORAL - RUA GERALDO LISBOA, 521, BAIRRO SÃO JOÃO, BOM JESUS DA LAPA/BAHIA</t>
        </is>
      </c>
      <c r="S206" s="26">
        <f>IF(A206=A205,0,1)</f>
        <v>0</v>
      </c>
      <c r="T206" s="26">
        <f>IF(COUNTIF($B$4:B206,B206)=1,1,0)</f>
        <v>0</v>
      </c>
    </row>
    <row r="207">
      <c r="A207" s="14" t="inlineStr">
        <is>
          <t>BOM JESUS DA LAPA</t>
        </is>
      </c>
      <c r="B207" s="26" t="n">
        <v>71</v>
      </c>
      <c r="C207" s="26" t="n">
        <v>1139</v>
      </c>
      <c r="D207" s="14" t="inlineStr">
        <is>
          <t>ESCOLA MUNICIPAL PAULO FREIRE</t>
        </is>
      </c>
      <c r="E207" s="14" t="inlineStr">
        <is>
          <t>SÃO GOTARDO</t>
        </is>
      </c>
      <c r="F207" s="14" t="inlineStr">
        <is>
          <t>AVENIDA AGENOR MAGALHÃES, S/N - ZONA URBANA</t>
        </is>
      </c>
      <c r="G207" s="27" t="inlineStr">
        <is>
          <t>47600-000</t>
        </is>
      </c>
      <c r="H207" s="15" t="n">
        <v>5</v>
      </c>
      <c r="I207" s="28" t="inlineStr">
        <is>
          <t>NÃO</t>
        </is>
      </c>
      <c r="J207" s="29" t="n">
        <v>276.9</v>
      </c>
      <c r="K207" s="14" t="str">
        <f>IF(J207="","7. Acima de 2 km",IF(J207&lt;=50,"1. Até 50 m",IF(J207&lt;=100,"2. De 50 a 100 m",IF(J207&lt;=200,"3. De 100 a 200 m",IF(J207&lt;=300,"4. De 200 a 300 m",IF(J207&lt;=500,"5. De 300 a 500 m","6. De 500 m a 2 km"))))))</f>
        <v>4. De 200 a 300 m</v>
      </c>
      <c r="L207" s="26" t="n">
        <v>0</v>
      </c>
      <c r="M207" s="26" t="n">
        <v>0</v>
      </c>
      <c r="N207" s="26" t="n">
        <v>0</v>
      </c>
      <c r="O207" s="26" t="n">
        <v>1</v>
      </c>
      <c r="P207" s="30" t="n">
        <v>-13.2514117</v>
      </c>
      <c r="Q207" s="30" t="n">
        <v>-43.413114</v>
      </c>
      <c r="R207" s="14" t="inlineStr">
        <is>
          <t>CARTÓRIO ELEITORAL - RUA GERALDO LISBOA, 521, BAIRRO SÃO JOÃO, BOM JESUS DA LAPA/BAHIA</t>
        </is>
      </c>
      <c r="S207" s="26">
        <f>IF(A207=A206,0,1)</f>
        <v>0</v>
      </c>
      <c r="T207" s="26">
        <f>IF(COUNTIF($B$4:B207,B207)=1,1,0)</f>
        <v>0</v>
      </c>
    </row>
    <row r="208">
      <c r="A208" s="14" t="inlineStr">
        <is>
          <t>BOM JESUS DA LAPA</t>
        </is>
      </c>
      <c r="B208" s="26" t="n">
        <v>71</v>
      </c>
      <c r="C208" s="26" t="n">
        <v>1147</v>
      </c>
      <c r="D208" s="14" t="inlineStr">
        <is>
          <t>ESCOLA EDIVALDO FLORES BOAVENTURA</t>
        </is>
      </c>
      <c r="E208" s="14" t="inlineStr">
        <is>
          <t>SÃO JOÃO</t>
        </is>
      </c>
      <c r="F208" s="14" t="inlineStr">
        <is>
          <t>RUA DOS ESCOTEIROS - ZONA URBANA</t>
        </is>
      </c>
      <c r="G208" s="27" t="inlineStr">
        <is>
          <t>47600-000</t>
        </is>
      </c>
      <c r="H208" s="15" t="n">
        <v>5</v>
      </c>
      <c r="I208" s="28" t="inlineStr">
        <is>
          <t>NÃO</t>
        </is>
      </c>
      <c r="J208" s="29" t="n">
        <v>260.9</v>
      </c>
      <c r="K208" s="14" t="str">
        <f>IF(J208="","7. Acima de 2 km",IF(J208&lt;=50,"1. Até 50 m",IF(J208&lt;=100,"2. De 50 a 100 m",IF(J208&lt;=200,"3. De 100 a 200 m",IF(J208&lt;=300,"4. De 200 a 300 m",IF(J208&lt;=500,"5. De 300 a 500 m","6. De 500 m a 2 km"))))))</f>
        <v>4. De 200 a 300 m</v>
      </c>
      <c r="L208" s="26" t="n">
        <v>0</v>
      </c>
      <c r="M208" s="26" t="n">
        <v>0</v>
      </c>
      <c r="N208" s="26" t="n">
        <v>0</v>
      </c>
      <c r="O208" s="26" t="n">
        <v>1</v>
      </c>
      <c r="P208" s="30" t="n">
        <v>-13.2581792</v>
      </c>
      <c r="Q208" s="30" t="n">
        <v>-43.403523</v>
      </c>
      <c r="R208" s="14" t="inlineStr">
        <is>
          <t>CARTÓRIO ELEITORAL - RUA GERALDO LISBOA, 521, BAIRRO SÃO JOÃO, BOM JESUS DA LAPA/BAHIA</t>
        </is>
      </c>
      <c r="S208" s="26">
        <f>IF(A208=A207,0,1)</f>
        <v>0</v>
      </c>
      <c r="T208" s="26">
        <f>IF(COUNTIF($B$4:B208,B208)=1,1,0)</f>
        <v>0</v>
      </c>
    </row>
    <row r="209">
      <c r="A209" s="14" t="inlineStr">
        <is>
          <t>BOM JESUS DA LAPA</t>
        </is>
      </c>
      <c r="B209" s="26" t="n">
        <v>71</v>
      </c>
      <c r="C209" s="26" t="n">
        <v>1155</v>
      </c>
      <c r="D209" s="14" t="inlineStr">
        <is>
          <t>ESCOLA DE 2º GRAU MONSENHOR TURÍBIO VILA NOVA</t>
        </is>
      </c>
      <c r="E209" s="14" t="inlineStr">
        <is>
          <t>AMARALINA</t>
        </is>
      </c>
      <c r="F209" s="14" t="inlineStr">
        <is>
          <t>AVENIDA AGENOR MAGALHÃES - ZONA URBANA</t>
        </is>
      </c>
      <c r="G209" s="27" t="inlineStr">
        <is>
          <t>47600-000</t>
        </is>
      </c>
      <c r="H209" s="15" t="n">
        <v>13</v>
      </c>
      <c r="I209" s="28" t="inlineStr">
        <is>
          <t>NÃO</t>
        </is>
      </c>
      <c r="J209" s="29" t="n">
        <v>406.8</v>
      </c>
      <c r="K209" s="14" t="str">
        <f>IF(J209="","7. Acima de 2 km",IF(J209&lt;=50,"1. Até 50 m",IF(J209&lt;=100,"2. De 50 a 100 m",IF(J209&lt;=200,"3. De 100 a 200 m",IF(J209&lt;=300,"4. De 200 a 300 m",IF(J209&lt;=500,"5. De 300 a 500 m","6. De 500 m a 2 km"))))))</f>
        <v>5. De 300 a 500 m</v>
      </c>
      <c r="L209" s="26" t="n">
        <v>0</v>
      </c>
      <c r="M209" s="26" t="n">
        <v>0</v>
      </c>
      <c r="N209" s="26" t="n">
        <v>0</v>
      </c>
      <c r="O209" s="26" t="n">
        <v>0</v>
      </c>
      <c r="P209" s="30" t="n">
        <v>-13.2515622</v>
      </c>
      <c r="Q209" s="30" t="n">
        <v>-43.406802</v>
      </c>
      <c r="R209" s="14" t="inlineStr">
        <is>
          <t>CARTÓRIO ELEITORAL - RUA GERALDO LISBOA, 521, BAIRRO SÃO JOÃO, BOM JESUS DA LAPA/BAHIA</t>
        </is>
      </c>
      <c r="S209" s="26">
        <f>IF(A209=A208,0,1)</f>
        <v>0</v>
      </c>
      <c r="T209" s="26">
        <f>IF(COUNTIF($B$4:B209,B209)=1,1,0)</f>
        <v>0</v>
      </c>
    </row>
    <row r="210">
      <c r="A210" s="14" t="inlineStr">
        <is>
          <t>BOM JESUS DA LAPA</t>
        </is>
      </c>
      <c r="B210" s="26" t="n">
        <v>71</v>
      </c>
      <c r="C210" s="26" t="n">
        <v>1163</v>
      </c>
      <c r="D210" s="14" t="inlineStr">
        <is>
          <t>ESCOLA WILSON LINS</t>
        </is>
      </c>
      <c r="E210" s="14" t="inlineStr">
        <is>
          <t>SANTA LUZIA</t>
        </is>
      </c>
      <c r="F210" s="14" t="inlineStr">
        <is>
          <t>RUA SANTA LUZIA S/N - ZONA URBANA</t>
        </is>
      </c>
      <c r="G210" s="27" t="inlineStr">
        <is>
          <t>47600-000</t>
        </is>
      </c>
      <c r="H210" s="15" t="n">
        <v>7</v>
      </c>
      <c r="I210" s="28" t="inlineStr">
        <is>
          <t>NÃO</t>
        </is>
      </c>
      <c r="J210" s="29" t="n">
        <v>414.7</v>
      </c>
      <c r="K210" s="14" t="str">
        <f>IF(J210="","7. Acima de 2 km",IF(J210&lt;=50,"1. Até 50 m",IF(J210&lt;=100,"2. De 50 a 100 m",IF(J210&lt;=200,"3. De 100 a 200 m",IF(J210&lt;=300,"4. De 200 a 300 m",IF(J210&lt;=500,"5. De 300 a 500 m","6. De 500 m a 2 km"))))))</f>
        <v>5. De 300 a 500 m</v>
      </c>
      <c r="L210" s="26" t="n">
        <v>0</v>
      </c>
      <c r="M210" s="26" t="n">
        <v>0</v>
      </c>
      <c r="N210" s="26" t="n">
        <v>0</v>
      </c>
      <c r="O210" s="26" t="n">
        <v>0</v>
      </c>
      <c r="P210" s="30" t="n">
        <v>-13.2497141</v>
      </c>
      <c r="Q210" s="30" t="n">
        <v>-43.4139797</v>
      </c>
      <c r="R210" s="14" t="inlineStr">
        <is>
          <t>CARTÓRIO ELEITORAL - RUA GERALDO LISBOA, 521, BAIRRO SÃO JOÃO, BOM JESUS DA LAPA/BAHIA</t>
        </is>
      </c>
      <c r="S210" s="26">
        <f>IF(A210=A209,0,1)</f>
        <v>0</v>
      </c>
      <c r="T210" s="26">
        <f>IF(COUNTIF($B$4:B210,B210)=1,1,0)</f>
        <v>0</v>
      </c>
    </row>
    <row r="211">
      <c r="A211" s="14" t="inlineStr">
        <is>
          <t>BOM JESUS DA LAPA</t>
        </is>
      </c>
      <c r="B211" s="26" t="n">
        <v>71</v>
      </c>
      <c r="C211" s="26" t="n">
        <v>1171</v>
      </c>
      <c r="D211" s="14" t="inlineStr">
        <is>
          <t>ESCOLA MUN. PROFª MARTINHA GONÇALVES</t>
        </is>
      </c>
      <c r="E211" s="14" t="inlineStr">
        <is>
          <t>JOÃO PAULO II</t>
        </is>
      </c>
      <c r="F211" s="14" t="inlineStr">
        <is>
          <t>RUA SÃO CRISTOVÃO, S/N - ZONA URBANA</t>
        </is>
      </c>
      <c r="G211" s="27" t="inlineStr">
        <is>
          <t>47600-000</t>
        </is>
      </c>
      <c r="H211" s="15" t="n">
        <v>5</v>
      </c>
      <c r="I211" s="28" t="inlineStr">
        <is>
          <t>SIM</t>
        </is>
      </c>
      <c r="J211" s="29" t="n">
        <v>73.8</v>
      </c>
      <c r="K211" s="14" t="str">
        <f>IF(J211="","7. Acima de 2 km",IF(J211&lt;=50,"1. Até 50 m",IF(J211&lt;=100,"2. De 50 a 100 m",IF(J211&lt;=200,"3. De 100 a 200 m",IF(J211&lt;=300,"4. De 200 a 300 m",IF(J211&lt;=500,"5. De 300 a 500 m","6. De 500 m a 2 km"))))))</f>
        <v>2. De 50 a 100 m</v>
      </c>
      <c r="L211" s="26" t="n">
        <v>0</v>
      </c>
      <c r="M211" s="26" t="n">
        <v>1</v>
      </c>
      <c r="N211" s="26" t="n">
        <v>1</v>
      </c>
      <c r="O211" s="26" t="n">
        <v>1</v>
      </c>
      <c r="P211" s="30" t="n">
        <v>-13.2467039</v>
      </c>
      <c r="Q211" s="30" t="n">
        <v>-43.4045215</v>
      </c>
      <c r="R211" s="14" t="inlineStr">
        <is>
          <t>CARTÓRIO ELEITORAL - RUA GERALDO LISBOA, 521, BAIRRO SÃO JOÃO, BOM JESUS DA LAPA/BAHIA</t>
        </is>
      </c>
      <c r="S211" s="26">
        <f>IF(A211=A210,0,1)</f>
        <v>0</v>
      </c>
      <c r="T211" s="26">
        <f>IF(COUNTIF($B$4:B211,B211)=1,1,0)</f>
        <v>0</v>
      </c>
    </row>
    <row r="212">
      <c r="A212" s="14" t="inlineStr">
        <is>
          <t>BOM JESUS DA LAPA</t>
        </is>
      </c>
      <c r="B212" s="26" t="n">
        <v>71</v>
      </c>
      <c r="C212" s="26" t="n">
        <v>1180</v>
      </c>
      <c r="D212" s="14" t="inlineStr">
        <is>
          <t>ESCOLA MUNICIPAL PEQUENO PRÍNCIPE</t>
        </is>
      </c>
      <c r="E212" s="14" t="inlineStr">
        <is>
          <t>AMARALINA</t>
        </is>
      </c>
      <c r="F212" s="14" t="inlineStr">
        <is>
          <t>RUA CHÁCARA S/N - ZONA URBANA</t>
        </is>
      </c>
      <c r="G212" s="27" t="inlineStr">
        <is>
          <t>47600-000</t>
        </is>
      </c>
      <c r="H212" s="15" t="n">
        <v>6</v>
      </c>
      <c r="I212" s="28" t="inlineStr">
        <is>
          <t>NÃO</t>
        </is>
      </c>
      <c r="J212" s="29" t="n">
        <v>123.7</v>
      </c>
      <c r="K212" s="14" t="str">
        <f>IF(J212="","7. Acima de 2 km",IF(J212&lt;=50,"1. Até 50 m",IF(J212&lt;=100,"2. De 50 a 100 m",IF(J212&lt;=200,"3. De 100 a 200 m",IF(J212&lt;=300,"4. De 200 a 300 m",IF(J212&lt;=500,"5. De 300 a 500 m","6. De 500 m a 2 km"))))))</f>
        <v>3. De 100 a 200 m</v>
      </c>
      <c r="L212" s="26" t="n">
        <v>0</v>
      </c>
      <c r="M212" s="26" t="n">
        <v>0</v>
      </c>
      <c r="N212" s="26" t="n">
        <v>1</v>
      </c>
      <c r="O212" s="26" t="n">
        <v>2</v>
      </c>
      <c r="P212" s="30" t="n">
        <v>-13.2462913</v>
      </c>
      <c r="Q212" s="30" t="n">
        <v>-43.4075307</v>
      </c>
      <c r="R212" s="14" t="inlineStr">
        <is>
          <t>CARTÓRIO ELEITORAL - RUA GERALDO LISBOA, 521, BAIRRO SÃO JOÃO, BOM JESUS DA LAPA/BAHIA</t>
        </is>
      </c>
      <c r="S212" s="26">
        <f>IF(A212=A211,0,1)</f>
        <v>0</v>
      </c>
      <c r="T212" s="26">
        <f>IF(COUNTIF($B$4:B212,B212)=1,1,0)</f>
        <v>0</v>
      </c>
    </row>
    <row r="213">
      <c r="A213" s="14" t="inlineStr">
        <is>
          <t>BOM JESUS DA LAPA</t>
        </is>
      </c>
      <c r="B213" s="26" t="n">
        <v>71</v>
      </c>
      <c r="C213" s="26" t="n">
        <v>1201</v>
      </c>
      <c r="D213" s="14" t="inlineStr">
        <is>
          <t>ESCOLA MUNICIPAL PROFESSOR JOÃO CAMPOS DE ARAÚJO</t>
        </is>
      </c>
      <c r="E213" s="14" t="inlineStr">
        <is>
          <t>POVOADO ILHA DE CANABRAVA</t>
        </is>
      </c>
      <c r="F213" s="14" t="inlineStr">
        <is>
          <t>POVOADO ILHA DA CANABRAVA - ZONA RURAL</t>
        </is>
      </c>
      <c r="G213" s="27" t="inlineStr">
        <is>
          <t>47600-000</t>
        </is>
      </c>
      <c r="H213" s="15" t="n">
        <v>1</v>
      </c>
      <c r="I213" s="28" t="inlineStr">
        <is>
          <t>NÃO</t>
        </is>
      </c>
      <c r="J213" s="29" t="n"/>
      <c r="K213" s="14" t="str">
        <f>IF(J213="","7. Acima de 2 km",IF(J213&lt;=50,"1. Até 50 m",IF(J213&lt;=100,"2. De 50 a 100 m",IF(J213&lt;=200,"3. De 100 a 200 m",IF(J213&lt;=300,"4. De 200 a 300 m",IF(J213&lt;=500,"5. De 300 a 500 m","6. De 500 m a 2 km"))))))</f>
        <v>7. Acima de 2 km</v>
      </c>
      <c r="L213" s="26" t="n">
        <v>0</v>
      </c>
      <c r="M213" s="26" t="n">
        <v>0</v>
      </c>
      <c r="N213" s="26" t="n">
        <v>0</v>
      </c>
      <c r="O213" s="26" t="n">
        <v>0</v>
      </c>
      <c r="P213" s="30" t="n">
        <v>-13.1906989</v>
      </c>
      <c r="Q213" s="30" t="n">
        <v>-43.4364785</v>
      </c>
      <c r="R213" s="14" t="inlineStr">
        <is>
          <t>CARTÓRIO ELEITORAL - RUA GERALDO LISBOA, 521, BAIRRO SÃO JOÃO, BOM JESUS DA LAPA/BAHIA</t>
        </is>
      </c>
      <c r="S213" s="26">
        <f>IF(A213=A212,0,1)</f>
        <v>0</v>
      </c>
      <c r="T213" s="26">
        <f>IF(COUNTIF($B$4:B213,B213)=1,1,0)</f>
        <v>0</v>
      </c>
    </row>
    <row r="214">
      <c r="A214" s="14" t="inlineStr">
        <is>
          <t>BOM JESUS DA LAPA</t>
        </is>
      </c>
      <c r="B214" s="26" t="n">
        <v>71</v>
      </c>
      <c r="C214" s="26" t="n">
        <v>1228</v>
      </c>
      <c r="D214" s="14" t="inlineStr">
        <is>
          <t>ESCOLA MUNICIPAL NOSSA SENHORA DA CONCEIÇÃO</t>
        </is>
      </c>
      <c r="E214" s="14" t="inlineStr">
        <is>
          <t>POVOADO BANDEIRA</t>
        </is>
      </c>
      <c r="F214" s="14" t="inlineStr">
        <is>
          <t>POVOADO BANDEIRA - ZONA RURAL</t>
        </is>
      </c>
      <c r="G214" s="27" t="inlineStr">
        <is>
          <t>47600-000</t>
        </is>
      </c>
      <c r="H214" s="15" t="n">
        <v>3</v>
      </c>
      <c r="I214" s="28" t="inlineStr">
        <is>
          <t>NÃO</t>
        </is>
      </c>
      <c r="J214" s="29" t="n"/>
      <c r="K214" s="14" t="str">
        <f>IF(J214="","7. Acima de 2 km",IF(J214&lt;=50,"1. Até 50 m",IF(J214&lt;=100,"2. De 50 a 100 m",IF(J214&lt;=200,"3. De 100 a 200 m",IF(J214&lt;=300,"4. De 200 a 300 m",IF(J214&lt;=500,"5. De 300 a 500 m","6. De 500 m a 2 km"))))))</f>
        <v>7. Acima de 2 km</v>
      </c>
      <c r="L214" s="26" t="n">
        <v>0</v>
      </c>
      <c r="M214" s="26" t="n">
        <v>0</v>
      </c>
      <c r="N214" s="26" t="n">
        <v>0</v>
      </c>
      <c r="O214" s="26" t="n">
        <v>0</v>
      </c>
      <c r="P214" s="30" t="n">
        <v>-12.9598628</v>
      </c>
      <c r="Q214" s="30" t="n">
        <v>-43.3986109</v>
      </c>
      <c r="R214" s="14" t="inlineStr">
        <is>
          <t>CARTÓRIO ELEITORAL - RUA GERALDO LISBOA, 521, BAIRRO SÃO JOÃO, BOM JESUS DA LAPA/BAHIA</t>
        </is>
      </c>
      <c r="S214" s="26">
        <f>IF(A214=A213,0,1)</f>
        <v>0</v>
      </c>
      <c r="T214" s="26">
        <f>IF(COUNTIF($B$4:B214,B214)=1,1,0)</f>
        <v>0</v>
      </c>
    </row>
    <row r="215">
      <c r="A215" s="14" t="inlineStr">
        <is>
          <t>BOM JESUS DA LAPA</t>
        </is>
      </c>
      <c r="B215" s="26" t="n">
        <v>71</v>
      </c>
      <c r="C215" s="26" t="n">
        <v>1236</v>
      </c>
      <c r="D215" s="14" t="inlineStr">
        <is>
          <t>ESCOLA MUNICIPAL JOÃO RIBEIRO LOPES</t>
        </is>
      </c>
      <c r="E215" s="14" t="inlineStr">
        <is>
          <t>POVOADO FORTALEZA</t>
        </is>
      </c>
      <c r="F215" s="14" t="inlineStr">
        <is>
          <t>POVOADO FORTALEZA - ZONA RURAL</t>
        </is>
      </c>
      <c r="G215" s="27" t="inlineStr">
        <is>
          <t>47600-000</t>
        </is>
      </c>
      <c r="H215" s="15" t="n">
        <v>1</v>
      </c>
      <c r="I215" s="28" t="inlineStr">
        <is>
          <t>NÃO</t>
        </is>
      </c>
      <c r="J215" s="29" t="n"/>
      <c r="K215" s="14" t="str">
        <f>IF(J215="","7. Acima de 2 km",IF(J215&lt;=50,"1. Até 50 m",IF(J215&lt;=100,"2. De 50 a 100 m",IF(J215&lt;=200,"3. De 100 a 200 m",IF(J215&lt;=300,"4. De 200 a 300 m",IF(J215&lt;=500,"5. De 300 a 500 m","6. De 500 m a 2 km"))))))</f>
        <v>7. Acima de 2 km</v>
      </c>
      <c r="L215" s="26" t="n">
        <v>0</v>
      </c>
      <c r="M215" s="26" t="n">
        <v>0</v>
      </c>
      <c r="N215" s="26" t="n">
        <v>0</v>
      </c>
      <c r="O215" s="26" t="n">
        <v>0</v>
      </c>
      <c r="P215" s="30" t="n">
        <v>-12.8372262</v>
      </c>
      <c r="Q215" s="30" t="n">
        <v>-43.3376544</v>
      </c>
      <c r="R215" s="14" t="inlineStr">
        <is>
          <t>CARTÓRIO ELEITORAL - RUA GERALDO LISBOA, 521, BAIRRO SÃO JOÃO, BOM JESUS DA LAPA/BAHIA</t>
        </is>
      </c>
      <c r="S215" s="26">
        <f>IF(A215=A214,0,1)</f>
        <v>0</v>
      </c>
      <c r="T215" s="26">
        <f>IF(COUNTIF($B$4:B215,B215)=1,1,0)</f>
        <v>0</v>
      </c>
    </row>
    <row r="216">
      <c r="A216" s="14" t="inlineStr">
        <is>
          <t>BOM JESUS DA LAPA</t>
        </is>
      </c>
      <c r="B216" s="26" t="n">
        <v>71</v>
      </c>
      <c r="C216" s="26" t="n">
        <v>1260</v>
      </c>
      <c r="D216" s="14" t="inlineStr">
        <is>
          <t>ESCOLA MUNICIPAL SAGRADA FAMÍLIA</t>
        </is>
      </c>
      <c r="E216" s="14" t="inlineStr">
        <is>
          <t>POVOADO FAVELÂNDIA</t>
        </is>
      </c>
      <c r="F216" s="14" t="inlineStr">
        <is>
          <t>POVOADO FAVELÂNDIA - ZONA RURAL</t>
        </is>
      </c>
      <c r="G216" s="27" t="inlineStr">
        <is>
          <t>47600-000</t>
        </is>
      </c>
      <c r="H216" s="15" t="n">
        <v>9</v>
      </c>
      <c r="I216" s="28" t="inlineStr">
        <is>
          <t>NÃO</t>
        </is>
      </c>
      <c r="J216" s="29" t="n"/>
      <c r="K216" s="14" t="str">
        <f>IF(J216="","7. Acima de 2 km",IF(J216&lt;=50,"1. Até 50 m",IF(J216&lt;=100,"2. De 50 a 100 m",IF(J216&lt;=200,"3. De 100 a 200 m",IF(J216&lt;=300,"4. De 200 a 300 m",IF(J216&lt;=500,"5. De 300 a 500 m","6. De 500 m a 2 km"))))))</f>
        <v>7. Acima de 2 km</v>
      </c>
      <c r="L216" s="26" t="n">
        <v>0</v>
      </c>
      <c r="M216" s="26" t="n">
        <v>0</v>
      </c>
      <c r="N216" s="26" t="n">
        <v>0</v>
      </c>
      <c r="O216" s="26" t="n">
        <v>0</v>
      </c>
      <c r="P216" s="30" t="n">
        <v>-13.2896553</v>
      </c>
      <c r="Q216" s="30" t="n">
        <v>-42.9530341</v>
      </c>
      <c r="R216" s="14" t="inlineStr">
        <is>
          <t>CARTÓRIO ELEITORAL - RUA GERALDO LISBOA, 521, BAIRRO SÃO JOÃO, BOM JESUS DA LAPA/BAHIA</t>
        </is>
      </c>
      <c r="S216" s="26">
        <f>IF(A216=A215,0,1)</f>
        <v>0</v>
      </c>
      <c r="T216" s="26">
        <f>IF(COUNTIF($B$4:B216,B216)=1,1,0)</f>
        <v>0</v>
      </c>
    </row>
    <row r="217">
      <c r="A217" s="14" t="inlineStr">
        <is>
          <t>BOM JESUS DA LAPA</t>
        </is>
      </c>
      <c r="B217" s="26" t="n">
        <v>71</v>
      </c>
      <c r="C217" s="26" t="n">
        <v>1287</v>
      </c>
      <c r="D217" s="14" t="inlineStr">
        <is>
          <t>ESCOLA MUNICIPAL QUILOMBO EMILIANO JOAQUIM VILAÇA</t>
        </is>
      </c>
      <c r="E217" s="14" t="inlineStr">
        <is>
          <t>POVOADO BRASILEIRA</t>
        </is>
      </c>
      <c r="F217" s="14" t="inlineStr">
        <is>
          <t>POVOADO BRASILEIRA - ZONA RURAL</t>
        </is>
      </c>
      <c r="G217" s="27" t="inlineStr">
        <is>
          <t>47600-000</t>
        </is>
      </c>
      <c r="H217" s="15" t="n">
        <v>3</v>
      </c>
      <c r="I217" s="28" t="inlineStr">
        <is>
          <t>NÃO</t>
        </is>
      </c>
      <c r="J217" s="29" t="n"/>
      <c r="K217" s="14" t="str">
        <f>IF(J217="","7. Acima de 2 km",IF(J217&lt;=50,"1. Até 50 m",IF(J217&lt;=100,"2. De 50 a 100 m",IF(J217&lt;=200,"3. De 100 a 200 m",IF(J217&lt;=300,"4. De 200 a 300 m",IF(J217&lt;=500,"5. De 300 a 500 m","6. De 500 m a 2 km"))))))</f>
        <v>7. Acima de 2 km</v>
      </c>
      <c r="L217" s="26" t="n">
        <v>0</v>
      </c>
      <c r="M217" s="26" t="n">
        <v>0</v>
      </c>
      <c r="N217" s="26" t="n">
        <v>0</v>
      </c>
      <c r="O217" s="26" t="n">
        <v>0</v>
      </c>
      <c r="P217" s="30" t="n">
        <v>-13.7259108</v>
      </c>
      <c r="Q217" s="30" t="n">
        <v>-43.4946275</v>
      </c>
      <c r="R217" s="14" t="inlineStr">
        <is>
          <t>CARTÓRIO ELEITORAL - RUA GERALDO LISBOA, 521, BAIRRO SÃO JOÃO, BOM JESUS DA LAPA/BAHIA</t>
        </is>
      </c>
      <c r="S217" s="26">
        <f>IF(A217=A216,0,1)</f>
        <v>0</v>
      </c>
      <c r="T217" s="26">
        <f>IF(COUNTIF($B$4:B217,B217)=1,1,0)</f>
        <v>0</v>
      </c>
    </row>
    <row r="218">
      <c r="A218" s="14" t="inlineStr">
        <is>
          <t>BOM JESUS DA LAPA</t>
        </is>
      </c>
      <c r="B218" s="26" t="n">
        <v>71</v>
      </c>
      <c r="C218" s="26" t="n">
        <v>1309</v>
      </c>
      <c r="D218" s="14" t="inlineStr">
        <is>
          <t>ESCOLA MUNICIPAL ELGINO NUNES DE SOUZA</t>
        </is>
      </c>
      <c r="E218" s="14" t="inlineStr">
        <is>
          <t>POVOADO RIO DAS RÃS</t>
        </is>
      </c>
      <c r="F218" s="14" t="inlineStr">
        <is>
          <t>POVOADO RIO DAS RÃS - ZONA RURAL</t>
        </is>
      </c>
      <c r="G218" s="27" t="inlineStr">
        <is>
          <t>47600-000</t>
        </is>
      </c>
      <c r="H218" s="15" t="n">
        <v>2</v>
      </c>
      <c r="I218" s="28" t="inlineStr">
        <is>
          <t>NÃO</t>
        </is>
      </c>
      <c r="J218" s="29" t="n"/>
      <c r="K218" s="14" t="str">
        <f>IF(J218="","7. Acima de 2 km",IF(J218&lt;=50,"1. Até 50 m",IF(J218&lt;=100,"2. De 50 a 100 m",IF(J218&lt;=200,"3. De 100 a 200 m",IF(J218&lt;=300,"4. De 200 a 300 m",IF(J218&lt;=500,"5. De 300 a 500 m","6. De 500 m a 2 km"))))))</f>
        <v>7. Acima de 2 km</v>
      </c>
      <c r="L218" s="26" t="n">
        <v>0</v>
      </c>
      <c r="M218" s="26" t="n">
        <v>0</v>
      </c>
      <c r="N218" s="26" t="n">
        <v>0</v>
      </c>
      <c r="O218" s="26" t="n">
        <v>0</v>
      </c>
      <c r="P218" s="30" t="n">
        <v>-13.7492497</v>
      </c>
      <c r="Q218" s="30" t="n">
        <v>-43.4990175</v>
      </c>
      <c r="R218" s="14" t="inlineStr">
        <is>
          <t>CARTÓRIO ELEITORAL - RUA GERALDO LISBOA, 521, BAIRRO SÃO JOÃO, BOM JESUS DA LAPA/BAHIA</t>
        </is>
      </c>
      <c r="S218" s="26">
        <f>IF(A218=A217,0,1)</f>
        <v>0</v>
      </c>
      <c r="T218" s="26">
        <f>IF(COUNTIF($B$4:B218,B218)=1,1,0)</f>
        <v>0</v>
      </c>
    </row>
    <row r="219">
      <c r="A219" s="14" t="inlineStr">
        <is>
          <t>BOM JESUS DA LAPA</t>
        </is>
      </c>
      <c r="B219" s="26" t="n">
        <v>71</v>
      </c>
      <c r="C219" s="26" t="n">
        <v>1317</v>
      </c>
      <c r="D219" s="14" t="inlineStr">
        <is>
          <t>ESCOLA MUNICIPAL LINO SOARES</t>
        </is>
      </c>
      <c r="E219" s="14" t="inlineStr">
        <is>
          <t>POVOADO CURRAL DAS VÁRZEAS</t>
        </is>
      </c>
      <c r="F219" s="14" t="inlineStr">
        <is>
          <t>POVOADO CURRAL DAS VÁRZEAS - ZONA RURAL</t>
        </is>
      </c>
      <c r="G219" s="27" t="inlineStr">
        <is>
          <t>47600-000</t>
        </is>
      </c>
      <c r="H219" s="15" t="n">
        <v>3</v>
      </c>
      <c r="I219" s="28" t="inlineStr">
        <is>
          <t>NÃO</t>
        </is>
      </c>
      <c r="J219" s="29" t="n"/>
      <c r="K219" s="14" t="str">
        <f>IF(J219="","7. Acima de 2 km",IF(J219&lt;=50,"1. Até 50 m",IF(J219&lt;=100,"2. De 50 a 100 m",IF(J219&lt;=200,"3. De 100 a 200 m",IF(J219&lt;=300,"4. De 200 a 300 m",IF(J219&lt;=500,"5. De 300 a 500 m","6. De 500 m a 2 km"))))))</f>
        <v>7. Acima de 2 km</v>
      </c>
      <c r="L219" s="26" t="n">
        <v>0</v>
      </c>
      <c r="M219" s="26" t="n">
        <v>0</v>
      </c>
      <c r="N219" s="26" t="n">
        <v>0</v>
      </c>
      <c r="O219" s="26" t="n">
        <v>0</v>
      </c>
      <c r="P219" s="30" t="n">
        <v>-13.5366433</v>
      </c>
      <c r="Q219" s="30" t="n">
        <v>-43.3258616</v>
      </c>
      <c r="R219" s="14" t="inlineStr">
        <is>
          <t>CARTÓRIO ELEITORAL - RUA GERALDO LISBOA, 521, BAIRRO SÃO JOÃO, BOM JESUS DA LAPA/BAHIA</t>
        </is>
      </c>
      <c r="S219" s="26">
        <f>IF(A219=A218,0,1)</f>
        <v>0</v>
      </c>
      <c r="T219" s="26">
        <f>IF(COUNTIF($B$4:B219,B219)=1,1,0)</f>
        <v>0</v>
      </c>
    </row>
    <row r="220">
      <c r="A220" s="14" t="inlineStr">
        <is>
          <t>BOM JESUS DA LAPA</t>
        </is>
      </c>
      <c r="B220" s="26" t="n">
        <v>71</v>
      </c>
      <c r="C220" s="26" t="n">
        <v>1325</v>
      </c>
      <c r="D220" s="14" t="inlineStr">
        <is>
          <t>ESCOLA MUNICIPAL FORMOSO A</t>
        </is>
      </c>
      <c r="E220" s="14" t="inlineStr">
        <is>
          <t>SETOR 33</t>
        </is>
      </c>
      <c r="F220" s="14" t="inlineStr">
        <is>
          <t>PROJETO DE IRRIGAÇÃO FORMOSO A - ZONA RURAL</t>
        </is>
      </c>
      <c r="G220" s="27" t="inlineStr">
        <is>
          <t>47600-000</t>
        </is>
      </c>
      <c r="H220" s="15" t="n">
        <v>6</v>
      </c>
      <c r="I220" s="28" t="inlineStr">
        <is>
          <t>NÃO</t>
        </is>
      </c>
      <c r="J220" s="29" t="n"/>
      <c r="K220" s="14" t="str">
        <f>IF(J220="","7. Acima de 2 km",IF(J220&lt;=50,"1. Até 50 m",IF(J220&lt;=100,"2. De 50 a 100 m",IF(J220&lt;=200,"3. De 100 a 200 m",IF(J220&lt;=300,"4. De 200 a 300 m",IF(J220&lt;=500,"5. De 300 a 500 m","6. De 500 m a 2 km"))))))</f>
        <v>7. Acima de 2 km</v>
      </c>
      <c r="L220" s="26" t="n">
        <v>0</v>
      </c>
      <c r="M220" s="26" t="n">
        <v>0</v>
      </c>
      <c r="N220" s="26" t="n">
        <v>0</v>
      </c>
      <c r="O220" s="26" t="n">
        <v>0</v>
      </c>
      <c r="P220" s="30" t="n">
        <v>-13.2443264</v>
      </c>
      <c r="Q220" s="30" t="n">
        <v>-43.6540399</v>
      </c>
      <c r="R220" s="14" t="inlineStr">
        <is>
          <t>CARTÓRIO ELEITORAL - RUA GERALDO LISBOA, 521, BAIRRO SÃO JOÃO, BOM JESUS DA LAPA/BAHIA</t>
        </is>
      </c>
      <c r="S220" s="26">
        <f>IF(A220=A219,0,1)</f>
        <v>0</v>
      </c>
      <c r="T220" s="26">
        <f>IF(COUNTIF($B$4:B220,B220)=1,1,0)</f>
        <v>0</v>
      </c>
    </row>
    <row r="221">
      <c r="A221" s="14" t="inlineStr">
        <is>
          <t>BOM JESUS DA LAPA</t>
        </is>
      </c>
      <c r="B221" s="26" t="n">
        <v>71</v>
      </c>
      <c r="C221" s="26" t="n">
        <v>1333</v>
      </c>
      <c r="D221" s="14" t="inlineStr">
        <is>
          <t>ESCOLA MUNICIPAL IZIDÓRIO BATISTA DA SILVA</t>
        </is>
      </c>
      <c r="E221" s="14" t="inlineStr">
        <is>
          <t>POVOADO MOSSORONGO</t>
        </is>
      </c>
      <c r="F221" s="14" t="inlineStr">
        <is>
          <t>POVOADO MOSSORONGO - ZONA RURAL</t>
        </is>
      </c>
      <c r="G221" s="27" t="inlineStr">
        <is>
          <t>47600-000</t>
        </is>
      </c>
      <c r="H221" s="15" t="n">
        <v>1</v>
      </c>
      <c r="I221" s="28" t="inlineStr">
        <is>
          <t>NÃO</t>
        </is>
      </c>
      <c r="J221" s="29" t="n"/>
      <c r="K221" s="14" t="str">
        <f>IF(J221="","7. Acima de 2 km",IF(J221&lt;=50,"1. Até 50 m",IF(J221&lt;=100,"2. De 50 a 100 m",IF(J221&lt;=200,"3. De 100 a 200 m",IF(J221&lt;=300,"4. De 200 a 300 m",IF(J221&lt;=500,"5. De 300 a 500 m","6. De 500 m a 2 km"))))))</f>
        <v>7. Acima de 2 km</v>
      </c>
      <c r="L221" s="26" t="n">
        <v>0</v>
      </c>
      <c r="M221" s="26" t="n">
        <v>0</v>
      </c>
      <c r="N221" s="26" t="n">
        <v>0</v>
      </c>
      <c r="O221" s="26" t="n">
        <v>0</v>
      </c>
      <c r="P221" s="30" t="n">
        <v>-13.2700077</v>
      </c>
      <c r="Q221" s="30" t="n">
        <v>-43.1304883</v>
      </c>
      <c r="R221" s="14" t="inlineStr">
        <is>
          <t>CARTÓRIO ELEITORAL - RUA GERALDO LISBOA, 521, BAIRRO SÃO JOÃO, BOM JESUS DA LAPA/BAHIA</t>
        </is>
      </c>
      <c r="S221" s="26">
        <f>IF(A221=A220,0,1)</f>
        <v>0</v>
      </c>
      <c r="T221" s="26">
        <f>IF(COUNTIF($B$4:B221,B221)=1,1,0)</f>
        <v>0</v>
      </c>
    </row>
    <row r="222">
      <c r="A222" s="14" t="inlineStr">
        <is>
          <t>BOM JESUS DA LAPA</t>
        </is>
      </c>
      <c r="B222" s="26" t="n">
        <v>71</v>
      </c>
      <c r="C222" s="26" t="n">
        <v>1538</v>
      </c>
      <c r="D222" s="14" t="inlineStr">
        <is>
          <t>ESCOLA MUNICIPAL OTACÍLIO JOSÉ DAS NEVES</t>
        </is>
      </c>
      <c r="E222" s="14" t="inlineStr">
        <is>
          <t>DISTRITO LAGOA DE PEDRA</t>
        </is>
      </c>
      <c r="F222" s="14" t="inlineStr">
        <is>
          <t>DISTRITO LAGOA DE PEDRA - ZONA RURAL</t>
        </is>
      </c>
      <c r="G222" s="27" t="inlineStr">
        <is>
          <t>47600-000</t>
        </is>
      </c>
      <c r="H222" s="15" t="n">
        <v>2</v>
      </c>
      <c r="I222" s="28" t="inlineStr">
        <is>
          <t>NÃO</t>
        </is>
      </c>
      <c r="J222" s="29" t="n"/>
      <c r="K222" s="14" t="str">
        <f>IF(J222="","7. Acima de 2 km",IF(J222&lt;=50,"1. Até 50 m",IF(J222&lt;=100,"2. De 50 a 100 m",IF(J222&lt;=200,"3. De 100 a 200 m",IF(J222&lt;=300,"4. De 200 a 300 m",IF(J222&lt;=500,"5. De 300 a 500 m","6. De 500 m a 2 km"))))))</f>
        <v>7. Acima de 2 km</v>
      </c>
      <c r="L222" s="26" t="n">
        <v>0</v>
      </c>
      <c r="M222" s="26" t="n">
        <v>0</v>
      </c>
      <c r="N222" s="26" t="n">
        <v>0</v>
      </c>
      <c r="O222" s="26" t="n">
        <v>0</v>
      </c>
      <c r="P222" s="30" t="n">
        <v>-13.4524067</v>
      </c>
      <c r="Q222" s="30" t="n">
        <v>-43.1771829</v>
      </c>
      <c r="R222" s="14" t="inlineStr">
        <is>
          <t>CARTÓRIO ELEITORAL - RUA GERALDO LISBOA, 521, BAIRRO SÃO JOÃO, BOM JESUS DA LAPA/BAHIA</t>
        </is>
      </c>
      <c r="S222" s="26">
        <f>IF(A222=A221,0,1)</f>
        <v>0</v>
      </c>
      <c r="T222" s="26">
        <f>IF(COUNTIF($B$4:B222,B222)=1,1,0)</f>
        <v>0</v>
      </c>
    </row>
    <row r="223">
      <c r="A223" s="14" t="inlineStr">
        <is>
          <t>BOM JESUS DA LAPA</t>
        </is>
      </c>
      <c r="B223" s="26" t="n">
        <v>71</v>
      </c>
      <c r="C223" s="26" t="n">
        <v>1554</v>
      </c>
      <c r="D223" s="14" t="inlineStr">
        <is>
          <t>ESCOLA MUNICIPAL FRANCISCO JOSÉ DA COSTA</t>
        </is>
      </c>
      <c r="E223" s="14" t="inlineStr">
        <is>
          <t>POVOADO TANQUE NOVO</t>
        </is>
      </c>
      <c r="F223" s="14" t="inlineStr">
        <is>
          <t>POVOADO TANQUE NOVO - ZONA RURAL</t>
        </is>
      </c>
      <c r="G223" s="27" t="inlineStr">
        <is>
          <t>47600-000</t>
        </is>
      </c>
      <c r="H223" s="15" t="n">
        <v>1</v>
      </c>
      <c r="I223" s="28" t="inlineStr">
        <is>
          <t>NÃO</t>
        </is>
      </c>
      <c r="J223" s="29" t="n"/>
      <c r="K223" s="14" t="str">
        <f>IF(J223="","7. Acima de 2 km",IF(J223&lt;=50,"1. Até 50 m",IF(J223&lt;=100,"2. De 50 a 100 m",IF(J223&lt;=200,"3. De 100 a 200 m",IF(J223&lt;=300,"4. De 200 a 300 m",IF(J223&lt;=500,"5. De 300 a 500 m","6. De 500 m a 2 km"))))))</f>
        <v>7. Acima de 2 km</v>
      </c>
      <c r="L223" s="26" t="n">
        <v>0</v>
      </c>
      <c r="M223" s="26" t="n">
        <v>0</v>
      </c>
      <c r="N223" s="26" t="n">
        <v>0</v>
      </c>
      <c r="O223" s="26" t="n">
        <v>0</v>
      </c>
      <c r="P223" s="30" t="n">
        <v>-13.327011</v>
      </c>
      <c r="Q223" s="30" t="n">
        <v>-43.056078</v>
      </c>
      <c r="R223" s="14" t="inlineStr">
        <is>
          <t>CARTÓRIO ELEITORAL - RUA GERALDO LISBOA, 521, BAIRRO SÃO JOÃO, BOM JESUS DA LAPA/BAHIA</t>
        </is>
      </c>
      <c r="S223" s="26">
        <f>IF(A223=A222,0,1)</f>
        <v>0</v>
      </c>
      <c r="T223" s="26">
        <f>IF(COUNTIF($B$4:B223,B223)=1,1,0)</f>
        <v>0</v>
      </c>
    </row>
    <row r="224">
      <c r="A224" s="14" t="inlineStr">
        <is>
          <t>BOM JESUS DA LAPA</t>
        </is>
      </c>
      <c r="B224" s="26" t="n">
        <v>71</v>
      </c>
      <c r="C224" s="26" t="n">
        <v>1562</v>
      </c>
      <c r="D224" s="14" t="inlineStr">
        <is>
          <t>ESCOLA MUNICIPAL JOSÉ BATISTA DE SOUZA</t>
        </is>
      </c>
      <c r="E224" s="14" t="inlineStr">
        <is>
          <t>POVOADO CHAPADA GRANDE</t>
        </is>
      </c>
      <c r="F224" s="14" t="inlineStr">
        <is>
          <t>POVOADO CHAPADA GRANDE - ZONA RURAL</t>
        </is>
      </c>
      <c r="G224" s="27" t="inlineStr">
        <is>
          <t>47600-000</t>
        </is>
      </c>
      <c r="H224" s="15" t="n">
        <v>2</v>
      </c>
      <c r="I224" s="28" t="inlineStr">
        <is>
          <t>NÃO</t>
        </is>
      </c>
      <c r="J224" s="29" t="n"/>
      <c r="K224" s="14" t="str">
        <f>IF(J224="","7. Acima de 2 km",IF(J224&lt;=50,"1. Até 50 m",IF(J224&lt;=100,"2. De 50 a 100 m",IF(J224&lt;=200,"3. De 100 a 200 m",IF(J224&lt;=300,"4. De 200 a 300 m",IF(J224&lt;=500,"5. De 300 a 500 m","6. De 500 m a 2 km"))))))</f>
        <v>7. Acima de 2 km</v>
      </c>
      <c r="L224" s="26" t="n">
        <v>0</v>
      </c>
      <c r="M224" s="26" t="n">
        <v>0</v>
      </c>
      <c r="N224" s="26" t="n">
        <v>0</v>
      </c>
      <c r="O224" s="26" t="n">
        <v>0</v>
      </c>
      <c r="P224" s="30" t="n">
        <v>-13.3358201</v>
      </c>
      <c r="Q224" s="30" t="n">
        <v>-43.1357285</v>
      </c>
      <c r="R224" s="14" t="inlineStr">
        <is>
          <t>CARTÓRIO ELEITORAL - RUA GERALDO LISBOA, 521, BAIRRO SÃO JOÃO, BOM JESUS DA LAPA/BAHIA</t>
        </is>
      </c>
      <c r="S224" s="26">
        <f>IF(A224=A223,0,1)</f>
        <v>0</v>
      </c>
      <c r="T224" s="26">
        <f>IF(COUNTIF($B$4:B224,B224)=1,1,0)</f>
        <v>0</v>
      </c>
    </row>
    <row r="225">
      <c r="A225" s="14" t="inlineStr">
        <is>
          <t>BOM JESUS DA LAPA</t>
        </is>
      </c>
      <c r="B225" s="26" t="n">
        <v>71</v>
      </c>
      <c r="C225" s="26" t="n">
        <v>1570</v>
      </c>
      <c r="D225" s="14" t="inlineStr">
        <is>
          <t>CENTRO COMUNITÁRIO JUAZEIRO</t>
        </is>
      </c>
      <c r="E225" s="14" t="inlineStr">
        <is>
          <t>POVOADO JUAZEIRO</t>
        </is>
      </c>
      <c r="F225" s="14" t="inlineStr">
        <is>
          <t>POVOADO JUAZEIRO - ZONA RURAL</t>
        </is>
      </c>
      <c r="G225" s="27" t="inlineStr">
        <is>
          <t>47600-000</t>
        </is>
      </c>
      <c r="H225" s="15" t="n">
        <v>1</v>
      </c>
      <c r="I225" s="28" t="inlineStr">
        <is>
          <t>NÃO</t>
        </is>
      </c>
      <c r="J225" s="29" t="n"/>
      <c r="K225" s="14" t="str">
        <f>IF(J225="","7. Acima de 2 km",IF(J225&lt;=50,"1. Até 50 m",IF(J225&lt;=100,"2. De 50 a 100 m",IF(J225&lt;=200,"3. De 100 a 200 m",IF(J225&lt;=300,"4. De 200 a 300 m",IF(J225&lt;=500,"5. De 300 a 500 m","6. De 500 m a 2 km"))))))</f>
        <v>7. Acima de 2 km</v>
      </c>
      <c r="L225" s="26" t="n">
        <v>0</v>
      </c>
      <c r="M225" s="26" t="n">
        <v>0</v>
      </c>
      <c r="N225" s="26" t="n">
        <v>0</v>
      </c>
      <c r="O225" s="26" t="n">
        <v>0</v>
      </c>
      <c r="P225" s="30" t="n">
        <v>-13.191638</v>
      </c>
      <c r="Q225" s="30" t="n">
        <v>-42.9469525</v>
      </c>
      <c r="R225" s="14" t="inlineStr">
        <is>
          <t>CARTÓRIO ELEITORAL - RUA GERALDO LISBOA, 521, BAIRRO SÃO JOÃO, BOM JESUS DA LAPA/BAHIA</t>
        </is>
      </c>
      <c r="S225" s="26">
        <f>IF(A225=A224,0,1)</f>
        <v>0</v>
      </c>
      <c r="T225" s="26">
        <f>IF(COUNTIF($B$4:B225,B225)=1,1,0)</f>
        <v>0</v>
      </c>
    </row>
    <row r="226">
      <c r="A226" s="14" t="inlineStr">
        <is>
          <t>BOM JESUS DA LAPA</t>
        </is>
      </c>
      <c r="B226" s="26" t="n">
        <v>71</v>
      </c>
      <c r="C226" s="26" t="n">
        <v>1589</v>
      </c>
      <c r="D226" s="14" t="inlineStr">
        <is>
          <t>ESCOLA MUNICIPAL LEOBINO FAVELA</t>
        </is>
      </c>
      <c r="E226" s="14" t="inlineStr">
        <is>
          <t>POVOADO SILVESTRE</t>
        </is>
      </c>
      <c r="F226" s="14" t="inlineStr">
        <is>
          <t>POVOADO SILVESTRE - ZONA RURAL</t>
        </is>
      </c>
      <c r="G226" s="27" t="inlineStr">
        <is>
          <t>47600-000</t>
        </is>
      </c>
      <c r="H226" s="15" t="n">
        <v>2</v>
      </c>
      <c r="I226" s="28" t="inlineStr">
        <is>
          <t>NÃO</t>
        </is>
      </c>
      <c r="J226" s="29" t="n"/>
      <c r="K226" s="14" t="str">
        <f>IF(J226="","7. Acima de 2 km",IF(J226&lt;=50,"1. Até 50 m",IF(J226&lt;=100,"2. De 50 a 100 m",IF(J226&lt;=200,"3. De 100 a 200 m",IF(J226&lt;=300,"4. De 200 a 300 m",IF(J226&lt;=500,"5. De 300 a 500 m","6. De 500 m a 2 km"))))))</f>
        <v>7. Acima de 2 km</v>
      </c>
      <c r="L226" s="26" t="n">
        <v>0</v>
      </c>
      <c r="M226" s="26" t="n">
        <v>0</v>
      </c>
      <c r="N226" s="26" t="n">
        <v>0</v>
      </c>
      <c r="O226" s="26" t="n">
        <v>0</v>
      </c>
      <c r="P226" s="30" t="n">
        <v>-13.0933182</v>
      </c>
      <c r="Q226" s="30" t="n">
        <v>-43.0180451</v>
      </c>
      <c r="R226" s="14" t="inlineStr">
        <is>
          <t>CARTÓRIO ELEITORAL - RUA GERALDO LISBOA, 521, BAIRRO SÃO JOÃO, BOM JESUS DA LAPA/BAHIA</t>
        </is>
      </c>
      <c r="S226" s="26">
        <f>IF(A226=A225,0,1)</f>
        <v>0</v>
      </c>
      <c r="T226" s="26">
        <f>IF(COUNTIF($B$4:B226,B226)=1,1,0)</f>
        <v>0</v>
      </c>
    </row>
    <row r="227">
      <c r="A227" s="14" t="inlineStr">
        <is>
          <t>BOM JESUS DA LAPA</t>
        </is>
      </c>
      <c r="B227" s="26" t="n">
        <v>71</v>
      </c>
      <c r="C227" s="26" t="n">
        <v>1597</v>
      </c>
      <c r="D227" s="14" t="inlineStr">
        <is>
          <t>ESCOLA MUNICIPAL SENHORINHO BARBOSA DOS SANTOS</t>
        </is>
      </c>
      <c r="E227" s="14" t="inlineStr">
        <is>
          <t>DISTRITO SEDE</t>
        </is>
      </c>
      <c r="F227" s="14" t="inlineStr">
        <is>
          <t>POVOADO CARAÍBAS - ZONA RURAL</t>
        </is>
      </c>
      <c r="G227" s="27" t="inlineStr">
        <is>
          <t>47600-000</t>
        </is>
      </c>
      <c r="H227" s="15" t="n">
        <v>5</v>
      </c>
      <c r="I227" s="28" t="inlineStr">
        <is>
          <t>NÃO</t>
        </is>
      </c>
      <c r="J227" s="29" t="n"/>
      <c r="K227" s="14" t="str">
        <f>IF(J227="","7. Acima de 2 km",IF(J227&lt;=50,"1. Até 50 m",IF(J227&lt;=100,"2. De 50 a 100 m",IF(J227&lt;=200,"3. De 100 a 200 m",IF(J227&lt;=300,"4. De 200 a 300 m",IF(J227&lt;=500,"5. De 300 a 500 m","6. De 500 m a 2 km"))))))</f>
        <v>7. Acima de 2 km</v>
      </c>
      <c r="L227" s="26" t="n">
        <v>0</v>
      </c>
      <c r="M227" s="26" t="n">
        <v>0</v>
      </c>
      <c r="N227" s="26" t="n">
        <v>0</v>
      </c>
      <c r="O227" s="26" t="n">
        <v>0</v>
      </c>
      <c r="P227" s="30" t="n">
        <v>-13.1675461</v>
      </c>
      <c r="Q227" s="30" t="n">
        <v>-42.9946674</v>
      </c>
      <c r="R227" s="14" t="inlineStr">
        <is>
          <t>CARTÓRIO ELEITORAL - RUA GERALDO LISBOA, 521, BAIRRO SÃO JOÃO, BOM JESUS DA LAPA/BAHIA</t>
        </is>
      </c>
      <c r="S227" s="26">
        <f>IF(A227=A226,0,1)</f>
        <v>0</v>
      </c>
      <c r="T227" s="26">
        <f>IF(COUNTIF($B$4:B227,B227)=1,1,0)</f>
        <v>0</v>
      </c>
    </row>
    <row r="228">
      <c r="A228" s="14" t="inlineStr">
        <is>
          <t>BOM JESUS DA LAPA</t>
        </is>
      </c>
      <c r="B228" s="26" t="n">
        <v>71</v>
      </c>
      <c r="C228" s="26" t="n">
        <v>1600</v>
      </c>
      <c r="D228" s="14" t="inlineStr">
        <is>
          <t>ESCOLA MUNICIPALIZADA PADRE FRANCISCO DA SOLEDADE</t>
        </is>
      </c>
      <c r="E228" s="14" t="inlineStr">
        <is>
          <t>BEIRA RIO</t>
        </is>
      </c>
      <c r="F228" s="14" t="inlineStr">
        <is>
          <t>AV. MANOEL NOVAIS, S/N - ZONA URBANA</t>
        </is>
      </c>
      <c r="G228" s="27" t="inlineStr">
        <is>
          <t>47600-000</t>
        </is>
      </c>
      <c r="H228" s="15" t="n">
        <v>6</v>
      </c>
      <c r="I228" s="28" t="inlineStr">
        <is>
          <t>NÃO</t>
        </is>
      </c>
      <c r="J228" s="29" t="n">
        <v>210.3</v>
      </c>
      <c r="K228" s="14" t="str">
        <f>IF(J228="","7. Acima de 2 km",IF(J228&lt;=50,"1. Até 50 m",IF(J228&lt;=100,"2. De 50 a 100 m",IF(J228&lt;=200,"3. De 100 a 200 m",IF(J228&lt;=300,"4. De 200 a 300 m",IF(J228&lt;=500,"5. De 300 a 500 m","6. De 500 m a 2 km"))))))</f>
        <v>4. De 200 a 300 m</v>
      </c>
      <c r="L228" s="26" t="n">
        <v>0</v>
      </c>
      <c r="M228" s="26" t="n">
        <v>0</v>
      </c>
      <c r="N228" s="26" t="n">
        <v>0</v>
      </c>
      <c r="O228" s="26" t="n">
        <v>1</v>
      </c>
      <c r="P228" s="30" t="n">
        <v>-13.2517269</v>
      </c>
      <c r="Q228" s="30" t="n">
        <v>-43.4227628</v>
      </c>
      <c r="R228" s="14" t="inlineStr">
        <is>
          <t>CARTÓRIO ELEITORAL - RUA GERALDO LISBOA, 521, BAIRRO SÃO JOÃO, BOM JESUS DA LAPA/BAHIA</t>
        </is>
      </c>
      <c r="S228" s="26">
        <f>IF(A228=A227,0,1)</f>
        <v>0</v>
      </c>
      <c r="T228" s="26">
        <f>IF(COUNTIF($B$4:B228,B228)=1,1,0)</f>
        <v>0</v>
      </c>
    </row>
    <row r="229">
      <c r="A229" s="14" t="inlineStr">
        <is>
          <t>BOM JESUS DA LAPA</t>
        </is>
      </c>
      <c r="B229" s="26" t="n">
        <v>71</v>
      </c>
      <c r="C229" s="26" t="n">
        <v>1619</v>
      </c>
      <c r="D229" s="14" t="inlineStr">
        <is>
          <t>CENTRO DE EDUCAÇÃO INFANTIL KATIUSCIA</t>
        </is>
      </c>
      <c r="E229" s="14" t="inlineStr">
        <is>
          <t>JOÃO PAULO II</t>
        </is>
      </c>
      <c r="F229" s="14" t="inlineStr">
        <is>
          <t>RUA SANTA MARIA GORETE, S/N - ZONA URBANA</t>
        </is>
      </c>
      <c r="G229" s="27" t="inlineStr">
        <is>
          <t>47600-000</t>
        </is>
      </c>
      <c r="H229" s="15" t="n">
        <v>4</v>
      </c>
      <c r="I229" s="28" t="inlineStr">
        <is>
          <t>NÃO</t>
        </is>
      </c>
      <c r="J229" s="29" t="n">
        <v>189.1</v>
      </c>
      <c r="K229" s="14" t="str">
        <f>IF(J229="","7. Acima de 2 km",IF(J229&lt;=50,"1. Até 50 m",IF(J229&lt;=100,"2. De 50 a 100 m",IF(J229&lt;=200,"3. De 100 a 200 m",IF(J229&lt;=300,"4. De 200 a 300 m",IF(J229&lt;=500,"5. De 300 a 500 m","6. De 500 m a 2 km"))))))</f>
        <v>3. De 100 a 200 m</v>
      </c>
      <c r="L229" s="26" t="n">
        <v>0</v>
      </c>
      <c r="M229" s="26" t="n">
        <v>0</v>
      </c>
      <c r="N229" s="26" t="n">
        <v>1</v>
      </c>
      <c r="O229" s="26" t="n">
        <v>1</v>
      </c>
      <c r="P229" s="30" t="n">
        <v>-13.2445688</v>
      </c>
      <c r="Q229" s="30" t="n">
        <v>-43.4051999</v>
      </c>
      <c r="R229" s="14" t="inlineStr">
        <is>
          <t>CARTÓRIO ELEITORAL - RUA GERALDO LISBOA, 521, BAIRRO SÃO JOÃO, BOM JESUS DA LAPA/BAHIA</t>
        </is>
      </c>
      <c r="S229" s="26">
        <f>IF(A229=A228,0,1)</f>
        <v>0</v>
      </c>
      <c r="T229" s="26">
        <f>IF(COUNTIF($B$4:B229,B229)=1,1,0)</f>
        <v>0</v>
      </c>
    </row>
    <row r="230">
      <c r="A230" s="14" t="inlineStr">
        <is>
          <t>BOM JESUS DA LAPA</t>
        </is>
      </c>
      <c r="B230" s="26" t="n">
        <v>71</v>
      </c>
      <c r="C230" s="26" t="n">
        <v>1627</v>
      </c>
      <c r="D230" s="14" t="inlineStr">
        <is>
          <t>ESCOLA MUNICIPAL PROFESSORA EGERIA VALE BELO</t>
        </is>
      </c>
      <c r="E230" s="14" t="inlineStr">
        <is>
          <t>MAGALHÃES NETO</t>
        </is>
      </c>
      <c r="F230" s="14" t="inlineStr">
        <is>
          <t>CAMINHO 03 - ZONA URBANA</t>
        </is>
      </c>
      <c r="G230" s="27" t="inlineStr">
        <is>
          <t>47600-000</t>
        </is>
      </c>
      <c r="H230" s="15" t="n">
        <v>4</v>
      </c>
      <c r="I230" s="28" t="inlineStr">
        <is>
          <t>NÃO</t>
        </is>
      </c>
      <c r="J230" s="29" t="n">
        <v>284.5</v>
      </c>
      <c r="K230" s="14" t="str">
        <f>IF(J230="","7. Acima de 2 km",IF(J230&lt;=50,"1. Até 50 m",IF(J230&lt;=100,"2. De 50 a 100 m",IF(J230&lt;=200,"3. De 100 a 200 m",IF(J230&lt;=300,"4. De 200 a 300 m",IF(J230&lt;=500,"5. De 300 a 500 m","6. De 500 m a 2 km"))))))</f>
        <v>4. De 200 a 300 m</v>
      </c>
      <c r="L230" s="26" t="n">
        <v>0</v>
      </c>
      <c r="M230" s="26" t="n">
        <v>0</v>
      </c>
      <c r="N230" s="26" t="n">
        <v>0</v>
      </c>
      <c r="O230" s="26" t="n">
        <v>1</v>
      </c>
      <c r="P230" s="30" t="n">
        <v>-13.2473904</v>
      </c>
      <c r="Q230" s="30" t="n">
        <v>-43.4110737</v>
      </c>
      <c r="R230" s="14" t="inlineStr">
        <is>
          <t>CARTÓRIO ELEITORAL - RUA GERALDO LISBOA, 521, BAIRRO SÃO JOÃO, BOM JESUS DA LAPA/BAHIA</t>
        </is>
      </c>
      <c r="S230" s="26">
        <f>IF(A230=A229,0,1)</f>
        <v>0</v>
      </c>
      <c r="T230" s="26">
        <f>IF(COUNTIF($B$4:B230,B230)=1,1,0)</f>
        <v>0</v>
      </c>
    </row>
    <row r="231">
      <c r="A231" s="14" t="inlineStr">
        <is>
          <t>BOM JESUS DA LAPA</t>
        </is>
      </c>
      <c r="B231" s="26" t="n">
        <v>71</v>
      </c>
      <c r="C231" s="26" t="n">
        <v>1643</v>
      </c>
      <c r="D231" s="14" t="inlineStr">
        <is>
          <t>ESCOLA MUNICIPAL ANTONIO CARDOSO DOS SANTOS</t>
        </is>
      </c>
      <c r="E231" s="14" t="inlineStr">
        <is>
          <t>POVOADO PROJETO FORMOSO A</t>
        </is>
      </c>
      <c r="F231" s="14" t="inlineStr">
        <is>
          <t>VILA DO SETOR 04, S/N - ZONA RURAL</t>
        </is>
      </c>
      <c r="G231" s="27" t="inlineStr">
        <is>
          <t>47600-000</t>
        </is>
      </c>
      <c r="H231" s="15" t="n">
        <v>3</v>
      </c>
      <c r="I231" s="28" t="inlineStr">
        <is>
          <t>NÃO</t>
        </is>
      </c>
      <c r="J231" s="29" t="n"/>
      <c r="K231" s="14" t="str">
        <f>IF(J231="","7. Acima de 2 km",IF(J231&lt;=50,"1. Até 50 m",IF(J231&lt;=100,"2. De 50 a 100 m",IF(J231&lt;=200,"3. De 100 a 200 m",IF(J231&lt;=300,"4. De 200 a 300 m",IF(J231&lt;=500,"5. De 300 a 500 m","6. De 500 m a 2 km"))))))</f>
        <v>7. Acima de 2 km</v>
      </c>
      <c r="L231" s="26" t="n">
        <v>0</v>
      </c>
      <c r="M231" s="26" t="n">
        <v>0</v>
      </c>
      <c r="N231" s="26" t="n">
        <v>0</v>
      </c>
      <c r="O231" s="26" t="n">
        <v>0</v>
      </c>
      <c r="P231" s="30" t="n">
        <v>-13.2532879</v>
      </c>
      <c r="Q231" s="30" t="n">
        <v>-43.6322027</v>
      </c>
      <c r="R231" s="14" t="inlineStr">
        <is>
          <t>CARTÓRIO ELEITORAL - RUA GERALDO LISBOA, 521, BAIRRO SÃO JOÃO, BOM JESUS DA LAPA/BAHIA</t>
        </is>
      </c>
      <c r="S231" s="26">
        <f>IF(A231=A230,0,1)</f>
        <v>0</v>
      </c>
      <c r="T231" s="26">
        <f>IF(COUNTIF($B$4:B231,B231)=1,1,0)</f>
        <v>0</v>
      </c>
    </row>
    <row r="232">
      <c r="A232" s="14" t="inlineStr">
        <is>
          <t>BOM JESUS DA LAPA</t>
        </is>
      </c>
      <c r="B232" s="26" t="n">
        <v>71</v>
      </c>
      <c r="C232" s="26" t="n">
        <v>1651</v>
      </c>
      <c r="D232" s="14" t="inlineStr">
        <is>
          <t>ESCOLA MUNICIPAL NOSSA SENHORA APARECIDA</t>
        </is>
      </c>
      <c r="E232" s="14" t="inlineStr">
        <is>
          <t>LAGOA GRANDE</t>
        </is>
      </c>
      <c r="F232" s="14" t="inlineStr">
        <is>
          <t>RUA DR. GILVENCIO XAVIER, S/N - ZONA URBANA</t>
        </is>
      </c>
      <c r="G232" s="27" t="inlineStr">
        <is>
          <t>47600-000</t>
        </is>
      </c>
      <c r="H232" s="15" t="n">
        <v>6</v>
      </c>
      <c r="I232" s="28" t="inlineStr">
        <is>
          <t>NÃO</t>
        </is>
      </c>
      <c r="J232" s="29" t="n"/>
      <c r="K232" s="14" t="str">
        <f>IF(J232="","7. Acima de 2 km",IF(J232&lt;=50,"1. Até 50 m",IF(J232&lt;=100,"2. De 50 a 100 m",IF(J232&lt;=200,"3. De 100 a 200 m",IF(J232&lt;=300,"4. De 200 a 300 m",IF(J232&lt;=500,"5. De 300 a 500 m","6. De 500 m a 2 km"))))))</f>
        <v>7. Acima de 2 km</v>
      </c>
      <c r="L232" s="26" t="n">
        <v>0</v>
      </c>
      <c r="M232" s="26" t="n">
        <v>0</v>
      </c>
      <c r="N232" s="26" t="n">
        <v>0</v>
      </c>
      <c r="O232" s="26" t="n">
        <v>0</v>
      </c>
      <c r="P232" s="30" t="n">
        <v>-13.2733671</v>
      </c>
      <c r="Q232" s="30" t="n">
        <v>-43.4041094</v>
      </c>
      <c r="R232" s="14" t="inlineStr">
        <is>
          <t>CARTÓRIO ELEITORAL - RUA GERALDO LISBOA, 521, BAIRRO SÃO JOÃO, BOM JESUS DA LAPA/BAHIA</t>
        </is>
      </c>
      <c r="S232" s="26">
        <f>IF(A232=A231,0,1)</f>
        <v>0</v>
      </c>
      <c r="T232" s="26">
        <f>IF(COUNTIF($B$4:B232,B232)=1,1,0)</f>
        <v>0</v>
      </c>
    </row>
    <row r="233">
      <c r="A233" s="14" t="inlineStr">
        <is>
          <t>BOM JESUS DA LAPA</t>
        </is>
      </c>
      <c r="B233" s="26" t="n">
        <v>71</v>
      </c>
      <c r="C233" s="26" t="n">
        <v>1660</v>
      </c>
      <c r="D233" s="14" t="inlineStr">
        <is>
          <t>UNIDADE BÁSICA DE SAÚDE CABEÇA DO BOI</t>
        </is>
      </c>
      <c r="E233" s="14" t="inlineStr">
        <is>
          <t>DISTRITO SEDE</t>
        </is>
      </c>
      <c r="F233" s="14" t="inlineStr">
        <is>
          <t>POVOADO CABEÇA DO BOI - ZONA RURAL</t>
        </is>
      </c>
      <c r="G233" s="27" t="inlineStr">
        <is>
          <t>47600-000</t>
        </is>
      </c>
      <c r="H233" s="15" t="n">
        <v>1</v>
      </c>
      <c r="I233" s="28" t="inlineStr">
        <is>
          <t>NÃO</t>
        </is>
      </c>
      <c r="J233" s="29" t="n"/>
      <c r="K233" s="14" t="str">
        <f>IF(J233="","7. Acima de 2 km",IF(J233&lt;=50,"1. Até 50 m",IF(J233&lt;=100,"2. De 50 a 100 m",IF(J233&lt;=200,"3. De 100 a 200 m",IF(J233&lt;=300,"4. De 200 a 300 m",IF(J233&lt;=500,"5. De 300 a 500 m","6. De 500 m a 2 km"))))))</f>
        <v>7. Acima de 2 km</v>
      </c>
      <c r="L233" s="26" t="n">
        <v>0</v>
      </c>
      <c r="M233" s="26" t="n">
        <v>0</v>
      </c>
      <c r="N233" s="26" t="n">
        <v>0</v>
      </c>
      <c r="O233" s="26" t="n">
        <v>0</v>
      </c>
      <c r="P233" s="30" t="n">
        <v>-13.5835653</v>
      </c>
      <c r="Q233" s="30" t="n">
        <v>-43.2779069</v>
      </c>
      <c r="R233" s="14" t="inlineStr">
        <is>
          <t>CARTÓRIO ELEITORAL - RUA GERALDO LISBOA, 521, BAIRRO SÃO JOÃO, BOM JESUS DA LAPA/BAHIA</t>
        </is>
      </c>
      <c r="S233" s="26">
        <f>IF(A233=A232,0,1)</f>
        <v>0</v>
      </c>
      <c r="T233" s="26">
        <f>IF(COUNTIF($B$4:B233,B233)=1,1,0)</f>
        <v>0</v>
      </c>
    </row>
    <row r="234">
      <c r="A234" s="14" t="inlineStr">
        <is>
          <t>BOM JESUS DA LAPA</t>
        </is>
      </c>
      <c r="B234" s="26" t="n">
        <v>71</v>
      </c>
      <c r="C234" s="26" t="n">
        <v>1686</v>
      </c>
      <c r="D234" s="14" t="inlineStr">
        <is>
          <t>NÚCLEO EDUCACIONAL BATALHA</t>
        </is>
      </c>
      <c r="E234" s="14" t="inlineStr">
        <is>
          <t>DISTRITO SEDE</t>
        </is>
      </c>
      <c r="F234" s="14" t="inlineStr">
        <is>
          <t>ASSENTAMENTO FRUTICULTURA - ZONA RURAL</t>
        </is>
      </c>
      <c r="G234" s="27" t="inlineStr">
        <is>
          <t>47600-000</t>
        </is>
      </c>
      <c r="H234" s="15" t="n">
        <v>3</v>
      </c>
      <c r="I234" s="28" t="inlineStr">
        <is>
          <t>NÃO</t>
        </is>
      </c>
      <c r="J234" s="29" t="n"/>
      <c r="K234" s="14" t="str">
        <f>IF(J234="","7. Acima de 2 km",IF(J234&lt;=50,"1. Até 50 m",IF(J234&lt;=100,"2. De 50 a 100 m",IF(J234&lt;=200,"3. De 100 a 200 m",IF(J234&lt;=300,"4. De 200 a 300 m",IF(J234&lt;=500,"5. De 300 a 500 m","6. De 500 m a 2 km"))))))</f>
        <v>7. Acima de 2 km</v>
      </c>
      <c r="L234" s="26" t="n">
        <v>0</v>
      </c>
      <c r="M234" s="26" t="n">
        <v>0</v>
      </c>
      <c r="N234" s="26" t="n">
        <v>0</v>
      </c>
      <c r="O234" s="26" t="n">
        <v>0</v>
      </c>
      <c r="P234" s="30" t="n">
        <v>-13.617992</v>
      </c>
      <c r="Q234" s="30" t="n">
        <v>-43.4274189</v>
      </c>
      <c r="R234" s="14" t="inlineStr">
        <is>
          <t>CARTÓRIO ELEITORAL - RUA GERALDO LISBOA, 521, BAIRRO SÃO JOÃO, BOM JESUS DA LAPA/BAHIA</t>
        </is>
      </c>
      <c r="S234" s="26">
        <f>IF(A234=A233,0,1)</f>
        <v>0</v>
      </c>
      <c r="T234" s="26">
        <f>IF(COUNTIF($B$4:B234,B234)=1,1,0)</f>
        <v>0</v>
      </c>
    </row>
    <row r="235">
      <c r="A235" s="14" t="inlineStr">
        <is>
          <t>BOM JESUS DA LAPA</t>
        </is>
      </c>
      <c r="B235" s="26" t="n">
        <v>71</v>
      </c>
      <c r="C235" s="26" t="n">
        <v>1694</v>
      </c>
      <c r="D235" s="14" t="inlineStr">
        <is>
          <t>ESCOLA MUNICIPAL JOSINA MARIA DA CONCEIÇÃO</t>
        </is>
      </c>
      <c r="E235" s="14" t="inlineStr">
        <is>
          <t>DISTRITO SEDE</t>
        </is>
      </c>
      <c r="F235" s="14" t="inlineStr">
        <is>
          <t>COMUNIDADE QUILOMBOLA LAGOA DAS PIRANHAS - ZONA RURAL</t>
        </is>
      </c>
      <c r="G235" s="27" t="inlineStr">
        <is>
          <t>47600-000</t>
        </is>
      </c>
      <c r="H235" s="15" t="n">
        <v>1</v>
      </c>
      <c r="I235" s="28" t="inlineStr">
        <is>
          <t>NÃO</t>
        </is>
      </c>
      <c r="J235" s="29" t="n"/>
      <c r="K235" s="14" t="str">
        <f>IF(J235="","7. Acima de 2 km",IF(J235&lt;=50,"1. Até 50 m",IF(J235&lt;=100,"2. De 50 a 100 m",IF(J235&lt;=200,"3. De 100 a 200 m",IF(J235&lt;=300,"4. De 200 a 300 m",IF(J235&lt;=500,"5. De 300 a 500 m","6. De 500 m a 2 km"))))))</f>
        <v>7. Acima de 2 km</v>
      </c>
      <c r="L235" s="26" t="n">
        <v>0</v>
      </c>
      <c r="M235" s="26" t="n">
        <v>0</v>
      </c>
      <c r="N235" s="26" t="n">
        <v>0</v>
      </c>
      <c r="O235" s="26" t="n">
        <v>0</v>
      </c>
      <c r="P235" s="30" t="n">
        <v>-13.180475</v>
      </c>
      <c r="Q235" s="30" t="n">
        <v>-43.4719796</v>
      </c>
      <c r="R235" s="14" t="inlineStr">
        <is>
          <t>CARTÓRIO ELEITORAL - RUA GERALDO LISBOA, 521, BAIRRO SÃO JOÃO, BOM JESUS DA LAPA/BAHIA</t>
        </is>
      </c>
      <c r="S235" s="26">
        <f>IF(A235=A234,0,1)</f>
        <v>0</v>
      </c>
      <c r="T235" s="26">
        <f>IF(COUNTIF($B$4:B235,B235)=1,1,0)</f>
        <v>0</v>
      </c>
    </row>
    <row r="236">
      <c r="A236" s="14" t="inlineStr">
        <is>
          <t>BOM JESUS DA LAPA</t>
        </is>
      </c>
      <c r="B236" s="26" t="n">
        <v>71</v>
      </c>
      <c r="C236" s="26" t="n">
        <v>1708</v>
      </c>
      <c r="D236" s="14" t="inlineStr">
        <is>
          <t>SECRETARIA MUNICIPAL DE ASSISTÊNCIA SOCIAL</t>
        </is>
      </c>
      <c r="E236" s="14" t="inlineStr">
        <is>
          <t>CAVALHADA</t>
        </is>
      </c>
      <c r="F236" s="14" t="inlineStr">
        <is>
          <t>AV ALMIRANTE BEIRUTE, S/N - ZONA URBANA</t>
        </is>
      </c>
      <c r="G236" s="27" t="inlineStr">
        <is>
          <t>47600-000</t>
        </is>
      </c>
      <c r="H236" s="15" t="n">
        <v>4</v>
      </c>
      <c r="I236" s="28" t="inlineStr">
        <is>
          <t>NÃO</t>
        </is>
      </c>
      <c r="J236" s="29" t="n">
        <v>460.2</v>
      </c>
      <c r="K236" s="14" t="str">
        <f>IF(J236="","7. Acima de 2 km",IF(J236&lt;=50,"1. Até 50 m",IF(J236&lt;=100,"2. De 50 a 100 m",IF(J236&lt;=200,"3. De 100 a 200 m",IF(J236&lt;=300,"4. De 200 a 300 m",IF(J236&lt;=500,"5. De 300 a 500 m","6. De 500 m a 2 km"))))))</f>
        <v>5. De 300 a 500 m</v>
      </c>
      <c r="L236" s="26" t="n">
        <v>0</v>
      </c>
      <c r="M236" s="26" t="n">
        <v>0</v>
      </c>
      <c r="N236" s="26" t="n">
        <v>0</v>
      </c>
      <c r="O236" s="26" t="n">
        <v>0</v>
      </c>
      <c r="P236" s="30" t="n">
        <v>-13.248756</v>
      </c>
      <c r="Q236" s="30" t="n">
        <v>-43.4181211</v>
      </c>
      <c r="R236" s="14" t="inlineStr">
        <is>
          <t>CARTÓRIO ELEITORAL - RUA GERALDO LISBOA, 521, BAIRRO SÃO JOÃO, BOM JESUS DA LAPA/BAHIA</t>
        </is>
      </c>
      <c r="S236" s="26">
        <f>IF(A236=A235,0,1)</f>
        <v>0</v>
      </c>
      <c r="T236" s="26">
        <f>IF(COUNTIF($B$4:B236,B236)=1,1,0)</f>
        <v>0</v>
      </c>
    </row>
    <row r="237">
      <c r="A237" s="14" t="inlineStr">
        <is>
          <t>BOM JESUS DA LAPA</t>
        </is>
      </c>
      <c r="B237" s="26" t="n">
        <v>71</v>
      </c>
      <c r="C237" s="26" t="n">
        <v>1716</v>
      </c>
      <c r="D237" s="14" t="inlineStr">
        <is>
          <t>ESCOLA MUNICIPAL ISMAEL ALVES</t>
        </is>
      </c>
      <c r="E237" s="14" t="inlineStr">
        <is>
          <t>DISTRITO SEDE</t>
        </is>
      </c>
      <c r="F237" s="14" t="inlineStr">
        <is>
          <t>POVOADO LAGOA DO ISMAEL,SN  - ZONA RURAL</t>
        </is>
      </c>
      <c r="G237" s="27" t="inlineStr">
        <is>
          <t>47600-000</t>
        </is>
      </c>
      <c r="H237" s="15" t="n">
        <v>3</v>
      </c>
      <c r="I237" s="28" t="inlineStr">
        <is>
          <t>NÃO</t>
        </is>
      </c>
      <c r="J237" s="29" t="n"/>
      <c r="K237" s="14" t="str">
        <f>IF(J237="","7. Acima de 2 km",IF(J237&lt;=50,"1. Até 50 m",IF(J237&lt;=100,"2. De 50 a 100 m",IF(J237&lt;=200,"3. De 100 a 200 m",IF(J237&lt;=300,"4. De 200 a 300 m",IF(J237&lt;=500,"5. De 300 a 500 m","6. De 500 m a 2 km"))))))</f>
        <v>7. Acima de 2 km</v>
      </c>
      <c r="L237" s="26" t="n">
        <v>0</v>
      </c>
      <c r="M237" s="26" t="n">
        <v>0</v>
      </c>
      <c r="N237" s="26" t="n">
        <v>0</v>
      </c>
      <c r="O237" s="26" t="n">
        <v>0</v>
      </c>
      <c r="P237" s="30" t="n">
        <v>-12.9617236</v>
      </c>
      <c r="Q237" s="30" t="n">
        <v>-43.2121309</v>
      </c>
      <c r="R237" s="14" t="inlineStr">
        <is>
          <t>CARTÓRIO ELEITORAL - RUA GERALDO LISBOA, 521, BAIRRO SÃO JOÃO, BOM JESUS DA LAPA/BAHIA</t>
        </is>
      </c>
      <c r="S237" s="26">
        <f>IF(A237=A236,0,1)</f>
        <v>0</v>
      </c>
      <c r="T237" s="26">
        <f>IF(COUNTIF($B$4:B237,B237)=1,1,0)</f>
        <v>0</v>
      </c>
    </row>
    <row r="238">
      <c r="A238" s="14" t="inlineStr">
        <is>
          <t>BOM JESUS DA LAPA</t>
        </is>
      </c>
      <c r="B238" s="26" t="n">
        <v>71</v>
      </c>
      <c r="C238" s="26" t="n">
        <v>1724</v>
      </c>
      <c r="D238" s="14" t="inlineStr">
        <is>
          <t>ESCOLA MUNICIPAL PROFESSOR JOSÉ SOARES SILVA</t>
        </is>
      </c>
      <c r="E238" s="14" t="inlineStr">
        <is>
          <t>DISTRITO SEDE</t>
        </is>
      </c>
      <c r="F238" s="14" t="inlineStr">
        <is>
          <t>POVOADO DO TANQUINHO, SN - ZONA RUAL</t>
        </is>
      </c>
      <c r="G238" s="27" t="inlineStr">
        <is>
          <t>47600-000</t>
        </is>
      </c>
      <c r="H238" s="15" t="n">
        <v>4</v>
      </c>
      <c r="I238" s="28" t="inlineStr">
        <is>
          <t>NÃO</t>
        </is>
      </c>
      <c r="J238" s="29" t="n"/>
      <c r="K238" s="14" t="str">
        <f>IF(J238="","7. Acima de 2 km",IF(J238&lt;=50,"1. Até 50 m",IF(J238&lt;=100,"2. De 50 a 100 m",IF(J238&lt;=200,"3. De 100 a 200 m",IF(J238&lt;=300,"4. De 200 a 300 m",IF(J238&lt;=500,"5. De 300 a 500 m","6. De 500 m a 2 km"))))))</f>
        <v>7. Acima de 2 km</v>
      </c>
      <c r="L238" s="26" t="n">
        <v>0</v>
      </c>
      <c r="M238" s="26" t="n">
        <v>0</v>
      </c>
      <c r="N238" s="26" t="n">
        <v>0</v>
      </c>
      <c r="O238" s="26" t="n">
        <v>0</v>
      </c>
      <c r="P238" s="30" t="n">
        <v>-13.0619368</v>
      </c>
      <c r="Q238" s="30" t="n">
        <v>-43.0845974</v>
      </c>
      <c r="R238" s="14" t="inlineStr">
        <is>
          <t>CARTÓRIO ELEITORAL - RUA GERALDO LISBOA, 521, BAIRRO SÃO JOÃO, BOM JESUS DA LAPA/BAHIA</t>
        </is>
      </c>
      <c r="S238" s="26">
        <f>IF(A238=A237,0,1)</f>
        <v>0</v>
      </c>
      <c r="T238" s="26">
        <f>IF(COUNTIF($B$4:B238,B238)=1,1,0)</f>
        <v>0</v>
      </c>
    </row>
    <row r="239">
      <c r="A239" s="14" t="inlineStr">
        <is>
          <t>CACHOEIRA</t>
        </is>
      </c>
      <c r="B239" s="26" t="n">
        <v>118</v>
      </c>
      <c r="C239" s="26" t="n">
        <v>1015</v>
      </c>
      <c r="D239" s="14" t="inlineStr">
        <is>
          <t>ESCOLA AURELINO MARIO DE ASSIS RIBEIRO</t>
        </is>
      </c>
      <c r="E239" s="14" t="inlineStr">
        <is>
          <t>CENTRO</t>
        </is>
      </c>
      <c r="F239" s="14" t="inlineStr">
        <is>
          <t>RUA BENITO GAMA - ZONA URBANA</t>
        </is>
      </c>
      <c r="G239" s="27" t="inlineStr">
        <is>
          <t>44300-000</t>
        </is>
      </c>
      <c r="H239" s="15" t="n">
        <v>4</v>
      </c>
      <c r="I239" s="28" t="inlineStr">
        <is>
          <t>NÃO</t>
        </is>
      </c>
      <c r="J239" s="29" t="n">
        <v>229.3</v>
      </c>
      <c r="K239" s="14" t="str">
        <f>IF(J239="","7. Acima de 2 km",IF(J239&lt;=50,"1. Até 50 m",IF(J239&lt;=100,"2. De 50 a 100 m",IF(J239&lt;=200,"3. De 100 a 200 m",IF(J239&lt;=300,"4. De 200 a 300 m",IF(J239&lt;=500,"5. De 300 a 500 m","6. De 500 m a 2 km"))))))</f>
        <v>4. De 200 a 300 m</v>
      </c>
      <c r="L239" s="26" t="n">
        <v>0</v>
      </c>
      <c r="M239" s="26" t="n">
        <v>0</v>
      </c>
      <c r="N239" s="26" t="n">
        <v>0</v>
      </c>
      <c r="O239" s="26" t="n">
        <v>3</v>
      </c>
      <c r="P239" s="30" t="n">
        <v>-12.5998393</v>
      </c>
      <c r="Q239" s="30" t="n">
        <v>-38.9682236</v>
      </c>
      <c r="R239" s="14" t="inlineStr">
        <is>
          <t>PRAÇA BARÃO DO RIO BRANCO, S/N, CENTRO, CACHOEIRA/BA</t>
        </is>
      </c>
      <c r="S239" s="26">
        <f>IF(A239=A238,0,1)</f>
        <v>1</v>
      </c>
      <c r="T239" s="26">
        <f>IF(COUNTIF($B$4:B239,B239)=1,1,0)</f>
        <v>1</v>
      </c>
    </row>
    <row r="240">
      <c r="A240" s="14" t="inlineStr">
        <is>
          <t>CACHOEIRA</t>
        </is>
      </c>
      <c r="B240" s="26" t="n">
        <v>118</v>
      </c>
      <c r="C240" s="26" t="n">
        <v>1023</v>
      </c>
      <c r="D240" s="14" t="inlineStr">
        <is>
          <t>COLEGIO ESTADUAL DA CACHOEIRA</t>
        </is>
      </c>
      <c r="E240" s="14" t="inlineStr">
        <is>
          <t>CENTRO</t>
        </is>
      </c>
      <c r="F240" s="14" t="inlineStr">
        <is>
          <t>PRACA ARISTON MASCARENHAS - ZONA URBANA</t>
        </is>
      </c>
      <c r="G240" s="27" t="inlineStr">
        <is>
          <t>44300-000</t>
        </is>
      </c>
      <c r="H240" s="15" t="n">
        <v>10</v>
      </c>
      <c r="I240" s="28" t="inlineStr">
        <is>
          <t>NÃO</t>
        </is>
      </c>
      <c r="J240" s="29" t="n">
        <v>307.7</v>
      </c>
      <c r="K240" s="14" t="str">
        <f>IF(J240="","7. Acima de 2 km",IF(J240&lt;=50,"1. Até 50 m",IF(J240&lt;=100,"2. De 50 a 100 m",IF(J240&lt;=200,"3. De 100 a 200 m",IF(J240&lt;=300,"4. De 200 a 300 m",IF(J240&lt;=500,"5. De 300 a 500 m","6. De 500 m a 2 km"))))))</f>
        <v>5. De 300 a 500 m</v>
      </c>
      <c r="L240" s="26" t="n">
        <v>0</v>
      </c>
      <c r="M240" s="26" t="n">
        <v>0</v>
      </c>
      <c r="N240" s="26" t="n">
        <v>0</v>
      </c>
      <c r="O240" s="26" t="n">
        <v>0</v>
      </c>
      <c r="P240" s="30" t="n">
        <v>-12.6002284</v>
      </c>
      <c r="Q240" s="30" t="n">
        <v>-38.9618047</v>
      </c>
      <c r="R240" s="14" t="inlineStr">
        <is>
          <t>PRAÇA BARÃO DO RIO BRANCO, S/N, CENTRO, CACHOEIRA/BA</t>
        </is>
      </c>
      <c r="S240" s="26">
        <f>IF(A240=A239,0,1)</f>
        <v>0</v>
      </c>
      <c r="T240" s="26">
        <f>IF(COUNTIF($B$4:B240,B240)=1,1,0)</f>
        <v>0</v>
      </c>
    </row>
    <row r="241">
      <c r="A241" s="14" t="inlineStr">
        <is>
          <t>CACHOEIRA</t>
        </is>
      </c>
      <c r="B241" s="26" t="n">
        <v>118</v>
      </c>
      <c r="C241" s="26" t="n">
        <v>1082</v>
      </c>
      <c r="D241" s="14" t="inlineStr">
        <is>
          <t>CENTRO DE ARTES, HUMANIDADES E LETRAS DA UFRB</t>
        </is>
      </c>
      <c r="E241" s="14" t="inlineStr">
        <is>
          <t>CENTRO</t>
        </is>
      </c>
      <c r="F241" s="14" t="inlineStr">
        <is>
          <t>QUARTEIRÃO LEITE ALVES - RUA MAESTRO IRINEU SACRAMENTO - ZONA URBANA</t>
        </is>
      </c>
      <c r="G241" s="27" t="inlineStr">
        <is>
          <t>40150-000</t>
        </is>
      </c>
      <c r="H241" s="15" t="n">
        <v>12</v>
      </c>
      <c r="I241" s="28" t="inlineStr">
        <is>
          <t>SIM</t>
        </is>
      </c>
      <c r="J241" s="29" t="n">
        <v>18.1</v>
      </c>
      <c r="K241" s="14" t="str">
        <f>IF(J241="","7. Acima de 2 km",IF(J241&lt;=50,"1. Até 50 m",IF(J241&lt;=100,"2. De 50 a 100 m",IF(J241&lt;=200,"3. De 100 a 200 m",IF(J241&lt;=300,"4. De 200 a 300 m",IF(J241&lt;=500,"5. De 300 a 500 m","6. De 500 m a 2 km"))))))</f>
        <v>1. Até 50 m</v>
      </c>
      <c r="L241" s="26" t="n">
        <v>2</v>
      </c>
      <c r="M241" s="26" t="n">
        <v>2</v>
      </c>
      <c r="N241" s="26" t="n">
        <v>4</v>
      </c>
      <c r="O241" s="26" t="n">
        <v>6</v>
      </c>
      <c r="P241" s="30" t="n">
        <v>-12.6014675</v>
      </c>
      <c r="Q241" s="30" t="n">
        <v>-38.9666442</v>
      </c>
      <c r="R241" s="14" t="inlineStr">
        <is>
          <t>PRAÇA BARÃO DO RIO BRANCO, S/N, CENTRO, CACHOEIRA/BA</t>
        </is>
      </c>
      <c r="S241" s="26">
        <f>IF(A241=A240,0,1)</f>
        <v>0</v>
      </c>
      <c r="T241" s="26">
        <f>IF(COUNTIF($B$4:B241,B241)=1,1,0)</f>
        <v>0</v>
      </c>
    </row>
    <row r="242">
      <c r="A242" s="14" t="inlineStr">
        <is>
          <t>CACHOEIRA</t>
        </is>
      </c>
      <c r="B242" s="26" t="n">
        <v>118</v>
      </c>
      <c r="C242" s="26" t="n">
        <v>1155</v>
      </c>
      <c r="D242" s="14" t="inlineStr">
        <is>
          <t>ESCOLA DOMINGAS ALVES DE OLIVEIRA</t>
        </is>
      </c>
      <c r="E242" s="14" t="inlineStr">
        <is>
          <t>POVOADO DO SACO</t>
        </is>
      </c>
      <c r="F242" s="14" t="inlineStr">
        <is>
          <t>POVOADO DO SACO - ZONA RURAL</t>
        </is>
      </c>
      <c r="G242" s="27" t="inlineStr">
        <is>
          <t>44300-000</t>
        </is>
      </c>
      <c r="H242" s="15" t="n">
        <v>1</v>
      </c>
      <c r="I242" s="28" t="inlineStr">
        <is>
          <t>NÃO</t>
        </is>
      </c>
      <c r="J242" s="29" t="n"/>
      <c r="K242" s="14" t="str">
        <f>IF(J242="","7. Acima de 2 km",IF(J242&lt;=50,"1. Até 50 m",IF(J242&lt;=100,"2. De 50 a 100 m",IF(J242&lt;=200,"3. De 100 a 200 m",IF(J242&lt;=300,"4. De 200 a 300 m",IF(J242&lt;=500,"5. De 300 a 500 m","6. De 500 m a 2 km"))))))</f>
        <v>7. Acima de 2 km</v>
      </c>
      <c r="L242" s="26" t="n">
        <v>0</v>
      </c>
      <c r="M242" s="26" t="n">
        <v>0</v>
      </c>
      <c r="N242" s="26" t="n">
        <v>0</v>
      </c>
      <c r="O242" s="26" t="n">
        <v>0</v>
      </c>
      <c r="P242" s="30" t="n">
        <v>-12.5308269</v>
      </c>
      <c r="Q242" s="30" t="n">
        <v>-38.8943475</v>
      </c>
      <c r="R242" s="14" t="inlineStr">
        <is>
          <t>PRAÇA BARÃO DO RIO BRANCO, S/N, CENTRO, CACHOEIRA/BA</t>
        </is>
      </c>
      <c r="S242" s="26">
        <f>IF(A242=A241,0,1)</f>
        <v>0</v>
      </c>
      <c r="T242" s="26">
        <f>IF(COUNTIF($B$4:B242,B242)=1,1,0)</f>
        <v>0</v>
      </c>
    </row>
    <row r="243">
      <c r="A243" s="14" t="inlineStr">
        <is>
          <t>CACHOEIRA</t>
        </is>
      </c>
      <c r="B243" s="26" t="n">
        <v>118</v>
      </c>
      <c r="C243" s="26" t="n">
        <v>1171</v>
      </c>
      <c r="D243" s="14" t="inlineStr">
        <is>
          <t>GINASIO SANTISSIMO SACRAMENTO</t>
        </is>
      </c>
      <c r="E243" s="14" t="inlineStr">
        <is>
          <t>CENTRO</t>
        </is>
      </c>
      <c r="F243" s="14" t="inlineStr">
        <is>
          <t>PRACA MANOEL VITORINO - ZONA URBANA</t>
        </is>
      </c>
      <c r="G243" s="27" t="inlineStr">
        <is>
          <t>44300-000</t>
        </is>
      </c>
      <c r="H243" s="15" t="n">
        <v>4</v>
      </c>
      <c r="I243" s="28" t="inlineStr">
        <is>
          <t>SIM</t>
        </is>
      </c>
      <c r="J243" s="29" t="n">
        <v>97.09999999999999</v>
      </c>
      <c r="K243" s="14" t="str">
        <f>IF(J243="","7. Acima de 2 km",IF(J243&lt;=50,"1. Até 50 m",IF(J243&lt;=100,"2. De 50 a 100 m",IF(J243&lt;=200,"3. De 100 a 200 m",IF(J243&lt;=300,"4. De 200 a 300 m",IF(J243&lt;=500,"5. De 300 a 500 m","6. De 500 m a 2 km"))))))</f>
        <v>2. De 50 a 100 m</v>
      </c>
      <c r="L243" s="26" t="n">
        <v>0</v>
      </c>
      <c r="M243" s="26" t="n">
        <v>3</v>
      </c>
      <c r="N243" s="26" t="n">
        <v>3</v>
      </c>
      <c r="O243" s="26" t="n">
        <v>4</v>
      </c>
      <c r="P243" s="30" t="n">
        <v>-12.6017907</v>
      </c>
      <c r="Q243" s="30" t="n">
        <v>-38.9674514</v>
      </c>
      <c r="R243" s="14" t="inlineStr">
        <is>
          <t>PRAÇA BARÃO DO RIO BRANCO, S/N, CENTRO, CACHOEIRA/BA</t>
        </is>
      </c>
      <c r="S243" s="26">
        <f>IF(A243=A242,0,1)</f>
        <v>0</v>
      </c>
      <c r="T243" s="26">
        <f>IF(COUNTIF($B$4:B243,B243)=1,1,0)</f>
        <v>0</v>
      </c>
    </row>
    <row r="244">
      <c r="A244" s="14" t="inlineStr">
        <is>
          <t>CACHOEIRA</t>
        </is>
      </c>
      <c r="B244" s="26" t="n">
        <v>118</v>
      </c>
      <c r="C244" s="26" t="n">
        <v>1198</v>
      </c>
      <c r="D244" s="14" t="inlineStr">
        <is>
          <t>ESCOLA ANTONIO LISBOA</t>
        </is>
      </c>
      <c r="E244" s="14" t="inlineStr">
        <is>
          <t>POVOADO DO ALECRIM</t>
        </is>
      </c>
      <c r="F244" s="14" t="inlineStr">
        <is>
          <t>POVOADO ALECRIM - ZONA RURAL</t>
        </is>
      </c>
      <c r="G244" s="27" t="inlineStr">
        <is>
          <t>44300-000</t>
        </is>
      </c>
      <c r="H244" s="15" t="n">
        <v>3</v>
      </c>
      <c r="I244" s="28" t="inlineStr">
        <is>
          <t>NÃO</t>
        </is>
      </c>
      <c r="J244" s="29" t="n"/>
      <c r="K244" s="14" t="str">
        <f>IF(J244="","7. Acima de 2 km",IF(J244&lt;=50,"1. Até 50 m",IF(J244&lt;=100,"2. De 50 a 100 m",IF(J244&lt;=200,"3. De 100 a 200 m",IF(J244&lt;=300,"4. De 200 a 300 m",IF(J244&lt;=500,"5. De 300 a 500 m","6. De 500 m a 2 km"))))))</f>
        <v>7. Acima de 2 km</v>
      </c>
      <c r="L244" s="26" t="n">
        <v>0</v>
      </c>
      <c r="M244" s="26" t="n">
        <v>0</v>
      </c>
      <c r="N244" s="26" t="n">
        <v>0</v>
      </c>
      <c r="O244" s="26" t="n">
        <v>0</v>
      </c>
      <c r="P244" s="30" t="n">
        <v>-12.564308</v>
      </c>
      <c r="Q244" s="30" t="n">
        <v>-38.928597</v>
      </c>
      <c r="R244" s="14" t="inlineStr">
        <is>
          <t>PRAÇA BARÃO DO RIO BRANCO, S/N, CENTRO, CACHOEIRA/BA</t>
        </is>
      </c>
      <c r="S244" s="26">
        <f>IF(A244=A243,0,1)</f>
        <v>0</v>
      </c>
      <c r="T244" s="26">
        <f>IF(COUNTIF($B$4:B244,B244)=1,1,0)</f>
        <v>0</v>
      </c>
    </row>
    <row r="245">
      <c r="A245" s="14" t="inlineStr">
        <is>
          <t>CACHOEIRA</t>
        </is>
      </c>
      <c r="B245" s="26" t="n">
        <v>118</v>
      </c>
      <c r="C245" s="26" t="n">
        <v>1252</v>
      </c>
      <c r="D245" s="14" t="inlineStr">
        <is>
          <t>ESCOLA RURAL DE BELEM</t>
        </is>
      </c>
      <c r="E245" s="14" t="inlineStr">
        <is>
          <t>POVOADO VILA DE BELEM</t>
        </is>
      </c>
      <c r="F245" s="14" t="inlineStr">
        <is>
          <t>RUA DO ARRAIAL - VILA DE BELEM - ZONA RURAL</t>
        </is>
      </c>
      <c r="G245" s="27" t="inlineStr">
        <is>
          <t>44300-000</t>
        </is>
      </c>
      <c r="H245" s="15" t="n">
        <v>2</v>
      </c>
      <c r="I245" s="28" t="inlineStr">
        <is>
          <t>NÃO</t>
        </is>
      </c>
      <c r="J245" s="29" t="n"/>
      <c r="K245" s="14" t="str">
        <f>IF(J245="","7. Acima de 2 km",IF(J245&lt;=50,"1. Até 50 m",IF(J245&lt;=100,"2. De 50 a 100 m",IF(J245&lt;=200,"3. De 100 a 200 m",IF(J245&lt;=300,"4. De 200 a 300 m",IF(J245&lt;=500,"5. De 300 a 500 m","6. De 500 m a 2 km"))))))</f>
        <v>7. Acima de 2 km</v>
      </c>
      <c r="L245" s="26" t="n">
        <v>0</v>
      </c>
      <c r="M245" s="26" t="n">
        <v>0</v>
      </c>
      <c r="N245" s="26" t="n">
        <v>0</v>
      </c>
      <c r="O245" s="26" t="n">
        <v>0</v>
      </c>
      <c r="P245" s="30" t="n">
        <v>-12.555791</v>
      </c>
      <c r="Q245" s="30" t="n">
        <v>-38.942124</v>
      </c>
      <c r="R245" s="14" t="inlineStr">
        <is>
          <t>PRAÇA BARÃO DO RIO BRANCO, S/N, CENTRO, CACHOEIRA/BA</t>
        </is>
      </c>
      <c r="S245" s="26">
        <f>IF(A245=A244,0,1)</f>
        <v>0</v>
      </c>
      <c r="T245" s="26">
        <f>IF(COUNTIF($B$4:B245,B245)=1,1,0)</f>
        <v>0</v>
      </c>
    </row>
    <row r="246">
      <c r="A246" s="14" t="inlineStr">
        <is>
          <t>CACHOEIRA</t>
        </is>
      </c>
      <c r="B246" s="26" t="n">
        <v>118</v>
      </c>
      <c r="C246" s="26" t="n">
        <v>1260</v>
      </c>
      <c r="D246" s="14" t="inlineStr">
        <is>
          <t>ESCOLA PADRE ALEXANDRE GUSMAO</t>
        </is>
      </c>
      <c r="E246" s="14" t="inlineStr">
        <is>
          <t>POVOADO VILA DE BELEM</t>
        </is>
      </c>
      <c r="F246" s="14" t="inlineStr">
        <is>
          <t>VILA DE BELEM - ZONA RURAL</t>
        </is>
      </c>
      <c r="G246" s="27" t="inlineStr">
        <is>
          <t>44300-000</t>
        </is>
      </c>
      <c r="H246" s="15" t="n">
        <v>3</v>
      </c>
      <c r="I246" s="28" t="inlineStr">
        <is>
          <t>NÃO</t>
        </is>
      </c>
      <c r="J246" s="29" t="n"/>
      <c r="K246" s="14" t="str">
        <f>IF(J246="","7. Acima de 2 km",IF(J246&lt;=50,"1. Até 50 m",IF(J246&lt;=100,"2. De 50 a 100 m",IF(J246&lt;=200,"3. De 100 a 200 m",IF(J246&lt;=300,"4. De 200 a 300 m",IF(J246&lt;=500,"5. De 300 a 500 m","6. De 500 m a 2 km"))))))</f>
        <v>7. Acima de 2 km</v>
      </c>
      <c r="L246" s="26" t="n">
        <v>0</v>
      </c>
      <c r="M246" s="26" t="n">
        <v>0</v>
      </c>
      <c r="N246" s="26" t="n">
        <v>0</v>
      </c>
      <c r="O246" s="26" t="n">
        <v>0</v>
      </c>
      <c r="P246" s="30" t="n">
        <v>-12.5525198</v>
      </c>
      <c r="Q246" s="30" t="n">
        <v>-38.9420052</v>
      </c>
      <c r="R246" s="14" t="inlineStr">
        <is>
          <t>PRAÇA BARÃO DO RIO BRANCO, S/N, CENTRO, CACHOEIRA/BA</t>
        </is>
      </c>
      <c r="S246" s="26">
        <f>IF(A246=A245,0,1)</f>
        <v>0</v>
      </c>
      <c r="T246" s="26">
        <f>IF(COUNTIF($B$4:B246,B246)=1,1,0)</f>
        <v>0</v>
      </c>
    </row>
    <row r="247">
      <c r="A247" s="14" t="inlineStr">
        <is>
          <t>CACHOEIRA</t>
        </is>
      </c>
      <c r="B247" s="26" t="n">
        <v>118</v>
      </c>
      <c r="C247" s="26" t="n">
        <v>1279</v>
      </c>
      <c r="D247" s="14" t="inlineStr">
        <is>
          <t>ESCOLA ALOISIO DE SOUZA</t>
        </is>
      </c>
      <c r="E247" s="14" t="inlineStr">
        <is>
          <t>POVOADO DA MURUTUBA</t>
        </is>
      </c>
      <c r="F247" s="14" t="inlineStr">
        <is>
          <t>POVOADO DA MURUTUBA - ZONA RURAL</t>
        </is>
      </c>
      <c r="G247" s="27" t="inlineStr">
        <is>
          <t>44300-000</t>
        </is>
      </c>
      <c r="H247" s="15" t="n">
        <v>3</v>
      </c>
      <c r="I247" s="28" t="inlineStr">
        <is>
          <t>NÃO</t>
        </is>
      </c>
      <c r="J247" s="29" t="n"/>
      <c r="K247" s="14" t="str">
        <f>IF(J247="","7. Acima de 2 km",IF(J247&lt;=50,"1. Até 50 m",IF(J247&lt;=100,"2. De 50 a 100 m",IF(J247&lt;=200,"3. De 100 a 200 m",IF(J247&lt;=300,"4. De 200 a 300 m",IF(J247&lt;=500,"5. De 300 a 500 m","6. De 500 m a 2 km"))))))</f>
        <v>7. Acima de 2 km</v>
      </c>
      <c r="L247" s="26" t="n">
        <v>0</v>
      </c>
      <c r="M247" s="26" t="n">
        <v>0</v>
      </c>
      <c r="N247" s="26" t="n">
        <v>0</v>
      </c>
      <c r="O247" s="26" t="n">
        <v>0</v>
      </c>
      <c r="P247" s="30" t="n">
        <v>-12.5721496</v>
      </c>
      <c r="Q247" s="30" t="n">
        <v>-38.8925807</v>
      </c>
      <c r="R247" s="14" t="inlineStr">
        <is>
          <t>PRAÇA BARÃO DO RIO BRANCO, S/N, CENTRO, CACHOEIRA/BA</t>
        </is>
      </c>
      <c r="S247" s="26">
        <f>IF(A247=A246,0,1)</f>
        <v>0</v>
      </c>
      <c r="T247" s="26">
        <f>IF(COUNTIF($B$4:B247,B247)=1,1,0)</f>
        <v>0</v>
      </c>
    </row>
    <row r="248">
      <c r="A248" s="14" t="inlineStr">
        <is>
          <t>CACHOEIRA</t>
        </is>
      </c>
      <c r="B248" s="26" t="n">
        <v>118</v>
      </c>
      <c r="C248" s="26" t="n">
        <v>1287</v>
      </c>
      <c r="D248" s="14" t="inlineStr">
        <is>
          <t>ESCOLA MUNICIPAL DE BOA VISTA</t>
        </is>
      </c>
      <c r="E248" s="14" t="inlineStr">
        <is>
          <t>POVOADO DA BOA VISTA</t>
        </is>
      </c>
      <c r="F248" s="14" t="inlineStr">
        <is>
          <t>POVOADO DA BOA VISTA - ZONA RURAL</t>
        </is>
      </c>
      <c r="G248" s="27" t="inlineStr">
        <is>
          <t>44300-000</t>
        </is>
      </c>
      <c r="H248" s="15" t="n">
        <v>1</v>
      </c>
      <c r="I248" s="28" t="inlineStr">
        <is>
          <t>NÃO</t>
        </is>
      </c>
      <c r="J248" s="29" t="n"/>
      <c r="K248" s="14" t="str">
        <f>IF(J248="","7. Acima de 2 km",IF(J248&lt;=50,"1. Até 50 m",IF(J248&lt;=100,"2. De 50 a 100 m",IF(J248&lt;=200,"3. De 100 a 200 m",IF(J248&lt;=300,"4. De 200 a 300 m",IF(J248&lt;=500,"5. De 300 a 500 m","6. De 500 m a 2 km"))))))</f>
        <v>7. Acima de 2 km</v>
      </c>
      <c r="L248" s="26" t="n">
        <v>0</v>
      </c>
      <c r="M248" s="26" t="n">
        <v>0</v>
      </c>
      <c r="N248" s="26" t="n">
        <v>0</v>
      </c>
      <c r="O248" s="26" t="n">
        <v>0</v>
      </c>
      <c r="P248" s="30" t="n">
        <v>-12.5631674</v>
      </c>
      <c r="Q248" s="30" t="n">
        <v>-38.9523941</v>
      </c>
      <c r="R248" s="14" t="inlineStr">
        <is>
          <t>PRAÇA BARÃO DO RIO BRANCO, S/N, CENTRO, CACHOEIRA/BA</t>
        </is>
      </c>
      <c r="S248" s="26">
        <f>IF(A248=A247,0,1)</f>
        <v>0</v>
      </c>
      <c r="T248" s="26">
        <f>IF(COUNTIF($B$4:B248,B248)=1,1,0)</f>
        <v>0</v>
      </c>
    </row>
    <row r="249">
      <c r="A249" s="14" t="inlineStr">
        <is>
          <t>CACHOEIRA</t>
        </is>
      </c>
      <c r="B249" s="26" t="n">
        <v>118</v>
      </c>
      <c r="C249" s="26" t="n">
        <v>1295</v>
      </c>
      <c r="D249" s="14" t="inlineStr">
        <is>
          <t>ESCOLA JOÃO GONÇALVES</t>
        </is>
      </c>
      <c r="E249" s="14" t="inlineStr">
        <is>
          <t>POVOADO DO CAPOEIRUCU</t>
        </is>
      </c>
      <c r="F249" s="14" t="inlineStr">
        <is>
          <t>POVOADO DO CAPOEIRUCU - ZONA RURAL</t>
        </is>
      </c>
      <c r="G249" s="27" t="inlineStr">
        <is>
          <t>44300-000</t>
        </is>
      </c>
      <c r="H249" s="15" t="n">
        <v>4</v>
      </c>
      <c r="I249" s="28" t="inlineStr">
        <is>
          <t>NÃO</t>
        </is>
      </c>
      <c r="J249" s="29" t="n">
        <v>760.3</v>
      </c>
      <c r="K249" s="14" t="str">
        <f>IF(J249="","7. Acima de 2 km",IF(J249&lt;=50,"1. Até 50 m",IF(J249&lt;=100,"2. De 50 a 100 m",IF(J249&lt;=200,"3. De 100 a 200 m",IF(J249&lt;=300,"4. De 200 a 300 m",IF(J249&lt;=500,"5. De 300 a 500 m","6. De 500 m a 2 km"))))))</f>
        <v>6. De 500 m a 2 km</v>
      </c>
      <c r="L249" s="26" t="n">
        <v>0</v>
      </c>
      <c r="M249" s="26" t="n">
        <v>0</v>
      </c>
      <c r="N249" s="26" t="n">
        <v>0</v>
      </c>
      <c r="O249" s="26" t="n">
        <v>0</v>
      </c>
      <c r="P249" s="30" t="n">
        <v>-12.5627782</v>
      </c>
      <c r="Q249" s="30" t="n">
        <v>-38.974054</v>
      </c>
      <c r="R249" s="14" t="inlineStr">
        <is>
          <t>PRAÇA BARÃO DO RIO BRANCO, S/N, CENTRO, CACHOEIRA/BA</t>
        </is>
      </c>
      <c r="S249" s="26">
        <f>IF(A249=A248,0,1)</f>
        <v>0</v>
      </c>
      <c r="T249" s="26">
        <f>IF(COUNTIF($B$4:B249,B249)=1,1,0)</f>
        <v>0</v>
      </c>
    </row>
    <row r="250">
      <c r="A250" s="14" t="inlineStr">
        <is>
          <t>CACHOEIRA</t>
        </is>
      </c>
      <c r="B250" s="26" t="n">
        <v>118</v>
      </c>
      <c r="C250" s="26" t="n">
        <v>1309</v>
      </c>
      <c r="D250" s="14" t="inlineStr">
        <is>
          <t>CRECHE JOSELITA RODRIGUES DO OURO</t>
        </is>
      </c>
      <c r="E250" s="14" t="inlineStr">
        <is>
          <t>POVOADO DO CAPOEIRUCU</t>
        </is>
      </c>
      <c r="F250" s="14" t="inlineStr">
        <is>
          <t>POVOADO DO CAPOEIRUCU - ZONA RURAL</t>
        </is>
      </c>
      <c r="G250" s="27" t="inlineStr">
        <is>
          <t>44300-000</t>
        </is>
      </c>
      <c r="H250" s="15" t="n">
        <v>4</v>
      </c>
      <c r="I250" s="28" t="inlineStr">
        <is>
          <t>NÃO</t>
        </is>
      </c>
      <c r="J250" s="29" t="n">
        <v>1335.2</v>
      </c>
      <c r="K250" s="14" t="str">
        <f>IF(J250="","7. Acima de 2 km",IF(J250&lt;=50,"1. Até 50 m",IF(J250&lt;=100,"2. De 50 a 100 m",IF(J250&lt;=200,"3. De 100 a 200 m",IF(J250&lt;=300,"4. De 200 a 300 m",IF(J250&lt;=500,"5. De 300 a 500 m","6. De 500 m a 2 km"))))))</f>
        <v>6. De 500 m a 2 km</v>
      </c>
      <c r="L250" s="26" t="n">
        <v>0</v>
      </c>
      <c r="M250" s="26" t="n">
        <v>0</v>
      </c>
      <c r="N250" s="26" t="n">
        <v>0</v>
      </c>
      <c r="O250" s="26" t="n">
        <v>0</v>
      </c>
      <c r="P250" s="30" t="n">
        <v>-12.5581628</v>
      </c>
      <c r="Q250" s="30" t="n">
        <v>-38.9764641</v>
      </c>
      <c r="R250" s="14" t="inlineStr">
        <is>
          <t>PRAÇA BARÃO DO RIO BRANCO, S/N, CENTRO, CACHOEIRA/BA</t>
        </is>
      </c>
      <c r="S250" s="26">
        <f>IF(A250=A249,0,1)</f>
        <v>0</v>
      </c>
      <c r="T250" s="26">
        <f>IF(COUNTIF($B$4:B250,B250)=1,1,0)</f>
        <v>0</v>
      </c>
    </row>
    <row r="251">
      <c r="A251" s="14" t="inlineStr">
        <is>
          <t>CACHOEIRA</t>
        </is>
      </c>
      <c r="B251" s="26" t="n">
        <v>118</v>
      </c>
      <c r="C251" s="26" t="n">
        <v>1325</v>
      </c>
      <c r="D251" s="14" t="inlineStr">
        <is>
          <t>ESCOLA GENERAL ALFREDO A. DA SILVA</t>
        </is>
      </c>
      <c r="E251" s="14" t="inlineStr">
        <is>
          <t>POVOADO DA OPALMA</t>
        </is>
      </c>
      <c r="F251" s="14" t="inlineStr">
        <is>
          <t>POVOADO DA OPALMA -ZONA RURAL</t>
        </is>
      </c>
      <c r="G251" s="27" t="inlineStr">
        <is>
          <t>44300-000</t>
        </is>
      </c>
      <c r="H251" s="15" t="n">
        <v>3</v>
      </c>
      <c r="I251" s="28" t="inlineStr">
        <is>
          <t>NÃO</t>
        </is>
      </c>
      <c r="J251" s="29" t="n"/>
      <c r="K251" s="14" t="str">
        <f>IF(J251="","7. Acima de 2 km",IF(J251&lt;=50,"1. Até 50 m",IF(J251&lt;=100,"2. De 50 a 100 m",IF(J251&lt;=200,"3. De 100 a 200 m",IF(J251&lt;=300,"4. De 200 a 300 m",IF(J251&lt;=500,"5. De 300 a 500 m","6. De 500 m a 2 km"))))))</f>
        <v>7. Acima de 2 km</v>
      </c>
      <c r="L251" s="26" t="n">
        <v>0</v>
      </c>
      <c r="M251" s="26" t="n">
        <v>0</v>
      </c>
      <c r="N251" s="26" t="n">
        <v>0</v>
      </c>
      <c r="O251" s="26" t="n">
        <v>0</v>
      </c>
      <c r="P251" s="30" t="n">
        <v>-12.6176202</v>
      </c>
      <c r="Q251" s="30" t="n">
        <v>-38.8248277</v>
      </c>
      <c r="R251" s="14" t="inlineStr">
        <is>
          <t>PRAÇA BARÃO DO RIO BRANCO, S/N, CENTRO, CACHOEIRA/BA</t>
        </is>
      </c>
      <c r="S251" s="26">
        <f>IF(A251=A250,0,1)</f>
        <v>0</v>
      </c>
      <c r="T251" s="26">
        <f>IF(COUNTIF($B$4:B251,B251)=1,1,0)</f>
        <v>0</v>
      </c>
    </row>
    <row r="252">
      <c r="A252" s="14" t="inlineStr">
        <is>
          <t>CACHOEIRA</t>
        </is>
      </c>
      <c r="B252" s="26" t="n">
        <v>118</v>
      </c>
      <c r="C252" s="26" t="n">
        <v>1333</v>
      </c>
      <c r="D252" s="14" t="inlineStr">
        <is>
          <t>ESCOLA MUNICIPAL SAO FRANCISCO DO PARAGUACU</t>
        </is>
      </c>
      <c r="E252" s="14" t="inlineStr">
        <is>
          <t>POVOADO DO SAO FRANCISCO DO PARAGUACU</t>
        </is>
      </c>
      <c r="F252" s="14" t="inlineStr">
        <is>
          <t>POVOADO DO SAO FRANCISCO DO PARAGUACU - ZONA RURAL</t>
        </is>
      </c>
      <c r="G252" s="27" t="inlineStr">
        <is>
          <t>44300-000</t>
        </is>
      </c>
      <c r="H252" s="15" t="n">
        <v>3</v>
      </c>
      <c r="I252" s="28" t="inlineStr">
        <is>
          <t>NÃO</t>
        </is>
      </c>
      <c r="J252" s="29" t="n"/>
      <c r="K252" s="14" t="str">
        <f>IF(J252="","7. Acima de 2 km",IF(J252&lt;=50,"1. Até 50 m",IF(J252&lt;=100,"2. De 50 a 100 m",IF(J252&lt;=200,"3. De 100 a 200 m",IF(J252&lt;=300,"4. De 200 a 300 m",IF(J252&lt;=500,"5. De 300 a 500 m","6. De 500 m a 2 km"))))))</f>
        <v>7. Acima de 2 km</v>
      </c>
      <c r="L252" s="26" t="n">
        <v>0</v>
      </c>
      <c r="M252" s="26" t="n">
        <v>0</v>
      </c>
      <c r="N252" s="26" t="n">
        <v>0</v>
      </c>
      <c r="O252" s="26" t="n">
        <v>0</v>
      </c>
      <c r="P252" s="30" t="n">
        <v>-12.7425198</v>
      </c>
      <c r="Q252" s="30" t="n">
        <v>-38.8721906</v>
      </c>
      <c r="R252" s="14" t="inlineStr">
        <is>
          <t>PRAÇA BARÃO DO RIO BRANCO, S/N, CENTRO, CACHOEIRA/BA</t>
        </is>
      </c>
      <c r="S252" s="26">
        <f>IF(A252=A251,0,1)</f>
        <v>0</v>
      </c>
      <c r="T252" s="26">
        <f>IF(COUNTIF($B$4:B252,B252)=1,1,0)</f>
        <v>0</v>
      </c>
    </row>
    <row r="253">
      <c r="A253" s="14" t="inlineStr">
        <is>
          <t>CACHOEIRA</t>
        </is>
      </c>
      <c r="B253" s="26" t="n">
        <v>118</v>
      </c>
      <c r="C253" s="26" t="n">
        <v>1350</v>
      </c>
      <c r="D253" s="14" t="inlineStr">
        <is>
          <t>ESCOLA MUNICIPAL DE SANTIAGO DO IGUAPE</t>
        </is>
      </c>
      <c r="E253" s="14" t="inlineStr">
        <is>
          <t>POVOADO VILA DE SANTIAGO DO IGUAPE</t>
        </is>
      </c>
      <c r="F253" s="14" t="inlineStr">
        <is>
          <t>POVOADO VILA DE SANTIAGO DO IGUAPE - ZONA RURAL</t>
        </is>
      </c>
      <c r="G253" s="27" t="inlineStr">
        <is>
          <t>44300-000</t>
        </is>
      </c>
      <c r="H253" s="15" t="n">
        <v>6</v>
      </c>
      <c r="I253" s="28" t="inlineStr">
        <is>
          <t>NÃO</t>
        </is>
      </c>
      <c r="J253" s="29" t="n"/>
      <c r="K253" s="14" t="str">
        <f>IF(J253="","7. Acima de 2 km",IF(J253&lt;=50,"1. Até 50 m",IF(J253&lt;=100,"2. De 50 a 100 m",IF(J253&lt;=200,"3. De 100 a 200 m",IF(J253&lt;=300,"4. De 200 a 300 m",IF(J253&lt;=500,"5. De 300 a 500 m","6. De 500 m a 2 km"))))))</f>
        <v>7. Acima de 2 km</v>
      </c>
      <c r="L253" s="26" t="n">
        <v>0</v>
      </c>
      <c r="M253" s="26" t="n">
        <v>0</v>
      </c>
      <c r="N253" s="26" t="n">
        <v>0</v>
      </c>
      <c r="O253" s="26" t="n">
        <v>0</v>
      </c>
      <c r="P253" s="30" t="n">
        <v>-12.6891902</v>
      </c>
      <c r="Q253" s="30" t="n">
        <v>-38.857687</v>
      </c>
      <c r="R253" s="14" t="inlineStr">
        <is>
          <t>PRAÇA BARÃO DO RIO BRANCO, S/N, CENTRO, CACHOEIRA/BA</t>
        </is>
      </c>
      <c r="S253" s="26">
        <f>IF(A253=A252,0,1)</f>
        <v>0</v>
      </c>
      <c r="T253" s="26">
        <f>IF(COUNTIF($B$4:B253,B253)=1,1,0)</f>
        <v>0</v>
      </c>
    </row>
    <row r="254">
      <c r="A254" s="14" t="inlineStr">
        <is>
          <t>CACHOEIRA</t>
        </is>
      </c>
      <c r="B254" s="26" t="n">
        <v>118</v>
      </c>
      <c r="C254" s="26" t="n">
        <v>1376</v>
      </c>
      <c r="D254" s="14" t="inlineStr">
        <is>
          <t>ESCOLA MUNICIPAL OTAVIO PEREIRA</t>
        </is>
      </c>
      <c r="E254" s="14" t="inlineStr">
        <is>
          <t>POVOADO DO TABOLEIRO DA VITORIA</t>
        </is>
      </c>
      <c r="F254" s="14" t="inlineStr">
        <is>
          <t>POVOADO DO TABOLEIRO DA VITORIA - ZONA RURAL</t>
        </is>
      </c>
      <c r="G254" s="27" t="inlineStr">
        <is>
          <t>44300-000</t>
        </is>
      </c>
      <c r="H254" s="15" t="n">
        <v>3</v>
      </c>
      <c r="I254" s="28" t="inlineStr">
        <is>
          <t>NÃO</t>
        </is>
      </c>
      <c r="J254" s="29" t="n"/>
      <c r="K254" s="14" t="str">
        <f>IF(J254="","7. Acima de 2 km",IF(J254&lt;=50,"1. Até 50 m",IF(J254&lt;=100,"2. De 50 a 100 m",IF(J254&lt;=200,"3. De 100 a 200 m",IF(J254&lt;=300,"4. De 200 a 300 m",IF(J254&lt;=500,"5. De 300 a 500 m","6. De 500 m a 2 km"))))))</f>
        <v>7. Acima de 2 km</v>
      </c>
      <c r="L254" s="26" t="n">
        <v>0</v>
      </c>
      <c r="M254" s="26" t="n">
        <v>0</v>
      </c>
      <c r="N254" s="26" t="n">
        <v>0</v>
      </c>
      <c r="O254" s="26" t="n">
        <v>0</v>
      </c>
      <c r="P254" s="30" t="n">
        <v>-12.6795424</v>
      </c>
      <c r="Q254" s="30" t="n">
        <v>-38.9116218</v>
      </c>
      <c r="R254" s="14" t="inlineStr">
        <is>
          <t>PRAÇA BARÃO DO RIO BRANCO, S/N, CENTRO, CACHOEIRA/BA</t>
        </is>
      </c>
      <c r="S254" s="26">
        <f>IF(A254=A253,0,1)</f>
        <v>0</v>
      </c>
      <c r="T254" s="26">
        <f>IF(COUNTIF($B$4:B254,B254)=1,1,0)</f>
        <v>0</v>
      </c>
    </row>
    <row r="255">
      <c r="A255" s="14" t="inlineStr">
        <is>
          <t>CACHOEIRA</t>
        </is>
      </c>
      <c r="B255" s="26" t="n">
        <v>118</v>
      </c>
      <c r="C255" s="26" t="n">
        <v>1392</v>
      </c>
      <c r="D255" s="14" t="inlineStr">
        <is>
          <t>ESCOLA AUGUSTO TITO  DOS SANTOS</t>
        </is>
      </c>
      <c r="E255" s="14" t="inlineStr">
        <is>
          <t>POVOADO SANTO ANTONIO DO TIBIRI</t>
        </is>
      </c>
      <c r="F255" s="14" t="inlineStr">
        <is>
          <t>POVOADO SANTO ANTONIO DE TIBIRI - ZONA RURAL</t>
        </is>
      </c>
      <c r="G255" s="27" t="inlineStr">
        <is>
          <t>44300-000</t>
        </is>
      </c>
      <c r="H255" s="15" t="n">
        <v>2</v>
      </c>
      <c r="I255" s="28" t="inlineStr">
        <is>
          <t>NÃO</t>
        </is>
      </c>
      <c r="J255" s="29" t="n"/>
      <c r="K255" s="14" t="str">
        <f>IF(J255="","7. Acima de 2 km",IF(J255&lt;=50,"1. Até 50 m",IF(J255&lt;=100,"2. De 50 a 100 m",IF(J255&lt;=200,"3. De 100 a 200 m",IF(J255&lt;=300,"4. De 200 a 300 m",IF(J255&lt;=500,"5. De 300 a 500 m","6. De 500 m a 2 km"))))))</f>
        <v>7. Acima de 2 km</v>
      </c>
      <c r="L255" s="26" t="n">
        <v>0</v>
      </c>
      <c r="M255" s="26" t="n">
        <v>0</v>
      </c>
      <c r="N255" s="26" t="n">
        <v>0</v>
      </c>
      <c r="O255" s="26" t="n">
        <v>0</v>
      </c>
      <c r="P255" s="30" t="n">
        <v>-12.5366733</v>
      </c>
      <c r="Q255" s="30" t="n">
        <v>-38.9106489</v>
      </c>
      <c r="R255" s="14" t="inlineStr">
        <is>
          <t>PRAÇA BARÃO DO RIO BRANCO, S/N, CENTRO, CACHOEIRA/BA</t>
        </is>
      </c>
      <c r="S255" s="26">
        <f>IF(A255=A254,0,1)</f>
        <v>0</v>
      </c>
      <c r="T255" s="26">
        <f>IF(COUNTIF($B$4:B255,B255)=1,1,0)</f>
        <v>0</v>
      </c>
    </row>
    <row r="256">
      <c r="A256" s="14" t="inlineStr">
        <is>
          <t>CACHOEIRA</t>
        </is>
      </c>
      <c r="B256" s="26" t="n">
        <v>118</v>
      </c>
      <c r="C256" s="26" t="n">
        <v>1414</v>
      </c>
      <c r="D256" s="14" t="inlineStr">
        <is>
          <t>ESCOLA JOAQUIM TORRES DOS SANTOS</t>
        </is>
      </c>
      <c r="E256" s="14" t="inlineStr">
        <is>
          <t>POVOADO DO TUPIM</t>
        </is>
      </c>
      <c r="F256" s="14" t="inlineStr">
        <is>
          <t>POVOADO DO TUPIM - ZONA RURAL</t>
        </is>
      </c>
      <c r="G256" s="27" t="inlineStr">
        <is>
          <t>44300-000</t>
        </is>
      </c>
      <c r="H256" s="15" t="n">
        <v>1</v>
      </c>
      <c r="I256" s="28" t="inlineStr">
        <is>
          <t>NÃO</t>
        </is>
      </c>
      <c r="J256" s="29" t="n"/>
      <c r="K256" s="14" t="str">
        <f>IF(J256="","7. Acima de 2 km",IF(J256&lt;=50,"1. Até 50 m",IF(J256&lt;=100,"2. De 50 a 100 m",IF(J256&lt;=200,"3. De 100 a 200 m",IF(J256&lt;=300,"4. De 200 a 300 m",IF(J256&lt;=500,"5. De 300 a 500 m","6. De 500 m a 2 km"))))))</f>
        <v>7. Acima de 2 km</v>
      </c>
      <c r="L256" s="26" t="n">
        <v>0</v>
      </c>
      <c r="M256" s="26" t="n">
        <v>0</v>
      </c>
      <c r="N256" s="26" t="n">
        <v>0</v>
      </c>
      <c r="O256" s="26" t="n">
        <v>0</v>
      </c>
      <c r="P256" s="30" t="n">
        <v>-12.5379549</v>
      </c>
      <c r="Q256" s="30" t="n">
        <v>-38.9249429</v>
      </c>
      <c r="R256" s="14" t="inlineStr">
        <is>
          <t>PRAÇA BARÃO DO RIO BRANCO, S/N, CENTRO, CACHOEIRA/BA</t>
        </is>
      </c>
      <c r="S256" s="26">
        <f>IF(A256=A255,0,1)</f>
        <v>0</v>
      </c>
      <c r="T256" s="26">
        <f>IF(COUNTIF($B$4:B256,B256)=1,1,0)</f>
        <v>0</v>
      </c>
    </row>
    <row r="257">
      <c r="A257" s="14" t="inlineStr">
        <is>
          <t>CACHOEIRA</t>
        </is>
      </c>
      <c r="B257" s="26" t="n">
        <v>118</v>
      </c>
      <c r="C257" s="26" t="n">
        <v>1422</v>
      </c>
      <c r="D257" s="14" t="inlineStr">
        <is>
          <t>ESCOLA RURAL SAO PAULO</t>
        </is>
      </c>
      <c r="E257" s="14" t="inlineStr">
        <is>
          <t>POVOADO DA TERRA VERMELHA</t>
        </is>
      </c>
      <c r="F257" s="14" t="inlineStr">
        <is>
          <t>POVOADO DA TERRA VERMELHA - ZONA RURAL</t>
        </is>
      </c>
      <c r="G257" s="27" t="inlineStr">
        <is>
          <t>44300-000</t>
        </is>
      </c>
      <c r="H257" s="15" t="n">
        <v>2</v>
      </c>
      <c r="I257" s="28" t="inlineStr">
        <is>
          <t>NÃO</t>
        </is>
      </c>
      <c r="J257" s="29" t="n"/>
      <c r="K257" s="14" t="str">
        <f>IF(J257="","7. Acima de 2 km",IF(J257&lt;=50,"1. Até 50 m",IF(J257&lt;=100,"2. De 50 a 100 m",IF(J257&lt;=200,"3. De 100 a 200 m",IF(J257&lt;=300,"4. De 200 a 300 m",IF(J257&lt;=500,"5. De 300 a 500 m","6. De 500 m a 2 km"))))))</f>
        <v>7. Acima de 2 km</v>
      </c>
      <c r="L257" s="26" t="n">
        <v>0</v>
      </c>
      <c r="M257" s="26" t="n">
        <v>0</v>
      </c>
      <c r="N257" s="26" t="n">
        <v>0</v>
      </c>
      <c r="O257" s="26" t="n">
        <v>0</v>
      </c>
      <c r="P257" s="30" t="n">
        <v>-12.6215176</v>
      </c>
      <c r="Q257" s="30" t="n">
        <v>-38.9246979</v>
      </c>
      <c r="R257" s="14" t="inlineStr">
        <is>
          <t>PRAÇA BARÃO DO RIO BRANCO, S/N, CENTRO, CACHOEIRA/BA</t>
        </is>
      </c>
      <c r="S257" s="26">
        <f>IF(A257=A256,0,1)</f>
        <v>0</v>
      </c>
      <c r="T257" s="26">
        <f>IF(COUNTIF($B$4:B257,B257)=1,1,0)</f>
        <v>0</v>
      </c>
    </row>
    <row r="258">
      <c r="A258" s="14" t="inlineStr">
        <is>
          <t>CACHOEIRA</t>
        </is>
      </c>
      <c r="B258" s="26" t="n">
        <v>118</v>
      </c>
      <c r="C258" s="26" t="n">
        <v>1430</v>
      </c>
      <c r="D258" s="14" t="inlineStr">
        <is>
          <t>GUAIBA ESCOLA NOSSA SENHORA DA CONCEIÇÃO</t>
        </is>
      </c>
      <c r="E258" s="14" t="inlineStr">
        <is>
          <t>POVOADO DA GUAIBA</t>
        </is>
      </c>
      <c r="F258" s="14" t="inlineStr">
        <is>
          <t>POVOADO DA GUAIBA - ZONA RURAL</t>
        </is>
      </c>
      <c r="G258" s="27" t="inlineStr">
        <is>
          <t>44300-000</t>
        </is>
      </c>
      <c r="H258" s="15" t="n">
        <v>2</v>
      </c>
      <c r="I258" s="28" t="inlineStr">
        <is>
          <t>NÃO</t>
        </is>
      </c>
      <c r="J258" s="29" t="n"/>
      <c r="K258" s="14" t="str">
        <f>IF(J258="","7. Acima de 2 km",IF(J258&lt;=50,"1. Até 50 m",IF(J258&lt;=100,"2. De 50 a 100 m",IF(J258&lt;=200,"3. De 100 a 200 m",IF(J258&lt;=300,"4. De 200 a 300 m",IF(J258&lt;=500,"5. De 300 a 500 m","6. De 500 m a 2 km"))))))</f>
        <v>7. Acima de 2 km</v>
      </c>
      <c r="L258" s="26" t="n">
        <v>0</v>
      </c>
      <c r="M258" s="26" t="n">
        <v>0</v>
      </c>
      <c r="N258" s="26" t="n">
        <v>0</v>
      </c>
      <c r="O258" s="26" t="n">
        <v>0</v>
      </c>
      <c r="P258" s="30" t="n">
        <v>-12.6436481</v>
      </c>
      <c r="Q258" s="30" t="n">
        <v>-38.8884285</v>
      </c>
      <c r="R258" s="14" t="inlineStr">
        <is>
          <t>PRAÇA BARÃO DO RIO BRANCO, S/N, CENTRO, CACHOEIRA/BA</t>
        </is>
      </c>
      <c r="S258" s="26">
        <f>IF(A258=A257,0,1)</f>
        <v>0</v>
      </c>
      <c r="T258" s="26">
        <f>IF(COUNTIF($B$4:B258,B258)=1,1,0)</f>
        <v>0</v>
      </c>
    </row>
    <row r="259">
      <c r="A259" s="14" t="inlineStr">
        <is>
          <t>CACHOEIRA</t>
        </is>
      </c>
      <c r="B259" s="26" t="n">
        <v>118</v>
      </c>
      <c r="C259" s="26" t="n">
        <v>1457</v>
      </c>
      <c r="D259" s="14" t="inlineStr">
        <is>
          <t>CALOLÉ ESCOLA NOSSA SENHORA DA CONCEIÇÃO</t>
        </is>
      </c>
      <c r="E259" s="14" t="inlineStr">
        <is>
          <t>POVOADO DO CALOLE</t>
        </is>
      </c>
      <c r="F259" s="14" t="inlineStr">
        <is>
          <t>POVOADO DO CALOLÉ - ZONA RURAL</t>
        </is>
      </c>
      <c r="G259" s="27" t="inlineStr">
        <is>
          <t>44300-000</t>
        </is>
      </c>
      <c r="H259" s="15" t="n">
        <v>1</v>
      </c>
      <c r="I259" s="28" t="inlineStr">
        <is>
          <t>NÃO</t>
        </is>
      </c>
      <c r="J259" s="29" t="n"/>
      <c r="K259" s="14" t="str">
        <f>IF(J259="","7. Acima de 2 km",IF(J259&lt;=50,"1. Até 50 m",IF(J259&lt;=100,"2. De 50 a 100 m",IF(J259&lt;=200,"3. De 100 a 200 m",IF(J259&lt;=300,"4. De 200 a 300 m",IF(J259&lt;=500,"5. De 300 a 500 m","6. De 500 m a 2 km"))))))</f>
        <v>7. Acima de 2 km</v>
      </c>
      <c r="L259" s="26" t="n">
        <v>0</v>
      </c>
      <c r="M259" s="26" t="n">
        <v>0</v>
      </c>
      <c r="N259" s="26" t="n">
        <v>0</v>
      </c>
      <c r="O259" s="26" t="n">
        <v>0</v>
      </c>
      <c r="P259" s="30" t="n">
        <v>-12.6657105</v>
      </c>
      <c r="Q259" s="30" t="n">
        <v>-38.9117228</v>
      </c>
      <c r="R259" s="14" t="inlineStr">
        <is>
          <t>PRAÇA BARÃO DO RIO BRANCO, S/N, CENTRO, CACHOEIRA/BA</t>
        </is>
      </c>
      <c r="S259" s="26">
        <f>IF(A259=A258,0,1)</f>
        <v>0</v>
      </c>
      <c r="T259" s="26">
        <f>IF(COUNTIF($B$4:B259,B259)=1,1,0)</f>
        <v>0</v>
      </c>
    </row>
    <row r="260">
      <c r="A260" s="14" t="inlineStr">
        <is>
          <t>CACHOEIRA</t>
        </is>
      </c>
      <c r="B260" s="26" t="n">
        <v>118</v>
      </c>
      <c r="C260" s="26" t="n">
        <v>1465</v>
      </c>
      <c r="D260" s="14" t="inlineStr">
        <is>
          <t>ESCOLA MUNICIPAL ARTUR NUNES MARQUES</t>
        </is>
      </c>
      <c r="E260" s="14" t="inlineStr">
        <is>
          <t>POVOADO DA PINGUELA</t>
        </is>
      </c>
      <c r="F260" s="14" t="inlineStr">
        <is>
          <t>POVOADO DA PINGUELA - ZONA RURAL</t>
        </is>
      </c>
      <c r="G260" s="27" t="inlineStr">
        <is>
          <t>44300-000</t>
        </is>
      </c>
      <c r="H260" s="15" t="n">
        <v>1</v>
      </c>
      <c r="I260" s="28" t="inlineStr">
        <is>
          <t>NÃO</t>
        </is>
      </c>
      <c r="J260" s="29" t="n"/>
      <c r="K260" s="14" t="str">
        <f>IF(J260="","7. Acima de 2 km",IF(J260&lt;=50,"1. Até 50 m",IF(J260&lt;=100,"2. De 50 a 100 m",IF(J260&lt;=200,"3. De 100 a 200 m",IF(J260&lt;=300,"4. De 200 a 300 m",IF(J260&lt;=500,"5. De 300 a 500 m","6. De 500 m a 2 km"))))))</f>
        <v>7. Acima de 2 km</v>
      </c>
      <c r="L260" s="26" t="n">
        <v>0</v>
      </c>
      <c r="M260" s="26" t="n">
        <v>0</v>
      </c>
      <c r="N260" s="26" t="n">
        <v>0</v>
      </c>
      <c r="O260" s="26" t="n">
        <v>0</v>
      </c>
      <c r="P260" s="30" t="n">
        <v>-12.5508585</v>
      </c>
      <c r="Q260" s="30" t="n">
        <v>-38.8847004</v>
      </c>
      <c r="R260" s="14" t="inlineStr">
        <is>
          <t>PRAÇA BARÃO DO RIO BRANCO, S/N, CENTRO, CACHOEIRA/BA</t>
        </is>
      </c>
      <c r="S260" s="26">
        <f>IF(A260=A259,0,1)</f>
        <v>0</v>
      </c>
      <c r="T260" s="26">
        <f>IF(COUNTIF($B$4:B260,B260)=1,1,0)</f>
        <v>0</v>
      </c>
    </row>
    <row r="261">
      <c r="A261" s="14" t="inlineStr">
        <is>
          <t>CAETITÉ</t>
        </is>
      </c>
      <c r="B261" s="26" t="n">
        <v>63</v>
      </c>
      <c r="C261" s="26" t="n">
        <v>1015</v>
      </c>
      <c r="D261" s="14" t="inlineStr">
        <is>
          <t>COLEGIO-INSTITUTO DE EDUCACAO ANISIO TEIXEIRA</t>
        </is>
      </c>
      <c r="E261" s="14" t="inlineStr">
        <is>
          <t>NOVO HORIZONTE</t>
        </is>
      </c>
      <c r="F261" s="14" t="inlineStr">
        <is>
          <t>AVENIDA ANISIO TEIXEIRA, S/N - ZONA URBANA</t>
        </is>
      </c>
      <c r="G261" s="27" t="inlineStr">
        <is>
          <t>40000-000</t>
        </is>
      </c>
      <c r="H261" s="15" t="n">
        <v>10</v>
      </c>
      <c r="I261" s="28" t="inlineStr">
        <is>
          <t>NÃO</t>
        </is>
      </c>
      <c r="J261" s="29" t="n">
        <v>304.5</v>
      </c>
      <c r="K261" s="14" t="str">
        <f>IF(J261="","7. Acima de 2 km",IF(J261&lt;=50,"1. Até 50 m",IF(J261&lt;=100,"2. De 50 a 100 m",IF(J261&lt;=200,"3. De 100 a 200 m",IF(J261&lt;=300,"4. De 200 a 300 m",IF(J261&lt;=500,"5. De 300 a 500 m","6. De 500 m a 2 km"))))))</f>
        <v>5. De 300 a 500 m</v>
      </c>
      <c r="L261" s="26" t="n">
        <v>0</v>
      </c>
      <c r="M261" s="26" t="n">
        <v>0</v>
      </c>
      <c r="N261" s="26" t="n">
        <v>0</v>
      </c>
      <c r="O261" s="26" t="n">
        <v>0</v>
      </c>
      <c r="P261" s="30" t="n">
        <v>-14.0689996</v>
      </c>
      <c r="Q261" s="30" t="n">
        <v>-42.4935753</v>
      </c>
      <c r="R261" s="14" t="inlineStr">
        <is>
          <t>FÓRUM LOCAL - SALÃO DO JÚRI,  RUA DR. VANNI MOREIRA SILVEIRA LIMA, S/N - SANTA RITA/BA</t>
        </is>
      </c>
      <c r="S261" s="26">
        <f>IF(A261=A260,0,1)</f>
        <v>1</v>
      </c>
      <c r="T261" s="26">
        <f>IF(COUNTIF($B$4:B261,B261)=1,1,0)</f>
        <v>1</v>
      </c>
    </row>
    <row r="262">
      <c r="A262" s="14" t="inlineStr">
        <is>
          <t>CAETITÉ</t>
        </is>
      </c>
      <c r="B262" s="26" t="n">
        <v>63</v>
      </c>
      <c r="C262" s="26" t="n">
        <v>1023</v>
      </c>
      <c r="D262" s="14" t="inlineStr">
        <is>
          <t>GRUPO ESCOLAR MANOEL TEIXEIRA LADEIA</t>
        </is>
      </c>
      <c r="E262" s="14" t="inlineStr">
        <is>
          <t>ALTO DO CRISTO</t>
        </is>
      </c>
      <c r="F262" s="14" t="inlineStr">
        <is>
          <t>AVENIDA DIVINO ESPIRITO SANTO, S/N - ZONA URBANA</t>
        </is>
      </c>
      <c r="G262" s="27" t="inlineStr">
        <is>
          <t>46400-000</t>
        </is>
      </c>
      <c r="H262" s="15" t="n">
        <v>3</v>
      </c>
      <c r="I262" s="28" t="inlineStr">
        <is>
          <t>NÃO</t>
        </is>
      </c>
      <c r="J262" s="29" t="n">
        <v>273.5</v>
      </c>
      <c r="K262" s="14" t="str">
        <f>IF(J262="","7. Acima de 2 km",IF(J262&lt;=50,"1. Até 50 m",IF(J262&lt;=100,"2. De 50 a 100 m",IF(J262&lt;=200,"3. De 100 a 200 m",IF(J262&lt;=300,"4. De 200 a 300 m",IF(J262&lt;=500,"5. De 300 a 500 m","6. De 500 m a 2 km"))))))</f>
        <v>4. De 200 a 300 m</v>
      </c>
      <c r="L262" s="26" t="n">
        <v>0</v>
      </c>
      <c r="M262" s="26" t="n">
        <v>0</v>
      </c>
      <c r="N262" s="26" t="n">
        <v>0</v>
      </c>
      <c r="O262" s="26" t="n">
        <v>2</v>
      </c>
      <c r="P262" s="30" t="n">
        <v>-14.0645875</v>
      </c>
      <c r="Q262" s="30" t="n">
        <v>-42.4827475</v>
      </c>
      <c r="R262" s="14" t="inlineStr">
        <is>
          <t>FÓRUM LOCAL - SALÃO DO JÚRI,  RUA DR. VANNI MOREIRA SILVEIRA LIMA, S/N - SANTA RITA/BA</t>
        </is>
      </c>
      <c r="S262" s="26">
        <f>IF(A262=A261,0,1)</f>
        <v>0</v>
      </c>
      <c r="T262" s="26">
        <f>IF(COUNTIF($B$4:B262,B262)=1,1,0)</f>
        <v>0</v>
      </c>
    </row>
    <row r="263">
      <c r="A263" s="14" t="inlineStr">
        <is>
          <t>CAETITÉ</t>
        </is>
      </c>
      <c r="B263" s="26" t="n">
        <v>63</v>
      </c>
      <c r="C263" s="26" t="n">
        <v>1031</v>
      </c>
      <c r="D263" s="14" t="inlineStr">
        <is>
          <t>GRUPO ESCOLAR SEN.OVIDIO TEIXEIRA</t>
        </is>
      </c>
      <c r="E263" s="14" t="inlineStr">
        <is>
          <t>RODRIGUES LIMA</t>
        </is>
      </c>
      <c r="F263" s="14" t="inlineStr">
        <is>
          <t>RUA PROFESSOR SANTANA, S/N - ZONA URBANA</t>
        </is>
      </c>
      <c r="G263" s="27" t="inlineStr">
        <is>
          <t>46400-000</t>
        </is>
      </c>
      <c r="H263" s="15" t="n">
        <v>4</v>
      </c>
      <c r="I263" s="28" t="inlineStr">
        <is>
          <t>NÃO</t>
        </is>
      </c>
      <c r="J263" s="29" t="n">
        <v>512.7</v>
      </c>
      <c r="K263" s="14" t="str">
        <f>IF(J263="","7. Acima de 2 km",IF(J263&lt;=50,"1. Até 50 m",IF(J263&lt;=100,"2. De 50 a 100 m",IF(J263&lt;=200,"3. De 100 a 200 m",IF(J263&lt;=300,"4. De 200 a 300 m",IF(J263&lt;=500,"5. De 300 a 500 m","6. De 500 m a 2 km"))))))</f>
        <v>6. De 500 m a 2 km</v>
      </c>
      <c r="L263" s="26" t="n">
        <v>0</v>
      </c>
      <c r="M263" s="26" t="n">
        <v>0</v>
      </c>
      <c r="N263" s="26" t="n">
        <v>0</v>
      </c>
      <c r="O263" s="26" t="n">
        <v>0</v>
      </c>
      <c r="P263" s="30" t="n">
        <v>-14.0724172</v>
      </c>
      <c r="Q263" s="30" t="n">
        <v>-42.4823235</v>
      </c>
      <c r="R263" s="14" t="inlineStr">
        <is>
          <t>FÓRUM LOCAL - SALÃO DO JÚRI,  RUA DR. VANNI MOREIRA SILVEIRA LIMA, S/N - SANTA RITA/BA</t>
        </is>
      </c>
      <c r="S263" s="26">
        <f>IF(A263=A262,0,1)</f>
        <v>0</v>
      </c>
      <c r="T263" s="26">
        <f>IF(COUNTIF($B$4:B263,B263)=1,1,0)</f>
        <v>0</v>
      </c>
    </row>
    <row r="264">
      <c r="A264" s="14" t="inlineStr">
        <is>
          <t>CAETITÉ</t>
        </is>
      </c>
      <c r="B264" s="26" t="n">
        <v>63</v>
      </c>
      <c r="C264" s="26" t="n">
        <v>1066</v>
      </c>
      <c r="D264" s="14" t="inlineStr">
        <is>
          <t>GRUPO ESCOLAR MARIA NEVES LOBAO</t>
        </is>
      </c>
      <c r="E264" s="14" t="inlineStr">
        <is>
          <t>PRAÇA MARIA NEVES LOBÃO</t>
        </is>
      </c>
      <c r="F264" s="14" t="inlineStr">
        <is>
          <t>PRACA MARIA NEVES LOBAO - ZONA URBANA</t>
        </is>
      </c>
      <c r="G264" s="27" t="inlineStr">
        <is>
          <t>46400-000</t>
        </is>
      </c>
      <c r="H264" s="15" t="n">
        <v>4</v>
      </c>
      <c r="I264" s="28" t="inlineStr">
        <is>
          <t>NÃO</t>
        </is>
      </c>
      <c r="J264" s="29" t="n">
        <v>462.6</v>
      </c>
      <c r="K264" s="14" t="str">
        <f>IF(J264="","7. Acima de 2 km",IF(J264&lt;=50,"1. Até 50 m",IF(J264&lt;=100,"2. De 50 a 100 m",IF(J264&lt;=200,"3. De 100 a 200 m",IF(J264&lt;=300,"4. De 200 a 300 m",IF(J264&lt;=500,"5. De 300 a 500 m","6. De 500 m a 2 km"))))))</f>
        <v>5. De 300 a 500 m</v>
      </c>
      <c r="L264" s="26" t="n">
        <v>0</v>
      </c>
      <c r="M264" s="26" t="n">
        <v>0</v>
      </c>
      <c r="N264" s="26" t="n">
        <v>0</v>
      </c>
      <c r="O264" s="26" t="n">
        <v>0</v>
      </c>
      <c r="P264" s="30" t="n">
        <v>-14.0730895</v>
      </c>
      <c r="Q264" s="30" t="n">
        <v>-42.4906014</v>
      </c>
      <c r="R264" s="14" t="inlineStr">
        <is>
          <t>FÓRUM LOCAL - SALÃO DO JÚRI,  RUA DR. VANNI MOREIRA SILVEIRA LIMA, S/N - SANTA RITA/BA</t>
        </is>
      </c>
      <c r="S264" s="26">
        <f>IF(A264=A263,0,1)</f>
        <v>0</v>
      </c>
      <c r="T264" s="26">
        <f>IF(COUNTIF($B$4:B264,B264)=1,1,0)</f>
        <v>0</v>
      </c>
    </row>
    <row r="265">
      <c r="A265" s="14" t="inlineStr">
        <is>
          <t>CAETITÉ</t>
        </is>
      </c>
      <c r="B265" s="26" t="n">
        <v>63</v>
      </c>
      <c r="C265" s="26" t="n">
        <v>1074</v>
      </c>
      <c r="D265" s="14" t="inlineStr">
        <is>
          <t>GRUPO ESCOLAR VALDIR CARDOSO</t>
        </is>
      </c>
      <c r="E265" s="14" t="inlineStr">
        <is>
          <t>PERNAMBUCO</t>
        </is>
      </c>
      <c r="F265" s="14" t="inlineStr">
        <is>
          <t>RUA PERNAMBUCO - ZONA URBANA</t>
        </is>
      </c>
      <c r="G265" s="27" t="inlineStr">
        <is>
          <t>46400-000</t>
        </is>
      </c>
      <c r="H265" s="15" t="n">
        <v>4</v>
      </c>
      <c r="I265" s="28" t="inlineStr">
        <is>
          <t>NÃO</t>
        </is>
      </c>
      <c r="J265" s="29" t="n">
        <v>467.9</v>
      </c>
      <c r="K265" s="14" t="str">
        <f>IF(J265="","7. Acima de 2 km",IF(J265&lt;=50,"1. Até 50 m",IF(J265&lt;=100,"2. De 50 a 100 m",IF(J265&lt;=200,"3. De 100 a 200 m",IF(J265&lt;=300,"4. De 200 a 300 m",IF(J265&lt;=500,"5. De 300 a 500 m","6. De 500 m a 2 km"))))))</f>
        <v>5. De 300 a 500 m</v>
      </c>
      <c r="L265" s="26" t="n">
        <v>0</v>
      </c>
      <c r="M265" s="26" t="n">
        <v>0</v>
      </c>
      <c r="N265" s="26" t="n">
        <v>0</v>
      </c>
      <c r="O265" s="26" t="n">
        <v>0</v>
      </c>
      <c r="P265" s="30" t="n">
        <v>-14.0703701</v>
      </c>
      <c r="Q265" s="30" t="n">
        <v>-42.4815572</v>
      </c>
      <c r="R265" s="14" t="inlineStr">
        <is>
          <t>FÓRUM LOCAL - SALÃO DO JÚRI,  RUA DR. VANNI MOREIRA SILVEIRA LIMA, S/N - SANTA RITA/BA</t>
        </is>
      </c>
      <c r="S265" s="26">
        <f>IF(A265=A264,0,1)</f>
        <v>0</v>
      </c>
      <c r="T265" s="26">
        <f>IF(COUNTIF($B$4:B265,B265)=1,1,0)</f>
        <v>0</v>
      </c>
    </row>
    <row r="266">
      <c r="A266" s="14" t="inlineStr">
        <is>
          <t>CAETITÉ</t>
        </is>
      </c>
      <c r="B266" s="26" t="n">
        <v>63</v>
      </c>
      <c r="C266" s="26" t="n">
        <v>1082</v>
      </c>
      <c r="D266" s="14" t="inlineStr">
        <is>
          <t>GRUPO ESCOLAR MARIA CONCEICAO PONTES</t>
        </is>
      </c>
      <c r="E266" s="14" t="inlineStr">
        <is>
          <t>ALTO BUENOS AIRES</t>
        </is>
      </c>
      <c r="F266" s="14" t="inlineStr">
        <is>
          <t>RUA DO CEMITERIO MUNICIPAL, S/N - ZONA URBANA</t>
        </is>
      </c>
      <c r="G266" s="27" t="inlineStr">
        <is>
          <t>46400-000</t>
        </is>
      </c>
      <c r="H266" s="15" t="n">
        <v>3</v>
      </c>
      <c r="I266" s="28" t="inlineStr">
        <is>
          <t>NÃO</t>
        </is>
      </c>
      <c r="J266" s="29" t="n">
        <v>557.1</v>
      </c>
      <c r="K266" s="14" t="str">
        <f>IF(J266="","7. Acima de 2 km",IF(J266&lt;=50,"1. Até 50 m",IF(J266&lt;=100,"2. De 50 a 100 m",IF(J266&lt;=200,"3. De 100 a 200 m",IF(J266&lt;=300,"4. De 200 a 300 m",IF(J266&lt;=500,"5. De 300 a 500 m","6. De 500 m a 2 km"))))))</f>
        <v>6. De 500 m a 2 km</v>
      </c>
      <c r="L266" s="26" t="n">
        <v>0</v>
      </c>
      <c r="M266" s="26" t="n">
        <v>0</v>
      </c>
      <c r="N266" s="26" t="n">
        <v>0</v>
      </c>
      <c r="O266" s="26" t="n">
        <v>0</v>
      </c>
      <c r="P266" s="30" t="n">
        <v>-14.0606185</v>
      </c>
      <c r="Q266" s="30" t="n">
        <v>-42.4853862</v>
      </c>
      <c r="R266" s="14" t="inlineStr">
        <is>
          <t>FÓRUM LOCAL - SALÃO DO JÚRI,  RUA DR. VANNI MOREIRA SILVEIRA LIMA, S/N - SANTA RITA/BA</t>
        </is>
      </c>
      <c r="S266" s="26">
        <f>IF(A266=A265,0,1)</f>
        <v>0</v>
      </c>
      <c r="T266" s="26">
        <f>IF(COUNTIF($B$4:B266,B266)=1,1,0)</f>
        <v>0</v>
      </c>
    </row>
    <row r="267">
      <c r="A267" s="14" t="inlineStr">
        <is>
          <t>CAETITÉ</t>
        </is>
      </c>
      <c r="B267" s="26" t="n">
        <v>63</v>
      </c>
      <c r="C267" s="26" t="n">
        <v>1104</v>
      </c>
      <c r="D267" s="14" t="inlineStr">
        <is>
          <t>COLEGIO JOAQUIM DE BRITO GONDIM</t>
        </is>
      </c>
      <c r="E267" s="14" t="inlineStr">
        <is>
          <t>DISTRITO BREJINHO DAS AMETISTAS</t>
        </is>
      </c>
      <c r="F267" s="14" t="inlineStr">
        <is>
          <t>DISTRITO BREJINHO DAS AMETISTAS - ZONA RURAL</t>
        </is>
      </c>
      <c r="G267" s="27" t="inlineStr">
        <is>
          <t>46400-000</t>
        </is>
      </c>
      <c r="H267" s="15" t="n">
        <v>4</v>
      </c>
      <c r="I267" s="28" t="inlineStr">
        <is>
          <t>NÃO</t>
        </is>
      </c>
      <c r="J267" s="29" t="n"/>
      <c r="K267" s="14" t="str">
        <f>IF(J267="","7. Acima de 2 km",IF(J267&lt;=50,"1. Até 50 m",IF(J267&lt;=100,"2. De 50 a 100 m",IF(J267&lt;=200,"3. De 100 a 200 m",IF(J267&lt;=300,"4. De 200 a 300 m",IF(J267&lt;=500,"5. De 300 a 500 m","6. De 500 m a 2 km"))))))</f>
        <v>7. Acima de 2 km</v>
      </c>
      <c r="L267" s="26" t="n">
        <v>0</v>
      </c>
      <c r="M267" s="26" t="n">
        <v>0</v>
      </c>
      <c r="N267" s="26" t="n">
        <v>0</v>
      </c>
      <c r="O267" s="26" t="n">
        <v>0</v>
      </c>
      <c r="P267" s="30" t="n">
        <v>-14.2617083</v>
      </c>
      <c r="Q267" s="30" t="n">
        <v>-42.5259033</v>
      </c>
      <c r="R267" s="14" t="inlineStr">
        <is>
          <t>FÓRUM LOCAL - SALÃO DO JÚRI,  RUA DR. VANNI MOREIRA SILVEIRA LIMA, S/N - SANTA RITA/BA</t>
        </is>
      </c>
      <c r="S267" s="26">
        <f>IF(A267=A266,0,1)</f>
        <v>0</v>
      </c>
      <c r="T267" s="26">
        <f>IF(COUNTIF($B$4:B267,B267)=1,1,0)</f>
        <v>0</v>
      </c>
    </row>
    <row r="268">
      <c r="A268" s="14" t="inlineStr">
        <is>
          <t>CAETITÉ</t>
        </is>
      </c>
      <c r="B268" s="26" t="n">
        <v>63</v>
      </c>
      <c r="C268" s="26" t="n">
        <v>1112</v>
      </c>
      <c r="D268" s="14" t="inlineStr">
        <is>
          <t>CRECHE MARIA APARECIDA SANTOS BORGES</t>
        </is>
      </c>
      <c r="E268" s="14" t="inlineStr">
        <is>
          <t>DISTRITO BREJINHO DAS AMETISTAS</t>
        </is>
      </c>
      <c r="F268" s="14" t="inlineStr">
        <is>
          <t>RUA DO CAMPO, S/N - ZONA RURAL</t>
        </is>
      </c>
      <c r="G268" s="27" t="inlineStr">
        <is>
          <t>46400-000</t>
        </is>
      </c>
      <c r="H268" s="15" t="n">
        <v>2</v>
      </c>
      <c r="I268" s="28" t="inlineStr">
        <is>
          <t>NÃO</t>
        </is>
      </c>
      <c r="J268" s="29" t="n"/>
      <c r="K268" s="14" t="str">
        <f>IF(J268="","7. Acima de 2 km",IF(J268&lt;=50,"1. Até 50 m",IF(J268&lt;=100,"2. De 50 a 100 m",IF(J268&lt;=200,"3. De 100 a 200 m",IF(J268&lt;=300,"4. De 200 a 300 m",IF(J268&lt;=500,"5. De 300 a 500 m","6. De 500 m a 2 km"))))))</f>
        <v>7. Acima de 2 km</v>
      </c>
      <c r="L268" s="26" t="n">
        <v>0</v>
      </c>
      <c r="M268" s="26" t="n">
        <v>0</v>
      </c>
      <c r="N268" s="26" t="n">
        <v>0</v>
      </c>
      <c r="O268" s="26" t="n">
        <v>0</v>
      </c>
      <c r="P268" s="30" t="n">
        <v>-14.2645467</v>
      </c>
      <c r="Q268" s="30" t="n">
        <v>-42.5262883</v>
      </c>
      <c r="R268" s="14" t="inlineStr">
        <is>
          <t>FÓRUM LOCAL - SALÃO DO JÚRI,  RUA DR. VANNI MOREIRA SILVEIRA LIMA, S/N - SANTA RITA/BA</t>
        </is>
      </c>
      <c r="S268" s="26">
        <f>IF(A268=A267,0,1)</f>
        <v>0</v>
      </c>
      <c r="T268" s="26">
        <f>IF(COUNTIF($B$4:B268,B268)=1,1,0)</f>
        <v>0</v>
      </c>
    </row>
    <row r="269">
      <c r="A269" s="14" t="inlineStr">
        <is>
          <t>CAETITÉ</t>
        </is>
      </c>
      <c r="B269" s="26" t="n">
        <v>63</v>
      </c>
      <c r="C269" s="26" t="n">
        <v>1139</v>
      </c>
      <c r="D269" s="14" t="inlineStr">
        <is>
          <t>COLEGIO PROFESSORA NUNILIA IVO FROTA</t>
        </is>
      </c>
      <c r="E269" s="14" t="inlineStr">
        <is>
          <t>DISTRITO DE MANIAÇU</t>
        </is>
      </c>
      <c r="F269" s="14" t="inlineStr">
        <is>
          <t>DISTRITO MANIACU - ZONA RURAL</t>
        </is>
      </c>
      <c r="G269" s="27" t="inlineStr">
        <is>
          <t>46400-000</t>
        </is>
      </c>
      <c r="H269" s="15" t="n">
        <v>3</v>
      </c>
      <c r="I269" s="28" t="inlineStr">
        <is>
          <t>NÃO</t>
        </is>
      </c>
      <c r="J269" s="29" t="n"/>
      <c r="K269" s="14" t="str">
        <f>IF(J269="","7. Acima de 2 km",IF(J269&lt;=50,"1. Até 50 m",IF(J269&lt;=100,"2. De 50 a 100 m",IF(J269&lt;=200,"3. De 100 a 200 m",IF(J269&lt;=300,"4. De 200 a 300 m",IF(J269&lt;=500,"5. De 300 a 500 m","6. De 500 m a 2 km"))))))</f>
        <v>7. Acima de 2 km</v>
      </c>
      <c r="L269" s="26" t="n">
        <v>0</v>
      </c>
      <c r="M269" s="26" t="n">
        <v>0</v>
      </c>
      <c r="N269" s="26" t="n">
        <v>0</v>
      </c>
      <c r="O269" s="26" t="n">
        <v>0</v>
      </c>
      <c r="P269" s="30" t="n">
        <v>-13.8404133</v>
      </c>
      <c r="Q269" s="30" t="n">
        <v>-42.3900967</v>
      </c>
      <c r="R269" s="14" t="inlineStr">
        <is>
          <t>FÓRUM LOCAL - SALÃO DO JÚRI,  RUA DR. VANNI MOREIRA SILVEIRA LIMA, S/N - SANTA RITA/BA</t>
        </is>
      </c>
      <c r="S269" s="26">
        <f>IF(A269=A268,0,1)</f>
        <v>0</v>
      </c>
      <c r="T269" s="26">
        <f>IF(COUNTIF($B$4:B269,B269)=1,1,0)</f>
        <v>0</v>
      </c>
    </row>
    <row r="270">
      <c r="A270" s="14" t="inlineStr">
        <is>
          <t>CAETITÉ</t>
        </is>
      </c>
      <c r="B270" s="26" t="n">
        <v>63</v>
      </c>
      <c r="C270" s="26" t="n">
        <v>1155</v>
      </c>
      <c r="D270" s="14" t="inlineStr">
        <is>
          <t>ASSOCIAÇÃO COMUNITÁRIA DOS AMIGOS DE LAGOA DE FORA</t>
        </is>
      </c>
      <c r="E270" s="14" t="inlineStr">
        <is>
          <t>DISTRITO DE MANIAÇU</t>
        </is>
      </c>
      <c r="F270" s="14" t="inlineStr">
        <is>
          <t>COMUNIDADE DE LAGOA DE FORA - ZONA RURAL</t>
        </is>
      </c>
      <c r="G270" s="27" t="inlineStr">
        <is>
          <t>46400-000</t>
        </is>
      </c>
      <c r="H270" s="15" t="n">
        <v>2</v>
      </c>
      <c r="I270" s="28" t="inlineStr">
        <is>
          <t>NÃO</t>
        </is>
      </c>
      <c r="J270" s="29" t="n"/>
      <c r="K270" s="14" t="str">
        <f>IF(J270="","7. Acima de 2 km",IF(J270&lt;=50,"1. Até 50 m",IF(J270&lt;=100,"2. De 50 a 100 m",IF(J270&lt;=200,"3. De 100 a 200 m",IF(J270&lt;=300,"4. De 200 a 300 m",IF(J270&lt;=500,"5. De 300 a 500 m","6. De 500 m a 2 km"))))))</f>
        <v>7. Acima de 2 km</v>
      </c>
      <c r="L270" s="26" t="n">
        <v>0</v>
      </c>
      <c r="M270" s="26" t="n">
        <v>0</v>
      </c>
      <c r="N270" s="26" t="n">
        <v>0</v>
      </c>
      <c r="O270" s="26" t="n">
        <v>0</v>
      </c>
      <c r="P270" s="30" t="n">
        <v>-13.8581804</v>
      </c>
      <c r="Q270" s="30" t="n">
        <v>-42.4460783</v>
      </c>
      <c r="R270" s="14" t="inlineStr">
        <is>
          <t>FÓRUM LOCAL - SALÃO DO JÚRI,  RUA DR. VANNI MOREIRA SILVEIRA LIMA, S/N - SANTA RITA/BA</t>
        </is>
      </c>
      <c r="S270" s="26">
        <f>IF(A270=A269,0,1)</f>
        <v>0</v>
      </c>
      <c r="T270" s="26">
        <f>IF(COUNTIF($B$4:B270,B270)=1,1,0)</f>
        <v>0</v>
      </c>
    </row>
    <row r="271">
      <c r="A271" s="14" t="inlineStr">
        <is>
          <t>CAETITÉ</t>
        </is>
      </c>
      <c r="B271" s="26" t="n">
        <v>63</v>
      </c>
      <c r="C271" s="26" t="n">
        <v>1171</v>
      </c>
      <c r="D271" s="14" t="inlineStr">
        <is>
          <t>ESCOLA ZELINDA CARVALHO TEIXEIRA</t>
        </is>
      </c>
      <c r="E271" s="14" t="inlineStr">
        <is>
          <t>DISTRITO DE MANIAÇU</t>
        </is>
      </c>
      <c r="F271" s="14" t="inlineStr">
        <is>
          <t>CENTRO DE MANIAÇU - ZONA RURAL</t>
        </is>
      </c>
      <c r="G271" s="27" t="inlineStr">
        <is>
          <t>46400-000</t>
        </is>
      </c>
      <c r="H271" s="15" t="n">
        <v>6</v>
      </c>
      <c r="I271" s="28" t="inlineStr">
        <is>
          <t>NÃO</t>
        </is>
      </c>
      <c r="J271" s="29" t="n"/>
      <c r="K271" s="14" t="str">
        <f>IF(J271="","7. Acima de 2 km",IF(J271&lt;=50,"1. Até 50 m",IF(J271&lt;=100,"2. De 50 a 100 m",IF(J271&lt;=200,"3. De 100 a 200 m",IF(J271&lt;=300,"4. De 200 a 300 m",IF(J271&lt;=500,"5. De 300 a 500 m","6. De 500 m a 2 km"))))))</f>
        <v>7. Acima de 2 km</v>
      </c>
      <c r="L271" s="26" t="n">
        <v>0</v>
      </c>
      <c r="M271" s="26" t="n">
        <v>0</v>
      </c>
      <c r="N271" s="26" t="n">
        <v>0</v>
      </c>
      <c r="O271" s="26" t="n">
        <v>0</v>
      </c>
      <c r="P271" s="30" t="n">
        <v>-13.840425</v>
      </c>
      <c r="Q271" s="30" t="n">
        <v>-42.3897833</v>
      </c>
      <c r="R271" s="14" t="inlineStr">
        <is>
          <t>FÓRUM LOCAL - SALÃO DO JÚRI,  RUA DR. VANNI MOREIRA SILVEIRA LIMA, S/N - SANTA RITA/BA</t>
        </is>
      </c>
      <c r="S271" s="26">
        <f>IF(A271=A270,0,1)</f>
        <v>0</v>
      </c>
      <c r="T271" s="26">
        <f>IF(COUNTIF($B$4:B271,B271)=1,1,0)</f>
        <v>0</v>
      </c>
    </row>
    <row r="272">
      <c r="A272" s="14" t="inlineStr">
        <is>
          <t>CAETITÉ</t>
        </is>
      </c>
      <c r="B272" s="26" t="n">
        <v>63</v>
      </c>
      <c r="C272" s="26" t="n">
        <v>1198</v>
      </c>
      <c r="D272" s="14" t="inlineStr">
        <is>
          <t>ESCOLA MUNICIPAL BENTO OLIVEIRA</t>
        </is>
      </c>
      <c r="E272" s="14" t="inlineStr">
        <is>
          <t>DISTRITO DE MANIAÇU</t>
        </is>
      </c>
      <c r="F272" s="14" t="inlineStr">
        <is>
          <t>POVOADO DE JUAZEIRO - ZONA RURAL</t>
        </is>
      </c>
      <c r="G272" s="27" t="inlineStr">
        <is>
          <t>46400-000</t>
        </is>
      </c>
      <c r="H272" s="15" t="n">
        <v>3</v>
      </c>
      <c r="I272" s="28" t="inlineStr">
        <is>
          <t>NÃO</t>
        </is>
      </c>
      <c r="J272" s="29" t="n"/>
      <c r="K272" s="14" t="str">
        <f>IF(J272="","7. Acima de 2 km",IF(J272&lt;=50,"1. Até 50 m",IF(J272&lt;=100,"2. De 50 a 100 m",IF(J272&lt;=200,"3. De 100 a 200 m",IF(J272&lt;=300,"4. De 200 a 300 m",IF(J272&lt;=500,"5. De 300 a 500 m","6. De 500 m a 2 km"))))))</f>
        <v>7. Acima de 2 km</v>
      </c>
      <c r="L272" s="26" t="n">
        <v>0</v>
      </c>
      <c r="M272" s="26" t="n">
        <v>0</v>
      </c>
      <c r="N272" s="26" t="n">
        <v>0</v>
      </c>
      <c r="O272" s="26" t="n">
        <v>0</v>
      </c>
      <c r="P272" s="30" t="n">
        <v>-13.86552</v>
      </c>
      <c r="Q272" s="30" t="n">
        <v>-42.2277433</v>
      </c>
      <c r="R272" s="14" t="inlineStr">
        <is>
          <t>FÓRUM LOCAL - SALÃO DO JÚRI,  RUA DR. VANNI MOREIRA SILVEIRA LIMA, S/N - SANTA RITA/BA</t>
        </is>
      </c>
      <c r="S272" s="26">
        <f>IF(A272=A271,0,1)</f>
        <v>0</v>
      </c>
      <c r="T272" s="26">
        <f>IF(COUNTIF($B$4:B272,B272)=1,1,0)</f>
        <v>0</v>
      </c>
    </row>
    <row r="273">
      <c r="A273" s="14" t="inlineStr">
        <is>
          <t>CAETITÉ</t>
        </is>
      </c>
      <c r="B273" s="26" t="n">
        <v>63</v>
      </c>
      <c r="C273" s="26" t="n">
        <v>1210</v>
      </c>
      <c r="D273" s="14" t="inlineStr">
        <is>
          <t>ESCOLA MUNICIPAL JANIR AGUIAR</t>
        </is>
      </c>
      <c r="E273" s="14" t="inlineStr">
        <is>
          <t>COMUNIDADE RIACHO DA VACA</t>
        </is>
      </c>
      <c r="F273" s="14" t="inlineStr">
        <is>
          <t>COMUNIDADE DE RIACHO DA VACA - ZONA RURAL</t>
        </is>
      </c>
      <c r="G273" s="27" t="inlineStr">
        <is>
          <t>46400-000</t>
        </is>
      </c>
      <c r="H273" s="15" t="n">
        <v>1</v>
      </c>
      <c r="I273" s="28" t="inlineStr">
        <is>
          <t>NÃO</t>
        </is>
      </c>
      <c r="J273" s="29" t="n"/>
      <c r="K273" s="14" t="str">
        <f>IF(J273="","7. Acima de 2 km",IF(J273&lt;=50,"1. Até 50 m",IF(J273&lt;=100,"2. De 50 a 100 m",IF(J273&lt;=200,"3. De 100 a 200 m",IF(J273&lt;=300,"4. De 200 a 300 m",IF(J273&lt;=500,"5. De 300 a 500 m","6. De 500 m a 2 km"))))))</f>
        <v>7. Acima de 2 km</v>
      </c>
      <c r="L273" s="26" t="n">
        <v>0</v>
      </c>
      <c r="M273" s="26" t="n">
        <v>0</v>
      </c>
      <c r="N273" s="26" t="n">
        <v>0</v>
      </c>
      <c r="O273" s="26" t="n">
        <v>0</v>
      </c>
      <c r="P273" s="30" t="n">
        <v>-13.8158817</v>
      </c>
      <c r="Q273" s="30" t="n">
        <v>-42.2772767</v>
      </c>
      <c r="R273" s="14" t="inlineStr">
        <is>
          <t>FÓRUM LOCAL - SALÃO DO JÚRI,  RUA DR. VANNI MOREIRA SILVEIRA LIMA, S/N - SANTA RITA/BA</t>
        </is>
      </c>
      <c r="S273" s="26">
        <f>IF(A273=A272,0,1)</f>
        <v>0</v>
      </c>
      <c r="T273" s="26">
        <f>IF(COUNTIF($B$4:B273,B273)=1,1,0)</f>
        <v>0</v>
      </c>
    </row>
    <row r="274">
      <c r="A274" s="14" t="inlineStr">
        <is>
          <t>CAETITÉ</t>
        </is>
      </c>
      <c r="B274" s="26" t="n">
        <v>63</v>
      </c>
      <c r="C274" s="26" t="n">
        <v>1228</v>
      </c>
      <c r="D274" s="14" t="inlineStr">
        <is>
          <t>IGREJA CATÓLICA DO PAPAGAIO</t>
        </is>
      </c>
      <c r="E274" s="14" t="inlineStr">
        <is>
          <t>DISTRITO DE MANIAÇU</t>
        </is>
      </c>
      <c r="F274" s="14" t="inlineStr">
        <is>
          <t>COMUNIDADE DO PAPAGAIO - ZONA RURAL</t>
        </is>
      </c>
      <c r="G274" s="27" t="inlineStr">
        <is>
          <t>46400-000</t>
        </is>
      </c>
      <c r="H274" s="15" t="n">
        <v>2</v>
      </c>
      <c r="I274" s="28" t="inlineStr">
        <is>
          <t>NÃO</t>
        </is>
      </c>
      <c r="J274" s="29" t="n"/>
      <c r="K274" s="14" t="str">
        <f>IF(J274="","7. Acima de 2 km",IF(J274&lt;=50,"1. Até 50 m",IF(J274&lt;=100,"2. De 50 a 100 m",IF(J274&lt;=200,"3. De 100 a 200 m",IF(J274&lt;=300,"4. De 200 a 300 m",IF(J274&lt;=500,"5. De 300 a 500 m","6. De 500 m a 2 km"))))))</f>
        <v>7. Acima de 2 km</v>
      </c>
      <c r="L274" s="26" t="n">
        <v>0</v>
      </c>
      <c r="M274" s="26" t="n">
        <v>0</v>
      </c>
      <c r="N274" s="26" t="n">
        <v>0</v>
      </c>
      <c r="O274" s="26" t="n">
        <v>0</v>
      </c>
      <c r="P274" s="30" t="n">
        <v>-13.9052133</v>
      </c>
      <c r="Q274" s="30" t="n">
        <v>-42.391105</v>
      </c>
      <c r="R274" s="14" t="inlineStr">
        <is>
          <t>FÓRUM LOCAL - SALÃO DO JÚRI,  RUA DR. VANNI MOREIRA SILVEIRA LIMA, S/N - SANTA RITA/BA</t>
        </is>
      </c>
      <c r="S274" s="26">
        <f>IF(A274=A273,0,1)</f>
        <v>0</v>
      </c>
      <c r="T274" s="26">
        <f>IF(COUNTIF($B$4:B274,B274)=1,1,0)</f>
        <v>0</v>
      </c>
    </row>
    <row r="275">
      <c r="A275" s="14" t="inlineStr">
        <is>
          <t>CAETITÉ</t>
        </is>
      </c>
      <c r="B275" s="26" t="n">
        <v>63</v>
      </c>
      <c r="C275" s="26" t="n">
        <v>1236</v>
      </c>
      <c r="D275" s="14" t="inlineStr">
        <is>
          <t>SEMINARIO SAO JOSE</t>
        </is>
      </c>
      <c r="E275" s="14" t="inlineStr">
        <is>
          <t>CENTRO</t>
        </is>
      </c>
      <c r="F275" s="14" t="inlineStr">
        <is>
          <t xml:space="preserve">RUA BARAO DE CAETITE - ZONA URBANA                 </t>
        </is>
      </c>
      <c r="G275" s="27" t="inlineStr">
        <is>
          <t>46400-000</t>
        </is>
      </c>
      <c r="H275" s="15" t="n">
        <v>4</v>
      </c>
      <c r="I275" s="28" t="inlineStr">
        <is>
          <t>NÃO</t>
        </is>
      </c>
      <c r="J275" s="29" t="n">
        <v>219.7</v>
      </c>
      <c r="K275" s="14" t="str">
        <f>IF(J275="","7. Acima de 2 km",IF(J275&lt;=50,"1. Até 50 m",IF(J275&lt;=100,"2. De 50 a 100 m",IF(J275&lt;=200,"3. De 100 a 200 m",IF(J275&lt;=300,"4. De 200 a 300 m",IF(J275&lt;=500,"5. De 300 a 500 m","6. De 500 m a 2 km"))))))</f>
        <v>4. De 200 a 300 m</v>
      </c>
      <c r="L275" s="26" t="n">
        <v>0</v>
      </c>
      <c r="M275" s="26" t="n">
        <v>0</v>
      </c>
      <c r="N275" s="26" t="n">
        <v>0</v>
      </c>
      <c r="O275" s="26" t="n">
        <v>1</v>
      </c>
      <c r="P275" s="30" t="n">
        <v>-14.0696855</v>
      </c>
      <c r="Q275" s="30" t="n">
        <v>-42.48887</v>
      </c>
      <c r="R275" s="14" t="inlineStr">
        <is>
          <t>FÓRUM LOCAL - SALÃO DO JÚRI,  RUA DR. VANNI MOREIRA SILVEIRA LIMA, S/N - SANTA RITA/BA</t>
        </is>
      </c>
      <c r="S275" s="26">
        <f>IF(A275=A274,0,1)</f>
        <v>0</v>
      </c>
      <c r="T275" s="26">
        <f>IF(COUNTIF($B$4:B275,B275)=1,1,0)</f>
        <v>0</v>
      </c>
    </row>
    <row r="276">
      <c r="A276" s="14" t="inlineStr">
        <is>
          <t>CAETITÉ</t>
        </is>
      </c>
      <c r="B276" s="26" t="n">
        <v>63</v>
      </c>
      <c r="C276" s="26" t="n">
        <v>1244</v>
      </c>
      <c r="D276" s="14" t="inlineStr">
        <is>
          <t>COLEGIO EMILIANA NOGUEIRA PITA</t>
        </is>
      </c>
      <c r="E276" s="14" t="inlineStr">
        <is>
          <t>DISTRITO CALDEIRAS</t>
        </is>
      </c>
      <c r="F276" s="14" t="inlineStr">
        <is>
          <t>RUA DO CRUZEIRO, S/N - ZONA RURAL</t>
        </is>
      </c>
      <c r="G276" s="27" t="inlineStr">
        <is>
          <t>46400-000</t>
        </is>
      </c>
      <c r="H276" s="15" t="n">
        <v>3</v>
      </c>
      <c r="I276" s="28" t="inlineStr">
        <is>
          <t>NÃO</t>
        </is>
      </c>
      <c r="J276" s="29" t="n"/>
      <c r="K276" s="14" t="str">
        <f>IF(J276="","7. Acima de 2 km",IF(J276&lt;=50,"1. Até 50 m",IF(J276&lt;=100,"2. De 50 a 100 m",IF(J276&lt;=200,"3. De 100 a 200 m",IF(J276&lt;=300,"4. De 200 a 300 m",IF(J276&lt;=500,"5. De 300 a 500 m","6. De 500 m a 2 km"))))))</f>
        <v>7. Acima de 2 km</v>
      </c>
      <c r="L276" s="26" t="n">
        <v>0</v>
      </c>
      <c r="M276" s="26" t="n">
        <v>0</v>
      </c>
      <c r="N276" s="26" t="n">
        <v>0</v>
      </c>
      <c r="O276" s="26" t="n">
        <v>0</v>
      </c>
      <c r="P276" s="30" t="n">
        <v>-13.6361283</v>
      </c>
      <c r="Q276" s="30" t="n">
        <v>-42.57157</v>
      </c>
      <c r="R276" s="14" t="inlineStr">
        <is>
          <t>FÓRUM LOCAL - SALÃO DO JÚRI,  RUA DR. VANNI MOREIRA SILVEIRA LIMA, S/N - SANTA RITA/BA</t>
        </is>
      </c>
      <c r="S276" s="26">
        <f>IF(A276=A275,0,1)</f>
        <v>0</v>
      </c>
      <c r="T276" s="26">
        <f>IF(COUNTIF($B$4:B276,B276)=1,1,0)</f>
        <v>0</v>
      </c>
    </row>
    <row r="277">
      <c r="A277" s="14" t="inlineStr">
        <is>
          <t>CAETITÉ</t>
        </is>
      </c>
      <c r="B277" s="26" t="n">
        <v>63</v>
      </c>
      <c r="C277" s="26" t="n">
        <v>1279</v>
      </c>
      <c r="D277" s="14" t="inlineStr">
        <is>
          <t>GRUPO ESCOLAR ANTONIO CARLOS MAGALHAES</t>
        </is>
      </c>
      <c r="E277" s="14" t="inlineStr">
        <is>
          <t>DISTRITO CALDEIRAS</t>
        </is>
      </c>
      <c r="F277" s="14" t="inlineStr">
        <is>
          <t>RUA DO CEMITEIRO, S/N - ZONA RURAL</t>
        </is>
      </c>
      <c r="G277" s="27" t="inlineStr">
        <is>
          <t>46400-000</t>
        </is>
      </c>
      <c r="H277" s="15" t="n">
        <v>2</v>
      </c>
      <c r="I277" s="28" t="inlineStr">
        <is>
          <t>NÃO</t>
        </is>
      </c>
      <c r="J277" s="29" t="n"/>
      <c r="K277" s="14" t="str">
        <f>IF(J277="","7. Acima de 2 km",IF(J277&lt;=50,"1. Até 50 m",IF(J277&lt;=100,"2. De 50 a 100 m",IF(J277&lt;=200,"3. De 100 a 200 m",IF(J277&lt;=300,"4. De 200 a 300 m",IF(J277&lt;=500,"5. De 300 a 500 m","6. De 500 m a 2 km"))))))</f>
        <v>7. Acima de 2 km</v>
      </c>
      <c r="L277" s="26" t="n">
        <v>0</v>
      </c>
      <c r="M277" s="26" t="n">
        <v>0</v>
      </c>
      <c r="N277" s="26" t="n">
        <v>0</v>
      </c>
      <c r="O277" s="26" t="n">
        <v>0</v>
      </c>
      <c r="P277" s="30" t="n">
        <v>-13.6339915</v>
      </c>
      <c r="Q277" s="30" t="n">
        <v>-42.5717834</v>
      </c>
      <c r="R277" s="14" t="inlineStr">
        <is>
          <t>FÓRUM LOCAL - SALÃO DO JÚRI,  RUA DR. VANNI MOREIRA SILVEIRA LIMA, S/N - SANTA RITA/BA</t>
        </is>
      </c>
      <c r="S277" s="26">
        <f>IF(A277=A276,0,1)</f>
        <v>0</v>
      </c>
      <c r="T277" s="26">
        <f>IF(COUNTIF($B$4:B277,B277)=1,1,0)</f>
        <v>0</v>
      </c>
    </row>
    <row r="278">
      <c r="A278" s="14" t="inlineStr">
        <is>
          <t>CAETITÉ</t>
        </is>
      </c>
      <c r="B278" s="26" t="n">
        <v>63</v>
      </c>
      <c r="C278" s="26" t="n">
        <v>1333</v>
      </c>
      <c r="D278" s="14" t="inlineStr">
        <is>
          <t>ESCOLA MUNICIPAL JOSE MARQUES DOS SANTOS</t>
        </is>
      </c>
      <c r="E278" s="14" t="inlineStr">
        <is>
          <t>POVOADO CERCADO</t>
        </is>
      </c>
      <c r="F278" s="14" t="inlineStr">
        <is>
          <t>POVOADO CERCADO - ZONA RURAL</t>
        </is>
      </c>
      <c r="G278" s="27" t="inlineStr">
        <is>
          <t>46400-000</t>
        </is>
      </c>
      <c r="H278" s="15" t="n">
        <v>5</v>
      </c>
      <c r="I278" s="28" t="inlineStr">
        <is>
          <t>NÃO</t>
        </is>
      </c>
      <c r="J278" s="29" t="n"/>
      <c r="K278" s="14" t="str">
        <f>IF(J278="","7. Acima de 2 km",IF(J278&lt;=50,"1. Até 50 m",IF(J278&lt;=100,"2. De 50 a 100 m",IF(J278&lt;=200,"3. De 100 a 200 m",IF(J278&lt;=300,"4. De 200 a 300 m",IF(J278&lt;=500,"5. De 300 a 500 m","6. De 500 m a 2 km"))))))</f>
        <v>7. Acima de 2 km</v>
      </c>
      <c r="L278" s="26" t="n">
        <v>0</v>
      </c>
      <c r="M278" s="26" t="n">
        <v>0</v>
      </c>
      <c r="N278" s="26" t="n">
        <v>0</v>
      </c>
      <c r="O278" s="26" t="n">
        <v>0</v>
      </c>
      <c r="P278" s="30" t="n">
        <v>-13.6303267</v>
      </c>
      <c r="Q278" s="30" t="n">
        <v>-42.2837617</v>
      </c>
      <c r="R278" s="14" t="inlineStr">
        <is>
          <t>FÓRUM LOCAL - SALÃO DO JÚRI,  RUA DR. VANNI MOREIRA SILVEIRA LIMA, S/N - SANTA RITA/BA</t>
        </is>
      </c>
      <c r="S278" s="26">
        <f>IF(A278=A277,0,1)</f>
        <v>0</v>
      </c>
      <c r="T278" s="26">
        <f>IF(COUNTIF($B$4:B278,B278)=1,1,0)</f>
        <v>0</v>
      </c>
    </row>
    <row r="279">
      <c r="A279" s="14" t="inlineStr">
        <is>
          <t>CAETITÉ</t>
        </is>
      </c>
      <c r="B279" s="26" t="n">
        <v>63</v>
      </c>
      <c r="C279" s="26" t="n">
        <v>1376</v>
      </c>
      <c r="D279" s="14" t="inlineStr">
        <is>
          <t>ESCOLA MUNICIPAL HENRIQUE DE BRITO</t>
        </is>
      </c>
      <c r="E279" s="14" t="inlineStr">
        <is>
          <t>DISTRITO CALDEIRAS</t>
        </is>
      </c>
      <c r="F279" s="14" t="inlineStr">
        <is>
          <t>COMUNIDADE DA CHAPADA - ZONA RURAL</t>
        </is>
      </c>
      <c r="G279" s="27" t="inlineStr">
        <is>
          <t>46400-000</t>
        </is>
      </c>
      <c r="H279" s="15" t="n">
        <v>1</v>
      </c>
      <c r="I279" s="28" t="inlineStr">
        <is>
          <t>NÃO</t>
        </is>
      </c>
      <c r="J279" s="29" t="n"/>
      <c r="K279" s="14" t="str">
        <f>IF(J279="","7. Acima de 2 km",IF(J279&lt;=50,"1. Até 50 m",IF(J279&lt;=100,"2. De 50 a 100 m",IF(J279&lt;=200,"3. De 100 a 200 m",IF(J279&lt;=300,"4. De 200 a 300 m",IF(J279&lt;=500,"5. De 300 a 500 m","6. De 500 m a 2 km"))))))</f>
        <v>7. Acima de 2 km</v>
      </c>
      <c r="L279" s="26" t="n">
        <v>0</v>
      </c>
      <c r="M279" s="26" t="n">
        <v>0</v>
      </c>
      <c r="N279" s="26" t="n">
        <v>0</v>
      </c>
      <c r="O279" s="26" t="n">
        <v>0</v>
      </c>
      <c r="P279" s="30" t="n">
        <v>-13.6713636</v>
      </c>
      <c r="Q279" s="30" t="n">
        <v>-42.6215421</v>
      </c>
      <c r="R279" s="14" t="inlineStr">
        <is>
          <t>FÓRUM LOCAL - SALÃO DO JÚRI,  RUA DR. VANNI MOREIRA SILVEIRA LIMA, S/N - SANTA RITA/BA</t>
        </is>
      </c>
      <c r="S279" s="26">
        <f>IF(A279=A278,0,1)</f>
        <v>0</v>
      </c>
      <c r="T279" s="26">
        <f>IF(COUNTIF($B$4:B279,B279)=1,1,0)</f>
        <v>0</v>
      </c>
    </row>
    <row r="280">
      <c r="A280" s="14" t="inlineStr">
        <is>
          <t>CAETITÉ</t>
        </is>
      </c>
      <c r="B280" s="26" t="n">
        <v>63</v>
      </c>
      <c r="C280" s="26" t="n">
        <v>1406</v>
      </c>
      <c r="D280" s="14" t="inlineStr">
        <is>
          <t>COMPLEXO INTEGRADO DE EDUCAÇÃO DE CAETITÉ</t>
        </is>
      </c>
      <c r="E280" s="14" t="inlineStr">
        <is>
          <t>SÃO JOSÉ</t>
        </is>
      </c>
      <c r="F280" s="14" t="inlineStr">
        <is>
          <t>AV. CONTORNO , N 640 - ZONA URBANA</t>
        </is>
      </c>
      <c r="G280" s="27" t="inlineStr">
        <is>
          <t>46400-000</t>
        </is>
      </c>
      <c r="H280" s="15" t="n">
        <v>3</v>
      </c>
      <c r="I280" s="28" t="inlineStr">
        <is>
          <t>NÃO</t>
        </is>
      </c>
      <c r="J280" s="29" t="n">
        <v>343.8</v>
      </c>
      <c r="K280" s="14" t="str">
        <f>IF(J280="","7. Acima de 2 km",IF(J280&lt;=50,"1. Até 50 m",IF(J280&lt;=100,"2. De 50 a 100 m",IF(J280&lt;=200,"3. De 100 a 200 m",IF(J280&lt;=300,"4. De 200 a 300 m",IF(J280&lt;=500,"5. De 300 a 500 m","6. De 500 m a 2 km"))))))</f>
        <v>5. De 300 a 500 m</v>
      </c>
      <c r="L280" s="26" t="n">
        <v>0</v>
      </c>
      <c r="M280" s="26" t="n">
        <v>0</v>
      </c>
      <c r="N280" s="26" t="n">
        <v>0</v>
      </c>
      <c r="O280" s="26" t="n">
        <v>0</v>
      </c>
      <c r="P280" s="30" t="n">
        <v>-14.0698241</v>
      </c>
      <c r="Q280" s="30" t="n">
        <v>-42.4938054</v>
      </c>
      <c r="R280" s="14" t="inlineStr">
        <is>
          <t>FÓRUM LOCAL - SALÃO DO JÚRI,  RUA DR. VANNI MOREIRA SILVEIRA LIMA, S/N - SANTA RITA/BA</t>
        </is>
      </c>
      <c r="S280" s="26">
        <f>IF(A280=A279,0,1)</f>
        <v>0</v>
      </c>
      <c r="T280" s="26">
        <f>IF(COUNTIF($B$4:B280,B280)=1,1,0)</f>
        <v>0</v>
      </c>
    </row>
    <row r="281">
      <c r="A281" s="14" t="inlineStr">
        <is>
          <t>CAETITÉ</t>
        </is>
      </c>
      <c r="B281" s="26" t="n">
        <v>63</v>
      </c>
      <c r="C281" s="26" t="n">
        <v>1414</v>
      </c>
      <c r="D281" s="14" t="inlineStr">
        <is>
          <t>ASSOCIAÇÃO COMUNITÁRIA DOS AMIGOS DE FELIX PEREIRA</t>
        </is>
      </c>
      <c r="E281" s="14" t="inlineStr">
        <is>
          <t>COMUNIDADE LAGOA DE FELIX PEREIRA</t>
        </is>
      </c>
      <c r="F281" s="14" t="inlineStr">
        <is>
          <t>COMUNIDADE LAGOA DE FELIX PEREIRA - ZONA RURAL</t>
        </is>
      </c>
      <c r="G281" s="27" t="inlineStr">
        <is>
          <t>46400-000</t>
        </is>
      </c>
      <c r="H281" s="15" t="n">
        <v>1</v>
      </c>
      <c r="I281" s="28" t="inlineStr">
        <is>
          <t>NÃO</t>
        </is>
      </c>
      <c r="J281" s="29" t="n"/>
      <c r="K281" s="14" t="str">
        <f>IF(J281="","7. Acima de 2 km",IF(J281&lt;=50,"1. Até 50 m",IF(J281&lt;=100,"2. De 50 a 100 m",IF(J281&lt;=200,"3. De 100 a 200 m",IF(J281&lt;=300,"4. De 200 a 300 m",IF(J281&lt;=500,"5. De 300 a 500 m","6. De 500 m a 2 km"))))))</f>
        <v>7. Acima de 2 km</v>
      </c>
      <c r="L281" s="26" t="n">
        <v>0</v>
      </c>
      <c r="M281" s="26" t="n">
        <v>0</v>
      </c>
      <c r="N281" s="26" t="n">
        <v>0</v>
      </c>
      <c r="O281" s="26" t="n">
        <v>0</v>
      </c>
      <c r="P281" s="30" t="n">
        <v>-13.99227</v>
      </c>
      <c r="Q281" s="30" t="n">
        <v>-42.5926683</v>
      </c>
      <c r="R281" s="14" t="inlineStr">
        <is>
          <t>FÓRUM LOCAL - SALÃO DO JÚRI,  RUA DR. VANNI MOREIRA SILVEIRA LIMA, S/N - SANTA RITA/BA</t>
        </is>
      </c>
      <c r="S281" s="26">
        <f>IF(A281=A280,0,1)</f>
        <v>0</v>
      </c>
      <c r="T281" s="26">
        <f>IF(COUNTIF($B$4:B281,B281)=1,1,0)</f>
        <v>0</v>
      </c>
    </row>
    <row r="282">
      <c r="A282" s="14" t="inlineStr">
        <is>
          <t>CAETITÉ</t>
        </is>
      </c>
      <c r="B282" s="26" t="n">
        <v>63</v>
      </c>
      <c r="C282" s="26" t="n">
        <v>1422</v>
      </c>
      <c r="D282" s="14" t="inlineStr">
        <is>
          <t>ASSOCIAÇÃO COMUNITÁRIA DOS AMIGOS DO ANGUÁ</t>
        </is>
      </c>
      <c r="E282" s="14" t="inlineStr">
        <is>
          <t>CENTRO</t>
        </is>
      </c>
      <c r="F282" s="14" t="inlineStr">
        <is>
          <t>COMUNIDADE ANGUÁ - ZONA RURAL</t>
        </is>
      </c>
      <c r="G282" s="27" t="inlineStr">
        <is>
          <t>46400-000</t>
        </is>
      </c>
      <c r="H282" s="15" t="n">
        <v>1</v>
      </c>
      <c r="I282" s="28" t="inlineStr">
        <is>
          <t>NÃO</t>
        </is>
      </c>
      <c r="J282" s="29" t="n"/>
      <c r="K282" s="14" t="str">
        <f>IF(J282="","7. Acima de 2 km",IF(J282&lt;=50,"1. Até 50 m",IF(J282&lt;=100,"2. De 50 a 100 m",IF(J282&lt;=200,"3. De 100 a 200 m",IF(J282&lt;=300,"4. De 200 a 300 m",IF(J282&lt;=500,"5. De 300 a 500 m","6. De 500 m a 2 km"))))))</f>
        <v>7. Acima de 2 km</v>
      </c>
      <c r="L282" s="26" t="n">
        <v>0</v>
      </c>
      <c r="M282" s="26" t="n">
        <v>0</v>
      </c>
      <c r="N282" s="26" t="n">
        <v>0</v>
      </c>
      <c r="O282" s="26" t="n">
        <v>0</v>
      </c>
      <c r="P282" s="30" t="n">
        <v>-14.0919224</v>
      </c>
      <c r="Q282" s="30" t="n">
        <v>-42.4200554</v>
      </c>
      <c r="R282" s="14" t="inlineStr">
        <is>
          <t>FÓRUM LOCAL - SALÃO DO JÚRI,  RUA DR. VANNI MOREIRA SILVEIRA LIMA, S/N - SANTA RITA/BA</t>
        </is>
      </c>
      <c r="S282" s="26">
        <f>IF(A282=A281,0,1)</f>
        <v>0</v>
      </c>
      <c r="T282" s="26">
        <f>IF(COUNTIF($B$4:B282,B282)=1,1,0)</f>
        <v>0</v>
      </c>
    </row>
    <row r="283">
      <c r="A283" s="14" t="inlineStr">
        <is>
          <t>CAETITÉ</t>
        </is>
      </c>
      <c r="B283" s="26" t="n">
        <v>63</v>
      </c>
      <c r="C283" s="26" t="n">
        <v>1457</v>
      </c>
      <c r="D283" s="14" t="inlineStr">
        <is>
          <t>IGREJA CATOLICA DO BAIXAO</t>
        </is>
      </c>
      <c r="E283" s="14" t="inlineStr">
        <is>
          <t>POVOADO CAMPINAS</t>
        </is>
      </c>
      <c r="F283" s="14" t="inlineStr">
        <is>
          <t>COMUNIDADE DO BAIXÃO - ZONA RURAL</t>
        </is>
      </c>
      <c r="G283" s="27" t="inlineStr">
        <is>
          <t>46400-000</t>
        </is>
      </c>
      <c r="H283" s="15" t="n">
        <v>1</v>
      </c>
      <c r="I283" s="28" t="inlineStr">
        <is>
          <t>NÃO</t>
        </is>
      </c>
      <c r="J283" s="29" t="n"/>
      <c r="K283" s="14" t="str">
        <f>IF(J283="","7. Acima de 2 km",IF(J283&lt;=50,"1. Até 50 m",IF(J283&lt;=100,"2. De 50 a 100 m",IF(J283&lt;=200,"3. De 100 a 200 m",IF(J283&lt;=300,"4. De 200 a 300 m",IF(J283&lt;=500,"5. De 300 a 500 m","6. De 500 m a 2 km"))))))</f>
        <v>7. Acima de 2 km</v>
      </c>
      <c r="L283" s="26" t="n">
        <v>0</v>
      </c>
      <c r="M283" s="26" t="n">
        <v>0</v>
      </c>
      <c r="N283" s="26" t="n">
        <v>0</v>
      </c>
      <c r="O283" s="26" t="n">
        <v>0</v>
      </c>
      <c r="P283" s="30" t="n">
        <v>-14.2032425</v>
      </c>
      <c r="Q283" s="30" t="n">
        <v>-42.4051056</v>
      </c>
      <c r="R283" s="14" t="inlineStr">
        <is>
          <t>FÓRUM LOCAL - SALÃO DO JÚRI,  RUA DR. VANNI MOREIRA SILVEIRA LIMA, S/N - SANTA RITA/BA</t>
        </is>
      </c>
      <c r="S283" s="26">
        <f>IF(A283=A282,0,1)</f>
        <v>0</v>
      </c>
      <c r="T283" s="26">
        <f>IF(COUNTIF($B$4:B283,B283)=1,1,0)</f>
        <v>0</v>
      </c>
    </row>
    <row r="284">
      <c r="A284" s="14" t="inlineStr">
        <is>
          <t>CAETITÉ</t>
        </is>
      </c>
      <c r="B284" s="26" t="n">
        <v>63</v>
      </c>
      <c r="C284" s="26" t="n">
        <v>1465</v>
      </c>
      <c r="D284" s="14" t="inlineStr">
        <is>
          <t>ESCOLA MUNICIPAL ESTACIO DE SA</t>
        </is>
      </c>
      <c r="E284" s="14" t="inlineStr">
        <is>
          <t>POVOADO CAMPINAS</t>
        </is>
      </c>
      <c r="F284" s="14" t="inlineStr">
        <is>
          <t>COMUNIDADE DE TAQUARIL - ZONA RURAL</t>
        </is>
      </c>
      <c r="G284" s="27" t="inlineStr">
        <is>
          <t>46400-000</t>
        </is>
      </c>
      <c r="H284" s="15" t="n">
        <v>1</v>
      </c>
      <c r="I284" s="28" t="inlineStr">
        <is>
          <t>NÃO</t>
        </is>
      </c>
      <c r="J284" s="29" t="n"/>
      <c r="K284" s="14" t="str">
        <f>IF(J284="","7. Acima de 2 km",IF(J284&lt;=50,"1. Até 50 m",IF(J284&lt;=100,"2. De 50 a 100 m",IF(J284&lt;=200,"3. De 100 a 200 m",IF(J284&lt;=300,"4. De 200 a 300 m",IF(J284&lt;=500,"5. De 300 a 500 m","6. De 500 m a 2 km"))))))</f>
        <v>7. Acima de 2 km</v>
      </c>
      <c r="L284" s="26" t="n">
        <v>0</v>
      </c>
      <c r="M284" s="26" t="n">
        <v>0</v>
      </c>
      <c r="N284" s="26" t="n">
        <v>0</v>
      </c>
      <c r="O284" s="26" t="n">
        <v>0</v>
      </c>
      <c r="P284" s="30" t="n">
        <v>-14.1758317</v>
      </c>
      <c r="Q284" s="30" t="n">
        <v>-42.4625317</v>
      </c>
      <c r="R284" s="14" t="inlineStr">
        <is>
          <t>FÓRUM LOCAL - SALÃO DO JÚRI,  RUA DR. VANNI MOREIRA SILVEIRA LIMA, S/N - SANTA RITA/BA</t>
        </is>
      </c>
      <c r="S284" s="26">
        <f>IF(A284=A283,0,1)</f>
        <v>0</v>
      </c>
      <c r="T284" s="26">
        <f>IF(COUNTIF($B$4:B284,B284)=1,1,0)</f>
        <v>0</v>
      </c>
    </row>
    <row r="285">
      <c r="A285" s="14" t="inlineStr">
        <is>
          <t>CAETITÉ</t>
        </is>
      </c>
      <c r="B285" s="26" t="n">
        <v>63</v>
      </c>
      <c r="C285" s="26" t="n">
        <v>1473</v>
      </c>
      <c r="D285" s="14" t="inlineStr">
        <is>
          <t>GRUPO ESCOLAR OSCAR TEIXEIRA</t>
        </is>
      </c>
      <c r="E285" s="14" t="inlineStr">
        <is>
          <t>DISTRITO PAJEU DO VENTO</t>
        </is>
      </c>
      <c r="F285" s="14" t="inlineStr">
        <is>
          <t>RUA CAETITE, S/N - ZONA RURAL</t>
        </is>
      </c>
      <c r="G285" s="27" t="inlineStr">
        <is>
          <t>46400-000</t>
        </is>
      </c>
      <c r="H285" s="15" t="n">
        <v>3</v>
      </c>
      <c r="I285" s="28" t="inlineStr">
        <is>
          <t>NÃO</t>
        </is>
      </c>
      <c r="J285" s="29" t="n"/>
      <c r="K285" s="14" t="str">
        <f>IF(J285="","7. Acima de 2 km",IF(J285&lt;=50,"1. Até 50 m",IF(J285&lt;=100,"2. De 50 a 100 m",IF(J285&lt;=200,"3. De 100 a 200 m",IF(J285&lt;=300,"4. De 200 a 300 m",IF(J285&lt;=500,"5. De 300 a 500 m","6. De 500 m a 2 km"))))))</f>
        <v>7. Acima de 2 km</v>
      </c>
      <c r="L285" s="26" t="n">
        <v>0</v>
      </c>
      <c r="M285" s="26" t="n">
        <v>0</v>
      </c>
      <c r="N285" s="26" t="n">
        <v>0</v>
      </c>
      <c r="O285" s="26" t="n">
        <v>0</v>
      </c>
      <c r="P285" s="30" t="n">
        <v>-14.0238967</v>
      </c>
      <c r="Q285" s="30" t="n">
        <v>-42.7175183</v>
      </c>
      <c r="R285" s="14" t="inlineStr">
        <is>
          <t>FÓRUM LOCAL - SALÃO DO JÚRI,  RUA DR. VANNI MOREIRA SILVEIRA LIMA, S/N - SANTA RITA/BA</t>
        </is>
      </c>
      <c r="S285" s="26">
        <f>IF(A285=A284,0,1)</f>
        <v>0</v>
      </c>
      <c r="T285" s="26">
        <f>IF(COUNTIF($B$4:B285,B285)=1,1,0)</f>
        <v>0</v>
      </c>
    </row>
    <row r="286">
      <c r="A286" s="14" t="inlineStr">
        <is>
          <t>CAETITÉ</t>
        </is>
      </c>
      <c r="B286" s="26" t="n">
        <v>63</v>
      </c>
      <c r="C286" s="26" t="n">
        <v>1481</v>
      </c>
      <c r="D286" s="14" t="inlineStr">
        <is>
          <t>ESCOLA DE PRIMEIRO GRAU DEPUTADO LUIZ CABRAL</t>
        </is>
      </c>
      <c r="E286" s="14" t="inlineStr">
        <is>
          <t>DISTRITO PAJEU DO VENTO</t>
        </is>
      </c>
      <c r="F286" s="14" t="inlineStr">
        <is>
          <t>DISTRITO PAJEU DO VENTO - ZONA RURAL</t>
        </is>
      </c>
      <c r="G286" s="27" t="inlineStr">
        <is>
          <t>46400-000</t>
        </is>
      </c>
      <c r="H286" s="15" t="n">
        <v>4</v>
      </c>
      <c r="I286" s="28" t="inlineStr">
        <is>
          <t>NÃO</t>
        </is>
      </c>
      <c r="J286" s="29" t="n"/>
      <c r="K286" s="14" t="str">
        <f>IF(J286="","7. Acima de 2 km",IF(J286&lt;=50,"1. Até 50 m",IF(J286&lt;=100,"2. De 50 a 100 m",IF(J286&lt;=200,"3. De 100 a 200 m",IF(J286&lt;=300,"4. De 200 a 300 m",IF(J286&lt;=500,"5. De 300 a 500 m","6. De 500 m a 2 km"))))))</f>
        <v>7. Acima de 2 km</v>
      </c>
      <c r="L286" s="26" t="n">
        <v>0</v>
      </c>
      <c r="M286" s="26" t="n">
        <v>0</v>
      </c>
      <c r="N286" s="26" t="n">
        <v>0</v>
      </c>
      <c r="O286" s="26" t="n">
        <v>0</v>
      </c>
      <c r="P286" s="30" t="n">
        <v>-14.0278767</v>
      </c>
      <c r="Q286" s="30" t="n">
        <v>-42.7113333</v>
      </c>
      <c r="R286" s="14" t="inlineStr">
        <is>
          <t>FÓRUM LOCAL - SALÃO DO JÚRI,  RUA DR. VANNI MOREIRA SILVEIRA LIMA, S/N - SANTA RITA/BA</t>
        </is>
      </c>
      <c r="S286" s="26">
        <f>IF(A286=A285,0,1)</f>
        <v>0</v>
      </c>
      <c r="T286" s="26">
        <f>IF(COUNTIF($B$4:B286,B286)=1,1,0)</f>
        <v>0</v>
      </c>
    </row>
    <row r="287">
      <c r="A287" s="14" t="inlineStr">
        <is>
          <t>CAETITÉ</t>
        </is>
      </c>
      <c r="B287" s="26" t="n">
        <v>63</v>
      </c>
      <c r="C287" s="26" t="n">
        <v>1520</v>
      </c>
      <c r="D287" s="14" t="inlineStr">
        <is>
          <t>IGREJA CATÓLICA DA LAGOA DO FUNDO</t>
        </is>
      </c>
      <c r="E287" s="14" t="inlineStr">
        <is>
          <t>DISTRITO PAJEU DO VENTO</t>
        </is>
      </c>
      <c r="F287" s="14" t="inlineStr">
        <is>
          <t>COMUNIDADE DE LAGOA DO FUNDO - ZONA RURAL</t>
        </is>
      </c>
      <c r="G287" s="27" t="inlineStr">
        <is>
          <t>46400-000</t>
        </is>
      </c>
      <c r="H287" s="15" t="n">
        <v>2</v>
      </c>
      <c r="I287" s="28" t="inlineStr">
        <is>
          <t>NÃO</t>
        </is>
      </c>
      <c r="J287" s="29" t="n"/>
      <c r="K287" s="14" t="str">
        <f>IF(J287="","7. Acima de 2 km",IF(J287&lt;=50,"1. Até 50 m",IF(J287&lt;=100,"2. De 50 a 100 m",IF(J287&lt;=200,"3. De 100 a 200 m",IF(J287&lt;=300,"4. De 200 a 300 m",IF(J287&lt;=500,"5. De 300 a 500 m","6. De 500 m a 2 km"))))))</f>
        <v>7. Acima de 2 km</v>
      </c>
      <c r="L287" s="26" t="n">
        <v>0</v>
      </c>
      <c r="M287" s="26" t="n">
        <v>0</v>
      </c>
      <c r="N287" s="26" t="n">
        <v>0</v>
      </c>
      <c r="O287" s="26" t="n">
        <v>0</v>
      </c>
      <c r="P287" s="30" t="n">
        <v>-14.0060183</v>
      </c>
      <c r="Q287" s="30" t="n">
        <v>-42.661515</v>
      </c>
      <c r="R287" s="14" t="inlineStr">
        <is>
          <t>FÓRUM LOCAL - SALÃO DO JÚRI,  RUA DR. VANNI MOREIRA SILVEIRA LIMA, S/N - SANTA RITA/BA</t>
        </is>
      </c>
      <c r="S287" s="26">
        <f>IF(A287=A286,0,1)</f>
        <v>0</v>
      </c>
      <c r="T287" s="26">
        <f>IF(COUNTIF($B$4:B287,B287)=1,1,0)</f>
        <v>0</v>
      </c>
    </row>
    <row r="288">
      <c r="A288" s="14" t="inlineStr">
        <is>
          <t>CAETITÉ</t>
        </is>
      </c>
      <c r="B288" s="26" t="n">
        <v>63</v>
      </c>
      <c r="C288" s="26" t="n">
        <v>1546</v>
      </c>
      <c r="D288" s="14" t="inlineStr">
        <is>
          <t>ESCOLA PRUDENCIO RODRIGUES SOBRINHO</t>
        </is>
      </c>
      <c r="E288" s="14" t="inlineStr">
        <is>
          <t>DISTRITO PAJEU DO VENTO</t>
        </is>
      </c>
      <c r="F288" s="14" t="inlineStr">
        <is>
          <t>POVOADO DE AROEIRAS - ZONA RURAL</t>
        </is>
      </c>
      <c r="G288" s="27" t="inlineStr">
        <is>
          <t>46400-000</t>
        </is>
      </c>
      <c r="H288" s="15" t="n">
        <v>3</v>
      </c>
      <c r="I288" s="28" t="inlineStr">
        <is>
          <t>NÃO</t>
        </is>
      </c>
      <c r="J288" s="29" t="n"/>
      <c r="K288" s="14" t="str">
        <f>IF(J288="","7. Acima de 2 km",IF(J288&lt;=50,"1. Até 50 m",IF(J288&lt;=100,"2. De 50 a 100 m",IF(J288&lt;=200,"3. De 100 a 200 m",IF(J288&lt;=300,"4. De 200 a 300 m",IF(J288&lt;=500,"5. De 300 a 500 m","6. De 500 m a 2 km"))))))</f>
        <v>7. Acima de 2 km</v>
      </c>
      <c r="L288" s="26" t="n">
        <v>0</v>
      </c>
      <c r="M288" s="26" t="n">
        <v>0</v>
      </c>
      <c r="N288" s="26" t="n">
        <v>0</v>
      </c>
      <c r="O288" s="26" t="n">
        <v>0</v>
      </c>
      <c r="P288" s="30" t="n">
        <v>-14.0624667</v>
      </c>
      <c r="Q288" s="30" t="n">
        <v>-42.6521683</v>
      </c>
      <c r="R288" s="14" t="inlineStr">
        <is>
          <t>FÓRUM LOCAL - SALÃO DO JÚRI,  RUA DR. VANNI MOREIRA SILVEIRA LIMA, S/N - SANTA RITA/BA</t>
        </is>
      </c>
      <c r="S288" s="26">
        <f>IF(A288=A287,0,1)</f>
        <v>0</v>
      </c>
      <c r="T288" s="26">
        <f>IF(COUNTIF($B$4:B288,B288)=1,1,0)</f>
        <v>0</v>
      </c>
    </row>
    <row r="289">
      <c r="A289" s="14" t="inlineStr">
        <is>
          <t>CAETITÉ</t>
        </is>
      </c>
      <c r="B289" s="26" t="n">
        <v>63</v>
      </c>
      <c r="C289" s="26" t="n">
        <v>1562</v>
      </c>
      <c r="D289" s="14" t="inlineStr">
        <is>
          <t>GRUPO ESCOLAR MANOEL SOARES DA CRUZ</t>
        </is>
      </c>
      <c r="E289" s="14" t="inlineStr">
        <is>
          <t>DISTRITO PAJEU DO VENTO</t>
        </is>
      </c>
      <c r="F289" s="14" t="inlineStr">
        <is>
          <t>POVOADO DE TANQUINHO - ZONA RURAL</t>
        </is>
      </c>
      <c r="G289" s="27" t="inlineStr">
        <is>
          <t>46400-000</t>
        </is>
      </c>
      <c r="H289" s="15" t="n">
        <v>3</v>
      </c>
      <c r="I289" s="28" t="inlineStr">
        <is>
          <t>NÃO</t>
        </is>
      </c>
      <c r="J289" s="29" t="n"/>
      <c r="K289" s="14" t="str">
        <f>IF(J289="","7. Acima de 2 km",IF(J289&lt;=50,"1. Até 50 m",IF(J289&lt;=100,"2. De 50 a 100 m",IF(J289&lt;=200,"3. De 100 a 200 m",IF(J289&lt;=300,"4. De 200 a 300 m",IF(J289&lt;=500,"5. De 300 a 500 m","6. De 500 m a 2 km"))))))</f>
        <v>7. Acima de 2 km</v>
      </c>
      <c r="L289" s="26" t="n">
        <v>0</v>
      </c>
      <c r="M289" s="26" t="n">
        <v>0</v>
      </c>
      <c r="N289" s="26" t="n">
        <v>0</v>
      </c>
      <c r="O289" s="26" t="n">
        <v>0</v>
      </c>
      <c r="P289" s="30" t="n">
        <v>-14.089325</v>
      </c>
      <c r="Q289" s="30" t="n">
        <v>-42.6701417</v>
      </c>
      <c r="R289" s="14" t="inlineStr">
        <is>
          <t>FÓRUM LOCAL - SALÃO DO JÚRI,  RUA DR. VANNI MOREIRA SILVEIRA LIMA, S/N - SANTA RITA/BA</t>
        </is>
      </c>
      <c r="S289" s="26">
        <f>IF(A289=A288,0,1)</f>
        <v>0</v>
      </c>
      <c r="T289" s="26">
        <f>IF(COUNTIF($B$4:B289,B289)=1,1,0)</f>
        <v>0</v>
      </c>
    </row>
    <row r="290">
      <c r="A290" s="14" t="inlineStr">
        <is>
          <t>CAETITÉ</t>
        </is>
      </c>
      <c r="B290" s="26" t="n">
        <v>63</v>
      </c>
      <c r="C290" s="26" t="n">
        <v>1570</v>
      </c>
      <c r="D290" s="14" t="inlineStr">
        <is>
          <t>COLEGIO DOM MANOEL RAIMUNDO DE MELO</t>
        </is>
      </c>
      <c r="E290" s="14" t="inlineStr">
        <is>
          <t>POVOADO SANTA LUZIA</t>
        </is>
      </c>
      <c r="F290" s="14" t="inlineStr">
        <is>
          <t>POVOADO SANTA LUZIA - ZONA RURAL</t>
        </is>
      </c>
      <c r="G290" s="27" t="inlineStr">
        <is>
          <t>46400-000</t>
        </is>
      </c>
      <c r="H290" s="15" t="n">
        <v>4</v>
      </c>
      <c r="I290" s="28" t="inlineStr">
        <is>
          <t>NÃO</t>
        </is>
      </c>
      <c r="J290" s="29" t="n"/>
      <c r="K290" s="14" t="str">
        <f>IF(J290="","7. Acima de 2 km",IF(J290&lt;=50,"1. Até 50 m",IF(J290&lt;=100,"2. De 50 a 100 m",IF(J290&lt;=200,"3. De 100 a 200 m",IF(J290&lt;=300,"4. De 200 a 300 m",IF(J290&lt;=500,"5. De 300 a 500 m","6. De 500 m a 2 km"))))))</f>
        <v>7. Acima de 2 km</v>
      </c>
      <c r="L290" s="26" t="n">
        <v>0</v>
      </c>
      <c r="M290" s="26" t="n">
        <v>0</v>
      </c>
      <c r="N290" s="26" t="n">
        <v>0</v>
      </c>
      <c r="O290" s="26" t="n">
        <v>0</v>
      </c>
      <c r="P290" s="30" t="n">
        <v>-14.145735</v>
      </c>
      <c r="Q290" s="30" t="n">
        <v>-42.4370383</v>
      </c>
      <c r="R290" s="14" t="inlineStr">
        <is>
          <t>FÓRUM LOCAL - SALÃO DO JÚRI,  RUA DR. VANNI MOREIRA SILVEIRA LIMA, S/N - SANTA RITA/BA</t>
        </is>
      </c>
      <c r="S290" s="26">
        <f>IF(A290=A289,0,1)</f>
        <v>0</v>
      </c>
      <c r="T290" s="26">
        <f>IF(COUNTIF($B$4:B290,B290)=1,1,0)</f>
        <v>0</v>
      </c>
    </row>
    <row r="291">
      <c r="A291" s="14" t="inlineStr">
        <is>
          <t>CAETITÉ</t>
        </is>
      </c>
      <c r="B291" s="26" t="n">
        <v>63</v>
      </c>
      <c r="C291" s="26" t="n">
        <v>1589</v>
      </c>
      <c r="D291" s="14" t="inlineStr">
        <is>
          <t>GRUPO ESCOLAR LUIZ VIANA FILHO</t>
        </is>
      </c>
      <c r="E291" s="14" t="inlineStr">
        <is>
          <t>POVOADO SANTA LUZIA</t>
        </is>
      </c>
      <c r="F291" s="14" t="inlineStr">
        <is>
          <t>POVOADO SANTA LUZIA - ZONA RURAL</t>
        </is>
      </c>
      <c r="G291" s="27" t="inlineStr">
        <is>
          <t>46400-000</t>
        </is>
      </c>
      <c r="H291" s="15" t="n">
        <v>2</v>
      </c>
      <c r="I291" s="28" t="inlineStr">
        <is>
          <t>NÃO</t>
        </is>
      </c>
      <c r="J291" s="29" t="n"/>
      <c r="K291" s="14" t="str">
        <f>IF(J291="","7. Acima de 2 km",IF(J291&lt;=50,"1. Até 50 m",IF(J291&lt;=100,"2. De 50 a 100 m",IF(J291&lt;=200,"3. De 100 a 200 m",IF(J291&lt;=300,"4. De 200 a 300 m",IF(J291&lt;=500,"5. De 300 a 500 m","6. De 500 m a 2 km"))))))</f>
        <v>7. Acima de 2 km</v>
      </c>
      <c r="L291" s="26" t="n">
        <v>0</v>
      </c>
      <c r="M291" s="26" t="n">
        <v>0</v>
      </c>
      <c r="N291" s="26" t="n">
        <v>0</v>
      </c>
      <c r="O291" s="26" t="n">
        <v>0</v>
      </c>
      <c r="P291" s="30" t="n">
        <v>-14.1470167</v>
      </c>
      <c r="Q291" s="30" t="n">
        <v>-42.4382967</v>
      </c>
      <c r="R291" s="14" t="inlineStr">
        <is>
          <t>FÓRUM LOCAL - SALÃO DO JÚRI,  RUA DR. VANNI MOREIRA SILVEIRA LIMA, S/N - SANTA RITA/BA</t>
        </is>
      </c>
      <c r="S291" s="26">
        <f>IF(A291=A290,0,1)</f>
        <v>0</v>
      </c>
      <c r="T291" s="26">
        <f>IF(COUNTIF($B$4:B291,B291)=1,1,0)</f>
        <v>0</v>
      </c>
    </row>
    <row r="292">
      <c r="A292" s="14" t="inlineStr">
        <is>
          <t>CAETITÉ</t>
        </is>
      </c>
      <c r="B292" s="26" t="n">
        <v>63</v>
      </c>
      <c r="C292" s="26" t="n">
        <v>1635</v>
      </c>
      <c r="D292" s="14" t="inlineStr">
        <is>
          <t>ESCOLA MUNICIPAL JOSE FERREIRA PINTO</t>
        </is>
      </c>
      <c r="E292" s="14" t="inlineStr">
        <is>
          <t>POVOADO CAMPINAS</t>
        </is>
      </c>
      <c r="F292" s="14" t="inlineStr">
        <is>
          <t>POVOADO CAMPINAS - ZONA RURAL</t>
        </is>
      </c>
      <c r="G292" s="27" t="inlineStr">
        <is>
          <t>46400-000</t>
        </is>
      </c>
      <c r="H292" s="15" t="n">
        <v>4</v>
      </c>
      <c r="I292" s="28" t="inlineStr">
        <is>
          <t>NÃO</t>
        </is>
      </c>
      <c r="J292" s="29" t="n"/>
      <c r="K292" s="14" t="str">
        <f>IF(J292="","7. Acima de 2 km",IF(J292&lt;=50,"1. Até 50 m",IF(J292&lt;=100,"2. De 50 a 100 m",IF(J292&lt;=200,"3. De 100 a 200 m",IF(J292&lt;=300,"4. De 200 a 300 m",IF(J292&lt;=500,"5. De 300 a 500 m","6. De 500 m a 2 km"))))))</f>
        <v>7. Acima de 2 km</v>
      </c>
      <c r="L292" s="26" t="n">
        <v>0</v>
      </c>
      <c r="M292" s="26" t="n">
        <v>0</v>
      </c>
      <c r="N292" s="26" t="n">
        <v>0</v>
      </c>
      <c r="O292" s="26" t="n">
        <v>0</v>
      </c>
      <c r="P292" s="30" t="n">
        <v>-14.2189278</v>
      </c>
      <c r="Q292" s="30" t="n">
        <v>-42.4353506</v>
      </c>
      <c r="R292" s="14" t="inlineStr">
        <is>
          <t>FÓRUM LOCAL - SALÃO DO JÚRI,  RUA DR. VANNI MOREIRA SILVEIRA LIMA, S/N - SANTA RITA/BA</t>
        </is>
      </c>
      <c r="S292" s="26">
        <f>IF(A292=A291,0,1)</f>
        <v>0</v>
      </c>
      <c r="T292" s="26">
        <f>IF(COUNTIF($B$4:B292,B292)=1,1,0)</f>
        <v>0</v>
      </c>
    </row>
    <row r="293">
      <c r="A293" s="14" t="inlineStr">
        <is>
          <t>CAETITÉ</t>
        </is>
      </c>
      <c r="B293" s="26" t="n">
        <v>63</v>
      </c>
      <c r="C293" s="26" t="n">
        <v>1651</v>
      </c>
      <c r="D293" s="14" t="inlineStr">
        <is>
          <t>ESCOLA MUNICIPAL FREI HENRIQUE DE COIMBRA</t>
        </is>
      </c>
      <c r="E293" s="14" t="inlineStr">
        <is>
          <t>POVOADO SANTA LUZIA</t>
        </is>
      </c>
      <c r="F293" s="14" t="inlineStr">
        <is>
          <t>COMUNIDADE DE PEDRA GRANDE - ZONA RURAL</t>
        </is>
      </c>
      <c r="G293" s="27" t="inlineStr">
        <is>
          <t>46400-000</t>
        </is>
      </c>
      <c r="H293" s="15" t="n">
        <v>1</v>
      </c>
      <c r="I293" s="28" t="inlineStr">
        <is>
          <t>NÃO</t>
        </is>
      </c>
      <c r="J293" s="29" t="n"/>
      <c r="K293" s="14" t="str">
        <f>IF(J293="","7. Acima de 2 km",IF(J293&lt;=50,"1. Até 50 m",IF(J293&lt;=100,"2. De 50 a 100 m",IF(J293&lt;=200,"3. De 100 a 200 m",IF(J293&lt;=300,"4. De 200 a 300 m",IF(J293&lt;=500,"5. De 300 a 500 m","6. De 500 m a 2 km"))))))</f>
        <v>7. Acima de 2 km</v>
      </c>
      <c r="L293" s="26" t="n">
        <v>0</v>
      </c>
      <c r="M293" s="26" t="n">
        <v>0</v>
      </c>
      <c r="N293" s="26" t="n">
        <v>0</v>
      </c>
      <c r="O293" s="26" t="n">
        <v>0</v>
      </c>
      <c r="P293" s="30" t="n">
        <v>-14.1962267</v>
      </c>
      <c r="Q293" s="30" t="n">
        <v>-42.3672333</v>
      </c>
      <c r="R293" s="14" t="inlineStr">
        <is>
          <t>FÓRUM LOCAL - SALÃO DO JÚRI,  RUA DR. VANNI MOREIRA SILVEIRA LIMA, S/N - SANTA RITA/BA</t>
        </is>
      </c>
      <c r="S293" s="26">
        <f>IF(A293=A292,0,1)</f>
        <v>0</v>
      </c>
      <c r="T293" s="26">
        <f>IF(COUNTIF($B$4:B293,B293)=1,1,0)</f>
        <v>0</v>
      </c>
    </row>
    <row r="294">
      <c r="A294" s="14" t="inlineStr">
        <is>
          <t>CAETITÉ</t>
        </is>
      </c>
      <c r="B294" s="26" t="n">
        <v>63</v>
      </c>
      <c r="C294" s="26" t="n">
        <v>1660</v>
      </c>
      <c r="D294" s="14" t="inlineStr">
        <is>
          <t>ESCOLA MUNICIPAL RIBEIRO COSTA</t>
        </is>
      </c>
      <c r="E294" s="14" t="inlineStr">
        <is>
          <t>POVOADO CAMPINAS</t>
        </is>
      </c>
      <c r="F294" s="14" t="inlineStr">
        <is>
          <t>COMUNIDADE DA LAGOA AZUL - ZONA RURAL</t>
        </is>
      </c>
      <c r="G294" s="27" t="inlineStr">
        <is>
          <t>46400-000</t>
        </is>
      </c>
      <c r="H294" s="15" t="n">
        <v>1</v>
      </c>
      <c r="I294" s="28" t="inlineStr">
        <is>
          <t>NÃO</t>
        </is>
      </c>
      <c r="J294" s="29" t="n"/>
      <c r="K294" s="14" t="str">
        <f>IF(J294="","7. Acima de 2 km",IF(J294&lt;=50,"1. Até 50 m",IF(J294&lt;=100,"2. De 50 a 100 m",IF(J294&lt;=200,"3. De 100 a 200 m",IF(J294&lt;=300,"4. De 200 a 300 m",IF(J294&lt;=500,"5. De 300 a 500 m","6. De 500 m a 2 km"))))))</f>
        <v>7. Acima de 2 km</v>
      </c>
      <c r="L294" s="26" t="n">
        <v>0</v>
      </c>
      <c r="M294" s="26" t="n">
        <v>0</v>
      </c>
      <c r="N294" s="26" t="n">
        <v>0</v>
      </c>
      <c r="O294" s="26" t="n">
        <v>0</v>
      </c>
      <c r="P294" s="30" t="n">
        <v>-14.2584748</v>
      </c>
      <c r="Q294" s="30" t="n">
        <v>-42.4542497</v>
      </c>
      <c r="R294" s="14" t="inlineStr">
        <is>
          <t>FÓRUM LOCAL - SALÃO DO JÚRI,  RUA DR. VANNI MOREIRA SILVEIRA LIMA, S/N - SANTA RITA/BA</t>
        </is>
      </c>
      <c r="S294" s="26">
        <f>IF(A294=A293,0,1)</f>
        <v>0</v>
      </c>
      <c r="T294" s="26">
        <f>IF(COUNTIF($B$4:B294,B294)=1,1,0)</f>
        <v>0</v>
      </c>
    </row>
    <row r="295">
      <c r="A295" s="14" t="inlineStr">
        <is>
          <t>CAETITÉ</t>
        </is>
      </c>
      <c r="B295" s="26" t="n">
        <v>63</v>
      </c>
      <c r="C295" s="26" t="n">
        <v>1678</v>
      </c>
      <c r="D295" s="14" t="inlineStr">
        <is>
          <t>GRUPO ESCOLAR MONSENHOR OSVALDO MAGALHÃES</t>
        </is>
      </c>
      <c r="E295" s="14" t="inlineStr">
        <is>
          <t>CENTRO</t>
        </is>
      </c>
      <c r="F295" s="14" t="inlineStr">
        <is>
          <t>COMUNIDADE DA CACHOEIRINHA - ZONA RURAL</t>
        </is>
      </c>
      <c r="G295" s="27" t="inlineStr">
        <is>
          <t>46400-000</t>
        </is>
      </c>
      <c r="H295" s="15" t="n">
        <v>3</v>
      </c>
      <c r="I295" s="28" t="inlineStr">
        <is>
          <t>NÃO</t>
        </is>
      </c>
      <c r="J295" s="29" t="n"/>
      <c r="K295" s="14" t="str">
        <f>IF(J295="","7. Acima de 2 km",IF(J295&lt;=50,"1. Até 50 m",IF(J295&lt;=100,"2. De 50 a 100 m",IF(J295&lt;=200,"3. De 100 a 200 m",IF(J295&lt;=300,"4. De 200 a 300 m",IF(J295&lt;=500,"5. De 300 a 500 m","6. De 500 m a 2 km"))))))</f>
        <v>7. Acima de 2 km</v>
      </c>
      <c r="L295" s="26" t="n">
        <v>0</v>
      </c>
      <c r="M295" s="26" t="n">
        <v>0</v>
      </c>
      <c r="N295" s="26" t="n">
        <v>0</v>
      </c>
      <c r="O295" s="26" t="n">
        <v>0</v>
      </c>
      <c r="P295" s="30" t="n">
        <v>-13.9720941</v>
      </c>
      <c r="Q295" s="30" t="n">
        <v>-42.4610118</v>
      </c>
      <c r="R295" s="14" t="inlineStr">
        <is>
          <t>FÓRUM LOCAL - SALÃO DO JÚRI,  RUA DR. VANNI MOREIRA SILVEIRA LIMA, S/N - SANTA RITA/BA</t>
        </is>
      </c>
      <c r="S295" s="26">
        <f>IF(A295=A294,0,1)</f>
        <v>0</v>
      </c>
      <c r="T295" s="26">
        <f>IF(COUNTIF($B$4:B295,B295)=1,1,0)</f>
        <v>0</v>
      </c>
    </row>
    <row r="296">
      <c r="A296" s="14" t="inlineStr">
        <is>
          <t>CAETITÉ</t>
        </is>
      </c>
      <c r="B296" s="26" t="n">
        <v>63</v>
      </c>
      <c r="C296" s="26" t="n">
        <v>1686</v>
      </c>
      <c r="D296" s="14" t="inlineStr">
        <is>
          <t>ESCOLA MUNICIPAL PROFESSOR MOISES AUGUSTO TORRES</t>
        </is>
      </c>
      <c r="E296" s="14" t="inlineStr">
        <is>
          <t>COMUNIDADE SERROTE</t>
        </is>
      </c>
      <c r="F296" s="14" t="inlineStr">
        <is>
          <t>COMUNIDADE DO SERROTE- ZONA RURAL</t>
        </is>
      </c>
      <c r="G296" s="27" t="inlineStr">
        <is>
          <t>46400-000</t>
        </is>
      </c>
      <c r="H296" s="15" t="n">
        <v>2</v>
      </c>
      <c r="I296" s="28" t="inlineStr">
        <is>
          <t>NÃO</t>
        </is>
      </c>
      <c r="J296" s="29" t="n"/>
      <c r="K296" s="14" t="str">
        <f>IF(J296="","7. Acima de 2 km",IF(J296&lt;=50,"1. Até 50 m",IF(J296&lt;=100,"2. De 50 a 100 m",IF(J296&lt;=200,"3. De 100 a 200 m",IF(J296&lt;=300,"4. De 200 a 300 m",IF(J296&lt;=500,"5. De 300 a 500 m","6. De 500 m a 2 km"))))))</f>
        <v>7. Acima de 2 km</v>
      </c>
      <c r="L296" s="26" t="n">
        <v>0</v>
      </c>
      <c r="M296" s="26" t="n">
        <v>0</v>
      </c>
      <c r="N296" s="26" t="n">
        <v>0</v>
      </c>
      <c r="O296" s="26" t="n">
        <v>0</v>
      </c>
      <c r="P296" s="30" t="n">
        <v>-13.9777833</v>
      </c>
      <c r="Q296" s="30" t="n">
        <v>-42.399795</v>
      </c>
      <c r="R296" s="14" t="inlineStr">
        <is>
          <t>FÓRUM LOCAL - SALÃO DO JÚRI,  RUA DR. VANNI MOREIRA SILVEIRA LIMA, S/N - SANTA RITA/BA</t>
        </is>
      </c>
      <c r="S296" s="26">
        <f>IF(A296=A295,0,1)</f>
        <v>0</v>
      </c>
      <c r="T296" s="26">
        <f>IF(COUNTIF($B$4:B296,B296)=1,1,0)</f>
        <v>0</v>
      </c>
    </row>
    <row r="297">
      <c r="A297" s="14" t="inlineStr">
        <is>
          <t>CAETITÉ</t>
        </is>
      </c>
      <c r="B297" s="26" t="n">
        <v>63</v>
      </c>
      <c r="C297" s="26" t="n">
        <v>1694</v>
      </c>
      <c r="D297" s="14" t="inlineStr">
        <is>
          <t>ASSOCIAÇÃO COMUNITÁRIA DOS AMIGOS DO UMBUZEIRO</t>
        </is>
      </c>
      <c r="E297" s="14" t="inlineStr">
        <is>
          <t>CENTRO</t>
        </is>
      </c>
      <c r="F297" s="14" t="inlineStr">
        <is>
          <t>COMUNIDADE UMBUZEIRO - ZONA RURAL</t>
        </is>
      </c>
      <c r="G297" s="27" t="inlineStr">
        <is>
          <t>46400-000</t>
        </is>
      </c>
      <c r="H297" s="15" t="n">
        <v>2</v>
      </c>
      <c r="I297" s="28" t="inlineStr">
        <is>
          <t>NÃO</t>
        </is>
      </c>
      <c r="J297" s="29" t="n"/>
      <c r="K297" s="14" t="str">
        <f>IF(J297="","7. Acima de 2 km",IF(J297&lt;=50,"1. Até 50 m",IF(J297&lt;=100,"2. De 50 a 100 m",IF(J297&lt;=200,"3. De 100 a 200 m",IF(J297&lt;=300,"4. De 200 a 300 m",IF(J297&lt;=500,"5. De 300 a 500 m","6. De 500 m a 2 km"))))))</f>
        <v>7. Acima de 2 km</v>
      </c>
      <c r="L297" s="26" t="n">
        <v>0</v>
      </c>
      <c r="M297" s="26" t="n">
        <v>0</v>
      </c>
      <c r="N297" s="26" t="n">
        <v>0</v>
      </c>
      <c r="O297" s="26" t="n">
        <v>0</v>
      </c>
      <c r="P297" s="30" t="n">
        <v>-13.92157</v>
      </c>
      <c r="Q297" s="30" t="n">
        <v>-42.509405</v>
      </c>
      <c r="R297" s="14" t="inlineStr">
        <is>
          <t>FÓRUM LOCAL - SALÃO DO JÚRI,  RUA DR. VANNI MOREIRA SILVEIRA LIMA, S/N - SANTA RITA/BA</t>
        </is>
      </c>
      <c r="S297" s="26">
        <f>IF(A297=A296,0,1)</f>
        <v>0</v>
      </c>
      <c r="T297" s="26">
        <f>IF(COUNTIF($B$4:B297,B297)=1,1,0)</f>
        <v>0</v>
      </c>
    </row>
    <row r="298">
      <c r="A298" s="14" t="inlineStr">
        <is>
          <t>CAETITÉ</t>
        </is>
      </c>
      <c r="B298" s="26" t="n">
        <v>63</v>
      </c>
      <c r="C298" s="26" t="n">
        <v>1708</v>
      </c>
      <c r="D298" s="14" t="inlineStr">
        <is>
          <t>IGREJA CATÓLICA DA BARRA DE CAETITÉ</t>
        </is>
      </c>
      <c r="E298" s="14" t="inlineStr">
        <is>
          <t>POVOADO SANTA LUZIA</t>
        </is>
      </c>
      <c r="F298" s="14" t="inlineStr">
        <is>
          <t>COMUNIDADE DA BARRA DE CAETITÉ- ZONA RURAL</t>
        </is>
      </c>
      <c r="G298" s="27" t="inlineStr">
        <is>
          <t>46400-000</t>
        </is>
      </c>
      <c r="H298" s="15" t="n">
        <v>2</v>
      </c>
      <c r="I298" s="28" t="inlineStr">
        <is>
          <t>NÃO</t>
        </is>
      </c>
      <c r="J298" s="29" t="n"/>
      <c r="K298" s="14" t="str">
        <f>IF(J298="","7. Acima de 2 km",IF(J298&lt;=50,"1. Até 50 m",IF(J298&lt;=100,"2. De 50 a 100 m",IF(J298&lt;=200,"3. De 100 a 200 m",IF(J298&lt;=300,"4. De 200 a 300 m",IF(J298&lt;=500,"5. De 300 a 500 m","6. De 500 m a 2 km"))))))</f>
        <v>7. Acima de 2 km</v>
      </c>
      <c r="L298" s="26" t="n">
        <v>0</v>
      </c>
      <c r="M298" s="26" t="n">
        <v>0</v>
      </c>
      <c r="N298" s="26" t="n">
        <v>0</v>
      </c>
      <c r="O298" s="26" t="n">
        <v>0</v>
      </c>
      <c r="P298" s="30" t="n">
        <v>-14.1571443</v>
      </c>
      <c r="Q298" s="30" t="n">
        <v>-42.4007412</v>
      </c>
      <c r="R298" s="14" t="inlineStr">
        <is>
          <t>FÓRUM LOCAL - SALÃO DO JÚRI,  RUA DR. VANNI MOREIRA SILVEIRA LIMA, S/N - SANTA RITA/BA</t>
        </is>
      </c>
      <c r="S298" s="26">
        <f>IF(A298=A297,0,1)</f>
        <v>0</v>
      </c>
      <c r="T298" s="26">
        <f>IF(COUNTIF($B$4:B298,B298)=1,1,0)</f>
        <v>0</v>
      </c>
    </row>
    <row r="299">
      <c r="A299" s="14" t="inlineStr">
        <is>
          <t>CAETITÉ</t>
        </is>
      </c>
      <c r="B299" s="26" t="n">
        <v>63</v>
      </c>
      <c r="C299" s="26" t="n">
        <v>1724</v>
      </c>
      <c r="D299" s="14" t="inlineStr">
        <is>
          <t>ESCOLA MUNICIPAL PROFESSOR ALMIR PUBLIO CASTRO</t>
        </is>
      </c>
      <c r="E299" s="14" t="inlineStr">
        <is>
          <t>DISTRITO BREJINHO DAS AMETISTAS</t>
        </is>
      </c>
      <c r="F299" s="14" t="inlineStr">
        <is>
          <t xml:space="preserve">COMUNIDADE CURRAL VELHO - ZONA RURAL             </t>
        </is>
      </c>
      <c r="G299" s="27" t="inlineStr">
        <is>
          <t>46400-000</t>
        </is>
      </c>
      <c r="H299" s="15" t="n">
        <v>1</v>
      </c>
      <c r="I299" s="28" t="inlineStr">
        <is>
          <t>NÃO</t>
        </is>
      </c>
      <c r="J299" s="29" t="n"/>
      <c r="K299" s="14" t="str">
        <f>IF(J299="","7. Acima de 2 km",IF(J299&lt;=50,"1. Até 50 m",IF(J299&lt;=100,"2. De 50 a 100 m",IF(J299&lt;=200,"3. De 100 a 200 m",IF(J299&lt;=300,"4. De 200 a 300 m",IF(J299&lt;=500,"5. De 300 a 500 m","6. De 500 m a 2 km"))))))</f>
        <v>7. Acima de 2 km</v>
      </c>
      <c r="L299" s="26" t="n">
        <v>0</v>
      </c>
      <c r="M299" s="26" t="n">
        <v>0</v>
      </c>
      <c r="N299" s="26" t="n">
        <v>0</v>
      </c>
      <c r="O299" s="26" t="n">
        <v>0</v>
      </c>
      <c r="P299" s="30" t="n">
        <v>-14.2557848</v>
      </c>
      <c r="Q299" s="30" t="n">
        <v>-42.5790838</v>
      </c>
      <c r="R299" s="14" t="inlineStr">
        <is>
          <t>FÓRUM LOCAL - SALÃO DO JÚRI,  RUA DR. VANNI MOREIRA SILVEIRA LIMA, S/N - SANTA RITA/BA</t>
        </is>
      </c>
      <c r="S299" s="26">
        <f>IF(A299=A298,0,1)</f>
        <v>0</v>
      </c>
      <c r="T299" s="26">
        <f>IF(COUNTIF($B$4:B299,B299)=1,1,0)</f>
        <v>0</v>
      </c>
    </row>
    <row r="300">
      <c r="A300" s="14" t="inlineStr">
        <is>
          <t>CAETITÉ</t>
        </is>
      </c>
      <c r="B300" s="26" t="n">
        <v>63</v>
      </c>
      <c r="C300" s="26" t="n">
        <v>1813</v>
      </c>
      <c r="D300" s="14" t="inlineStr">
        <is>
          <t>ESCOLA MUNICIPAL CAZUZA LIMA</t>
        </is>
      </c>
      <c r="E300" s="14" t="inlineStr">
        <is>
          <t>DISTRITO BREJINHO DAS AMETISTAS</t>
        </is>
      </c>
      <c r="F300" s="14" t="inlineStr">
        <is>
          <t>COMUNIDADE DE JOAO BARROCA  - ZONA RURAL</t>
        </is>
      </c>
      <c r="G300" s="27" t="inlineStr">
        <is>
          <t>46400-000</t>
        </is>
      </c>
      <c r="H300" s="15" t="n">
        <v>1</v>
      </c>
      <c r="I300" s="28" t="inlineStr">
        <is>
          <t>NÃO</t>
        </is>
      </c>
      <c r="J300" s="29" t="n"/>
      <c r="K300" s="14" t="str">
        <f>IF(J300="","7. Acima de 2 km",IF(J300&lt;=50,"1. Até 50 m",IF(J300&lt;=100,"2. De 50 a 100 m",IF(J300&lt;=200,"3. De 100 a 200 m",IF(J300&lt;=300,"4. De 200 a 300 m",IF(J300&lt;=500,"5. De 300 a 500 m","6. De 500 m a 2 km"))))))</f>
        <v>7. Acima de 2 km</v>
      </c>
      <c r="L300" s="26" t="n">
        <v>0</v>
      </c>
      <c r="M300" s="26" t="n">
        <v>0</v>
      </c>
      <c r="N300" s="26" t="n">
        <v>0</v>
      </c>
      <c r="O300" s="26" t="n">
        <v>0</v>
      </c>
      <c r="P300" s="30" t="n">
        <v>-14.3012856</v>
      </c>
      <c r="Q300" s="30" t="n">
        <v>-42.57787</v>
      </c>
      <c r="R300" s="14" t="inlineStr">
        <is>
          <t>FÓRUM LOCAL - SALÃO DO JÚRI,  RUA DR. VANNI MOREIRA SILVEIRA LIMA, S/N - SANTA RITA/BA</t>
        </is>
      </c>
      <c r="S300" s="26">
        <f>IF(A300=A299,0,1)</f>
        <v>0</v>
      </c>
      <c r="T300" s="26">
        <f>IF(COUNTIF($B$4:B300,B300)=1,1,0)</f>
        <v>0</v>
      </c>
    </row>
    <row r="301">
      <c r="A301" s="14" t="inlineStr">
        <is>
          <t>CAETITÉ</t>
        </is>
      </c>
      <c r="B301" s="26" t="n">
        <v>63</v>
      </c>
      <c r="C301" s="26" t="n">
        <v>1821</v>
      </c>
      <c r="D301" s="14" t="inlineStr">
        <is>
          <t>ESCOLA MUNICIPAL ALFRANIO PEIXOTO</t>
        </is>
      </c>
      <c r="E301" s="14" t="inlineStr">
        <is>
          <t>DISTRITO BREJINHO DAS AMETISTAS</t>
        </is>
      </c>
      <c r="F301" s="14" t="inlineStr">
        <is>
          <t>COMUNIDADE DE BARREIRAS - ZONA RURAL</t>
        </is>
      </c>
      <c r="G301" s="27" t="inlineStr">
        <is>
          <t>46400-000</t>
        </is>
      </c>
      <c r="H301" s="15" t="n">
        <v>1</v>
      </c>
      <c r="I301" s="28" t="inlineStr">
        <is>
          <t>NÃO</t>
        </is>
      </c>
      <c r="J301" s="29" t="n"/>
      <c r="K301" s="14" t="str">
        <f>IF(J301="","7. Acima de 2 km",IF(J301&lt;=50,"1. Até 50 m",IF(J301&lt;=100,"2. De 50 a 100 m",IF(J301&lt;=200,"3. De 100 a 200 m",IF(J301&lt;=300,"4. De 200 a 300 m",IF(J301&lt;=500,"5. De 300 a 500 m","6. De 500 m a 2 km"))))))</f>
        <v>7. Acima de 2 km</v>
      </c>
      <c r="L301" s="26" t="n">
        <v>0</v>
      </c>
      <c r="M301" s="26" t="n">
        <v>0</v>
      </c>
      <c r="N301" s="26" t="n">
        <v>0</v>
      </c>
      <c r="O301" s="26" t="n">
        <v>0</v>
      </c>
      <c r="P301" s="30" t="n">
        <v>-14.23734</v>
      </c>
      <c r="Q301" s="30" t="n">
        <v>-42.4726267</v>
      </c>
      <c r="R301" s="14" t="inlineStr">
        <is>
          <t>FÓRUM LOCAL - SALÃO DO JÚRI,  RUA DR. VANNI MOREIRA SILVEIRA LIMA, S/N - SANTA RITA/BA</t>
        </is>
      </c>
      <c r="S301" s="26">
        <f>IF(A301=A300,0,1)</f>
        <v>0</v>
      </c>
      <c r="T301" s="26">
        <f>IF(COUNTIF($B$4:B301,B301)=1,1,0)</f>
        <v>0</v>
      </c>
    </row>
    <row r="302">
      <c r="A302" s="14" t="inlineStr">
        <is>
          <t>CAETITÉ</t>
        </is>
      </c>
      <c r="B302" s="26" t="n">
        <v>63</v>
      </c>
      <c r="C302" s="26" t="n">
        <v>1848</v>
      </c>
      <c r="D302" s="14" t="inlineStr">
        <is>
          <t>PREDIO ESCOLAR VENCESLAU BRAZ</t>
        </is>
      </c>
      <c r="E302" s="14" t="inlineStr">
        <is>
          <t>POVOADO CERCADO</t>
        </is>
      </c>
      <c r="F302" s="14" t="inlineStr">
        <is>
          <t>COMUNIDADE DO BURACAO - ZONA RURAL</t>
        </is>
      </c>
      <c r="G302" s="27" t="inlineStr">
        <is>
          <t>46400-000</t>
        </is>
      </c>
      <c r="H302" s="15" t="n">
        <v>1</v>
      </c>
      <c r="I302" s="28" t="inlineStr">
        <is>
          <t>NÃO</t>
        </is>
      </c>
      <c r="J302" s="29" t="n"/>
      <c r="K302" s="14" t="str">
        <f>IF(J302="","7. Acima de 2 km",IF(J302&lt;=50,"1. Até 50 m",IF(J302&lt;=100,"2. De 50 a 100 m",IF(J302&lt;=200,"3. De 100 a 200 m",IF(J302&lt;=300,"4. De 200 a 300 m",IF(J302&lt;=500,"5. De 300 a 500 m","6. De 500 m a 2 km"))))))</f>
        <v>7. Acima de 2 km</v>
      </c>
      <c r="L302" s="26" t="n">
        <v>0</v>
      </c>
      <c r="M302" s="26" t="n">
        <v>0</v>
      </c>
      <c r="N302" s="26" t="n">
        <v>0</v>
      </c>
      <c r="O302" s="26" t="n">
        <v>0</v>
      </c>
      <c r="P302" s="30" t="n">
        <v>-13.693712</v>
      </c>
      <c r="Q302" s="30" t="n">
        <v>-42.2809822</v>
      </c>
      <c r="R302" s="14" t="inlineStr">
        <is>
          <t>FÓRUM LOCAL - SALÃO DO JÚRI,  RUA DR. VANNI MOREIRA SILVEIRA LIMA, S/N - SANTA RITA/BA</t>
        </is>
      </c>
      <c r="S302" s="26">
        <f>IF(A302=A301,0,1)</f>
        <v>0</v>
      </c>
      <c r="T302" s="26">
        <f>IF(COUNTIF($B$4:B302,B302)=1,1,0)</f>
        <v>0</v>
      </c>
    </row>
    <row r="303">
      <c r="A303" s="14" t="inlineStr">
        <is>
          <t>CAETITÉ</t>
        </is>
      </c>
      <c r="B303" s="26" t="n">
        <v>63</v>
      </c>
      <c r="C303" s="26" t="n">
        <v>1856</v>
      </c>
      <c r="D303" s="14" t="inlineStr">
        <is>
          <t>ESCOLA MUNICIPAL CONEGO SABINO</t>
        </is>
      </c>
      <c r="E303" s="14" t="inlineStr">
        <is>
          <t>POVOADO CERCADO</t>
        </is>
      </c>
      <c r="F303" s="14" t="inlineStr">
        <is>
          <t>COMUNIDADE DE UMBAUBA-ZONA RURAL</t>
        </is>
      </c>
      <c r="G303" s="27" t="inlineStr">
        <is>
          <t>46400-000</t>
        </is>
      </c>
      <c r="H303" s="15" t="n">
        <v>1</v>
      </c>
      <c r="I303" s="28" t="inlineStr">
        <is>
          <t>NÃO</t>
        </is>
      </c>
      <c r="J303" s="29" t="n"/>
      <c r="K303" s="14" t="str">
        <f>IF(J303="","7. Acima de 2 km",IF(J303&lt;=50,"1. Até 50 m",IF(J303&lt;=100,"2. De 50 a 100 m",IF(J303&lt;=200,"3. De 100 a 200 m",IF(J303&lt;=300,"4. De 200 a 300 m",IF(J303&lt;=500,"5. De 300 a 500 m","6. De 500 m a 2 km"))))))</f>
        <v>7. Acima de 2 km</v>
      </c>
      <c r="L303" s="26" t="n">
        <v>0</v>
      </c>
      <c r="M303" s="26" t="n">
        <v>0</v>
      </c>
      <c r="N303" s="26" t="n">
        <v>0</v>
      </c>
      <c r="O303" s="26" t="n">
        <v>0</v>
      </c>
      <c r="P303" s="30" t="n">
        <v>-13.6982816</v>
      </c>
      <c r="Q303" s="30" t="n">
        <v>-42.2221821</v>
      </c>
      <c r="R303" s="14" t="inlineStr">
        <is>
          <t>FÓRUM LOCAL - SALÃO DO JÚRI,  RUA DR. VANNI MOREIRA SILVEIRA LIMA, S/N - SANTA RITA/BA</t>
        </is>
      </c>
      <c r="S303" s="26">
        <f>IF(A303=A302,0,1)</f>
        <v>0</v>
      </c>
      <c r="T303" s="26">
        <f>IF(COUNTIF($B$4:B303,B303)=1,1,0)</f>
        <v>0</v>
      </c>
    </row>
    <row r="304">
      <c r="A304" s="14" t="inlineStr">
        <is>
          <t>CAETITÉ</t>
        </is>
      </c>
      <c r="B304" s="26" t="n">
        <v>63</v>
      </c>
      <c r="C304" s="26" t="n">
        <v>1864</v>
      </c>
      <c r="D304" s="14" t="inlineStr">
        <is>
          <t>ESCOLA MUNICIPAL D ALBERTO GUIMARAES REZENDE</t>
        </is>
      </c>
      <c r="E304" s="14" t="inlineStr">
        <is>
          <t>DISTRITO DE MANIAÇU</t>
        </is>
      </c>
      <c r="F304" s="14" t="inlineStr">
        <is>
          <t>COMUNIDADE DE FORMOSA II  - ZONA RURAL</t>
        </is>
      </c>
      <c r="G304" s="27" t="inlineStr">
        <is>
          <t>46400-000</t>
        </is>
      </c>
      <c r="H304" s="15" t="n">
        <v>3</v>
      </c>
      <c r="I304" s="28" t="inlineStr">
        <is>
          <t>NÃO</t>
        </is>
      </c>
      <c r="J304" s="29" t="n"/>
      <c r="K304" s="14" t="str">
        <f>IF(J304="","7. Acima de 2 km",IF(J304&lt;=50,"1. Até 50 m",IF(J304&lt;=100,"2. De 50 a 100 m",IF(J304&lt;=200,"3. De 100 a 200 m",IF(J304&lt;=300,"4. De 200 a 300 m",IF(J304&lt;=500,"5. De 300 a 500 m","6. De 500 m a 2 km"))))))</f>
        <v>7. Acima de 2 km</v>
      </c>
      <c r="L304" s="26" t="n">
        <v>0</v>
      </c>
      <c r="M304" s="26" t="n">
        <v>0</v>
      </c>
      <c r="N304" s="26" t="n">
        <v>0</v>
      </c>
      <c r="O304" s="26" t="n">
        <v>0</v>
      </c>
      <c r="P304" s="30" t="n">
        <v>-13.6947867</v>
      </c>
      <c r="Q304" s="30" t="n">
        <v>-42.4257617</v>
      </c>
      <c r="R304" s="14" t="inlineStr">
        <is>
          <t>FÓRUM LOCAL - SALÃO DO JÚRI,  RUA DR. VANNI MOREIRA SILVEIRA LIMA, S/N - SANTA RITA/BA</t>
        </is>
      </c>
      <c r="S304" s="26">
        <f>IF(A304=A303,0,1)</f>
        <v>0</v>
      </c>
      <c r="T304" s="26">
        <f>IF(COUNTIF($B$4:B304,B304)=1,1,0)</f>
        <v>0</v>
      </c>
    </row>
    <row r="305">
      <c r="A305" s="14" t="inlineStr">
        <is>
          <t>CAETITÉ</t>
        </is>
      </c>
      <c r="B305" s="26" t="n">
        <v>63</v>
      </c>
      <c r="C305" s="26" t="n">
        <v>1872</v>
      </c>
      <c r="D305" s="14" t="inlineStr">
        <is>
          <t>ASSOCIAÇÃO COMUNITÁRIA DOS AMIGOS DE AÇOITA CAVALO</t>
        </is>
      </c>
      <c r="E305" s="14" t="inlineStr">
        <is>
          <t>DISTRITO BREJINHO DAS AMETISTAS</t>
        </is>
      </c>
      <c r="F305" s="14" t="inlineStr">
        <is>
          <t>COMUNIDADE DE AÇOITA CAVALO- ZONA RURAL</t>
        </is>
      </c>
      <c r="G305" s="27" t="inlineStr">
        <is>
          <t>46400-000</t>
        </is>
      </c>
      <c r="H305" s="15" t="n">
        <v>1</v>
      </c>
      <c r="I305" s="28" t="inlineStr">
        <is>
          <t>NÃO</t>
        </is>
      </c>
      <c r="J305" s="29" t="n"/>
      <c r="K305" s="14" t="str">
        <f>IF(J305="","7. Acima de 2 km",IF(J305&lt;=50,"1. Até 50 m",IF(J305&lt;=100,"2. De 50 a 100 m",IF(J305&lt;=200,"3. De 100 a 200 m",IF(J305&lt;=300,"4. De 200 a 300 m",IF(J305&lt;=500,"5. De 300 a 500 m","6. De 500 m a 2 km"))))))</f>
        <v>7. Acima de 2 km</v>
      </c>
      <c r="L305" s="26" t="n">
        <v>0</v>
      </c>
      <c r="M305" s="26" t="n">
        <v>0</v>
      </c>
      <c r="N305" s="26" t="n">
        <v>0</v>
      </c>
      <c r="O305" s="26" t="n">
        <v>0</v>
      </c>
      <c r="P305" s="30" t="n">
        <v>-14.3333573</v>
      </c>
      <c r="Q305" s="30" t="n">
        <v>-42.488362</v>
      </c>
      <c r="R305" s="14" t="inlineStr">
        <is>
          <t>FÓRUM LOCAL - SALÃO DO JÚRI,  RUA DR. VANNI MOREIRA SILVEIRA LIMA, S/N - SANTA RITA/BA</t>
        </is>
      </c>
      <c r="S305" s="26">
        <f>IF(A305=A304,0,1)</f>
        <v>0</v>
      </c>
      <c r="T305" s="26">
        <f>IF(COUNTIF($B$4:B305,B305)=1,1,0)</f>
        <v>0</v>
      </c>
    </row>
    <row r="306">
      <c r="A306" s="14" t="inlineStr">
        <is>
          <t>CAETITÉ</t>
        </is>
      </c>
      <c r="B306" s="26" t="n">
        <v>63</v>
      </c>
      <c r="C306" s="26" t="n">
        <v>1880</v>
      </c>
      <c r="D306" s="14" t="inlineStr">
        <is>
          <t>PREDIO ESCOLAR EPONINA GUMES</t>
        </is>
      </c>
      <c r="E306" s="14" t="inlineStr">
        <is>
          <t>ALTO BUENOS AIRES</t>
        </is>
      </c>
      <c r="F306" s="14" t="inlineStr">
        <is>
          <t xml:space="preserve">AVENIDA CAETITE MANIACU KM 01 - ZONA URBANA          </t>
        </is>
      </c>
      <c r="G306" s="27" t="inlineStr">
        <is>
          <t>46400-000</t>
        </is>
      </c>
      <c r="H306" s="15" t="n">
        <v>5</v>
      </c>
      <c r="I306" s="28" t="inlineStr">
        <is>
          <t>NÃO</t>
        </is>
      </c>
      <c r="J306" s="29" t="n">
        <v>767.6</v>
      </c>
      <c r="K306" s="14" t="str">
        <f>IF(J306="","7. Acima de 2 km",IF(J306&lt;=50,"1. Até 50 m",IF(J306&lt;=100,"2. De 50 a 100 m",IF(J306&lt;=200,"3. De 100 a 200 m",IF(J306&lt;=300,"4. De 200 a 300 m",IF(J306&lt;=500,"5. De 300 a 500 m","6. De 500 m a 2 km"))))))</f>
        <v>6. De 500 m a 2 km</v>
      </c>
      <c r="L306" s="26" t="n">
        <v>0</v>
      </c>
      <c r="M306" s="26" t="n">
        <v>0</v>
      </c>
      <c r="N306" s="26" t="n">
        <v>0</v>
      </c>
      <c r="O306" s="26" t="n">
        <v>0</v>
      </c>
      <c r="P306" s="30" t="n">
        <v>-14.0588678</v>
      </c>
      <c r="Q306" s="30" t="n">
        <v>-42.4835584</v>
      </c>
      <c r="R306" s="14" t="inlineStr">
        <is>
          <t>FÓRUM LOCAL - SALÃO DO JÚRI,  RUA DR. VANNI MOREIRA SILVEIRA LIMA, S/N - SANTA RITA/BA</t>
        </is>
      </c>
      <c r="S306" s="26">
        <f>IF(A306=A305,0,1)</f>
        <v>0</v>
      </c>
      <c r="T306" s="26">
        <f>IF(COUNTIF($B$4:B306,B306)=1,1,0)</f>
        <v>0</v>
      </c>
    </row>
    <row r="307">
      <c r="A307" s="14" t="inlineStr">
        <is>
          <t>CAETITÉ</t>
        </is>
      </c>
      <c r="B307" s="26" t="n">
        <v>63</v>
      </c>
      <c r="C307" s="26" t="n">
        <v>1899</v>
      </c>
      <c r="D307" s="14" t="inlineStr">
        <is>
          <t>ESCOLA MUNICIPAL MAURICIO DE NASSAU</t>
        </is>
      </c>
      <c r="E307" s="14" t="inlineStr">
        <is>
          <t>DISTRITO DE MANIAÇU</t>
        </is>
      </c>
      <c r="F307" s="14" t="inlineStr">
        <is>
          <t xml:space="preserve">COMUNIDADE DE PASSAGEM DE AREIA - ZONA RURAL       </t>
        </is>
      </c>
      <c r="G307" s="27" t="inlineStr">
        <is>
          <t>46400-000</t>
        </is>
      </c>
      <c r="H307" s="15" t="n">
        <v>1</v>
      </c>
      <c r="I307" s="28" t="inlineStr">
        <is>
          <t>NÃO</t>
        </is>
      </c>
      <c r="J307" s="29" t="n"/>
      <c r="K307" s="14" t="str">
        <f>IF(J307="","7. Acima de 2 km",IF(J307&lt;=50,"1. Até 50 m",IF(J307&lt;=100,"2. De 50 a 100 m",IF(J307&lt;=200,"3. De 100 a 200 m",IF(J307&lt;=300,"4. De 200 a 300 m",IF(J307&lt;=500,"5. De 300 a 500 m","6. De 500 m a 2 km"))))))</f>
        <v>7. Acima de 2 km</v>
      </c>
      <c r="L307" s="26" t="n">
        <v>0</v>
      </c>
      <c r="M307" s="26" t="n">
        <v>0</v>
      </c>
      <c r="N307" s="26" t="n">
        <v>0</v>
      </c>
      <c r="O307" s="26" t="n">
        <v>0</v>
      </c>
      <c r="P307" s="30" t="n">
        <v>-13.8945483</v>
      </c>
      <c r="Q307" s="30" t="n">
        <v>-42.32074</v>
      </c>
      <c r="R307" s="14" t="inlineStr">
        <is>
          <t>FÓRUM LOCAL - SALÃO DO JÚRI,  RUA DR. VANNI MOREIRA SILVEIRA LIMA, S/N - SANTA RITA/BA</t>
        </is>
      </c>
      <c r="S307" s="26">
        <f>IF(A307=A306,0,1)</f>
        <v>0</v>
      </c>
      <c r="T307" s="26">
        <f>IF(COUNTIF($B$4:B307,B307)=1,1,0)</f>
        <v>0</v>
      </c>
    </row>
    <row r="308">
      <c r="A308" s="14" t="inlineStr">
        <is>
          <t>CAETITÉ</t>
        </is>
      </c>
      <c r="B308" s="26" t="n">
        <v>63</v>
      </c>
      <c r="C308" s="26" t="n">
        <v>1929</v>
      </c>
      <c r="D308" s="14" t="inlineStr">
        <is>
          <t>ASSOCIAÇÃO COMUNITÁRIA DOS AMIGOS DA VARGEM DA INVERNADA</t>
        </is>
      </c>
      <c r="E308" s="14" t="inlineStr">
        <is>
          <t>DISTRITO BREJINHO DAS AMETISTAS</t>
        </is>
      </c>
      <c r="F308" s="14" t="inlineStr">
        <is>
          <t>COMUNIDADE DE VARGEM DA INVERNADA - ZONA RURAL</t>
        </is>
      </c>
      <c r="G308" s="27" t="inlineStr">
        <is>
          <t>46400-000</t>
        </is>
      </c>
      <c r="H308" s="15" t="n">
        <v>4</v>
      </c>
      <c r="I308" s="28" t="inlineStr">
        <is>
          <t>NÃO</t>
        </is>
      </c>
      <c r="J308" s="29" t="n"/>
      <c r="K308" s="14" t="str">
        <f>IF(J308="","7. Acima de 2 km",IF(J308&lt;=50,"1. Até 50 m",IF(J308&lt;=100,"2. De 50 a 100 m",IF(J308&lt;=200,"3. De 100 a 200 m",IF(J308&lt;=300,"4. De 200 a 300 m",IF(J308&lt;=500,"5. De 300 a 500 m","6. De 500 m a 2 km"))))))</f>
        <v>7. Acima de 2 km</v>
      </c>
      <c r="L308" s="26" t="n">
        <v>0</v>
      </c>
      <c r="M308" s="26" t="n">
        <v>0</v>
      </c>
      <c r="N308" s="26" t="n">
        <v>0</v>
      </c>
      <c r="O308" s="26" t="n">
        <v>0</v>
      </c>
      <c r="P308" s="30" t="n">
        <v>-14.2148912</v>
      </c>
      <c r="Q308" s="30" t="n">
        <v>-42.5644669</v>
      </c>
      <c r="R308" s="14" t="inlineStr">
        <is>
          <t>FÓRUM LOCAL - SALÃO DO JÚRI,  RUA DR. VANNI MOREIRA SILVEIRA LIMA, S/N - SANTA RITA/BA</t>
        </is>
      </c>
      <c r="S308" s="26">
        <f>IF(A308=A307,0,1)</f>
        <v>0</v>
      </c>
      <c r="T308" s="26">
        <f>IF(COUNTIF($B$4:B308,B308)=1,1,0)</f>
        <v>0</v>
      </c>
    </row>
    <row r="309">
      <c r="A309" s="14" t="inlineStr">
        <is>
          <t>CAETITÉ</t>
        </is>
      </c>
      <c r="B309" s="26" t="n">
        <v>63</v>
      </c>
      <c r="C309" s="26" t="n">
        <v>1945</v>
      </c>
      <c r="D309" s="14" t="inlineStr">
        <is>
          <t>PRÉDIO ESCOLAR PRIMAVERA</t>
        </is>
      </c>
      <c r="E309" s="14" t="inlineStr">
        <is>
          <t>DISTRITO DE MANIAÇU</t>
        </is>
      </c>
      <c r="F309" s="14" t="inlineStr">
        <is>
          <t>COMUNIDADE DE VEREDA DOS CAIRES - ZONA RURAL</t>
        </is>
      </c>
      <c r="G309" s="27" t="inlineStr">
        <is>
          <t>46400-000</t>
        </is>
      </c>
      <c r="H309" s="15" t="n">
        <v>1</v>
      </c>
      <c r="I309" s="28" t="inlineStr">
        <is>
          <t>NÃO</t>
        </is>
      </c>
      <c r="J309" s="29" t="n"/>
      <c r="K309" s="14" t="str">
        <f>IF(J309="","7. Acima de 2 km",IF(J309&lt;=50,"1. Até 50 m",IF(J309&lt;=100,"2. De 50 a 100 m",IF(J309&lt;=200,"3. De 100 a 200 m",IF(J309&lt;=300,"4. De 200 a 300 m",IF(J309&lt;=500,"5. De 300 a 500 m","6. De 500 m a 2 km"))))))</f>
        <v>7. Acima de 2 km</v>
      </c>
      <c r="L309" s="26" t="n">
        <v>0</v>
      </c>
      <c r="M309" s="26" t="n">
        <v>0</v>
      </c>
      <c r="N309" s="26" t="n">
        <v>0</v>
      </c>
      <c r="O309" s="26" t="n">
        <v>0</v>
      </c>
      <c r="P309" s="30" t="n">
        <v>-13.68847</v>
      </c>
      <c r="Q309" s="30" t="n">
        <v>-42.3129267</v>
      </c>
      <c r="R309" s="14" t="inlineStr">
        <is>
          <t>FÓRUM LOCAL - SALÃO DO JÚRI,  RUA DR. VANNI MOREIRA SILVEIRA LIMA, S/N - SANTA RITA/BA</t>
        </is>
      </c>
      <c r="S309" s="26">
        <f>IF(A309=A308,0,1)</f>
        <v>0</v>
      </c>
      <c r="T309" s="26">
        <f>IF(COUNTIF($B$4:B309,B309)=1,1,0)</f>
        <v>0</v>
      </c>
    </row>
    <row r="310">
      <c r="A310" s="14" t="inlineStr">
        <is>
          <t>CAETITÉ</t>
        </is>
      </c>
      <c r="B310" s="26" t="n">
        <v>63</v>
      </c>
      <c r="C310" s="26" t="n">
        <v>1953</v>
      </c>
      <c r="D310" s="14" t="inlineStr">
        <is>
          <t>GRUPO ESCOLAR TEREZA BOMFIM DA SILVA</t>
        </is>
      </c>
      <c r="E310" s="14" t="inlineStr">
        <is>
          <t>NOSSA SENHORA DA PAZ</t>
        </is>
      </c>
      <c r="F310" s="14" t="inlineStr">
        <is>
          <t>AVENIDA 7 - ZONA URBANA</t>
        </is>
      </c>
      <c r="G310" s="27" t="inlineStr">
        <is>
          <t>46400-000</t>
        </is>
      </c>
      <c r="H310" s="15" t="n">
        <v>3</v>
      </c>
      <c r="I310" s="28" t="inlineStr">
        <is>
          <t>NÃO</t>
        </is>
      </c>
      <c r="J310" s="29" t="n">
        <v>1073.5</v>
      </c>
      <c r="K310" s="14" t="str">
        <f>IF(J310="","7. Acima de 2 km",IF(J310&lt;=50,"1. Até 50 m",IF(J310&lt;=100,"2. De 50 a 100 m",IF(J310&lt;=200,"3. De 100 a 200 m",IF(J310&lt;=300,"4. De 200 a 300 m",IF(J310&lt;=500,"5. De 300 a 500 m","6. De 500 m a 2 km"))))))</f>
        <v>6. De 500 m a 2 km</v>
      </c>
      <c r="L310" s="26" t="n">
        <v>0</v>
      </c>
      <c r="M310" s="26" t="n">
        <v>0</v>
      </c>
      <c r="N310" s="26" t="n">
        <v>0</v>
      </c>
      <c r="O310" s="26" t="n">
        <v>0</v>
      </c>
      <c r="P310" s="30" t="n">
        <v>-14.0545648</v>
      </c>
      <c r="Q310" s="30" t="n">
        <v>-42.4859381</v>
      </c>
      <c r="R310" s="14" t="inlineStr">
        <is>
          <t>FÓRUM LOCAL - SALÃO DO JÚRI,  RUA DR. VANNI MOREIRA SILVEIRA LIMA, S/N - SANTA RITA/BA</t>
        </is>
      </c>
      <c r="S310" s="26">
        <f>IF(A310=A309,0,1)</f>
        <v>0</v>
      </c>
      <c r="T310" s="26">
        <f>IF(COUNTIF($B$4:B310,B310)=1,1,0)</f>
        <v>0</v>
      </c>
    </row>
    <row r="311">
      <c r="A311" s="14" t="inlineStr">
        <is>
          <t>CAETITÉ</t>
        </is>
      </c>
      <c r="B311" s="26" t="n">
        <v>63</v>
      </c>
      <c r="C311" s="26" t="n">
        <v>1961</v>
      </c>
      <c r="D311" s="14" t="inlineStr">
        <is>
          <t>COLÉGIO MODELO LUIZ EDUARDO MAGALHÃES</t>
        </is>
      </c>
      <c r="E311" s="14" t="inlineStr">
        <is>
          <t>CENTRO</t>
        </is>
      </c>
      <c r="F311" s="14" t="inlineStr">
        <is>
          <t>AVENIDA ANÍSIO TEIXEIRA - ZONA URBANA</t>
        </is>
      </c>
      <c r="G311" s="27" t="inlineStr">
        <is>
          <t>46400-000</t>
        </is>
      </c>
      <c r="H311" s="15" t="n">
        <v>10</v>
      </c>
      <c r="I311" s="28" t="inlineStr">
        <is>
          <t>NÃO</t>
        </is>
      </c>
      <c r="J311" s="29" t="n">
        <v>322</v>
      </c>
      <c r="K311" s="14" t="str">
        <f>IF(J311="","7. Acima de 2 km",IF(J311&lt;=50,"1. Até 50 m",IF(J311&lt;=100,"2. De 50 a 100 m",IF(J311&lt;=200,"3. De 100 a 200 m",IF(J311&lt;=300,"4. De 200 a 300 m",IF(J311&lt;=500,"5. De 300 a 500 m","6. De 500 m a 2 km"))))))</f>
        <v>5. De 300 a 500 m</v>
      </c>
      <c r="L311" s="26" t="n">
        <v>0</v>
      </c>
      <c r="M311" s="26" t="n">
        <v>0</v>
      </c>
      <c r="N311" s="26" t="n">
        <v>0</v>
      </c>
      <c r="O311" s="26" t="n">
        <v>0</v>
      </c>
      <c r="P311" s="30" t="n">
        <v>-14.0674409</v>
      </c>
      <c r="Q311" s="30" t="n">
        <v>-42.4933117</v>
      </c>
      <c r="R311" s="14" t="inlineStr">
        <is>
          <t>FÓRUM LOCAL - SALÃO DO JÚRI,  RUA DR. VANNI MOREIRA SILVEIRA LIMA, S/N - SANTA RITA/BA</t>
        </is>
      </c>
      <c r="S311" s="26">
        <f>IF(A311=A310,0,1)</f>
        <v>0</v>
      </c>
      <c r="T311" s="26">
        <f>IF(COUNTIF($B$4:B311,B311)=1,1,0)</f>
        <v>0</v>
      </c>
    </row>
    <row r="312">
      <c r="A312" s="14" t="inlineStr">
        <is>
          <t>CAETITÉ</t>
        </is>
      </c>
      <c r="B312" s="26" t="n">
        <v>63</v>
      </c>
      <c r="C312" s="26" t="n">
        <v>1970</v>
      </c>
      <c r="D312" s="14" t="inlineStr">
        <is>
          <t>ESCOLA MUNICIPAL 25 DE DEZEMBRO</t>
        </is>
      </c>
      <c r="E312" s="14" t="inlineStr">
        <is>
          <t>DISTRITO CALDEIRAS</t>
        </is>
      </c>
      <c r="F312" s="14" t="inlineStr">
        <is>
          <t>COMUNIDADE DE QUILOMBO DA SAMBAIBA - ZONA RURAL</t>
        </is>
      </c>
      <c r="G312" s="27" t="inlineStr">
        <is>
          <t>46400-000</t>
        </is>
      </c>
      <c r="H312" s="15" t="n">
        <v>1</v>
      </c>
      <c r="I312" s="28" t="inlineStr">
        <is>
          <t>NÃO</t>
        </is>
      </c>
      <c r="J312" s="29" t="n"/>
      <c r="K312" s="14" t="str">
        <f>IF(J312="","7. Acima de 2 km",IF(J312&lt;=50,"1. Até 50 m",IF(J312&lt;=100,"2. De 50 a 100 m",IF(J312&lt;=200,"3. De 100 a 200 m",IF(J312&lt;=300,"4. De 200 a 300 m",IF(J312&lt;=500,"5. De 300 a 500 m","6. De 500 m a 2 km"))))))</f>
        <v>7. Acima de 2 km</v>
      </c>
      <c r="L312" s="26" t="n">
        <v>0</v>
      </c>
      <c r="M312" s="26" t="n">
        <v>0</v>
      </c>
      <c r="N312" s="26" t="n">
        <v>0</v>
      </c>
      <c r="O312" s="26" t="n">
        <v>0</v>
      </c>
      <c r="P312" s="30" t="n">
        <v>-13.6143255</v>
      </c>
      <c r="Q312" s="30" t="n">
        <v>-42.7125718</v>
      </c>
      <c r="R312" s="14" t="inlineStr">
        <is>
          <t>FÓRUM LOCAL - SALÃO DO JÚRI,  RUA DR. VANNI MOREIRA SILVEIRA LIMA, S/N - SANTA RITA/BA</t>
        </is>
      </c>
      <c r="S312" s="26">
        <f>IF(A312=A311,0,1)</f>
        <v>0</v>
      </c>
      <c r="T312" s="26">
        <f>IF(COUNTIF($B$4:B312,B312)=1,1,0)</f>
        <v>0</v>
      </c>
    </row>
    <row r="313">
      <c r="A313" s="14" t="inlineStr">
        <is>
          <t>CAETITÉ</t>
        </is>
      </c>
      <c r="B313" s="26" t="n">
        <v>63</v>
      </c>
      <c r="C313" s="26" t="n">
        <v>1988</v>
      </c>
      <c r="D313" s="14" t="inlineStr">
        <is>
          <t>ASSOCIAÇÃO COMUNITÁRIA DOS AMIGOS DA SERRAGEM</t>
        </is>
      </c>
      <c r="E313" s="14" t="inlineStr">
        <is>
          <t>DISTRITO BREJINHO DAS AMETISTAS</t>
        </is>
      </c>
      <c r="F313" s="14" t="inlineStr">
        <is>
          <t>COMUNIDADE DE SERRAGEM - ZONA RURAL</t>
        </is>
      </c>
      <c r="G313" s="27" t="inlineStr">
        <is>
          <t>46400-000</t>
        </is>
      </c>
      <c r="H313" s="15" t="n">
        <v>1</v>
      </c>
      <c r="I313" s="28" t="inlineStr">
        <is>
          <t>NÃO</t>
        </is>
      </c>
      <c r="J313" s="29" t="n"/>
      <c r="K313" s="14" t="str">
        <f>IF(J313="","7. Acima de 2 km",IF(J313&lt;=50,"1. Até 50 m",IF(J313&lt;=100,"2. De 50 a 100 m",IF(J313&lt;=200,"3. De 100 a 200 m",IF(J313&lt;=300,"4. De 200 a 300 m",IF(J313&lt;=500,"5. De 300 a 500 m","6. De 500 m a 2 km"))))))</f>
        <v>7. Acima de 2 km</v>
      </c>
      <c r="L313" s="26" t="n">
        <v>0</v>
      </c>
      <c r="M313" s="26" t="n">
        <v>0</v>
      </c>
      <c r="N313" s="26" t="n">
        <v>0</v>
      </c>
      <c r="O313" s="26" t="n">
        <v>0</v>
      </c>
      <c r="P313" s="30" t="n">
        <v>-14.3106609</v>
      </c>
      <c r="Q313" s="30" t="n">
        <v>-42.4452755</v>
      </c>
      <c r="R313" s="14" t="inlineStr">
        <is>
          <t>FÓRUM LOCAL - SALÃO DO JÚRI,  RUA DR. VANNI MOREIRA SILVEIRA LIMA, S/N - SANTA RITA/BA</t>
        </is>
      </c>
      <c r="S313" s="26">
        <f>IF(A313=A312,0,1)</f>
        <v>0</v>
      </c>
      <c r="T313" s="26">
        <f>IF(COUNTIF($B$4:B313,B313)=1,1,0)</f>
        <v>0</v>
      </c>
    </row>
    <row r="314">
      <c r="A314" s="14" t="inlineStr">
        <is>
          <t>CAETITÉ</t>
        </is>
      </c>
      <c r="B314" s="26" t="n">
        <v>63</v>
      </c>
      <c r="C314" s="26" t="n">
        <v>1996</v>
      </c>
      <c r="D314" s="14" t="inlineStr">
        <is>
          <t>GRUPO ESCOLAR MANOEL LOPES SOARES</t>
        </is>
      </c>
      <c r="E314" s="14" t="inlineStr">
        <is>
          <t>ALTO BUENOS AIRES</t>
        </is>
      </c>
      <c r="F314" s="14" t="inlineStr">
        <is>
          <t>AVENIDA OLIMAR OLIVEIRA RODRIGUES - ZONA URBANA</t>
        </is>
      </c>
      <c r="G314" s="27" t="inlineStr">
        <is>
          <t>46400-000</t>
        </is>
      </c>
      <c r="H314" s="15" t="n">
        <v>6</v>
      </c>
      <c r="I314" s="28" t="inlineStr">
        <is>
          <t>NÃO</t>
        </is>
      </c>
      <c r="J314" s="29" t="n">
        <v>1243.2</v>
      </c>
      <c r="K314" s="14" t="str">
        <f>IF(J314="","7. Acima de 2 km",IF(J314&lt;=50,"1. Até 50 m",IF(J314&lt;=100,"2. De 50 a 100 m",IF(J314&lt;=200,"3. De 100 a 200 m",IF(J314&lt;=300,"4. De 200 a 300 m",IF(J314&lt;=500,"5. De 300 a 500 m","6. De 500 m a 2 km"))))))</f>
        <v>6. De 500 m a 2 km</v>
      </c>
      <c r="L314" s="26" t="n">
        <v>0</v>
      </c>
      <c r="M314" s="26" t="n">
        <v>0</v>
      </c>
      <c r="N314" s="26" t="n">
        <v>0</v>
      </c>
      <c r="O314" s="26" t="n">
        <v>0</v>
      </c>
      <c r="P314" s="30" t="n">
        <v>-14.0545947</v>
      </c>
      <c r="Q314" s="30" t="n">
        <v>-42.4837454</v>
      </c>
      <c r="R314" s="14" t="inlineStr">
        <is>
          <t>FÓRUM LOCAL - SALÃO DO JÚRI,  RUA DR. VANNI MOREIRA SILVEIRA LIMA, S/N - SANTA RITA/BA</t>
        </is>
      </c>
      <c r="S314" s="26">
        <f>IF(A314=A313,0,1)</f>
        <v>0</v>
      </c>
      <c r="T314" s="26">
        <f>IF(COUNTIF($B$4:B314,B314)=1,1,0)</f>
        <v>0</v>
      </c>
    </row>
    <row r="315">
      <c r="A315" s="14" t="inlineStr">
        <is>
          <t>CAETITÉ</t>
        </is>
      </c>
      <c r="B315" s="26" t="n">
        <v>63</v>
      </c>
      <c r="C315" s="26" t="n">
        <v>2003</v>
      </c>
      <c r="D315" s="14" t="inlineStr">
        <is>
          <t>GRUPO ESCOLAR MONSENHOR BASTOS</t>
        </is>
      </c>
      <c r="E315" s="14" t="inlineStr">
        <is>
          <t>CENTRO</t>
        </is>
      </c>
      <c r="F315" s="14" t="inlineStr">
        <is>
          <t>RUA BARÃO DE CAETITÉ, S/N - ZONA URBANA</t>
        </is>
      </c>
      <c r="G315" s="27" t="inlineStr">
        <is>
          <t>46400-000</t>
        </is>
      </c>
      <c r="H315" s="15" t="n">
        <v>4</v>
      </c>
      <c r="I315" s="28" t="inlineStr">
        <is>
          <t>NÃO</t>
        </is>
      </c>
      <c r="J315" s="29" t="n">
        <v>149.6</v>
      </c>
      <c r="K315" s="14" t="str">
        <f>IF(J315="","7. Acima de 2 km",IF(J315&lt;=50,"1. Até 50 m",IF(J315&lt;=100,"2. De 50 a 100 m",IF(J315&lt;=200,"3. De 100 a 200 m",IF(J315&lt;=300,"4. De 200 a 300 m",IF(J315&lt;=500,"5. De 300 a 500 m","6. De 500 m a 2 km"))))))</f>
        <v>3. De 100 a 200 m</v>
      </c>
      <c r="L315" s="26" t="n">
        <v>0</v>
      </c>
      <c r="M315" s="26" t="n">
        <v>0</v>
      </c>
      <c r="N315" s="26" t="n">
        <v>1</v>
      </c>
      <c r="O315" s="26" t="n">
        <v>1</v>
      </c>
      <c r="P315" s="30" t="n">
        <v>-14.0700041</v>
      </c>
      <c r="Q315" s="30" t="n">
        <v>-42.4899146</v>
      </c>
      <c r="R315" s="14" t="inlineStr">
        <is>
          <t>FÓRUM LOCAL - SALÃO DO JÚRI,  RUA DR. VANNI MOREIRA SILVEIRA LIMA, S/N - SANTA RITA/BA</t>
        </is>
      </c>
      <c r="S315" s="26">
        <f>IF(A315=A314,0,1)</f>
        <v>0</v>
      </c>
      <c r="T315" s="26">
        <f>IF(COUNTIF($B$4:B315,B315)=1,1,0)</f>
        <v>0</v>
      </c>
    </row>
    <row r="316">
      <c r="A316" s="14" t="inlineStr">
        <is>
          <t>CAETITÉ</t>
        </is>
      </c>
      <c r="B316" s="26" t="n">
        <v>63</v>
      </c>
      <c r="C316" s="26" t="n">
        <v>2011</v>
      </c>
      <c r="D316" s="14" t="inlineStr">
        <is>
          <t>EBDA - EMPRESA BAIANA DE DESENVOLVIMENTO AGRÍCOLA S/A</t>
        </is>
      </c>
      <c r="E316" s="14" t="inlineStr">
        <is>
          <t>CENTRO</t>
        </is>
      </c>
      <c r="F316" s="14" t="inlineStr">
        <is>
          <t>PRAÇA RODRIGUES LIMA - ZONA URBANA</t>
        </is>
      </c>
      <c r="G316" s="27" t="inlineStr">
        <is>
          <t>46400-000</t>
        </is>
      </c>
      <c r="H316" s="15" t="n">
        <v>3</v>
      </c>
      <c r="I316" s="28" t="inlineStr">
        <is>
          <t>NÃO</t>
        </is>
      </c>
      <c r="J316" s="29" t="n">
        <v>269.4</v>
      </c>
      <c r="K316" s="14" t="str">
        <f>IF(J316="","7. Acima de 2 km",IF(J316&lt;=50,"1. Até 50 m",IF(J316&lt;=100,"2. De 50 a 100 m",IF(J316&lt;=200,"3. De 100 a 200 m",IF(J316&lt;=300,"4. De 200 a 300 m",IF(J316&lt;=500,"5. De 300 a 500 m","6. De 500 m a 2 km"))))))</f>
        <v>4. De 200 a 300 m</v>
      </c>
      <c r="L316" s="26" t="n">
        <v>0</v>
      </c>
      <c r="M316" s="26" t="n">
        <v>0</v>
      </c>
      <c r="N316" s="26" t="n">
        <v>0</v>
      </c>
      <c r="O316" s="26" t="n">
        <v>1</v>
      </c>
      <c r="P316" s="30" t="n">
        <v>-14.0714889</v>
      </c>
      <c r="Q316" s="30" t="n">
        <v>-42.4849223</v>
      </c>
      <c r="R316" s="14" t="inlineStr">
        <is>
          <t>FÓRUM LOCAL - SALÃO DO JÚRI,  RUA DR. VANNI MOREIRA SILVEIRA LIMA, S/N - SANTA RITA/BA</t>
        </is>
      </c>
      <c r="S316" s="26">
        <f>IF(A316=A315,0,1)</f>
        <v>0</v>
      </c>
      <c r="T316" s="26">
        <f>IF(COUNTIF($B$4:B316,B316)=1,1,0)</f>
        <v>0</v>
      </c>
    </row>
    <row r="317">
      <c r="A317" s="14" t="inlineStr">
        <is>
          <t>CAETITÉ</t>
        </is>
      </c>
      <c r="B317" s="26" t="n">
        <v>63</v>
      </c>
      <c r="C317" s="26" t="n">
        <v>2020</v>
      </c>
      <c r="D317" s="14" t="inlineStr">
        <is>
          <t>ESCOLA MUNICIPAL PASTOR SEVERINO</t>
        </is>
      </c>
      <c r="E317" s="14" t="inlineStr">
        <is>
          <t>RANCHO ALEGRE</t>
        </is>
      </c>
      <c r="F317" s="14" t="inlineStr">
        <is>
          <t>AVENIDA CONTORNO N 363</t>
        </is>
      </c>
      <c r="G317" s="27" t="inlineStr">
        <is>
          <t>46400-000</t>
        </is>
      </c>
      <c r="H317" s="15" t="n">
        <v>1</v>
      </c>
      <c r="I317" s="28" t="inlineStr">
        <is>
          <t>NÃO</t>
        </is>
      </c>
      <c r="J317" s="29" t="n">
        <v>596.1</v>
      </c>
      <c r="K317" s="14" t="str">
        <f>IF(J317="","7. Acima de 2 km",IF(J317&lt;=50,"1. Até 50 m",IF(J317&lt;=100,"2. De 50 a 100 m",IF(J317&lt;=200,"3. De 100 a 200 m",IF(J317&lt;=300,"4. De 200 a 300 m",IF(J317&lt;=500,"5. De 300 a 500 m","6. De 500 m a 2 km"))))))</f>
        <v>6. De 500 m a 2 km</v>
      </c>
      <c r="L317" s="26" t="n">
        <v>0</v>
      </c>
      <c r="M317" s="26" t="n">
        <v>0</v>
      </c>
      <c r="N317" s="26" t="n">
        <v>0</v>
      </c>
      <c r="O317" s="26" t="n">
        <v>0</v>
      </c>
      <c r="P317" s="30" t="n">
        <v>-14.0657045</v>
      </c>
      <c r="Q317" s="30" t="n">
        <v>-42.4963167</v>
      </c>
      <c r="R317" s="14" t="inlineStr">
        <is>
          <t>FÓRUM LOCAL - SALÃO DO JÚRI,  RUA DR. VANNI MOREIRA SILVEIRA LIMA, S/N - SANTA RITA/BA</t>
        </is>
      </c>
      <c r="S317" s="26">
        <f>IF(A317=A316,0,1)</f>
        <v>0</v>
      </c>
      <c r="T317" s="26">
        <f>IF(COUNTIF($B$4:B317,B317)=1,1,0)</f>
        <v>0</v>
      </c>
    </row>
    <row r="318">
      <c r="A318" s="14" t="inlineStr">
        <is>
          <t>CAIRU</t>
        </is>
      </c>
      <c r="B318" s="26" t="n">
        <v>31</v>
      </c>
      <c r="C318" s="26" t="n">
        <v>1015</v>
      </c>
      <c r="D318" s="14" t="inlineStr">
        <is>
          <t>COLÉGIO ESTADUAL CÂNDIDO MEIRELES</t>
        </is>
      </c>
      <c r="E318" s="14" t="inlineStr">
        <is>
          <t>CENTRO</t>
        </is>
      </c>
      <c r="F318" s="14" t="inlineStr">
        <is>
          <t>PRAÇA DA BANDEIRA, N 81 - ZONA URBANA</t>
        </is>
      </c>
      <c r="G318" s="27" t="inlineStr">
        <is>
          <t>45420-000</t>
        </is>
      </c>
      <c r="H318" s="15" t="n">
        <v>5</v>
      </c>
      <c r="I318" s="28" t="inlineStr">
        <is>
          <t>NÃO</t>
        </is>
      </c>
      <c r="J318" s="29" t="n">
        <v>252</v>
      </c>
      <c r="K318" s="14" t="str">
        <f>IF(J318="","7. Acima de 2 km",IF(J318&lt;=50,"1. Até 50 m",IF(J318&lt;=100,"2. De 50 a 100 m",IF(J318&lt;=200,"3. De 100 a 200 m",IF(J318&lt;=300,"4. De 200 a 300 m",IF(J318&lt;=500,"5. De 300 a 500 m","6. De 500 m a 2 km"))))))</f>
        <v>4. De 200 a 300 m</v>
      </c>
      <c r="L318" s="26" t="n">
        <v>0</v>
      </c>
      <c r="M318" s="26" t="n">
        <v>0</v>
      </c>
      <c r="N318" s="26" t="n">
        <v>0</v>
      </c>
      <c r="O318" s="26" t="n">
        <v>1</v>
      </c>
      <c r="P318" s="30" t="n">
        <v>-13.4865325</v>
      </c>
      <c r="Q318" s="30" t="n">
        <v>-39.0471412</v>
      </c>
      <c r="R318" s="14" t="inlineStr">
        <is>
          <t>SECRETARIA MUNICIPAL DE EDUCAÇÃO JOÃO LEONARDO DA SILVA, PRAÇA DOIS DE JULHO S/N- VALENÇA- BAHIA AUDITÓRIO FIDELIS NEGRÃO</t>
        </is>
      </c>
      <c r="S318" s="26">
        <f>IF(A318=A317,0,1)</f>
        <v>1</v>
      </c>
      <c r="T318" s="26">
        <f>IF(COUNTIF($B$4:B318,B318)=1,1,0)</f>
        <v>1</v>
      </c>
    </row>
    <row r="319">
      <c r="A319" s="14" t="inlineStr">
        <is>
          <t>CAIRU</t>
        </is>
      </c>
      <c r="B319" s="26" t="n">
        <v>31</v>
      </c>
      <c r="C319" s="26" t="n">
        <v>1023</v>
      </c>
      <c r="D319" s="14" t="inlineStr">
        <is>
          <t>ESCOLA MUNICIPAL ANTONIO CARLOS MAGALHAES</t>
        </is>
      </c>
      <c r="E319" s="14" t="inlineStr">
        <is>
          <t>CENTRO</t>
        </is>
      </c>
      <c r="F319" s="14" t="inlineStr">
        <is>
          <t>RUA BARAO HOMEM DE MELO</t>
        </is>
      </c>
      <c r="G319" s="27" t="inlineStr">
        <is>
          <t>45420-000</t>
        </is>
      </c>
      <c r="H319" s="15" t="n">
        <v>2</v>
      </c>
      <c r="I319" s="28" t="inlineStr">
        <is>
          <t>NÃO</t>
        </is>
      </c>
      <c r="J319" s="29" t="n">
        <v>266.8</v>
      </c>
      <c r="K319" s="14" t="str">
        <f>IF(J319="","7. Acima de 2 km",IF(J319&lt;=50,"1. Até 50 m",IF(J319&lt;=100,"2. De 50 a 100 m",IF(J319&lt;=200,"3. De 100 a 200 m",IF(J319&lt;=300,"4. De 200 a 300 m",IF(J319&lt;=500,"5. De 300 a 500 m","6. De 500 m a 2 km"))))))</f>
        <v>4. De 200 a 300 m</v>
      </c>
      <c r="L319" s="26" t="n">
        <v>0</v>
      </c>
      <c r="M319" s="26" t="n">
        <v>0</v>
      </c>
      <c r="N319" s="26" t="n">
        <v>0</v>
      </c>
      <c r="O319" s="26" t="n">
        <v>1</v>
      </c>
      <c r="P319" s="30" t="n">
        <v>-13.4871316</v>
      </c>
      <c r="Q319" s="30" t="n">
        <v>-39.0438842</v>
      </c>
      <c r="R319" s="14" t="inlineStr">
        <is>
          <t>SECRETARIA MUNICIPAL DE EDUCAÇÃO JOÃO LEONARDO DA SILVA, PRAÇA DOIS DE JULHO S/N- VALENÇA- BAHIA AUDITÓRIO FIDELIS NEGRÃO</t>
        </is>
      </c>
      <c r="S319" s="26">
        <f>IF(A319=A318,0,1)</f>
        <v>0</v>
      </c>
      <c r="T319" s="26">
        <f>IF(COUNTIF($B$4:B319,B319)=1,1,0)</f>
        <v>0</v>
      </c>
    </row>
    <row r="320">
      <c r="A320" s="14" t="inlineStr">
        <is>
          <t>CAIRU</t>
        </is>
      </c>
      <c r="B320" s="26" t="n">
        <v>31</v>
      </c>
      <c r="C320" s="26" t="n">
        <v>1031</v>
      </c>
      <c r="D320" s="14" t="inlineStr">
        <is>
          <t>ESCOLA MUNICIPAL LUIZ NAVARRO DE BRITO</t>
        </is>
      </c>
      <c r="E320" s="14" t="inlineStr">
        <is>
          <t>CENTRO</t>
        </is>
      </c>
      <c r="F320" s="14" t="inlineStr">
        <is>
          <t>RUA VISCONDE DE CAIRU S/N - ZONA URBANA</t>
        </is>
      </c>
      <c r="G320" s="27" t="inlineStr">
        <is>
          <t>45420-000</t>
        </is>
      </c>
      <c r="H320" s="15" t="n">
        <v>3</v>
      </c>
      <c r="I320" s="28" t="inlineStr">
        <is>
          <t>NÃO</t>
        </is>
      </c>
      <c r="J320" s="29" t="n">
        <v>288.1</v>
      </c>
      <c r="K320" s="14" t="str">
        <f>IF(J320="","7. Acima de 2 km",IF(J320&lt;=50,"1. Até 50 m",IF(J320&lt;=100,"2. De 50 a 100 m",IF(J320&lt;=200,"3. De 100 a 200 m",IF(J320&lt;=300,"4. De 200 a 300 m",IF(J320&lt;=500,"5. De 300 a 500 m","6. De 500 m a 2 km"))))))</f>
        <v>4. De 200 a 300 m</v>
      </c>
      <c r="L320" s="26" t="n">
        <v>0</v>
      </c>
      <c r="M320" s="26" t="n">
        <v>0</v>
      </c>
      <c r="N320" s="26" t="n">
        <v>0</v>
      </c>
      <c r="O320" s="26" t="n">
        <v>1</v>
      </c>
      <c r="P320" s="30" t="n">
        <v>-13.4879265</v>
      </c>
      <c r="Q320" s="30" t="n">
        <v>-39.0433264</v>
      </c>
      <c r="R320" s="14" t="inlineStr">
        <is>
          <t>SECRETARIA MUNICIPAL DE EDUCAÇÃO JOÃO LEONARDO DA SILVA, PRAÇA DOIS DE JULHO S/N- VALENÇA- BAHIA AUDITÓRIO FIDELIS NEGRÃO</t>
        </is>
      </c>
      <c r="S320" s="26">
        <f>IF(A320=A319,0,1)</f>
        <v>0</v>
      </c>
      <c r="T320" s="26">
        <f>IF(COUNTIF($B$4:B320,B320)=1,1,0)</f>
        <v>0</v>
      </c>
    </row>
    <row r="321">
      <c r="A321" s="14" t="inlineStr">
        <is>
          <t>CAIRU</t>
        </is>
      </c>
      <c r="B321" s="26" t="n">
        <v>31</v>
      </c>
      <c r="C321" s="26" t="n">
        <v>1058</v>
      </c>
      <c r="D321" s="14" t="inlineStr">
        <is>
          <t>ESCOLA MUNICIPAL RURAL DO GALEÃO</t>
        </is>
      </c>
      <c r="E321" s="14" t="inlineStr">
        <is>
          <t>DISTRITO GALEÃO</t>
        </is>
      </c>
      <c r="F321" s="14" t="inlineStr">
        <is>
          <t>RUA DIRETA S/N - ZONA RURAL</t>
        </is>
      </c>
      <c r="G321" s="27" t="inlineStr">
        <is>
          <t>45410-000</t>
        </is>
      </c>
      <c r="H321" s="15" t="n">
        <v>2</v>
      </c>
      <c r="I321" s="28" t="inlineStr">
        <is>
          <t>NÃO</t>
        </is>
      </c>
      <c r="J321" s="29" t="n"/>
      <c r="K321" s="14" t="str">
        <f>IF(J321="","7. Acima de 2 km",IF(J321&lt;=50,"1. Até 50 m",IF(J321&lt;=100,"2. De 50 a 100 m",IF(J321&lt;=200,"3. De 100 a 200 m",IF(J321&lt;=300,"4. De 200 a 300 m",IF(J321&lt;=500,"5. De 300 a 500 m","6. De 500 m a 2 km"))))))</f>
        <v>7. Acima de 2 km</v>
      </c>
      <c r="L321" s="26" t="n">
        <v>0</v>
      </c>
      <c r="M321" s="26" t="n">
        <v>0</v>
      </c>
      <c r="N321" s="26" t="n">
        <v>0</v>
      </c>
      <c r="O321" s="26" t="n">
        <v>0</v>
      </c>
      <c r="P321" s="30" t="n">
        <v>-13.3989301</v>
      </c>
      <c r="Q321" s="30" t="n">
        <v>-39.0352409</v>
      </c>
      <c r="R321" s="14" t="inlineStr">
        <is>
          <t>SECRETARIA MUNICIPAL DE EDUCAÇÃO JOÃO LEONARDO DA SILVA, PRAÇA DOIS DE JULHO S/N- VALENÇA- BAHIA AUDITÓRIO FIDELIS NEGRÃO</t>
        </is>
      </c>
      <c r="S321" s="26">
        <f>IF(A321=A320,0,1)</f>
        <v>0</v>
      </c>
      <c r="T321" s="26">
        <f>IF(COUNTIF($B$4:B321,B321)=1,1,0)</f>
        <v>0</v>
      </c>
    </row>
    <row r="322">
      <c r="A322" s="14" t="inlineStr">
        <is>
          <t>CAIRU</t>
        </is>
      </c>
      <c r="B322" s="26" t="n">
        <v>31</v>
      </c>
      <c r="C322" s="26" t="n">
        <v>1066</v>
      </c>
      <c r="D322" s="14" t="inlineStr">
        <is>
          <t>ESCOLA HUMBERTO CARLOS BARBOSA RIBEIRO</t>
        </is>
      </c>
      <c r="E322" s="14" t="inlineStr">
        <is>
          <t>DISTRITO GALEÃO</t>
        </is>
      </c>
      <c r="F322" s="14" t="inlineStr">
        <is>
          <t>RUA DO GABIRU S/N - ZONA RURAL</t>
        </is>
      </c>
      <c r="G322" s="27" t="inlineStr">
        <is>
          <t>45400-000</t>
        </is>
      </c>
      <c r="H322" s="15" t="n">
        <v>2</v>
      </c>
      <c r="I322" s="28" t="inlineStr">
        <is>
          <t>NÃO</t>
        </is>
      </c>
      <c r="J322" s="29" t="n"/>
      <c r="K322" s="14" t="str">
        <f>IF(J322="","7. Acima de 2 km",IF(J322&lt;=50,"1. Até 50 m",IF(J322&lt;=100,"2. De 50 a 100 m",IF(J322&lt;=200,"3. De 100 a 200 m",IF(J322&lt;=300,"4. De 200 a 300 m",IF(J322&lt;=500,"5. De 300 a 500 m","6. De 500 m a 2 km"))))))</f>
        <v>7. Acima de 2 km</v>
      </c>
      <c r="L322" s="26" t="n">
        <v>0</v>
      </c>
      <c r="M322" s="26" t="n">
        <v>0</v>
      </c>
      <c r="N322" s="26" t="n">
        <v>0</v>
      </c>
      <c r="O322" s="26" t="n">
        <v>0</v>
      </c>
      <c r="P322" s="30" t="n">
        <v>-13.4010592</v>
      </c>
      <c r="Q322" s="30" t="n">
        <v>-39.0338763</v>
      </c>
      <c r="R322" s="14" t="inlineStr">
        <is>
          <t>SECRETARIA MUNICIPAL DE EDUCAÇÃO JOÃO LEONARDO DA SILVA, PRAÇA DOIS DE JULHO S/N- VALENÇA- BAHIA AUDITÓRIO FIDELIS NEGRÃO</t>
        </is>
      </c>
      <c r="S322" s="26">
        <f>IF(A322=A321,0,1)</f>
        <v>0</v>
      </c>
      <c r="T322" s="26">
        <f>IF(COUNTIF($B$4:B322,B322)=1,1,0)</f>
        <v>0</v>
      </c>
    </row>
    <row r="323">
      <c r="A323" s="14" t="inlineStr">
        <is>
          <t>CAIRU</t>
        </is>
      </c>
      <c r="B323" s="26" t="n">
        <v>31</v>
      </c>
      <c r="C323" s="26" t="n">
        <v>1074</v>
      </c>
      <c r="D323" s="14" t="inlineStr">
        <is>
          <t>COLÉGIO MUNICIPAL DA GAMBOA HILDÉCIO ANTÔNIO MEIRELES - COLÉGIO MODELO</t>
        </is>
      </c>
      <c r="E323" s="14" t="inlineStr">
        <is>
          <t>DISTRITO GAMBOA</t>
        </is>
      </c>
      <c r="F323" s="14" t="inlineStr">
        <is>
          <t>RUA PRINCIPAL, SN, LOTEAMENTO NOVA GAMBOA - ZONA RURAL</t>
        </is>
      </c>
      <c r="G323" s="27" t="inlineStr">
        <is>
          <t>45420-000</t>
        </is>
      </c>
      <c r="H323" s="15" t="n">
        <v>8</v>
      </c>
      <c r="I323" s="28" t="inlineStr">
        <is>
          <t>NÃO</t>
        </is>
      </c>
      <c r="J323" s="29" t="n">
        <v>375.2</v>
      </c>
      <c r="K323" s="14" t="str">
        <f>IF(J323="","7. Acima de 2 km",IF(J323&lt;=50,"1. Até 50 m",IF(J323&lt;=100,"2. De 50 a 100 m",IF(J323&lt;=200,"3. De 100 a 200 m",IF(J323&lt;=300,"4. De 200 a 300 m",IF(J323&lt;=500,"5. De 300 a 500 m","6. De 500 m a 2 km"))))))</f>
        <v>5. De 300 a 500 m</v>
      </c>
      <c r="L323" s="26" t="n">
        <v>0</v>
      </c>
      <c r="M323" s="26" t="n">
        <v>0</v>
      </c>
      <c r="N323" s="26" t="n">
        <v>0</v>
      </c>
      <c r="O323" s="26" t="n">
        <v>0</v>
      </c>
      <c r="P323" s="30" t="n">
        <v>-13.3988308</v>
      </c>
      <c r="Q323" s="30" t="n">
        <v>-38.9385922</v>
      </c>
      <c r="R323" s="14" t="inlineStr">
        <is>
          <t>SECRETARIA MUNICIPAL DE EDUCAÇÃO JOÃO LEONARDO DA SILVA, PRAÇA DOIS DE JULHO S/N- VALENÇA- BAHIA AUDITÓRIO FIDELIS NEGRÃO</t>
        </is>
      </c>
      <c r="S323" s="26">
        <f>IF(A323=A322,0,1)</f>
        <v>0</v>
      </c>
      <c r="T323" s="26">
        <f>IF(COUNTIF($B$4:B323,B323)=1,1,0)</f>
        <v>0</v>
      </c>
    </row>
    <row r="324">
      <c r="A324" s="14" t="inlineStr">
        <is>
          <t>CAIRU</t>
        </is>
      </c>
      <c r="B324" s="26" t="n">
        <v>31</v>
      </c>
      <c r="C324" s="26" t="n">
        <v>1104</v>
      </c>
      <c r="D324" s="14" t="inlineStr">
        <is>
          <t>ESCOLA MUNICIPAL NOSSA SENHORA DA LUZ</t>
        </is>
      </c>
      <c r="E324" s="14" t="inlineStr">
        <is>
          <t>DISTRITO MORRO DE SÃO PAULO</t>
        </is>
      </c>
      <c r="F324" s="14" t="inlineStr">
        <is>
          <t>RUA CAMINHO DA PRAIA S/N - ZONA RURAL</t>
        </is>
      </c>
      <c r="G324" s="27" t="inlineStr">
        <is>
          <t>45420-000</t>
        </is>
      </c>
      <c r="H324" s="15" t="n">
        <v>4</v>
      </c>
      <c r="I324" s="28" t="inlineStr">
        <is>
          <t>SIM</t>
        </is>
      </c>
      <c r="J324" s="29" t="n">
        <v>83.59999999999999</v>
      </c>
      <c r="K324" s="14" t="str">
        <f>IF(J324="","7. Acima de 2 km",IF(J324&lt;=50,"1. Até 50 m",IF(J324&lt;=100,"2. De 50 a 100 m",IF(J324&lt;=200,"3. De 100 a 200 m",IF(J324&lt;=300,"4. De 200 a 300 m",IF(J324&lt;=500,"5. De 300 a 500 m","6. De 500 m a 2 km"))))))</f>
        <v>2. De 50 a 100 m</v>
      </c>
      <c r="L324" s="26" t="n">
        <v>0</v>
      </c>
      <c r="M324" s="26" t="n">
        <v>1</v>
      </c>
      <c r="N324" s="26" t="n">
        <v>1</v>
      </c>
      <c r="O324" s="26" t="n">
        <v>3</v>
      </c>
      <c r="P324" s="30" t="n">
        <v>-13.377799</v>
      </c>
      <c r="Q324" s="30" t="n">
        <v>-38.9153951</v>
      </c>
      <c r="R324" s="14" t="inlineStr">
        <is>
          <t>SECRETARIA MUNICIPAL DE EDUCAÇÃO JOÃO LEONARDO DA SILVA, PRAÇA DOIS DE JULHO S/N- VALENÇA- BAHIA AUDITÓRIO FIDELIS NEGRÃO</t>
        </is>
      </c>
      <c r="S324" s="26">
        <f>IF(A324=A323,0,1)</f>
        <v>0</v>
      </c>
      <c r="T324" s="26">
        <f>IF(COUNTIF($B$4:B324,B324)=1,1,0)</f>
        <v>0</v>
      </c>
    </row>
    <row r="325">
      <c r="A325" s="14" t="inlineStr">
        <is>
          <t>CAIRU</t>
        </is>
      </c>
      <c r="B325" s="26" t="n">
        <v>31</v>
      </c>
      <c r="C325" s="26" t="n">
        <v>1112</v>
      </c>
      <c r="D325" s="14" t="inlineStr">
        <is>
          <t>ESCOLA MUNICIPAL ANGELINA PACHECO</t>
        </is>
      </c>
      <c r="E325" s="14" t="inlineStr">
        <is>
          <t>POVOADO TORRINHA</t>
        </is>
      </c>
      <c r="F325" s="14" t="inlineStr">
        <is>
          <t>RUA DO CAMPO S/N - ZONA RURAL</t>
        </is>
      </c>
      <c r="G325" s="27" t="inlineStr">
        <is>
          <t>45420-000</t>
        </is>
      </c>
      <c r="H325" s="15" t="n">
        <v>2</v>
      </c>
      <c r="I325" s="28" t="inlineStr">
        <is>
          <t>NÃO</t>
        </is>
      </c>
      <c r="J325" s="29" t="n"/>
      <c r="K325" s="14" t="str">
        <f>IF(J325="","7. Acima de 2 km",IF(J325&lt;=50,"1. Até 50 m",IF(J325&lt;=100,"2. De 50 a 100 m",IF(J325&lt;=200,"3. De 100 a 200 m",IF(J325&lt;=300,"4. De 200 a 300 m",IF(J325&lt;=500,"5. De 300 a 500 m","6. De 500 m a 2 km"))))))</f>
        <v>7. Acima de 2 km</v>
      </c>
      <c r="L325" s="26" t="n">
        <v>0</v>
      </c>
      <c r="M325" s="26" t="n">
        <v>0</v>
      </c>
      <c r="N325" s="26" t="n">
        <v>0</v>
      </c>
      <c r="O325" s="26" t="n">
        <v>0</v>
      </c>
      <c r="P325" s="30" t="n">
        <v>-13.5692792</v>
      </c>
      <c r="Q325" s="30" t="n">
        <v>-39.0091512</v>
      </c>
      <c r="R325" s="14" t="inlineStr">
        <is>
          <t>SECRETARIA MUNICIPAL DE EDUCAÇÃO JOÃO LEONARDO DA SILVA, PRAÇA DOIS DE JULHO S/N- VALENÇA- BAHIA AUDITÓRIO FIDELIS NEGRÃO</t>
        </is>
      </c>
      <c r="S325" s="26">
        <f>IF(A325=A324,0,1)</f>
        <v>0</v>
      </c>
      <c r="T325" s="26">
        <f>IF(COUNTIF($B$4:B325,B325)=1,1,0)</f>
        <v>0</v>
      </c>
    </row>
    <row r="326">
      <c r="A326" s="14" t="inlineStr">
        <is>
          <t>CAIRU</t>
        </is>
      </c>
      <c r="B326" s="26" t="n">
        <v>31</v>
      </c>
      <c r="C326" s="26" t="n">
        <v>1120</v>
      </c>
      <c r="D326" s="14" t="inlineStr">
        <is>
          <t xml:space="preserve">ESCOLA MUNICIPAL DE SÃO SEBASTIÃO </t>
        </is>
      </c>
      <c r="E326" s="14" t="inlineStr">
        <is>
          <t>POVOADO SÃO SEBASTIÃO</t>
        </is>
      </c>
      <c r="F326" s="14" t="inlineStr">
        <is>
          <t>RIA DO MAGALHÃES SN</t>
        </is>
      </c>
      <c r="G326" s="27" t="inlineStr">
        <is>
          <t>45000-420</t>
        </is>
      </c>
      <c r="H326" s="15" t="n">
        <v>2</v>
      </c>
      <c r="I326" s="28" t="inlineStr">
        <is>
          <t>NÃO</t>
        </is>
      </c>
      <c r="J326" s="29" t="n"/>
      <c r="K326" s="14" t="str">
        <f>IF(J326="","7. Acima de 2 km",IF(J326&lt;=50,"1. Até 50 m",IF(J326&lt;=100,"2. De 50 a 100 m",IF(J326&lt;=200,"3. De 100 a 200 m",IF(J326&lt;=300,"4. De 200 a 300 m",IF(J326&lt;=500,"5. De 300 a 500 m","6. De 500 m a 2 km"))))))</f>
        <v>7. Acima de 2 km</v>
      </c>
      <c r="L326" s="26" t="n">
        <v>0</v>
      </c>
      <c r="M326" s="26" t="n">
        <v>0</v>
      </c>
      <c r="N326" s="26" t="n">
        <v>0</v>
      </c>
      <c r="O326" s="26" t="n">
        <v>0</v>
      </c>
      <c r="P326" s="30" t="n">
        <v>-13.661679</v>
      </c>
      <c r="Q326" s="30" t="n">
        <v>-38.9448485</v>
      </c>
      <c r="R326" s="14" t="inlineStr">
        <is>
          <t>SECRETARIA MUNICIPAL DE EDUCAÇÃO JOÃO LEONARDO DA SILVA, PRAÇA DOIS DE JULHO S/N- VALENÇA- BAHIA AUDITÓRIO FIDELIS NEGRÃO</t>
        </is>
      </c>
      <c r="S326" s="26">
        <f>IF(A326=A325,0,1)</f>
        <v>0</v>
      </c>
      <c r="T326" s="26">
        <f>IF(COUNTIF($B$4:B326,B326)=1,1,0)</f>
        <v>0</v>
      </c>
    </row>
    <row r="327">
      <c r="A327" s="14" t="inlineStr">
        <is>
          <t>CAIRU</t>
        </is>
      </c>
      <c r="B327" s="26" t="n">
        <v>31</v>
      </c>
      <c r="C327" s="26" t="n">
        <v>1139</v>
      </c>
      <c r="D327" s="14" t="inlineStr">
        <is>
          <t>COLÉGIO MUNICIPAL DE BOIPEBA HILDÉCIO ANTÔNIO MEIRELES-COLÉGIO MODELO</t>
        </is>
      </c>
      <c r="E327" s="14" t="inlineStr">
        <is>
          <t>DISTRITO BOIPEBA</t>
        </is>
      </c>
      <c r="F327" s="14" t="inlineStr">
        <is>
          <t>PRAÇA SANTO ANTONIO, S/N - ZONA RURAL</t>
        </is>
      </c>
      <c r="G327" s="27" t="inlineStr">
        <is>
          <t>45420-000</t>
        </is>
      </c>
      <c r="H327" s="15" t="n">
        <v>7</v>
      </c>
      <c r="I327" s="28" t="inlineStr">
        <is>
          <t>NÃO</t>
        </is>
      </c>
      <c r="J327" s="29" t="n">
        <v>518.7</v>
      </c>
      <c r="K327" s="14" t="str">
        <f>IF(J327="","7. Acima de 2 km",IF(J327&lt;=50,"1. Até 50 m",IF(J327&lt;=100,"2. De 50 a 100 m",IF(J327&lt;=200,"3. De 100 a 200 m",IF(J327&lt;=300,"4. De 200 a 300 m",IF(J327&lt;=500,"5. De 300 a 500 m","6. De 500 m a 2 km"))))))</f>
        <v>6. De 500 m a 2 km</v>
      </c>
      <c r="L327" s="26" t="n">
        <v>0</v>
      </c>
      <c r="M327" s="26" t="n">
        <v>0</v>
      </c>
      <c r="N327" s="26" t="n">
        <v>0</v>
      </c>
      <c r="O327" s="26" t="n">
        <v>0</v>
      </c>
      <c r="P327" s="30" t="n">
        <v>-13.5870803</v>
      </c>
      <c r="Q327" s="30" t="n">
        <v>-38.927499</v>
      </c>
      <c r="R327" s="14" t="inlineStr">
        <is>
          <t>SECRETARIA MUNICIPAL DE EDUCAÇÃO JOÃO LEONARDO DA SILVA, PRAÇA DOIS DE JULHO S/N- VALENÇA- BAHIA AUDITÓRIO FIDELIS NEGRÃO</t>
        </is>
      </c>
      <c r="S327" s="26">
        <f>IF(A327=A326,0,1)</f>
        <v>0</v>
      </c>
      <c r="T327" s="26">
        <f>IF(COUNTIF($B$4:B327,B327)=1,1,0)</f>
        <v>0</v>
      </c>
    </row>
    <row r="328">
      <c r="A328" s="14" t="inlineStr">
        <is>
          <t>CAIRU</t>
        </is>
      </c>
      <c r="B328" s="26" t="n">
        <v>31</v>
      </c>
      <c r="C328" s="26" t="n">
        <v>1210</v>
      </c>
      <c r="D328" s="14" t="inlineStr">
        <is>
          <t>ASSOCIAÇÃO COMUNITARIA AQPEGA</t>
        </is>
      </c>
      <c r="E328" s="14" t="inlineStr">
        <is>
          <t>POVOADO GARAPUA</t>
        </is>
      </c>
      <c r="F328" s="14" t="inlineStr">
        <is>
          <t>RUA NOVA , S/N - ZONA RURAL</t>
        </is>
      </c>
      <c r="G328" s="27" t="inlineStr">
        <is>
          <t>45420-000</t>
        </is>
      </c>
      <c r="H328" s="15" t="n">
        <v>2</v>
      </c>
      <c r="I328" s="28" t="inlineStr">
        <is>
          <t>NÃO</t>
        </is>
      </c>
      <c r="J328" s="29" t="n"/>
      <c r="K328" s="14" t="str">
        <f>IF(J328="","7. Acima de 2 km",IF(J328&lt;=50,"1. Até 50 m",IF(J328&lt;=100,"2. De 50 a 100 m",IF(J328&lt;=200,"3. De 100 a 200 m",IF(J328&lt;=300,"4. De 200 a 300 m",IF(J328&lt;=500,"5. De 300 a 500 m","6. De 500 m a 2 km"))))))</f>
        <v>7. Acima de 2 km</v>
      </c>
      <c r="L328" s="26" t="n">
        <v>0</v>
      </c>
      <c r="M328" s="26" t="n">
        <v>0</v>
      </c>
      <c r="N328" s="26" t="n">
        <v>0</v>
      </c>
      <c r="O328" s="26" t="n">
        <v>0</v>
      </c>
      <c r="P328" s="30" t="n">
        <v>-13.4740318</v>
      </c>
      <c r="Q328" s="30" t="n">
        <v>-38.9212222</v>
      </c>
      <c r="R328" s="14" t="inlineStr">
        <is>
          <t>SECRETARIA MUNICIPAL DE EDUCAÇÃO JOÃO LEONARDO DA SILVA, PRAÇA DOIS DE JULHO S/N- VALENÇA- BAHIA AUDITÓRIO FIDELIS NEGRÃO</t>
        </is>
      </c>
      <c r="S328" s="26">
        <f>IF(A328=A327,0,1)</f>
        <v>0</v>
      </c>
      <c r="T328" s="26">
        <f>IF(COUNTIF($B$4:B328,B328)=1,1,0)</f>
        <v>0</v>
      </c>
    </row>
    <row r="329">
      <c r="A329" s="14" t="inlineStr">
        <is>
          <t>CAIRU</t>
        </is>
      </c>
      <c r="B329" s="26" t="n">
        <v>31</v>
      </c>
      <c r="C329" s="26" t="n">
        <v>1228</v>
      </c>
      <c r="D329" s="14" t="inlineStr">
        <is>
          <t>COLÉGIO MUNICIPAL HILDÉCIO ANTONIO MEIRELES</t>
        </is>
      </c>
      <c r="E329" s="14" t="inlineStr">
        <is>
          <t>DISTRITO MORRO DE SÃO PAULO</t>
        </is>
      </c>
      <c r="F329" s="14" t="inlineStr">
        <is>
          <t>RUA ESTRADA NOVA DO ZIMBO, S/N - ZONA RURAL</t>
        </is>
      </c>
      <c r="G329" s="27" t="inlineStr">
        <is>
          <t>45420-000</t>
        </is>
      </c>
      <c r="H329" s="15" t="n">
        <v>4</v>
      </c>
      <c r="I329" s="28" t="inlineStr">
        <is>
          <t>NÃO</t>
        </is>
      </c>
      <c r="J329" s="29" t="n"/>
      <c r="K329" s="14" t="str">
        <f>IF(J329="","7. Acima de 2 km",IF(J329&lt;=50,"1. Até 50 m",IF(J329&lt;=100,"2. De 50 a 100 m",IF(J329&lt;=200,"3. De 100 a 200 m",IF(J329&lt;=300,"4. De 200 a 300 m",IF(J329&lt;=500,"5. De 300 a 500 m","6. De 500 m a 2 km"))))))</f>
        <v>7. Acima de 2 km</v>
      </c>
      <c r="L329" s="26" t="n">
        <v>0</v>
      </c>
      <c r="M329" s="26" t="n">
        <v>0</v>
      </c>
      <c r="N329" s="26" t="n">
        <v>0</v>
      </c>
      <c r="O329" s="26" t="n">
        <v>0</v>
      </c>
      <c r="P329" s="30" t="n">
        <v>-13.4010536</v>
      </c>
      <c r="Q329" s="30" t="n">
        <v>-38.9152524</v>
      </c>
      <c r="R329" s="14" t="inlineStr">
        <is>
          <t>SECRETARIA MUNICIPAL DE EDUCAÇÃO JOÃO LEONARDO DA SILVA, PRAÇA DOIS DE JULHO S/N- VALENÇA- BAHIA AUDITÓRIO FIDELIS NEGRÃO</t>
        </is>
      </c>
      <c r="S329" s="26">
        <f>IF(A329=A328,0,1)</f>
        <v>0</v>
      </c>
      <c r="T329" s="26">
        <f>IF(COUNTIF($B$4:B329,B329)=1,1,0)</f>
        <v>0</v>
      </c>
    </row>
    <row r="330">
      <c r="A330" s="14" t="inlineStr">
        <is>
          <t>CAIRU</t>
        </is>
      </c>
      <c r="B330" s="26" t="n">
        <v>31</v>
      </c>
      <c r="C330" s="26" t="n">
        <v>1236</v>
      </c>
      <c r="D330" s="14" t="inlineStr">
        <is>
          <t>SALAS DE REUNIÕES DA IGREJA NOSSA SENHORA DA LUZ</t>
        </is>
      </c>
      <c r="E330" s="14" t="inlineStr">
        <is>
          <t>DISTRITO MORRO DE SÃO PAULO</t>
        </is>
      </c>
      <c r="F330" s="14" t="inlineStr">
        <is>
          <t>PRAÇA DA AMENDOEIRA, S/N - ZONA RURAL</t>
        </is>
      </c>
      <c r="G330" s="27" t="inlineStr">
        <is>
          <t>45420-000</t>
        </is>
      </c>
      <c r="H330" s="15" t="n">
        <v>2</v>
      </c>
      <c r="I330" s="28" t="inlineStr">
        <is>
          <t>SIM</t>
        </is>
      </c>
      <c r="J330" s="29" t="n">
        <v>46.3</v>
      </c>
      <c r="K330" s="14" t="str">
        <f>IF(J330="","7. Acima de 2 km",IF(J330&lt;=50,"1. Até 50 m",IF(J330&lt;=100,"2. De 50 a 100 m",IF(J330&lt;=200,"3. De 100 a 200 m",IF(J330&lt;=300,"4. De 200 a 300 m",IF(J330&lt;=500,"5. De 300 a 500 m","6. De 500 m a 2 km"))))))</f>
        <v>1. Até 50 m</v>
      </c>
      <c r="L330" s="26" t="n">
        <v>1</v>
      </c>
      <c r="M330" s="26" t="n">
        <v>2</v>
      </c>
      <c r="N330" s="26" t="n">
        <v>2</v>
      </c>
      <c r="O330" s="26" t="n">
        <v>3</v>
      </c>
      <c r="P330" s="30" t="n">
        <v>-13.3773396</v>
      </c>
      <c r="Q330" s="30" t="n">
        <v>-38.9168903</v>
      </c>
      <c r="R330" s="14" t="inlineStr">
        <is>
          <t>SECRETARIA MUNICIPAL DE EDUCAÇÃO JOÃO LEONARDO DA SILVA, PRAÇA DOIS DE JULHO S/N- VALENÇA- BAHIA AUDITÓRIO FIDELIS NEGRÃO</t>
        </is>
      </c>
      <c r="S330" s="26">
        <f>IF(A330=A329,0,1)</f>
        <v>0</v>
      </c>
      <c r="T330" s="26">
        <f>IF(COUNTIF($B$4:B330,B330)=1,1,0)</f>
        <v>0</v>
      </c>
    </row>
    <row r="331">
      <c r="A331" s="14" t="inlineStr">
        <is>
          <t>CAIRU</t>
        </is>
      </c>
      <c r="B331" s="26" t="n">
        <v>31</v>
      </c>
      <c r="C331" s="26" t="n">
        <v>1244</v>
      </c>
      <c r="D331" s="14" t="inlineStr">
        <is>
          <t>ESCOLA ADVENTISTA DO SÉTIMO DIA</t>
        </is>
      </c>
      <c r="E331" s="14" t="inlineStr">
        <is>
          <t>DISTRITO MORRO DE SÃO PAULO</t>
        </is>
      </c>
      <c r="F331" s="14" t="inlineStr">
        <is>
          <t>RUA DA LAGOA, S/N - ZONA RURAL</t>
        </is>
      </c>
      <c r="G331" s="27" t="inlineStr">
        <is>
          <t>45420-000</t>
        </is>
      </c>
      <c r="H331" s="15" t="n">
        <v>2</v>
      </c>
      <c r="I331" s="28" t="inlineStr">
        <is>
          <t>NÃO</t>
        </is>
      </c>
      <c r="J331" s="29" t="n">
        <v>375.4</v>
      </c>
      <c r="K331" s="14" t="str">
        <f>IF(J331="","7. Acima de 2 km",IF(J331&lt;=50,"1. Até 50 m",IF(J331&lt;=100,"2. De 50 a 100 m",IF(J331&lt;=200,"3. De 100 a 200 m",IF(J331&lt;=300,"4. De 200 a 300 m",IF(J331&lt;=500,"5. De 300 a 500 m","6. De 500 m a 2 km"))))))</f>
        <v>5. De 300 a 500 m</v>
      </c>
      <c r="L331" s="26" t="n">
        <v>0</v>
      </c>
      <c r="M331" s="26" t="n">
        <v>0</v>
      </c>
      <c r="N331" s="26" t="n">
        <v>0</v>
      </c>
      <c r="O331" s="26" t="n">
        <v>0</v>
      </c>
      <c r="P331" s="30" t="n">
        <v>-13.3809182</v>
      </c>
      <c r="Q331" s="30" t="n">
        <v>-38.9177562</v>
      </c>
      <c r="R331" s="14" t="inlineStr">
        <is>
          <t>SECRETARIA MUNICIPAL DE EDUCAÇÃO JOÃO LEONARDO DA SILVA, PRAÇA DOIS DE JULHO S/N- VALENÇA- BAHIA AUDITÓRIO FIDELIS NEGRÃO</t>
        </is>
      </c>
      <c r="S331" s="26">
        <f>IF(A331=A330,0,1)</f>
        <v>0</v>
      </c>
      <c r="T331" s="26">
        <f>IF(COUNTIF($B$4:B331,B331)=1,1,0)</f>
        <v>0</v>
      </c>
    </row>
    <row r="332">
      <c r="A332" s="14" t="inlineStr">
        <is>
          <t>CAMAÇARI</t>
        </is>
      </c>
      <c r="B332" s="26" t="n">
        <v>170</v>
      </c>
      <c r="C332" s="26" t="n">
        <v>1023</v>
      </c>
      <c r="D332" s="14" t="inlineStr">
        <is>
          <t>ESCOLA MUNICIPAL JOSE ALAN</t>
        </is>
      </c>
      <c r="E332" s="14" t="inlineStr">
        <is>
          <t>GLEBA C</t>
        </is>
      </c>
      <c r="F332" s="14" t="inlineStr">
        <is>
          <t>RUA ABARE, S/N - ZONA URBANA</t>
        </is>
      </c>
      <c r="G332" s="27" t="inlineStr">
        <is>
          <t>42800-000</t>
        </is>
      </c>
      <c r="H332" s="15" t="n">
        <v>6</v>
      </c>
      <c r="I332" s="28" t="inlineStr">
        <is>
          <t>NÃO</t>
        </is>
      </c>
      <c r="J332" s="29" t="n">
        <v>684.9</v>
      </c>
      <c r="K332" s="14" t="str">
        <f>IF(J332="","7. Acima de 2 km",IF(J332&lt;=50,"1. Até 50 m",IF(J332&lt;=100,"2. De 50 a 100 m",IF(J332&lt;=200,"3. De 100 a 200 m",IF(J332&lt;=300,"4. De 200 a 300 m",IF(J332&lt;=500,"5. De 300 a 500 m","6. De 500 m a 2 km"))))))</f>
        <v>6. De 500 m a 2 km</v>
      </c>
      <c r="L332" s="26" t="n">
        <v>0</v>
      </c>
      <c r="M332" s="26" t="n">
        <v>0</v>
      </c>
      <c r="N332" s="26" t="n">
        <v>0</v>
      </c>
      <c r="O332" s="26" t="n">
        <v>0</v>
      </c>
      <c r="P332" s="30" t="n">
        <v>-12.7150383</v>
      </c>
      <c r="Q332" s="30" t="n">
        <v>-38.3266567</v>
      </c>
      <c r="R332" s="14" t="inlineStr">
        <is>
          <t>AVENIDA DO CONTORNO, S/ Nº, CENTRO ADMINISTRATIVO DE CAMAÇARI, CAMAÇARI/BA</t>
        </is>
      </c>
      <c r="S332" s="26">
        <f>IF(A332=A331,0,1)</f>
        <v>1</v>
      </c>
      <c r="T332" s="26">
        <f>IF(COUNTIF($B$4:B332,B332)=1,1,0)</f>
        <v>1</v>
      </c>
    </row>
    <row r="333">
      <c r="A333" s="14" t="inlineStr">
        <is>
          <t>CAMAÇARI</t>
        </is>
      </c>
      <c r="B333" s="26" t="n">
        <v>170</v>
      </c>
      <c r="C333" s="26" t="n">
        <v>1031</v>
      </c>
      <c r="D333" s="14" t="inlineStr">
        <is>
          <t>ESCOLA DO NATAL</t>
        </is>
      </c>
      <c r="E333" s="14" t="inlineStr">
        <is>
          <t>BOMBA</t>
        </is>
      </c>
      <c r="F333" s="14" t="inlineStr">
        <is>
          <t>RUA DO NATAL, N 124 - ZONA URBANA</t>
        </is>
      </c>
      <c r="G333" s="27" t="inlineStr">
        <is>
          <t>42809-070</t>
        </is>
      </c>
      <c r="H333" s="15" t="n">
        <v>11</v>
      </c>
      <c r="I333" s="28" t="inlineStr">
        <is>
          <t>NÃO</t>
        </is>
      </c>
      <c r="J333" s="29" t="n">
        <v>338</v>
      </c>
      <c r="K333" s="14" t="str">
        <f>IF(J333="","7. Acima de 2 km",IF(J333&lt;=50,"1. Até 50 m",IF(J333&lt;=100,"2. De 50 a 100 m",IF(J333&lt;=200,"3. De 100 a 200 m",IF(J333&lt;=300,"4. De 200 a 300 m",IF(J333&lt;=500,"5. De 300 a 500 m","6. De 500 m a 2 km"))))))</f>
        <v>5. De 300 a 500 m</v>
      </c>
      <c r="L333" s="26" t="n">
        <v>0</v>
      </c>
      <c r="M333" s="26" t="n">
        <v>0</v>
      </c>
      <c r="N333" s="26" t="n">
        <v>0</v>
      </c>
      <c r="O333" s="26" t="n">
        <v>0</v>
      </c>
      <c r="P333" s="30" t="n">
        <v>-12.6966384</v>
      </c>
      <c r="Q333" s="30" t="n">
        <v>-38.3201515</v>
      </c>
      <c r="R333" s="14" t="inlineStr">
        <is>
          <t>AVENIDA DO CONTORNO, S/ Nº, CENTRO ADMINISTRATIVO DE CAMAÇARI, CAMAÇARI/BA</t>
        </is>
      </c>
      <c r="S333" s="26">
        <f>IF(A333=A332,0,1)</f>
        <v>0</v>
      </c>
      <c r="T333" s="26">
        <f>IF(COUNTIF($B$4:B333,B333)=1,1,0)</f>
        <v>0</v>
      </c>
    </row>
    <row r="334">
      <c r="A334" s="14" t="inlineStr">
        <is>
          <t>CAMAÇARI</t>
        </is>
      </c>
      <c r="B334" s="26" t="n">
        <v>170</v>
      </c>
      <c r="C334" s="26" t="n">
        <v>1040</v>
      </c>
      <c r="D334" s="14" t="inlineStr">
        <is>
          <t>COLEGIO ESTADUAL POLIVALENTE DE CAMACARI</t>
        </is>
      </c>
      <c r="E334" s="14" t="inlineStr">
        <is>
          <t>CENTRO</t>
        </is>
      </c>
      <c r="F334" s="14" t="inlineStr">
        <is>
          <t>RUA SANTA BERNADETE, N 16 - ZONA URBANA</t>
        </is>
      </c>
      <c r="G334" s="27" t="inlineStr">
        <is>
          <t>42800-030</t>
        </is>
      </c>
      <c r="H334" s="15" t="n">
        <v>10</v>
      </c>
      <c r="I334" s="28" t="inlineStr">
        <is>
          <t>NÃO</t>
        </is>
      </c>
      <c r="J334" s="29" t="n">
        <v>204.5</v>
      </c>
      <c r="K334" s="14" t="str">
        <f>IF(J334="","7. Acima de 2 km",IF(J334&lt;=50,"1. Até 50 m",IF(J334&lt;=100,"2. De 50 a 100 m",IF(J334&lt;=200,"3. De 100 a 200 m",IF(J334&lt;=300,"4. De 200 a 300 m",IF(J334&lt;=500,"5. De 300 a 500 m","6. De 500 m a 2 km"))))))</f>
        <v>4. De 200 a 300 m</v>
      </c>
      <c r="L334" s="26" t="n">
        <v>0</v>
      </c>
      <c r="M334" s="26" t="n">
        <v>0</v>
      </c>
      <c r="N334" s="26" t="n">
        <v>0</v>
      </c>
      <c r="O334" s="26" t="n">
        <v>5</v>
      </c>
      <c r="P334" s="30" t="n">
        <v>-12.6982817</v>
      </c>
      <c r="Q334" s="30" t="n">
        <v>-38.3252033</v>
      </c>
      <c r="R334" s="14" t="inlineStr">
        <is>
          <t>AVENIDA DO CONTORNO, S/ Nº, CENTRO ADMINISTRATIVO DE CAMAÇARI, CAMAÇARI/BA</t>
        </is>
      </c>
      <c r="S334" s="26">
        <f>IF(A334=A333,0,1)</f>
        <v>0</v>
      </c>
      <c r="T334" s="26">
        <f>IF(COUNTIF($B$4:B334,B334)=1,1,0)</f>
        <v>0</v>
      </c>
    </row>
    <row r="335">
      <c r="A335" s="14" t="inlineStr">
        <is>
          <t>CAMAÇARI</t>
        </is>
      </c>
      <c r="B335" s="26" t="n">
        <v>170</v>
      </c>
      <c r="C335" s="26" t="n">
        <v>1058</v>
      </c>
      <c r="D335" s="14" t="inlineStr">
        <is>
          <t>COLEGIO SAO THOMAZ DE CANTUARIA</t>
        </is>
      </c>
      <c r="E335" s="14" t="inlineStr">
        <is>
          <t>CENTRO</t>
        </is>
      </c>
      <c r="F335" s="14" t="inlineStr">
        <is>
          <t>RUA PONCIANO DE OLIVEIRA, N 27 - ZONA URBANA</t>
        </is>
      </c>
      <c r="G335" s="27" t="inlineStr">
        <is>
          <t>42800-100</t>
        </is>
      </c>
      <c r="H335" s="15" t="n">
        <v>15</v>
      </c>
      <c r="I335" s="28" t="inlineStr">
        <is>
          <t>NÃO</t>
        </is>
      </c>
      <c r="J335" s="29" t="n">
        <v>121.4</v>
      </c>
      <c r="K335" s="14" t="str">
        <f>IF(J335="","7. Acima de 2 km",IF(J335&lt;=50,"1. Até 50 m",IF(J335&lt;=100,"2. De 50 a 100 m",IF(J335&lt;=200,"3. De 100 a 200 m",IF(J335&lt;=300,"4. De 200 a 300 m",IF(J335&lt;=500,"5. De 300 a 500 m","6. De 500 m a 2 km"))))))</f>
        <v>3. De 100 a 200 m</v>
      </c>
      <c r="L335" s="26" t="n">
        <v>0</v>
      </c>
      <c r="M335" s="26" t="n">
        <v>0</v>
      </c>
      <c r="N335" s="26" t="n">
        <v>4</v>
      </c>
      <c r="O335" s="26" t="n">
        <v>7</v>
      </c>
      <c r="P335" s="30" t="n">
        <v>-12.7004774</v>
      </c>
      <c r="Q335" s="30" t="n">
        <v>-38.3220213</v>
      </c>
      <c r="R335" s="14" t="inlineStr">
        <is>
          <t>AVENIDA DO CONTORNO, S/ Nº, CENTRO ADMINISTRATIVO DE CAMAÇARI, CAMAÇARI/BA</t>
        </is>
      </c>
      <c r="S335" s="26">
        <f>IF(A335=A334,0,1)</f>
        <v>0</v>
      </c>
      <c r="T335" s="26">
        <f>IF(COUNTIF($B$4:B335,B335)=1,1,0)</f>
        <v>0</v>
      </c>
    </row>
    <row r="336">
      <c r="A336" s="14" t="inlineStr">
        <is>
          <t>CAMAÇARI</t>
        </is>
      </c>
      <c r="B336" s="26" t="n">
        <v>170</v>
      </c>
      <c r="C336" s="26" t="n">
        <v>1074</v>
      </c>
      <c r="D336" s="14" t="inlineStr">
        <is>
          <t>ESCOLA DOUTOR LUIZ ROGERIO</t>
        </is>
      </c>
      <c r="E336" s="14" t="inlineStr">
        <is>
          <t>GLEBA C</t>
        </is>
      </c>
      <c r="F336" s="14" t="inlineStr">
        <is>
          <t>RUA ABARE, S/N - ZONA URBANA</t>
        </is>
      </c>
      <c r="G336" s="27" t="inlineStr">
        <is>
          <t>42805-530</t>
        </is>
      </c>
      <c r="H336" s="15" t="n">
        <v>11</v>
      </c>
      <c r="I336" s="28" t="inlineStr">
        <is>
          <t>NÃO</t>
        </is>
      </c>
      <c r="J336" s="29" t="n">
        <v>737.3</v>
      </c>
      <c r="K336" s="14" t="str">
        <f>IF(J336="","7. Acima de 2 km",IF(J336&lt;=50,"1. Até 50 m",IF(J336&lt;=100,"2. De 50 a 100 m",IF(J336&lt;=200,"3. De 100 a 200 m",IF(J336&lt;=300,"4. De 200 a 300 m",IF(J336&lt;=500,"5. De 300 a 500 m","6. De 500 m a 2 km"))))))</f>
        <v>6. De 500 m a 2 km</v>
      </c>
      <c r="L336" s="26" t="n">
        <v>0</v>
      </c>
      <c r="M336" s="26" t="n">
        <v>0</v>
      </c>
      <c r="N336" s="26" t="n">
        <v>0</v>
      </c>
      <c r="O336" s="26" t="n">
        <v>0</v>
      </c>
      <c r="P336" s="30" t="n">
        <v>-12.7137144</v>
      </c>
      <c r="Q336" s="30" t="n">
        <v>-38.3262527</v>
      </c>
      <c r="R336" s="14" t="inlineStr">
        <is>
          <t>AVENIDA DO CONTORNO, S/ Nº, CENTRO ADMINISTRATIVO DE CAMAÇARI, CAMAÇARI/BA</t>
        </is>
      </c>
      <c r="S336" s="26">
        <f>IF(A336=A335,0,1)</f>
        <v>0</v>
      </c>
      <c r="T336" s="26">
        <f>IF(COUNTIF($B$4:B336,B336)=1,1,0)</f>
        <v>0</v>
      </c>
    </row>
    <row r="337">
      <c r="A337" s="14" t="inlineStr">
        <is>
          <t>CAMAÇARI</t>
        </is>
      </c>
      <c r="B337" s="26" t="n">
        <v>170</v>
      </c>
      <c r="C337" s="26" t="n">
        <v>1082</v>
      </c>
      <c r="D337" s="14" t="inlineStr">
        <is>
          <t>COLEGIO MARIA QUITERIA</t>
        </is>
      </c>
      <c r="E337" s="14" t="inlineStr">
        <is>
          <t>PONTO CERTO</t>
        </is>
      </c>
      <c r="F337" s="14" t="inlineStr">
        <is>
          <t>RUA DO PONTO CERTO, S/N - ZONA URBANA</t>
        </is>
      </c>
      <c r="G337" s="27" t="inlineStr">
        <is>
          <t>42800-000</t>
        </is>
      </c>
      <c r="H337" s="15" t="n">
        <v>11</v>
      </c>
      <c r="I337" s="28" t="inlineStr">
        <is>
          <t>NÃO</t>
        </is>
      </c>
      <c r="J337" s="29" t="n">
        <v>196.9</v>
      </c>
      <c r="K337" s="14" t="str">
        <f>IF(J337="","7. Acima de 2 km",IF(J337&lt;=50,"1. Até 50 m",IF(J337&lt;=100,"2. De 50 a 100 m",IF(J337&lt;=200,"3. De 100 a 200 m",IF(J337&lt;=300,"4. De 200 a 300 m",IF(J337&lt;=500,"5. De 300 a 500 m","6. De 500 m a 2 km"))))))</f>
        <v>3. De 100 a 200 m</v>
      </c>
      <c r="L337" s="26" t="n">
        <v>0</v>
      </c>
      <c r="M337" s="26" t="n">
        <v>0</v>
      </c>
      <c r="N337" s="26" t="n">
        <v>1</v>
      </c>
      <c r="O337" s="26" t="n">
        <v>2</v>
      </c>
      <c r="P337" s="30" t="n">
        <v>-12.7087817</v>
      </c>
      <c r="Q337" s="30" t="n">
        <v>-38.319162</v>
      </c>
      <c r="R337" s="14" t="inlineStr">
        <is>
          <t>AVENIDA DO CONTORNO, S/ Nº, CENTRO ADMINISTRATIVO DE CAMAÇARI, CAMAÇARI/BA</t>
        </is>
      </c>
      <c r="S337" s="26">
        <f>IF(A337=A336,0,1)</f>
        <v>0</v>
      </c>
      <c r="T337" s="26">
        <f>IF(COUNTIF($B$4:B337,B337)=1,1,0)</f>
        <v>0</v>
      </c>
    </row>
    <row r="338">
      <c r="A338" s="14" t="inlineStr">
        <is>
          <t>CAMAÇARI</t>
        </is>
      </c>
      <c r="B338" s="26" t="n">
        <v>170</v>
      </c>
      <c r="C338" s="26" t="n">
        <v>1090</v>
      </c>
      <c r="D338" s="14" t="inlineStr">
        <is>
          <t>ESCOLA COSME DE FARIAS</t>
        </is>
      </c>
      <c r="E338" s="14" t="inlineStr">
        <is>
          <t>PHOC I</t>
        </is>
      </c>
      <c r="F338" s="14" t="inlineStr">
        <is>
          <t>RUA DAS BEGONEAS, S/N - ZONA URBANA</t>
        </is>
      </c>
      <c r="G338" s="27" t="inlineStr">
        <is>
          <t>42800-000</t>
        </is>
      </c>
      <c r="H338" s="15" t="n">
        <v>16</v>
      </c>
      <c r="I338" s="28" t="inlineStr">
        <is>
          <t>NÃO</t>
        </is>
      </c>
      <c r="J338" s="29" t="n">
        <v>424.2</v>
      </c>
      <c r="K338" s="14" t="str">
        <f>IF(J338="","7. Acima de 2 km",IF(J338&lt;=50,"1. Até 50 m",IF(J338&lt;=100,"2. De 50 a 100 m",IF(J338&lt;=200,"3. De 100 a 200 m",IF(J338&lt;=300,"4. De 200 a 300 m",IF(J338&lt;=500,"5. De 300 a 500 m","6. De 500 m a 2 km"))))))</f>
        <v>5. De 300 a 500 m</v>
      </c>
      <c r="L338" s="26" t="n">
        <v>0</v>
      </c>
      <c r="M338" s="26" t="n">
        <v>0</v>
      </c>
      <c r="N338" s="26" t="n">
        <v>0</v>
      </c>
      <c r="O338" s="26" t="n">
        <v>0</v>
      </c>
      <c r="P338" s="30" t="n">
        <v>-12.7145667</v>
      </c>
      <c r="Q338" s="30" t="n">
        <v>-38.334415</v>
      </c>
      <c r="R338" s="14" t="inlineStr">
        <is>
          <t>AVENIDA DO CONTORNO, S/ Nº, CENTRO ADMINISTRATIVO DE CAMAÇARI, CAMAÇARI/BA</t>
        </is>
      </c>
      <c r="S338" s="26">
        <f>IF(A338=A337,0,1)</f>
        <v>0</v>
      </c>
      <c r="T338" s="26">
        <f>IF(COUNTIF($B$4:B338,B338)=1,1,0)</f>
        <v>0</v>
      </c>
    </row>
    <row r="339">
      <c r="A339" s="14" t="inlineStr">
        <is>
          <t>CAMAÇARI</t>
        </is>
      </c>
      <c r="B339" s="26" t="n">
        <v>170</v>
      </c>
      <c r="C339" s="26" t="n">
        <v>1104</v>
      </c>
      <c r="D339" s="14" t="inlineStr">
        <is>
          <t>CENTRO DE EDUCACAO MUNICIPAL DE CAMACARI</t>
        </is>
      </c>
      <c r="E339" s="14" t="inlineStr">
        <is>
          <t>PHOC II</t>
        </is>
      </c>
      <c r="F339" s="14" t="inlineStr">
        <is>
          <t>RUA ARACY, S/N - ZONA URBANA</t>
        </is>
      </c>
      <c r="G339" s="27" t="inlineStr">
        <is>
          <t>42805-300</t>
        </is>
      </c>
      <c r="H339" s="15" t="n">
        <v>17</v>
      </c>
      <c r="I339" s="28" t="inlineStr">
        <is>
          <t>NÃO</t>
        </is>
      </c>
      <c r="J339" s="29" t="n">
        <v>255.4</v>
      </c>
      <c r="K339" s="14" t="str">
        <f>IF(J339="","7. Acima de 2 km",IF(J339&lt;=50,"1. Até 50 m",IF(J339&lt;=100,"2. De 50 a 100 m",IF(J339&lt;=200,"3. De 100 a 200 m",IF(J339&lt;=300,"4. De 200 a 300 m",IF(J339&lt;=500,"5. De 300 a 500 m","6. De 500 m a 2 km"))))))</f>
        <v>4. De 200 a 300 m</v>
      </c>
      <c r="L339" s="26" t="n">
        <v>0</v>
      </c>
      <c r="M339" s="26" t="n">
        <v>0</v>
      </c>
      <c r="N339" s="26" t="n">
        <v>0</v>
      </c>
      <c r="O339" s="26" t="n">
        <v>2</v>
      </c>
      <c r="P339" s="30" t="n">
        <v>-12.7087661</v>
      </c>
      <c r="Q339" s="30" t="n">
        <v>-38.3324751</v>
      </c>
      <c r="R339" s="14" t="inlineStr">
        <is>
          <t>AVENIDA DO CONTORNO, S/ Nº, CENTRO ADMINISTRATIVO DE CAMAÇARI, CAMAÇARI/BA</t>
        </is>
      </c>
      <c r="S339" s="26">
        <f>IF(A339=A338,0,1)</f>
        <v>0</v>
      </c>
      <c r="T339" s="26">
        <f>IF(COUNTIF($B$4:B339,B339)=1,1,0)</f>
        <v>0</v>
      </c>
    </row>
    <row r="340">
      <c r="A340" s="14" t="inlineStr">
        <is>
          <t>CAMAÇARI</t>
        </is>
      </c>
      <c r="B340" s="26" t="n">
        <v>170</v>
      </c>
      <c r="C340" s="26" t="n">
        <v>1112</v>
      </c>
      <c r="D340" s="14" t="inlineStr">
        <is>
          <t>ESCOLA LUIZ EDUARDO MAGALHAES</t>
        </is>
      </c>
      <c r="E340" s="14" t="inlineStr">
        <is>
          <t>CENTRO</t>
        </is>
      </c>
      <c r="F340" s="14" t="inlineStr">
        <is>
          <t>RUA LUIZ EDUARDO MAGALHAES, S/N -ZONA URBANA</t>
        </is>
      </c>
      <c r="G340" s="27" t="inlineStr">
        <is>
          <t>42800-420</t>
        </is>
      </c>
      <c r="H340" s="15" t="n">
        <v>12</v>
      </c>
      <c r="I340" s="28" t="inlineStr">
        <is>
          <t>SIM</t>
        </is>
      </c>
      <c r="J340" s="29" t="n">
        <v>85.90000000000001</v>
      </c>
      <c r="K340" s="14" t="str">
        <f>IF(J340="","7. Acima de 2 km",IF(J340&lt;=50,"1. Até 50 m",IF(J340&lt;=100,"2. De 50 a 100 m",IF(J340&lt;=200,"3. De 100 a 200 m",IF(J340&lt;=300,"4. De 200 a 300 m",IF(J340&lt;=500,"5. De 300 a 500 m","6. De 500 m a 2 km"))))))</f>
        <v>2. De 50 a 100 m</v>
      </c>
      <c r="L340" s="26" t="n">
        <v>0</v>
      </c>
      <c r="M340" s="26" t="n">
        <v>1</v>
      </c>
      <c r="N340" s="26" t="n">
        <v>2</v>
      </c>
      <c r="O340" s="26" t="n">
        <v>2</v>
      </c>
      <c r="P340" s="30" t="n">
        <v>-12.7013692</v>
      </c>
      <c r="Q340" s="30" t="n">
        <v>-38.3201864</v>
      </c>
      <c r="R340" s="14" t="inlineStr">
        <is>
          <t>AVENIDA DO CONTORNO, S/ Nº, CENTRO ADMINISTRATIVO DE CAMAÇARI, CAMAÇARI/BA</t>
        </is>
      </c>
      <c r="S340" s="26">
        <f>IF(A340=A339,0,1)</f>
        <v>0</v>
      </c>
      <c r="T340" s="26">
        <f>IF(COUNTIF($B$4:B340,B340)=1,1,0)</f>
        <v>0</v>
      </c>
    </row>
    <row r="341">
      <c r="A341" s="14" t="inlineStr">
        <is>
          <t>CAMAÇARI</t>
        </is>
      </c>
      <c r="B341" s="26" t="n">
        <v>170</v>
      </c>
      <c r="C341" s="26" t="n">
        <v>1120</v>
      </c>
      <c r="D341" s="14" t="inlineStr">
        <is>
          <t>ESCOLA MUNICIPAL SONIA REGINA</t>
        </is>
      </c>
      <c r="E341" s="14" t="inlineStr">
        <is>
          <t>PHOC III</t>
        </is>
      </c>
      <c r="F341" s="14" t="inlineStr">
        <is>
          <t>RUA DA FLEXA S/N - ZONA URBANA</t>
        </is>
      </c>
      <c r="G341" s="27" t="inlineStr">
        <is>
          <t>42804-660</t>
        </is>
      </c>
      <c r="H341" s="15" t="n">
        <v>10</v>
      </c>
      <c r="I341" s="28" t="inlineStr">
        <is>
          <t>NÃO</t>
        </is>
      </c>
      <c r="J341" s="29" t="n">
        <v>774.5</v>
      </c>
      <c r="K341" s="14" t="str">
        <f>IF(J341="","7. Acima de 2 km",IF(J341&lt;=50,"1. Até 50 m",IF(J341&lt;=100,"2. De 50 a 100 m",IF(J341&lt;=200,"3. De 100 a 200 m",IF(J341&lt;=300,"4. De 200 a 300 m",IF(J341&lt;=500,"5. De 300 a 500 m","6. De 500 m a 2 km"))))))</f>
        <v>6. De 500 m a 2 km</v>
      </c>
      <c r="L341" s="26" t="n">
        <v>0</v>
      </c>
      <c r="M341" s="26" t="n">
        <v>0</v>
      </c>
      <c r="N341" s="26" t="n">
        <v>0</v>
      </c>
      <c r="O341" s="26" t="n">
        <v>0</v>
      </c>
      <c r="P341" s="30" t="n">
        <v>-12.7187852</v>
      </c>
      <c r="Q341" s="30" t="n">
        <v>-38.3352759</v>
      </c>
      <c r="R341" s="14" t="inlineStr">
        <is>
          <t>AVENIDA DO CONTORNO, S/ Nº, CENTRO ADMINISTRATIVO DE CAMAÇARI, CAMAÇARI/BA</t>
        </is>
      </c>
      <c r="S341" s="26">
        <f>IF(A341=A340,0,1)</f>
        <v>0</v>
      </c>
      <c r="T341" s="26">
        <f>IF(COUNTIF($B$4:B341,B341)=1,1,0)</f>
        <v>0</v>
      </c>
    </row>
    <row r="342">
      <c r="A342" s="14" t="inlineStr">
        <is>
          <t>CAMAÇARI</t>
        </is>
      </c>
      <c r="B342" s="26" t="n">
        <v>170</v>
      </c>
      <c r="C342" s="26" t="n">
        <v>1139</v>
      </c>
      <c r="D342" s="14" t="inlineStr">
        <is>
          <t>ESCOLA PROFESSORA ILDA LEAL ULM DA SILVA - CAIC</t>
        </is>
      </c>
      <c r="E342" s="14" t="inlineStr">
        <is>
          <t>PHOC I</t>
        </is>
      </c>
      <c r="F342" s="14" t="inlineStr">
        <is>
          <t>AVENIDA LUIS GONZAGA, S/N - ZONA URBANA</t>
        </is>
      </c>
      <c r="G342" s="27" t="inlineStr">
        <is>
          <t>42805-002</t>
        </is>
      </c>
      <c r="H342" s="15" t="n">
        <v>5</v>
      </c>
      <c r="I342" s="28" t="inlineStr">
        <is>
          <t>NÃO</t>
        </is>
      </c>
      <c r="J342" s="29" t="n">
        <v>251.7</v>
      </c>
      <c r="K342" s="14" t="str">
        <f>IF(J342="","7. Acima de 2 km",IF(J342&lt;=50,"1. Até 50 m",IF(J342&lt;=100,"2. De 50 a 100 m",IF(J342&lt;=200,"3. De 100 a 200 m",IF(J342&lt;=300,"4. De 200 a 300 m",IF(J342&lt;=500,"5. De 300 a 500 m","6. De 500 m a 2 km"))))))</f>
        <v>4. De 200 a 300 m</v>
      </c>
      <c r="L342" s="26" t="n">
        <v>0</v>
      </c>
      <c r="M342" s="26" t="n">
        <v>0</v>
      </c>
      <c r="N342" s="26" t="n">
        <v>0</v>
      </c>
      <c r="O342" s="26" t="n">
        <v>1</v>
      </c>
      <c r="P342" s="30" t="n">
        <v>-12.714692</v>
      </c>
      <c r="Q342" s="30" t="n">
        <v>-38.3377825</v>
      </c>
      <c r="R342" s="14" t="inlineStr">
        <is>
          <t>AVENIDA DO CONTORNO, S/ Nº, CENTRO ADMINISTRATIVO DE CAMAÇARI, CAMAÇARI/BA</t>
        </is>
      </c>
      <c r="S342" s="26">
        <f>IF(A342=A341,0,1)</f>
        <v>0</v>
      </c>
      <c r="T342" s="26">
        <f>IF(COUNTIF($B$4:B342,B342)=1,1,0)</f>
        <v>0</v>
      </c>
    </row>
    <row r="343">
      <c r="A343" s="14" t="inlineStr">
        <is>
          <t>CAMAÇARI</t>
        </is>
      </c>
      <c r="B343" s="26" t="n">
        <v>170</v>
      </c>
      <c r="C343" s="26" t="n">
        <v>1147</v>
      </c>
      <c r="D343" s="14" t="inlineStr">
        <is>
          <t>ESCOLA ANÍSIO TEIXEIRA</t>
        </is>
      </c>
      <c r="E343" s="14" t="inlineStr">
        <is>
          <t>GLEBA E</t>
        </is>
      </c>
      <c r="F343" s="14" t="inlineStr">
        <is>
          <t>RUA DAS FLORES, Nº 55  - GLEBA E</t>
        </is>
      </c>
      <c r="G343" s="27" t="inlineStr">
        <is>
          <t>42804-550</t>
        </is>
      </c>
      <c r="H343" s="15" t="n">
        <v>9</v>
      </c>
      <c r="I343" s="28" t="inlineStr">
        <is>
          <t>NÃO</t>
        </is>
      </c>
      <c r="J343" s="29" t="n">
        <v>950.9</v>
      </c>
      <c r="K343" s="14" t="str">
        <f>IF(J343="","7. Acima de 2 km",IF(J343&lt;=50,"1. Até 50 m",IF(J343&lt;=100,"2. De 50 a 100 m",IF(J343&lt;=200,"3. De 100 a 200 m",IF(J343&lt;=300,"4. De 200 a 300 m",IF(J343&lt;=500,"5. De 300 a 500 m","6. De 500 m a 2 km"))))))</f>
        <v>6. De 500 m a 2 km</v>
      </c>
      <c r="L343" s="26" t="n">
        <v>0</v>
      </c>
      <c r="M343" s="26" t="n">
        <v>0</v>
      </c>
      <c r="N343" s="26" t="n">
        <v>0</v>
      </c>
      <c r="O343" s="26" t="n">
        <v>0</v>
      </c>
      <c r="P343" s="30" t="n">
        <v>-12.7219174</v>
      </c>
      <c r="Q343" s="30" t="n">
        <v>-38.3291012</v>
      </c>
      <c r="R343" s="14" t="inlineStr">
        <is>
          <t>AVENIDA DO CONTORNO, S/ Nº, CENTRO ADMINISTRATIVO DE CAMAÇARI, CAMAÇARI/BA</t>
        </is>
      </c>
      <c r="S343" s="26">
        <f>IF(A343=A342,0,1)</f>
        <v>0</v>
      </c>
      <c r="T343" s="26">
        <f>IF(COUNTIF($B$4:B343,B343)=1,1,0)</f>
        <v>0</v>
      </c>
    </row>
    <row r="344">
      <c r="A344" s="14" t="inlineStr">
        <is>
          <t>CAMAÇARI</t>
        </is>
      </c>
      <c r="B344" s="26" t="n">
        <v>170</v>
      </c>
      <c r="C344" s="26" t="n">
        <v>1155</v>
      </c>
      <c r="D344" s="14" t="inlineStr">
        <is>
          <t>ESCOLA MARIA JOSE DE MATOS DA CONCEICAO</t>
        </is>
      </c>
      <c r="E344" s="14" t="inlineStr">
        <is>
          <t>GLEBA B</t>
        </is>
      </c>
      <c r="F344" s="14" t="inlineStr">
        <is>
          <t>RUA ALTO DA BOA VISTA, N 44 - ZONA URBANA</t>
        </is>
      </c>
      <c r="G344" s="27" t="inlineStr">
        <is>
          <t>42800-000</t>
        </is>
      </c>
      <c r="H344" s="15" t="n">
        <v>5</v>
      </c>
      <c r="I344" s="28" t="inlineStr">
        <is>
          <t>NÃO</t>
        </is>
      </c>
      <c r="J344" s="29" t="n">
        <v>233.2</v>
      </c>
      <c r="K344" s="14" t="str">
        <f>IF(J344="","7. Acima de 2 km",IF(J344&lt;=50,"1. Até 50 m",IF(J344&lt;=100,"2. De 50 a 100 m",IF(J344&lt;=200,"3. De 100 a 200 m",IF(J344&lt;=300,"4. De 200 a 300 m",IF(J344&lt;=500,"5. De 300 a 500 m","6. De 500 m a 2 km"))))))</f>
        <v>4. De 200 a 300 m</v>
      </c>
      <c r="L344" s="26" t="n">
        <v>0</v>
      </c>
      <c r="M344" s="26" t="n">
        <v>0</v>
      </c>
      <c r="N344" s="26" t="n">
        <v>0</v>
      </c>
      <c r="O344" s="26" t="n">
        <v>2</v>
      </c>
      <c r="P344" s="30" t="n">
        <v>-12.6957711</v>
      </c>
      <c r="Q344" s="30" t="n">
        <v>-38.3237514</v>
      </c>
      <c r="R344" s="14" t="inlineStr">
        <is>
          <t>AVENIDA DO CONTORNO, S/ Nº, CENTRO ADMINISTRATIVO DE CAMAÇARI, CAMAÇARI/BA</t>
        </is>
      </c>
      <c r="S344" s="26">
        <f>IF(A344=A343,0,1)</f>
        <v>0</v>
      </c>
      <c r="T344" s="26">
        <f>IF(COUNTIF($B$4:B344,B344)=1,1,0)</f>
        <v>0</v>
      </c>
    </row>
    <row r="345">
      <c r="A345" s="14" t="inlineStr">
        <is>
          <t>CAMAÇARI</t>
        </is>
      </c>
      <c r="B345" s="26" t="n">
        <v>170</v>
      </c>
      <c r="C345" s="26" t="n">
        <v>1163</v>
      </c>
      <c r="D345" s="14" t="inlineStr">
        <is>
          <t>ESCOLA ANGIOLINA TEIXEIRA DE SOUZA</t>
        </is>
      </c>
      <c r="E345" s="14" t="inlineStr">
        <is>
          <t>PIAÇAVEIRA</t>
        </is>
      </c>
      <c r="F345" s="14" t="inlineStr">
        <is>
          <t>RUA EIXO E, 119 - ZONA URBANA</t>
        </is>
      </c>
      <c r="G345" s="27" t="inlineStr">
        <is>
          <t>42802-490</t>
        </is>
      </c>
      <c r="H345" s="15" t="n">
        <v>11</v>
      </c>
      <c r="I345" s="28" t="inlineStr">
        <is>
          <t>NÃO</t>
        </is>
      </c>
      <c r="J345" s="29" t="n">
        <v>471.9</v>
      </c>
      <c r="K345" s="14" t="str">
        <f>IF(J345="","7. Acima de 2 km",IF(J345&lt;=50,"1. Até 50 m",IF(J345&lt;=100,"2. De 50 a 100 m",IF(J345&lt;=200,"3. De 100 a 200 m",IF(J345&lt;=300,"4. De 200 a 300 m",IF(J345&lt;=500,"5. De 300 a 500 m","6. De 500 m a 2 km"))))))</f>
        <v>5. De 300 a 500 m</v>
      </c>
      <c r="L345" s="26" t="n">
        <v>0</v>
      </c>
      <c r="M345" s="26" t="n">
        <v>0</v>
      </c>
      <c r="N345" s="26" t="n">
        <v>0</v>
      </c>
      <c r="O345" s="26" t="n">
        <v>0</v>
      </c>
      <c r="P345" s="30" t="n">
        <v>-12.712546</v>
      </c>
      <c r="Q345" s="30" t="n">
        <v>-38.3208764</v>
      </c>
      <c r="R345" s="14" t="inlineStr">
        <is>
          <t>AVENIDA DO CONTORNO, S/ Nº, CENTRO ADMINISTRATIVO DE CAMAÇARI, CAMAÇARI/BA</t>
        </is>
      </c>
      <c r="S345" s="26">
        <f>IF(A345=A344,0,1)</f>
        <v>0</v>
      </c>
      <c r="T345" s="26">
        <f>IF(COUNTIF($B$4:B345,B345)=1,1,0)</f>
        <v>0</v>
      </c>
    </row>
    <row r="346">
      <c r="A346" s="14" t="inlineStr">
        <is>
          <t>CAMAÇARI</t>
        </is>
      </c>
      <c r="B346" s="26" t="n">
        <v>170</v>
      </c>
      <c r="C346" s="26" t="n">
        <v>1171</v>
      </c>
      <c r="D346" s="14" t="inlineStr">
        <is>
          <t>ESCOLA PADRE PAULO TANNUCCI</t>
        </is>
      </c>
      <c r="E346" s="14" t="inlineStr">
        <is>
          <t>NOVO HORIZONTE</t>
        </is>
      </c>
      <c r="F346" s="14" t="inlineStr">
        <is>
          <t>RUA PRACA DO COMERCIO, S/N - ZONA URBANA</t>
        </is>
      </c>
      <c r="G346" s="27" t="inlineStr">
        <is>
          <t>42800-000</t>
        </is>
      </c>
      <c r="H346" s="15" t="n">
        <v>10</v>
      </c>
      <c r="I346" s="28" t="inlineStr">
        <is>
          <t>SIM</t>
        </is>
      </c>
      <c r="J346" s="29" t="n">
        <v>68.59999999999999</v>
      </c>
      <c r="K346" s="14" t="str">
        <f>IF(J346="","7. Acima de 2 km",IF(J346&lt;=50,"1. Até 50 m",IF(J346&lt;=100,"2. De 50 a 100 m",IF(J346&lt;=200,"3. De 100 a 200 m",IF(J346&lt;=300,"4. De 200 a 300 m",IF(J346&lt;=500,"5. De 300 a 500 m","6. De 500 m a 2 km"))))))</f>
        <v>2. De 50 a 100 m</v>
      </c>
      <c r="L346" s="26" t="n">
        <v>0</v>
      </c>
      <c r="M346" s="26" t="n">
        <v>1</v>
      </c>
      <c r="N346" s="26" t="n">
        <v>1</v>
      </c>
      <c r="O346" s="26" t="n">
        <v>2</v>
      </c>
      <c r="P346" s="30" t="n">
        <v>-12.6981835</v>
      </c>
      <c r="Q346" s="30" t="n">
        <v>-38.3094974</v>
      </c>
      <c r="R346" s="14" t="inlineStr">
        <is>
          <t>AVENIDA DO CONTORNO, S/ Nº, CENTRO ADMINISTRATIVO DE CAMAÇARI, CAMAÇARI/BA</t>
        </is>
      </c>
      <c r="S346" s="26">
        <f>IF(A346=A345,0,1)</f>
        <v>0</v>
      </c>
      <c r="T346" s="26">
        <f>IF(COUNTIF($B$4:B346,B346)=1,1,0)</f>
        <v>0</v>
      </c>
    </row>
    <row r="347">
      <c r="A347" s="14" t="inlineStr">
        <is>
          <t>CAMAÇARI</t>
        </is>
      </c>
      <c r="B347" s="26" t="n">
        <v>170</v>
      </c>
      <c r="C347" s="26" t="n">
        <v>1180</v>
      </c>
      <c r="D347" s="14" t="inlineStr">
        <is>
          <t>ESCOLA LUIZ PEREIRA COSTA</t>
        </is>
      </c>
      <c r="E347" s="14" t="inlineStr">
        <is>
          <t>DOIS DE JULHO</t>
        </is>
      </c>
      <c r="F347" s="14" t="inlineStr">
        <is>
          <t>TRAVESSA NOSSA SENHORA DO CARMO S/N - ZONA URBANA</t>
        </is>
      </c>
      <c r="G347" s="27" t="inlineStr">
        <is>
          <t>42802-010</t>
        </is>
      </c>
      <c r="H347" s="15" t="n">
        <v>11</v>
      </c>
      <c r="I347" s="28" t="inlineStr">
        <is>
          <t>NÃO</t>
        </is>
      </c>
      <c r="J347" s="29" t="n">
        <v>184.2</v>
      </c>
      <c r="K347" s="14" t="str">
        <f>IF(J347="","7. Acima de 2 km",IF(J347&lt;=50,"1. Até 50 m",IF(J347&lt;=100,"2. De 50 a 100 m",IF(J347&lt;=200,"3. De 100 a 200 m",IF(J347&lt;=300,"4. De 200 a 300 m",IF(J347&lt;=500,"5. De 300 a 500 m","6. De 500 m a 2 km"))))))</f>
        <v>3. De 100 a 200 m</v>
      </c>
      <c r="L347" s="26" t="n">
        <v>0</v>
      </c>
      <c r="M347" s="26" t="n">
        <v>0</v>
      </c>
      <c r="N347" s="26" t="n">
        <v>1</v>
      </c>
      <c r="O347" s="26" t="n">
        <v>2</v>
      </c>
      <c r="P347" s="30" t="n">
        <v>-12.7075265</v>
      </c>
      <c r="Q347" s="30" t="n">
        <v>-38.320294</v>
      </c>
      <c r="R347" s="14" t="inlineStr">
        <is>
          <t>AVENIDA DO CONTORNO, S/ Nº, CENTRO ADMINISTRATIVO DE CAMAÇARI, CAMAÇARI/BA</t>
        </is>
      </c>
      <c r="S347" s="26">
        <f>IF(A347=A346,0,1)</f>
        <v>0</v>
      </c>
      <c r="T347" s="26">
        <f>IF(COUNTIF($B$4:B347,B347)=1,1,0)</f>
        <v>0</v>
      </c>
    </row>
    <row r="348">
      <c r="A348" s="14" t="inlineStr">
        <is>
          <t>CAMAÇARI</t>
        </is>
      </c>
      <c r="B348" s="26" t="n">
        <v>170</v>
      </c>
      <c r="C348" s="26" t="n">
        <v>1198</v>
      </c>
      <c r="D348" s="14" t="inlineStr">
        <is>
          <t>ESCOLA MUNICIPAL SANTO ANTONIO DO MACHADINHO</t>
        </is>
      </c>
      <c r="E348" s="14" t="inlineStr">
        <is>
          <t>MACHADINHO</t>
        </is>
      </c>
      <c r="F348" s="14" t="inlineStr">
        <is>
          <t>FAZENDA MACHADINHO S/N - ZONA RURAL</t>
        </is>
      </c>
      <c r="G348" s="27" t="inlineStr">
        <is>
          <t>42800-000</t>
        </is>
      </c>
      <c r="H348" s="15" t="n">
        <v>5</v>
      </c>
      <c r="I348" s="28" t="inlineStr">
        <is>
          <t>SIM</t>
        </is>
      </c>
      <c r="J348" s="29" t="n">
        <v>43.4</v>
      </c>
      <c r="K348" s="14" t="str">
        <f>IF(J348="","7. Acima de 2 km",IF(J348&lt;=50,"1. Até 50 m",IF(J348&lt;=100,"2. De 50 a 100 m",IF(J348&lt;=200,"3. De 100 a 200 m",IF(J348&lt;=300,"4. De 200 a 300 m",IF(J348&lt;=500,"5. De 300 a 500 m","6. De 500 m a 2 km"))))))</f>
        <v>1. Até 50 m</v>
      </c>
      <c r="L348" s="26" t="n">
        <v>1</v>
      </c>
      <c r="M348" s="26" t="n">
        <v>1</v>
      </c>
      <c r="N348" s="26" t="n">
        <v>1</v>
      </c>
      <c r="O348" s="26" t="n">
        <v>1</v>
      </c>
      <c r="P348" s="30" t="n">
        <v>-12.7602167</v>
      </c>
      <c r="Q348" s="30" t="n">
        <v>-38.2813133</v>
      </c>
      <c r="R348" s="14" t="inlineStr">
        <is>
          <t>AVENIDA DO CONTORNO, S/ Nº, CENTRO ADMINISTRATIVO DE CAMAÇARI, CAMAÇARI/BA</t>
        </is>
      </c>
      <c r="S348" s="26">
        <f>IF(A348=A347,0,1)</f>
        <v>0</v>
      </c>
      <c r="T348" s="26">
        <f>IF(COUNTIF($B$4:B348,B348)=1,1,0)</f>
        <v>0</v>
      </c>
    </row>
    <row r="349">
      <c r="A349" s="14" t="inlineStr">
        <is>
          <t>CAMAÇARI</t>
        </is>
      </c>
      <c r="B349" s="26" t="n">
        <v>170</v>
      </c>
      <c r="C349" s="26" t="n">
        <v>1201</v>
      </c>
      <c r="D349" s="14" t="inlineStr">
        <is>
          <t>CRECHE MUNICIPAL DA GLEBA C</t>
        </is>
      </c>
      <c r="E349" s="14" t="inlineStr">
        <is>
          <t>GLEBA C</t>
        </is>
      </c>
      <c r="F349" s="14" t="inlineStr">
        <is>
          <t>RUA ABARE S/N - ZONA URBANA</t>
        </is>
      </c>
      <c r="G349" s="27" t="inlineStr">
        <is>
          <t>42800-000</t>
        </is>
      </c>
      <c r="H349" s="15" t="n">
        <v>6</v>
      </c>
      <c r="I349" s="28" t="inlineStr">
        <is>
          <t>NÃO</t>
        </is>
      </c>
      <c r="J349" s="29" t="n">
        <v>740</v>
      </c>
      <c r="K349" s="14" t="str">
        <f>IF(J349="","7. Acima de 2 km",IF(J349&lt;=50,"1. Até 50 m",IF(J349&lt;=100,"2. De 50 a 100 m",IF(J349&lt;=200,"3. De 100 a 200 m",IF(J349&lt;=300,"4. De 200 a 300 m",IF(J349&lt;=500,"5. De 300 a 500 m","6. De 500 m a 2 km"))))))</f>
        <v>6. De 500 m a 2 km</v>
      </c>
      <c r="L349" s="26" t="n">
        <v>0</v>
      </c>
      <c r="M349" s="26" t="n">
        <v>0</v>
      </c>
      <c r="N349" s="26" t="n">
        <v>0</v>
      </c>
      <c r="O349" s="26" t="n">
        <v>0</v>
      </c>
      <c r="P349" s="30" t="n">
        <v>-12.7136987</v>
      </c>
      <c r="Q349" s="30" t="n">
        <v>-38.3268084</v>
      </c>
      <c r="R349" s="14" t="inlineStr">
        <is>
          <t>AVENIDA DO CONTORNO, S/ Nº, CENTRO ADMINISTRATIVO DE CAMAÇARI, CAMAÇARI/BA</t>
        </is>
      </c>
      <c r="S349" s="26">
        <f>IF(A349=A348,0,1)</f>
        <v>0</v>
      </c>
      <c r="T349" s="26">
        <f>IF(COUNTIF($B$4:B349,B349)=1,1,0)</f>
        <v>0</v>
      </c>
    </row>
    <row r="350">
      <c r="A350" s="14" t="inlineStr">
        <is>
          <t>CAMAÇARI</t>
        </is>
      </c>
      <c r="B350" s="26" t="n">
        <v>170</v>
      </c>
      <c r="C350" s="26" t="n">
        <v>1236</v>
      </c>
      <c r="D350" s="14" t="inlineStr">
        <is>
          <t>COLÉGIO VIRGÍNIA REIS TUDE</t>
        </is>
      </c>
      <c r="E350" s="14" t="inlineStr">
        <is>
          <t>VERDES HORIZONTES</t>
        </is>
      </c>
      <c r="F350" s="14" t="inlineStr">
        <is>
          <t>RUA PETROLINA, S/N - ZONA URBANA</t>
        </is>
      </c>
      <c r="G350" s="27" t="inlineStr">
        <is>
          <t>42800-000</t>
        </is>
      </c>
      <c r="H350" s="15" t="n">
        <v>9</v>
      </c>
      <c r="I350" s="28" t="inlineStr">
        <is>
          <t>NÃO</t>
        </is>
      </c>
      <c r="J350" s="29" t="n">
        <v>261.1</v>
      </c>
      <c r="K350" s="14" t="str">
        <f>IF(J350="","7. Acima de 2 km",IF(J350&lt;=50,"1. Até 50 m",IF(J350&lt;=100,"2. De 50 a 100 m",IF(J350&lt;=200,"3. De 100 a 200 m",IF(J350&lt;=300,"4. De 200 a 300 m",IF(J350&lt;=500,"5. De 300 a 500 m","6. De 500 m a 2 km"))))))</f>
        <v>4. De 200 a 300 m</v>
      </c>
      <c r="L350" s="26" t="n">
        <v>0</v>
      </c>
      <c r="M350" s="26" t="n">
        <v>0</v>
      </c>
      <c r="N350" s="26" t="n">
        <v>0</v>
      </c>
      <c r="O350" s="26" t="n">
        <v>1</v>
      </c>
      <c r="P350" s="30" t="n">
        <v>-12.7198096</v>
      </c>
      <c r="Q350" s="30" t="n">
        <v>-38.3194953</v>
      </c>
      <c r="R350" s="14" t="inlineStr">
        <is>
          <t>AVENIDA DO CONTORNO, S/ Nº, CENTRO ADMINISTRATIVO DE CAMAÇARI, CAMAÇARI/BA</t>
        </is>
      </c>
      <c r="S350" s="26">
        <f>IF(A350=A349,0,1)</f>
        <v>0</v>
      </c>
      <c r="T350" s="26">
        <f>IF(COUNTIF($B$4:B350,B350)=1,1,0)</f>
        <v>0</v>
      </c>
    </row>
    <row r="351">
      <c r="A351" s="14" t="inlineStr">
        <is>
          <t>CAMAÇARI</t>
        </is>
      </c>
      <c r="B351" s="26" t="n">
        <v>170</v>
      </c>
      <c r="C351" s="26" t="n">
        <v>1244</v>
      </c>
      <c r="D351" s="14" t="inlineStr">
        <is>
          <t>COLÉGIO MUNICIPAL HILDEBRANDO LIMA FILHO</t>
        </is>
      </c>
      <c r="E351" s="14" t="inlineStr">
        <is>
          <t>PARQUE DAS MANGABAS</t>
        </is>
      </c>
      <c r="F351" s="14" t="inlineStr">
        <is>
          <t>AV. RUI BARBOSA, SN</t>
        </is>
      </c>
      <c r="G351" s="27" t="inlineStr">
        <is>
          <t>42800-000</t>
        </is>
      </c>
      <c r="H351" s="15" t="n">
        <v>10</v>
      </c>
      <c r="I351" s="28" t="inlineStr">
        <is>
          <t>NÃO</t>
        </is>
      </c>
      <c r="J351" s="29" t="n">
        <v>168.9</v>
      </c>
      <c r="K351" s="14" t="str">
        <f>IF(J351="","7. Acima de 2 km",IF(J351&lt;=50,"1. Até 50 m",IF(J351&lt;=100,"2. De 50 a 100 m",IF(J351&lt;=200,"3. De 100 a 200 m",IF(J351&lt;=300,"4. De 200 a 300 m",IF(J351&lt;=500,"5. De 300 a 500 m","6. De 500 m a 2 km"))))))</f>
        <v>3. De 100 a 200 m</v>
      </c>
      <c r="L351" s="26" t="n">
        <v>0</v>
      </c>
      <c r="M351" s="26" t="n">
        <v>0</v>
      </c>
      <c r="N351" s="26" t="n">
        <v>1</v>
      </c>
      <c r="O351" s="26" t="n">
        <v>1</v>
      </c>
      <c r="P351" s="30" t="n">
        <v>-12.7326222</v>
      </c>
      <c r="Q351" s="30" t="n">
        <v>-38.2964028</v>
      </c>
      <c r="R351" s="14" t="inlineStr">
        <is>
          <t>AVENIDA DO CONTORNO, S/ Nº, CENTRO ADMINISTRATIVO DE CAMAÇARI, CAMAÇARI/BA</t>
        </is>
      </c>
      <c r="S351" s="26">
        <f>IF(A351=A350,0,1)</f>
        <v>0</v>
      </c>
      <c r="T351" s="26">
        <f>IF(COUNTIF($B$4:B351,B351)=1,1,0)</f>
        <v>0</v>
      </c>
    </row>
    <row r="352">
      <c r="A352" s="14" t="inlineStr">
        <is>
          <t>CAMAÇARI</t>
        </is>
      </c>
      <c r="B352" s="26" t="n">
        <v>170</v>
      </c>
      <c r="C352" s="26" t="n">
        <v>1252</v>
      </c>
      <c r="D352" s="14" t="inlineStr">
        <is>
          <t>ESCOLA ILAY GARCIA ELLERY</t>
        </is>
      </c>
      <c r="E352" s="14" t="inlineStr">
        <is>
          <t>NOVO HORIZONTE</t>
        </is>
      </c>
      <c r="F352" s="14" t="inlineStr">
        <is>
          <t>RUA PRAÇA DO COMÉRCIO, S/N - ZONA URBANA</t>
        </is>
      </c>
      <c r="G352" s="27" t="inlineStr">
        <is>
          <t>42800-000</t>
        </is>
      </c>
      <c r="H352" s="15" t="n">
        <v>7</v>
      </c>
      <c r="I352" s="28" t="inlineStr">
        <is>
          <t>SIM</t>
        </is>
      </c>
      <c r="J352" s="29" t="n">
        <v>93.90000000000001</v>
      </c>
      <c r="K352" s="14" t="str">
        <f>IF(J352="","7. Acima de 2 km",IF(J352&lt;=50,"1. Até 50 m",IF(J352&lt;=100,"2. De 50 a 100 m",IF(J352&lt;=200,"3. De 100 a 200 m",IF(J352&lt;=300,"4. De 200 a 300 m",IF(J352&lt;=500,"5. De 300 a 500 m","6. De 500 m a 2 km"))))))</f>
        <v>2. De 50 a 100 m</v>
      </c>
      <c r="L352" s="26" t="n">
        <v>0</v>
      </c>
      <c r="M352" s="26" t="n">
        <v>1</v>
      </c>
      <c r="N352" s="26" t="n">
        <v>1</v>
      </c>
      <c r="O352" s="26" t="n">
        <v>1</v>
      </c>
      <c r="P352" s="30" t="n">
        <v>-12.6973854</v>
      </c>
      <c r="Q352" s="30" t="n">
        <v>-38.3091338</v>
      </c>
      <c r="R352" s="14" t="inlineStr">
        <is>
          <t>AVENIDA DO CONTORNO, S/ Nº, CENTRO ADMINISTRATIVO DE CAMAÇARI, CAMAÇARI/BA</t>
        </is>
      </c>
      <c r="S352" s="26">
        <f>IF(A352=A351,0,1)</f>
        <v>0</v>
      </c>
      <c r="T352" s="26">
        <f>IF(COUNTIF($B$4:B352,B352)=1,1,0)</f>
        <v>0</v>
      </c>
    </row>
    <row r="353">
      <c r="A353" s="14" t="inlineStr">
        <is>
          <t>CAMAÇARI</t>
        </is>
      </c>
      <c r="B353" s="26" t="n">
        <v>170</v>
      </c>
      <c r="C353" s="26" t="n">
        <v>1260</v>
      </c>
      <c r="D353" s="14" t="inlineStr">
        <is>
          <t xml:space="preserve">ESCOLA MUNICIPAL EDIVALDO MACHADO BOAVENTURA </t>
        </is>
      </c>
      <c r="E353" s="14" t="inlineStr">
        <is>
          <t>CENTRO</t>
        </is>
      </c>
      <c r="F353" s="14" t="inlineStr">
        <is>
          <t>RUA PONCIANO DE OLIVEIRA, S/N - ZONA URBANA</t>
        </is>
      </c>
      <c r="G353" s="27" t="inlineStr">
        <is>
          <t>42800-000</t>
        </is>
      </c>
      <c r="H353" s="15" t="n">
        <v>3</v>
      </c>
      <c r="I353" s="28" t="inlineStr">
        <is>
          <t>SIM</t>
        </is>
      </c>
      <c r="J353" s="29" t="n">
        <v>46.8</v>
      </c>
      <c r="K353" s="14" t="str">
        <f>IF(J353="","7. Acima de 2 km",IF(J353&lt;=50,"1. Até 50 m",IF(J353&lt;=100,"2. De 50 a 100 m",IF(J353&lt;=200,"3. De 100 a 200 m",IF(J353&lt;=300,"4. De 200 a 300 m",IF(J353&lt;=500,"5. De 300 a 500 m","6. De 500 m a 2 km"))))))</f>
        <v>1. Até 50 m</v>
      </c>
      <c r="L353" s="26" t="n">
        <v>1</v>
      </c>
      <c r="M353" s="26" t="n">
        <v>2</v>
      </c>
      <c r="N353" s="26" t="n">
        <v>5</v>
      </c>
      <c r="O353" s="26" t="n">
        <v>7</v>
      </c>
      <c r="P353" s="30" t="n">
        <v>-12.7008405</v>
      </c>
      <c r="Q353" s="30" t="n">
        <v>-38.322666</v>
      </c>
      <c r="R353" s="14" t="inlineStr">
        <is>
          <t>AVENIDA DO CONTORNO, S/ Nº, CENTRO ADMINISTRATIVO DE CAMAÇARI, CAMAÇARI/BA</t>
        </is>
      </c>
      <c r="S353" s="26">
        <f>IF(A353=A352,0,1)</f>
        <v>0</v>
      </c>
      <c r="T353" s="26">
        <f>IF(COUNTIF($B$4:B353,B353)=1,1,0)</f>
        <v>0</v>
      </c>
    </row>
    <row r="354">
      <c r="A354" s="14" t="inlineStr">
        <is>
          <t>CAMAÇARI</t>
        </is>
      </c>
      <c r="B354" s="26" t="n">
        <v>170</v>
      </c>
      <c r="C354" s="26" t="n">
        <v>1279</v>
      </c>
      <c r="D354" s="14" t="inlineStr">
        <is>
          <t>CENTRO EDUCACIONAL YOLANDA PIRES</t>
        </is>
      </c>
      <c r="E354" s="14" t="inlineStr">
        <is>
          <t>JARDIM LIMOEIRO</t>
        </is>
      </c>
      <c r="F354" s="14" t="inlineStr">
        <is>
          <t>RUA PRINCIPAL, S/N - ZONA URBANA</t>
        </is>
      </c>
      <c r="G354" s="27" t="inlineStr">
        <is>
          <t>42800-000</t>
        </is>
      </c>
      <c r="H354" s="15" t="n">
        <v>16</v>
      </c>
      <c r="I354" s="28" t="inlineStr">
        <is>
          <t>NÃO</t>
        </is>
      </c>
      <c r="J354" s="29" t="n">
        <v>157.4</v>
      </c>
      <c r="K354" s="14" t="str">
        <f>IF(J354="","7. Acima de 2 km",IF(J354&lt;=50,"1. Até 50 m",IF(J354&lt;=100,"2. De 50 a 100 m",IF(J354&lt;=200,"3. De 100 a 200 m",IF(J354&lt;=300,"4. De 200 a 300 m",IF(J354&lt;=500,"5. De 300 a 500 m","6. De 500 m a 2 km"))))))</f>
        <v>3. De 100 a 200 m</v>
      </c>
      <c r="L354" s="26" t="n">
        <v>0</v>
      </c>
      <c r="M354" s="26" t="n">
        <v>0</v>
      </c>
      <c r="N354" s="26" t="n">
        <v>2</v>
      </c>
      <c r="O354" s="26" t="n">
        <v>3</v>
      </c>
      <c r="P354" s="30" t="n">
        <v>-12.703585</v>
      </c>
      <c r="Q354" s="30" t="n">
        <v>-38.3000067</v>
      </c>
      <c r="R354" s="14" t="inlineStr">
        <is>
          <t>AVENIDA DO CONTORNO, S/ Nº, CENTRO ADMINISTRATIVO DE CAMAÇARI, CAMAÇARI/BA</t>
        </is>
      </c>
      <c r="S354" s="26">
        <f>IF(A354=A353,0,1)</f>
        <v>0</v>
      </c>
      <c r="T354" s="26">
        <f>IF(COUNTIF($B$4:B354,B354)=1,1,0)</f>
        <v>0</v>
      </c>
    </row>
    <row r="355">
      <c r="A355" s="14" t="inlineStr">
        <is>
          <t>CAMAÇARI</t>
        </is>
      </c>
      <c r="B355" s="26" t="n">
        <v>170</v>
      </c>
      <c r="C355" s="26" t="n">
        <v>1287</v>
      </c>
      <c r="D355" s="14" t="inlineStr">
        <is>
          <t>ESCOLA MUNICIPAL PARQUE VERDE</t>
        </is>
      </c>
      <c r="E355" s="14" t="inlineStr">
        <is>
          <t>PARQUE VERDE</t>
        </is>
      </c>
      <c r="F355" s="14" t="inlineStr">
        <is>
          <t>CONDOMÍNIO RIO DA PRATA, S/N - ZONA URBANA</t>
        </is>
      </c>
      <c r="G355" s="27" t="inlineStr">
        <is>
          <t>42800-000</t>
        </is>
      </c>
      <c r="H355" s="15" t="n">
        <v>8</v>
      </c>
      <c r="I355" s="28" t="inlineStr">
        <is>
          <t>NÃO</t>
        </is>
      </c>
      <c r="J355" s="29" t="n">
        <v>1932</v>
      </c>
      <c r="K355" s="14" t="str">
        <f>IF(J355="","7. Acima de 2 km",IF(J355&lt;=50,"1. Até 50 m",IF(J355&lt;=100,"2. De 50 a 100 m",IF(J355&lt;=200,"3. De 100 a 200 m",IF(J355&lt;=300,"4. De 200 a 300 m",IF(J355&lt;=500,"5. De 300 a 500 m","6. De 500 m a 2 km"))))))</f>
        <v>6. De 500 m a 2 km</v>
      </c>
      <c r="L355" s="26" t="n">
        <v>0</v>
      </c>
      <c r="M355" s="26" t="n">
        <v>0</v>
      </c>
      <c r="N355" s="26" t="n">
        <v>0</v>
      </c>
      <c r="O355" s="26" t="n">
        <v>0</v>
      </c>
      <c r="P355" s="30" t="n">
        <v>-12.7336449</v>
      </c>
      <c r="Q355" s="30" t="n">
        <v>-38.3295792</v>
      </c>
      <c r="R355" s="14" t="inlineStr">
        <is>
          <t>AVENIDA DO CONTORNO, S/ Nº, CENTRO ADMINISTRATIVO DE CAMAÇARI, CAMAÇARI/BA</t>
        </is>
      </c>
      <c r="S355" s="26">
        <f>IF(A355=A354,0,1)</f>
        <v>0</v>
      </c>
      <c r="T355" s="26">
        <f>IF(COUNTIF($B$4:B355,B355)=1,1,0)</f>
        <v>0</v>
      </c>
    </row>
    <row r="356">
      <c r="A356" s="14" t="inlineStr">
        <is>
          <t>CAMAÇARI</t>
        </is>
      </c>
      <c r="B356" s="26" t="n">
        <v>170</v>
      </c>
      <c r="C356" s="26" t="n">
        <v>1309</v>
      </c>
      <c r="D356" s="14" t="inlineStr">
        <is>
          <t>CENTRO TERRITORIAL DE EDUCAÇÃO PROFISSIONAL DA REGIÃO METROPOLITANA</t>
        </is>
      </c>
      <c r="E356" s="14" t="inlineStr">
        <is>
          <t>CENTRO</t>
        </is>
      </c>
      <c r="F356" s="14" t="inlineStr">
        <is>
          <t>RUA DA RODOVIÁRIA, 142, ZONA URBANA</t>
        </is>
      </c>
      <c r="G356" s="27" t="inlineStr">
        <is>
          <t>42800-400</t>
        </is>
      </c>
      <c r="H356" s="15" t="n">
        <v>8</v>
      </c>
      <c r="I356" s="28" t="inlineStr">
        <is>
          <t>NÃO</t>
        </is>
      </c>
      <c r="J356" s="29" t="n">
        <v>198.2</v>
      </c>
      <c r="K356" s="14" t="str">
        <f>IF(J356="","7. Acima de 2 km",IF(J356&lt;=50,"1. Até 50 m",IF(J356&lt;=100,"2. De 50 a 100 m",IF(J356&lt;=200,"3. De 100 a 200 m",IF(J356&lt;=300,"4. De 200 a 300 m",IF(J356&lt;=500,"5. De 300 a 500 m","6. De 500 m a 2 km"))))))</f>
        <v>3. De 100 a 200 m</v>
      </c>
      <c r="L356" s="26" t="n">
        <v>0</v>
      </c>
      <c r="M356" s="26" t="n">
        <v>0</v>
      </c>
      <c r="N356" s="26" t="n">
        <v>1</v>
      </c>
      <c r="O356" s="26" t="n">
        <v>2</v>
      </c>
      <c r="P356" s="30" t="n">
        <v>-12.7000976</v>
      </c>
      <c r="Q356" s="30" t="n">
        <v>-38.3200178</v>
      </c>
      <c r="R356" s="14" t="inlineStr">
        <is>
          <t>AVENIDA DO CONTORNO, S/ Nº, CENTRO ADMINISTRATIVO DE CAMAÇARI, CAMAÇARI/BA</t>
        </is>
      </c>
      <c r="S356" s="26">
        <f>IF(A356=A355,0,1)</f>
        <v>0</v>
      </c>
      <c r="T356" s="26">
        <f>IF(COUNTIF($B$4:B356,B356)=1,1,0)</f>
        <v>0</v>
      </c>
    </row>
    <row r="357">
      <c r="A357" s="14" t="inlineStr">
        <is>
          <t>CAMAÇARI</t>
        </is>
      </c>
      <c r="B357" s="26" t="n">
        <v>170</v>
      </c>
      <c r="C357" s="26" t="n">
        <v>1317</v>
      </c>
      <c r="D357" s="14" t="inlineStr">
        <is>
          <t>CIEI DA GLEBA E</t>
        </is>
      </c>
      <c r="E357" s="14" t="inlineStr">
        <is>
          <t>GLEBA E</t>
        </is>
      </c>
      <c r="F357" s="14" t="inlineStr">
        <is>
          <t>RUA DAS FLORES, S/N, ZONA URBANA</t>
        </is>
      </c>
      <c r="G357" s="27" t="inlineStr">
        <is>
          <t>42808-105</t>
        </is>
      </c>
      <c r="H357" s="15" t="n">
        <v>4</v>
      </c>
      <c r="I357" s="28" t="inlineStr">
        <is>
          <t>NÃO</t>
        </is>
      </c>
      <c r="J357" s="29" t="n">
        <v>978.3</v>
      </c>
      <c r="K357" s="14" t="str">
        <f>IF(J357="","7. Acima de 2 km",IF(J357&lt;=50,"1. Até 50 m",IF(J357&lt;=100,"2. De 50 a 100 m",IF(J357&lt;=200,"3. De 100 a 200 m",IF(J357&lt;=300,"4. De 200 a 300 m",IF(J357&lt;=500,"5. De 300 a 500 m","6. De 500 m a 2 km"))))))</f>
        <v>6. De 500 m a 2 km</v>
      </c>
      <c r="L357" s="26" t="n">
        <v>0</v>
      </c>
      <c r="M357" s="26" t="n">
        <v>0</v>
      </c>
      <c r="N357" s="26" t="n">
        <v>0</v>
      </c>
      <c r="O357" s="26" t="n">
        <v>0</v>
      </c>
      <c r="P357" s="30" t="n">
        <v>-12.7222767</v>
      </c>
      <c r="Q357" s="30" t="n">
        <v>-38.3291983</v>
      </c>
      <c r="R357" s="14" t="inlineStr">
        <is>
          <t>AVENIDA DO CONTORNO, S/ Nº, CENTRO ADMINISTRATIVO DE CAMAÇARI, CAMAÇARI/BA</t>
        </is>
      </c>
      <c r="S357" s="26">
        <f>IF(A357=A356,0,1)</f>
        <v>0</v>
      </c>
      <c r="T357" s="26">
        <f>IF(COUNTIF($B$4:B357,B357)=1,1,0)</f>
        <v>0</v>
      </c>
    </row>
    <row r="358">
      <c r="A358" s="14" t="inlineStr">
        <is>
          <t>CAMAÇARI</t>
        </is>
      </c>
      <c r="B358" s="26" t="n">
        <v>170</v>
      </c>
      <c r="C358" s="26" t="n">
        <v>1325</v>
      </c>
      <c r="D358" s="14" t="inlineStr">
        <is>
          <t>CIEI DA NOVA VITÓRIA</t>
        </is>
      </c>
      <c r="E358" s="14" t="inlineStr">
        <is>
          <t>NOVA VITORIA</t>
        </is>
      </c>
      <c r="F358" s="14" t="inlineStr">
        <is>
          <t>RUA MARIA MEIRA, 3 TRAVESSA, QUADRA B, ZONA URBANA</t>
        </is>
      </c>
      <c r="G358" s="27" t="inlineStr">
        <is>
          <t>42802-529</t>
        </is>
      </c>
      <c r="H358" s="15" t="n">
        <v>1</v>
      </c>
      <c r="I358" s="28" t="inlineStr">
        <is>
          <t>NÃO</t>
        </is>
      </c>
      <c r="J358" s="29" t="n">
        <v>977.6</v>
      </c>
      <c r="K358" s="14" t="str">
        <f>IF(J358="","7. Acima de 2 km",IF(J358&lt;=50,"1. Até 50 m",IF(J358&lt;=100,"2. De 50 a 100 m",IF(J358&lt;=200,"3. De 100 a 200 m",IF(J358&lt;=300,"4. De 200 a 300 m",IF(J358&lt;=500,"5. De 300 a 500 m","6. De 500 m a 2 km"))))))</f>
        <v>6. De 500 m a 2 km</v>
      </c>
      <c r="L358" s="26" t="n">
        <v>0</v>
      </c>
      <c r="M358" s="26" t="n">
        <v>0</v>
      </c>
      <c r="N358" s="26" t="n">
        <v>0</v>
      </c>
      <c r="O358" s="26" t="n">
        <v>0</v>
      </c>
      <c r="P358" s="30" t="n">
        <v>-12.7223935</v>
      </c>
      <c r="Q358" s="30" t="n">
        <v>-38.3291264</v>
      </c>
      <c r="R358" s="14" t="inlineStr">
        <is>
          <t>AVENIDA DO CONTORNO, S/ Nº, CENTRO ADMINISTRATIVO DE CAMAÇARI, CAMAÇARI/BA</t>
        </is>
      </c>
      <c r="S358" s="26">
        <f>IF(A358=A357,0,1)</f>
        <v>0</v>
      </c>
      <c r="T358" s="26">
        <f>IF(COUNTIF($B$4:B358,B358)=1,1,0)</f>
        <v>0</v>
      </c>
    </row>
    <row r="359">
      <c r="A359" s="14" t="inlineStr">
        <is>
          <t>CAMAÇARI</t>
        </is>
      </c>
      <c r="B359" s="26" t="n">
        <v>170</v>
      </c>
      <c r="C359" s="26" t="n">
        <v>1333</v>
      </c>
      <c r="D359" s="14" t="inlineStr">
        <is>
          <t xml:space="preserve">ESCOLA MUNICIPAL EXPERIMENTAL PROFESSORA MARINA TAVARES CARIDOSO </t>
        </is>
      </c>
      <c r="E359" s="14" t="inlineStr">
        <is>
          <t>GLEBA E</t>
        </is>
      </c>
      <c r="F359" s="14" t="inlineStr">
        <is>
          <t>RUA DAS FLORES, S/N, ZONA URBANA</t>
        </is>
      </c>
      <c r="G359" s="27" t="inlineStr">
        <is>
          <t>42808-169</t>
        </is>
      </c>
      <c r="H359" s="15" t="n">
        <v>1</v>
      </c>
      <c r="I359" s="28" t="inlineStr">
        <is>
          <t>NÃO</t>
        </is>
      </c>
      <c r="J359" s="29" t="n">
        <v>1299.8</v>
      </c>
      <c r="K359" s="14" t="str">
        <f>IF(J359="","7. Acima de 2 km",IF(J359&lt;=50,"1. Até 50 m",IF(J359&lt;=100,"2. De 50 a 100 m",IF(J359&lt;=200,"3. De 100 a 200 m",IF(J359&lt;=300,"4. De 200 a 300 m",IF(J359&lt;=500,"5. De 300 a 500 m","6. De 500 m a 2 km"))))))</f>
        <v>6. De 500 m a 2 km</v>
      </c>
      <c r="L359" s="26" t="n">
        <v>0</v>
      </c>
      <c r="M359" s="26" t="n">
        <v>0</v>
      </c>
      <c r="N359" s="26" t="n">
        <v>0</v>
      </c>
      <c r="O359" s="26" t="n">
        <v>0</v>
      </c>
      <c r="P359" s="30" t="n">
        <v>-12.7235578</v>
      </c>
      <c r="Q359" s="30" t="n">
        <v>-38.33447</v>
      </c>
      <c r="R359" s="14" t="inlineStr">
        <is>
          <t>AVENIDA DO CONTORNO, S/ Nº, CENTRO ADMINISTRATIVO DE CAMAÇARI, CAMAÇARI/BA</t>
        </is>
      </c>
      <c r="S359" s="26">
        <f>IF(A359=A358,0,1)</f>
        <v>0</v>
      </c>
      <c r="T359" s="26">
        <f>IF(COUNTIF($B$4:B359,B359)=1,1,0)</f>
        <v>0</v>
      </c>
    </row>
    <row r="360">
      <c r="A360" s="14" t="inlineStr">
        <is>
          <t>CAMAÇARI</t>
        </is>
      </c>
      <c r="B360" s="26" t="n">
        <v>170</v>
      </c>
      <c r="C360" s="26" t="n">
        <v>1341</v>
      </c>
      <c r="D360" s="14" t="inlineStr">
        <is>
          <t>CENTRO EDUCACIONAL MIGUEL ALVES-CEMA</t>
        </is>
      </c>
      <c r="E360" s="14" t="inlineStr">
        <is>
          <t>PONTO CERTO</t>
        </is>
      </c>
      <c r="F360" s="14" t="inlineStr">
        <is>
          <t>AVENIDA JORGE AMADO, S/N° BAIRRO INDUSTRIAL - CAMAÇARI - BAHIA</t>
        </is>
      </c>
      <c r="G360" s="27" t="inlineStr">
        <is>
          <t>42801-170</t>
        </is>
      </c>
      <c r="H360" s="15" t="n">
        <v>7</v>
      </c>
      <c r="I360" s="28" t="inlineStr">
        <is>
          <t>NÃO</t>
        </is>
      </c>
      <c r="J360" s="29" t="n">
        <v>268.2</v>
      </c>
      <c r="K360" s="14" t="str">
        <f>IF(J360="","7. Acima de 2 km",IF(J360&lt;=50,"1. Até 50 m",IF(J360&lt;=100,"2. De 50 a 100 m",IF(J360&lt;=200,"3. De 100 a 200 m",IF(J360&lt;=300,"4. De 200 a 300 m",IF(J360&lt;=500,"5. De 300 a 500 m","6. De 500 m a 2 km"))))))</f>
        <v>4. De 200 a 300 m</v>
      </c>
      <c r="L360" s="26" t="n">
        <v>0</v>
      </c>
      <c r="M360" s="26" t="n">
        <v>0</v>
      </c>
      <c r="N360" s="26" t="n">
        <v>0</v>
      </c>
      <c r="O360" s="26" t="n">
        <v>1</v>
      </c>
      <c r="P360" s="30" t="n">
        <v>-12.70612187</v>
      </c>
      <c r="Q360" s="30" t="n">
        <v>-38.31394993</v>
      </c>
      <c r="R360" s="14" t="inlineStr">
        <is>
          <t>AVENIDA DO CONTORNO, S/ Nº, CENTRO ADMINISTRATIVO DE CAMAÇARI, CAMAÇARI/BA</t>
        </is>
      </c>
      <c r="S360" s="26">
        <f>IF(A360=A359,0,1)</f>
        <v>0</v>
      </c>
      <c r="T360" s="26">
        <f>IF(COUNTIF($B$4:B360,B360)=1,1,0)</f>
        <v>0</v>
      </c>
    </row>
    <row r="361">
      <c r="A361" s="14" t="inlineStr">
        <is>
          <t>CAMAÇARI</t>
        </is>
      </c>
      <c r="B361" s="26" t="n">
        <v>170</v>
      </c>
      <c r="C361" s="26" t="n">
        <v>1350</v>
      </c>
      <c r="D361" s="14" t="inlineStr">
        <is>
          <t>ESCOLA ESPECIAL CAIC</t>
        </is>
      </c>
      <c r="E361" s="14" t="inlineStr">
        <is>
          <t>PHOC I</t>
        </is>
      </c>
      <c r="F361" s="14" t="inlineStr">
        <is>
          <t>AVENIDA LUIZ GONZAGA, S/N° PHOC I CAMAÇARI</t>
        </is>
      </c>
      <c r="G361" s="27" t="inlineStr">
        <is>
          <t>42807-790</t>
        </is>
      </c>
      <c r="H361" s="15" t="n">
        <v>3</v>
      </c>
      <c r="I361" s="28" t="inlineStr">
        <is>
          <t>NÃO</t>
        </is>
      </c>
      <c r="J361" s="29" t="n">
        <v>296.7</v>
      </c>
      <c r="K361" s="14" t="str">
        <f>IF(J361="","7. Acima de 2 km",IF(J361&lt;=50,"1. Até 50 m",IF(J361&lt;=100,"2. De 50 a 100 m",IF(J361&lt;=200,"3. De 100 a 200 m",IF(J361&lt;=300,"4. De 200 a 300 m",IF(J361&lt;=500,"5. De 300 a 500 m","6. De 500 m a 2 km"))))))</f>
        <v>4. De 200 a 300 m</v>
      </c>
      <c r="L361" s="26" t="n">
        <v>0</v>
      </c>
      <c r="M361" s="26" t="n">
        <v>0</v>
      </c>
      <c r="N361" s="26" t="n">
        <v>0</v>
      </c>
      <c r="O361" s="26" t="n">
        <v>1</v>
      </c>
      <c r="P361" s="30" t="n">
        <v>-12.71508381</v>
      </c>
      <c r="Q361" s="30" t="n">
        <v>-38.33767844</v>
      </c>
      <c r="R361" s="14" t="inlineStr">
        <is>
          <t>AVENIDA DO CONTORNO, S/ Nº, CENTRO ADMINISTRATIVO DE CAMAÇARI, CAMAÇARI/BA</t>
        </is>
      </c>
      <c r="S361" s="26">
        <f>IF(A361=A360,0,1)</f>
        <v>0</v>
      </c>
      <c r="T361" s="26">
        <f>IF(COUNTIF($B$4:B361,B361)=1,1,0)</f>
        <v>0</v>
      </c>
    </row>
    <row r="362">
      <c r="A362" s="14" t="inlineStr">
        <is>
          <t>CAMAÇARI</t>
        </is>
      </c>
      <c r="B362" s="26" t="n">
        <v>170</v>
      </c>
      <c r="C362" s="26" t="n">
        <v>1368</v>
      </c>
      <c r="D362" s="14" t="inlineStr">
        <is>
          <t>COLÉGIO ESTADUAL DE TEMPO INTEGRAL GONÇALO MUNIZ</t>
        </is>
      </c>
      <c r="E362" s="14" t="inlineStr">
        <is>
          <t>GLEBA C</t>
        </is>
      </c>
      <c r="F362" s="14" t="inlineStr">
        <is>
          <t>RUA IBICARAÍ, S/N° - GLEBA C CAMAÇARI</t>
        </is>
      </c>
      <c r="G362" s="27" t="inlineStr">
        <is>
          <t>42807-111</t>
        </is>
      </c>
      <c r="H362" s="15" t="n">
        <v>8</v>
      </c>
      <c r="I362" s="28" t="inlineStr">
        <is>
          <t>NÃO</t>
        </is>
      </c>
      <c r="J362" s="29" t="n">
        <v>705.2</v>
      </c>
      <c r="K362" s="14" t="str">
        <f>IF(J362="","7. Acima de 2 km",IF(J362&lt;=50,"1. Até 50 m",IF(J362&lt;=100,"2. De 50 a 100 m",IF(J362&lt;=200,"3. De 100 a 200 m",IF(J362&lt;=300,"4. De 200 a 300 m",IF(J362&lt;=500,"5. De 300 a 500 m","6. De 500 m a 2 km"))))))</f>
        <v>6. De 500 m a 2 km</v>
      </c>
      <c r="L362" s="26" t="n">
        <v>0</v>
      </c>
      <c r="M362" s="26" t="n">
        <v>0</v>
      </c>
      <c r="N362" s="26" t="n">
        <v>0</v>
      </c>
      <c r="O362" s="26" t="n">
        <v>0</v>
      </c>
      <c r="P362" s="30" t="n">
        <v>-12.71452526</v>
      </c>
      <c r="Q362" s="30" t="n">
        <v>-38.32764105</v>
      </c>
      <c r="R362" s="14" t="inlineStr">
        <is>
          <t>AVENIDA DO CONTORNO, S/ Nº, CENTRO ADMINISTRATIVO DE CAMAÇARI, CAMAÇARI/BA</t>
        </is>
      </c>
      <c r="S362" s="26">
        <f>IF(A362=A361,0,1)</f>
        <v>0</v>
      </c>
      <c r="T362" s="26">
        <f>IF(COUNTIF($B$4:B362,B362)=1,1,0)</f>
        <v>0</v>
      </c>
    </row>
    <row r="363">
      <c r="A363" s="14" t="inlineStr">
        <is>
          <t>CAMAÇARI</t>
        </is>
      </c>
      <c r="B363" s="26" t="n">
        <v>171</v>
      </c>
      <c r="C363" s="26" t="n">
        <v>1023</v>
      </c>
      <c r="D363" s="14" t="inlineStr">
        <is>
          <t>CENTRO EDUCACIONAL MARQUÊS DE ABRANTES</t>
        </is>
      </c>
      <c r="E363" s="14" t="inlineStr">
        <is>
          <t>VILA DE ABRANTES</t>
        </is>
      </c>
      <c r="F363" s="14" t="inlineStr">
        <is>
          <t xml:space="preserve">RUA ALICE UZEDA S/N - ZONA URBANA </t>
        </is>
      </c>
      <c r="G363" s="27" t="inlineStr">
        <is>
          <t>42800-000</t>
        </is>
      </c>
      <c r="H363" s="15" t="n">
        <v>18</v>
      </c>
      <c r="I363" s="28" t="inlineStr">
        <is>
          <t>NÃO</t>
        </is>
      </c>
      <c r="J363" s="29" t="n">
        <v>664.5</v>
      </c>
      <c r="K363" s="14" t="str">
        <f>IF(J363="","7. Acima de 2 km",IF(J363&lt;=50,"1. Até 50 m",IF(J363&lt;=100,"2. De 50 a 100 m",IF(J363&lt;=200,"3. De 100 a 200 m",IF(J363&lt;=300,"4. De 200 a 300 m",IF(J363&lt;=500,"5. De 300 a 500 m","6. De 500 m a 2 km"))))))</f>
        <v>6. De 500 m a 2 km</v>
      </c>
      <c r="L363" s="26" t="n">
        <v>0</v>
      </c>
      <c r="M363" s="26" t="n">
        <v>0</v>
      </c>
      <c r="N363" s="26" t="n">
        <v>0</v>
      </c>
      <c r="O363" s="26" t="n">
        <v>0</v>
      </c>
      <c r="P363" s="30" t="n">
        <v>-12.83107</v>
      </c>
      <c r="Q363" s="30" t="n">
        <v>-38.2625433</v>
      </c>
      <c r="R363" s="14" t="inlineStr">
        <is>
          <t>AV. CONTORNO, S/N, CENTRO, FÓRUM ELEITORAL DE CAMAÇARI, CAMAÇARI/BA</t>
        </is>
      </c>
      <c r="S363" s="26">
        <f>IF(A363=A362,0,1)</f>
        <v>0</v>
      </c>
      <c r="T363" s="26">
        <f>IF(COUNTIF($B$4:B363,B363)=1,1,0)</f>
        <v>1</v>
      </c>
    </row>
    <row r="364">
      <c r="A364" s="14" t="inlineStr">
        <is>
          <t>CAMAÇARI</t>
        </is>
      </c>
      <c r="B364" s="26" t="n">
        <v>171</v>
      </c>
      <c r="C364" s="26" t="n">
        <v>1058</v>
      </c>
      <c r="D364" s="14" t="inlineStr">
        <is>
          <t>ESCOLA MUNICIPAL THOMAZ CAMILO</t>
        </is>
      </c>
      <c r="E364" s="14" t="inlineStr">
        <is>
          <t>POVOADO AREIAS</t>
        </is>
      </c>
      <c r="F364" s="14" t="inlineStr">
        <is>
          <t>RUA DA MANGUEIRA S/N - ZONA RURAL</t>
        </is>
      </c>
      <c r="G364" s="27" t="inlineStr">
        <is>
          <t>42800-000</t>
        </is>
      </c>
      <c r="H364" s="15" t="n">
        <v>6</v>
      </c>
      <c r="I364" s="28" t="inlineStr">
        <is>
          <t>SIM</t>
        </is>
      </c>
      <c r="J364" s="29" t="n">
        <v>81.59999999999999</v>
      </c>
      <c r="K364" s="14" t="str">
        <f>IF(J364="","7. Acima de 2 km",IF(J364&lt;=50,"1. Até 50 m",IF(J364&lt;=100,"2. De 50 a 100 m",IF(J364&lt;=200,"3. De 100 a 200 m",IF(J364&lt;=300,"4. De 200 a 300 m",IF(J364&lt;=500,"5. De 300 a 500 m","6. De 500 m a 2 km"))))))</f>
        <v>2. De 50 a 100 m</v>
      </c>
      <c r="L364" s="26" t="n">
        <v>0</v>
      </c>
      <c r="M364" s="26" t="n">
        <v>1</v>
      </c>
      <c r="N364" s="26" t="n">
        <v>1</v>
      </c>
      <c r="O364" s="26" t="n">
        <v>1</v>
      </c>
      <c r="P364" s="30" t="n">
        <v>-12.8077783</v>
      </c>
      <c r="Q364" s="30" t="n">
        <v>-38.2336417</v>
      </c>
      <c r="R364" s="14" t="inlineStr">
        <is>
          <t>AV. CONTORNO, S/N, CENTRO, FÓRUM ELEITORAL DE CAMAÇARI, CAMAÇARI/BA</t>
        </is>
      </c>
      <c r="S364" s="26">
        <f>IF(A364=A363,0,1)</f>
        <v>0</v>
      </c>
      <c r="T364" s="26">
        <f>IF(COUNTIF($B$4:B364,B364)=1,1,0)</f>
        <v>0</v>
      </c>
    </row>
    <row r="365">
      <c r="A365" s="14" t="inlineStr">
        <is>
          <t>CAMAÇARI</t>
        </is>
      </c>
      <c r="B365" s="26" t="n">
        <v>171</v>
      </c>
      <c r="C365" s="26" t="n">
        <v>1066</v>
      </c>
      <c r="D365" s="14" t="inlineStr">
        <is>
          <t>COLÉGIO MUNICIPAL PROFESSORA LÍDIA COELHO PINTO</t>
        </is>
      </c>
      <c r="E365" s="14" t="inlineStr">
        <is>
          <t>POVOADO AREMBEPE</t>
        </is>
      </c>
      <c r="F365" s="14" t="inlineStr">
        <is>
          <t>RUA GUILHERME MACHADO S/N - ZONA RURAL</t>
        </is>
      </c>
      <c r="G365" s="27" t="inlineStr">
        <is>
          <t>42800-000</t>
        </is>
      </c>
      <c r="H365" s="15" t="n">
        <v>13</v>
      </c>
      <c r="I365" s="28" t="inlineStr">
        <is>
          <t>NÃO</t>
        </is>
      </c>
      <c r="J365" s="29" t="n">
        <v>199.3</v>
      </c>
      <c r="K365" s="14" t="str">
        <f>IF(J365="","7. Acima de 2 km",IF(J365&lt;=50,"1. Até 50 m",IF(J365&lt;=100,"2. De 50 a 100 m",IF(J365&lt;=200,"3. De 100 a 200 m",IF(J365&lt;=300,"4. De 200 a 300 m",IF(J365&lt;=500,"5. De 300 a 500 m","6. De 500 m a 2 km"))))))</f>
        <v>3. De 100 a 200 m</v>
      </c>
      <c r="L365" s="26" t="n">
        <v>0</v>
      </c>
      <c r="M365" s="26" t="n">
        <v>0</v>
      </c>
      <c r="N365" s="26" t="n">
        <v>1</v>
      </c>
      <c r="O365" s="26" t="n">
        <v>3</v>
      </c>
      <c r="P365" s="30" t="n">
        <v>-12.7706197</v>
      </c>
      <c r="Q365" s="30" t="n">
        <v>-38.1761818</v>
      </c>
      <c r="R365" s="14" t="inlineStr">
        <is>
          <t>AV. CONTORNO, S/N, CENTRO, FÓRUM ELEITORAL DE CAMAÇARI, CAMAÇARI/BA</t>
        </is>
      </c>
      <c r="S365" s="26">
        <f>IF(A365=A364,0,1)</f>
        <v>0</v>
      </c>
      <c r="T365" s="26">
        <f>IF(COUNTIF($B$4:B365,B365)=1,1,0)</f>
        <v>0</v>
      </c>
    </row>
    <row r="366">
      <c r="A366" s="14" t="inlineStr">
        <is>
          <t>CAMAÇARI</t>
        </is>
      </c>
      <c r="B366" s="26" t="n">
        <v>171</v>
      </c>
      <c r="C366" s="26" t="n">
        <v>1120</v>
      </c>
      <c r="D366" s="14" t="inlineStr">
        <is>
          <t>CENTRO EDUCACIONAL BARRA DO POJUCA</t>
        </is>
      </c>
      <c r="E366" s="14" t="inlineStr">
        <is>
          <t>POVOADO BARRA DO POJUCA</t>
        </is>
      </c>
      <c r="F366" s="14" t="inlineStr">
        <is>
          <t>RUA ELISIO NETO S/N - ZONA RURAL</t>
        </is>
      </c>
      <c r="G366" s="27" t="inlineStr">
        <is>
          <t>42825-000</t>
        </is>
      </c>
      <c r="H366" s="15" t="n">
        <v>17</v>
      </c>
      <c r="I366" s="28" t="inlineStr">
        <is>
          <t>SIM</t>
        </is>
      </c>
      <c r="J366" s="29" t="n">
        <v>62.7</v>
      </c>
      <c r="K366" s="14" t="str">
        <f>IF(J366="","7. Acima de 2 km",IF(J366&lt;=50,"1. Até 50 m",IF(J366&lt;=100,"2. De 50 a 100 m",IF(J366&lt;=200,"3. De 100 a 200 m",IF(J366&lt;=300,"4. De 200 a 300 m",IF(J366&lt;=500,"5. De 300 a 500 m","6. De 500 m a 2 km"))))))</f>
        <v>2. De 50 a 100 m</v>
      </c>
      <c r="L366" s="26" t="n">
        <v>0</v>
      </c>
      <c r="M366" s="26" t="n">
        <v>1</v>
      </c>
      <c r="N366" s="26" t="n">
        <v>1</v>
      </c>
      <c r="O366" s="26" t="n">
        <v>1</v>
      </c>
      <c r="P366" s="30" t="n">
        <v>-12.5892517</v>
      </c>
      <c r="Q366" s="30" t="n">
        <v>-38.0521423</v>
      </c>
      <c r="R366" s="14" t="inlineStr">
        <is>
          <t>AV. CONTORNO, S/N, CENTRO, FÓRUM ELEITORAL DE CAMAÇARI, CAMAÇARI/BA</t>
        </is>
      </c>
      <c r="S366" s="26">
        <f>IF(A366=A365,0,1)</f>
        <v>0</v>
      </c>
      <c r="T366" s="26">
        <f>IF(COUNTIF($B$4:B366,B366)=1,1,0)</f>
        <v>0</v>
      </c>
    </row>
    <row r="367">
      <c r="A367" s="14" t="inlineStr">
        <is>
          <t>CAMAÇARI</t>
        </is>
      </c>
      <c r="B367" s="26" t="n">
        <v>171</v>
      </c>
      <c r="C367" s="26" t="n">
        <v>1155</v>
      </c>
      <c r="D367" s="14" t="inlineStr">
        <is>
          <t>COLÉGIO ESTADUAL DE MONTE GORDO</t>
        </is>
      </c>
      <c r="E367" s="14" t="inlineStr">
        <is>
          <t>POVOADO MONTE GORDO</t>
        </is>
      </c>
      <c r="F367" s="14" t="inlineStr">
        <is>
          <t>ESTRADA VELHA DE MONTE GORDO, S/N - ZONA URBANA</t>
        </is>
      </c>
      <c r="G367" s="27" t="inlineStr">
        <is>
          <t>42800-000</t>
        </is>
      </c>
      <c r="H367" s="15" t="n">
        <v>9</v>
      </c>
      <c r="I367" s="28" t="inlineStr">
        <is>
          <t>NÃO</t>
        </is>
      </c>
      <c r="J367" s="29" t="n">
        <v>601</v>
      </c>
      <c r="K367" s="14" t="str">
        <f>IF(J367="","7. Acima de 2 km",IF(J367&lt;=50,"1. Até 50 m",IF(J367&lt;=100,"2. De 50 a 100 m",IF(J367&lt;=200,"3. De 100 a 200 m",IF(J367&lt;=300,"4. De 200 a 300 m",IF(J367&lt;=500,"5. De 300 a 500 m","6. De 500 m a 2 km"))))))</f>
        <v>6. De 500 m a 2 km</v>
      </c>
      <c r="L367" s="26" t="n">
        <v>0</v>
      </c>
      <c r="M367" s="26" t="n">
        <v>0</v>
      </c>
      <c r="N367" s="26" t="n">
        <v>0</v>
      </c>
      <c r="O367" s="26" t="n">
        <v>0</v>
      </c>
      <c r="P367" s="30" t="n">
        <v>-12.6604483</v>
      </c>
      <c r="Q367" s="30" t="n">
        <v>-38.1077833</v>
      </c>
      <c r="R367" s="14" t="inlineStr">
        <is>
          <t>AV. CONTORNO, S/N, CENTRO, FÓRUM ELEITORAL DE CAMAÇARI, CAMAÇARI/BA</t>
        </is>
      </c>
      <c r="S367" s="26">
        <f>IF(A367=A366,0,1)</f>
        <v>0</v>
      </c>
      <c r="T367" s="26">
        <f>IF(COUNTIF($B$4:B367,B367)=1,1,0)</f>
        <v>0</v>
      </c>
    </row>
    <row r="368">
      <c r="A368" s="14" t="inlineStr">
        <is>
          <t>CAMAÇARI</t>
        </is>
      </c>
      <c r="B368" s="26" t="n">
        <v>171</v>
      </c>
      <c r="C368" s="26" t="n">
        <v>1171</v>
      </c>
      <c r="D368" s="14" t="inlineStr">
        <is>
          <t>ESCOLA MUNICIPAL MACLINA MARIA DA GLÓRIA</t>
        </is>
      </c>
      <c r="E368" s="14" t="inlineStr">
        <is>
          <t>VILA DE ABRANTES</t>
        </is>
      </c>
      <c r="F368" s="14" t="inlineStr">
        <is>
          <t>RUA DAS ÁRVORES, S/N, - ZONA URBANA</t>
        </is>
      </c>
      <c r="G368" s="27" t="inlineStr">
        <is>
          <t>42800-005</t>
        </is>
      </c>
      <c r="H368" s="15" t="n">
        <v>10</v>
      </c>
      <c r="I368" s="28" t="inlineStr">
        <is>
          <t>NÃO</t>
        </is>
      </c>
      <c r="J368" s="29" t="n">
        <v>480.5</v>
      </c>
      <c r="K368" s="14" t="str">
        <f>IF(J368="","7. Acima de 2 km",IF(J368&lt;=50,"1. Até 50 m",IF(J368&lt;=100,"2. De 50 a 100 m",IF(J368&lt;=200,"3. De 100 a 200 m",IF(J368&lt;=300,"4. De 200 a 300 m",IF(J368&lt;=500,"5. De 300 a 500 m","6. De 500 m a 2 km"))))))</f>
        <v>5. De 300 a 500 m</v>
      </c>
      <c r="L368" s="26" t="n">
        <v>0</v>
      </c>
      <c r="M368" s="26" t="n">
        <v>0</v>
      </c>
      <c r="N368" s="26" t="n">
        <v>0</v>
      </c>
      <c r="O368" s="26" t="n">
        <v>0</v>
      </c>
      <c r="P368" s="30" t="n">
        <v>-12.8276933</v>
      </c>
      <c r="Q368" s="30" t="n">
        <v>-38.2556817</v>
      </c>
      <c r="R368" s="14" t="inlineStr">
        <is>
          <t>AV. CONTORNO, S/N, CENTRO, FÓRUM ELEITORAL DE CAMAÇARI, CAMAÇARI/BA</t>
        </is>
      </c>
      <c r="S368" s="26">
        <f>IF(A368=A367,0,1)</f>
        <v>0</v>
      </c>
      <c r="T368" s="26">
        <f>IF(COUNTIF($B$4:B368,B368)=1,1,0)</f>
        <v>0</v>
      </c>
    </row>
    <row r="369">
      <c r="A369" s="14" t="inlineStr">
        <is>
          <t>CAMAÇARI</t>
        </is>
      </c>
      <c r="B369" s="26" t="n">
        <v>171</v>
      </c>
      <c r="C369" s="26" t="n">
        <v>1180</v>
      </c>
      <c r="D369" s="14" t="inlineStr">
        <is>
          <t>ESCOLA MUNICIPAL FÉLIX JOAQUIM DE MORAES</t>
        </is>
      </c>
      <c r="E369" s="14" t="inlineStr">
        <is>
          <t>CAMAÇARI DE DENTRO</t>
        </is>
      </c>
      <c r="F369" s="14" t="inlineStr">
        <is>
          <t>RUA DO CANARIO S/N - ZONA URBANA</t>
        </is>
      </c>
      <c r="G369" s="27" t="inlineStr">
        <is>
          <t>42800-000</t>
        </is>
      </c>
      <c r="H369" s="15" t="n">
        <v>9</v>
      </c>
      <c r="I369" s="28" t="inlineStr">
        <is>
          <t>NÃO</t>
        </is>
      </c>
      <c r="J369" s="29" t="n">
        <v>295.8</v>
      </c>
      <c r="K369" s="14" t="str">
        <f>IF(J369="","7. Acima de 2 km",IF(J369&lt;=50,"1. Até 50 m",IF(J369&lt;=100,"2. De 50 a 100 m",IF(J369&lt;=200,"3. De 100 a 200 m",IF(J369&lt;=300,"4. De 200 a 300 m",IF(J369&lt;=500,"5. De 300 a 500 m","6. De 500 m a 2 km"))))))</f>
        <v>4. De 200 a 300 m</v>
      </c>
      <c r="L369" s="26" t="n">
        <v>0</v>
      </c>
      <c r="M369" s="26" t="n">
        <v>0</v>
      </c>
      <c r="N369" s="26" t="n">
        <v>0</v>
      </c>
      <c r="O369" s="26" t="n">
        <v>1</v>
      </c>
      <c r="P369" s="30" t="n">
        <v>-12.698653</v>
      </c>
      <c r="Q369" s="30" t="n">
        <v>-38.3341655</v>
      </c>
      <c r="R369" s="14" t="inlineStr">
        <is>
          <t>AV. CONTORNO, S/N, CENTRO, FÓRUM ELEITORAL DE CAMAÇARI, CAMAÇARI/BA</t>
        </is>
      </c>
      <c r="S369" s="26">
        <f>IF(A369=A368,0,1)</f>
        <v>0</v>
      </c>
      <c r="T369" s="26">
        <f>IF(COUNTIF($B$4:B369,B369)=1,1,0)</f>
        <v>0</v>
      </c>
    </row>
    <row r="370">
      <c r="A370" s="14" t="inlineStr">
        <is>
          <t>CAMAÇARI</t>
        </is>
      </c>
      <c r="B370" s="26" t="n">
        <v>171</v>
      </c>
      <c r="C370" s="26" t="n">
        <v>1201</v>
      </c>
      <c r="D370" s="14" t="inlineStr">
        <is>
          <t>CENTRO EDUCACIONAL MONTEIRO LOBATO</t>
        </is>
      </c>
      <c r="E370" s="14" t="inlineStr">
        <is>
          <t>CAMAÇARI DE DENTRO</t>
        </is>
      </c>
      <c r="F370" s="14" t="inlineStr">
        <is>
          <t>RUA SAO BENTO, 377 - ZONA URBANA</t>
        </is>
      </c>
      <c r="G370" s="27" t="inlineStr">
        <is>
          <t>42800-000</t>
        </is>
      </c>
      <c r="H370" s="15" t="n">
        <v>12</v>
      </c>
      <c r="I370" s="28" t="inlineStr">
        <is>
          <t>NÃO</t>
        </is>
      </c>
      <c r="J370" s="29" t="n">
        <v>250.3</v>
      </c>
      <c r="K370" s="14" t="str">
        <f>IF(J370="","7. Acima de 2 km",IF(J370&lt;=50,"1. Até 50 m",IF(J370&lt;=100,"2. De 50 a 100 m",IF(J370&lt;=200,"3. De 100 a 200 m",IF(J370&lt;=300,"4. De 200 a 300 m",IF(J370&lt;=500,"5. De 300 a 500 m","6. De 500 m a 2 km"))))))</f>
        <v>4. De 200 a 300 m</v>
      </c>
      <c r="L370" s="26" t="n">
        <v>0</v>
      </c>
      <c r="M370" s="26" t="n">
        <v>0</v>
      </c>
      <c r="N370" s="26" t="n">
        <v>0</v>
      </c>
      <c r="O370" s="26" t="n">
        <v>1</v>
      </c>
      <c r="P370" s="30" t="n">
        <v>-12.7045936</v>
      </c>
      <c r="Q370" s="30" t="n">
        <v>-38.3316651</v>
      </c>
      <c r="R370" s="14" t="inlineStr">
        <is>
          <t>AV. CONTORNO, S/N, CENTRO, FÓRUM ELEITORAL DE CAMAÇARI, CAMAÇARI/BA</t>
        </is>
      </c>
      <c r="S370" s="26">
        <f>IF(A370=A369,0,1)</f>
        <v>0</v>
      </c>
      <c r="T370" s="26">
        <f>IF(COUNTIF($B$4:B370,B370)=1,1,0)</f>
        <v>0</v>
      </c>
    </row>
    <row r="371">
      <c r="A371" s="14" t="inlineStr">
        <is>
          <t>CAMAÇARI</t>
        </is>
      </c>
      <c r="B371" s="26" t="n">
        <v>171</v>
      </c>
      <c r="C371" s="26" t="n">
        <v>1210</v>
      </c>
      <c r="D371" s="14" t="inlineStr">
        <is>
          <t>ESCOLA MUNICIPAL NILZA LEMOS P. LACERDA / CATU DE ABRANTES</t>
        </is>
      </c>
      <c r="E371" s="14" t="inlineStr">
        <is>
          <t>POVOADO CATU DE ABRANTES</t>
        </is>
      </c>
      <c r="F371" s="14" t="inlineStr">
        <is>
          <t>LOTEAMENTO CURVA DO RIO S/N - ZONA URBANA</t>
        </is>
      </c>
      <c r="G371" s="27" t="inlineStr">
        <is>
          <t>42800-000</t>
        </is>
      </c>
      <c r="H371" s="15" t="n">
        <v>7</v>
      </c>
      <c r="I371" s="28" t="inlineStr">
        <is>
          <t>NÃO</t>
        </is>
      </c>
      <c r="J371" s="29" t="n">
        <v>197.1</v>
      </c>
      <c r="K371" s="14" t="str">
        <f>IF(J371="","7. Acima de 2 km",IF(J371&lt;=50,"1. Até 50 m",IF(J371&lt;=100,"2. De 50 a 100 m",IF(J371&lt;=200,"3. De 100 a 200 m",IF(J371&lt;=300,"4. De 200 a 300 m",IF(J371&lt;=500,"5. De 300 a 500 m","6. De 500 m a 2 km"))))))</f>
        <v>3. De 100 a 200 m</v>
      </c>
      <c r="L371" s="26" t="n">
        <v>0</v>
      </c>
      <c r="M371" s="26" t="n">
        <v>0</v>
      </c>
      <c r="N371" s="26" t="n">
        <v>1</v>
      </c>
      <c r="O371" s="26" t="n">
        <v>1</v>
      </c>
      <c r="P371" s="30" t="n">
        <v>-12.8580813</v>
      </c>
      <c r="Q371" s="30" t="n">
        <v>-38.2874204</v>
      </c>
      <c r="R371" s="14" t="inlineStr">
        <is>
          <t>AV. CONTORNO, S/N, CENTRO, FÓRUM ELEITORAL DE CAMAÇARI, CAMAÇARI/BA</t>
        </is>
      </c>
      <c r="S371" s="26">
        <f>IF(A371=A370,0,1)</f>
        <v>0</v>
      </c>
      <c r="T371" s="26">
        <f>IF(COUNTIF($B$4:B371,B371)=1,1,0)</f>
        <v>0</v>
      </c>
    </row>
    <row r="372">
      <c r="A372" s="14" t="inlineStr">
        <is>
          <t>CAMAÇARI</t>
        </is>
      </c>
      <c r="B372" s="26" t="n">
        <v>171</v>
      </c>
      <c r="C372" s="26" t="n">
        <v>1279</v>
      </c>
      <c r="D372" s="14" t="inlineStr">
        <is>
          <t xml:space="preserve"> ESCOLA MUNICIPAL PROFESSORA EVERALDINA VIEIRA DOS SANTOS</t>
        </is>
      </c>
      <c r="E372" s="14" t="inlineStr">
        <is>
          <t>POVOADO MONTE GORDO</t>
        </is>
      </c>
      <c r="F372" s="14" t="inlineStr">
        <is>
          <t>RUA COQUEIRO DE MONTE GORDO - ZONA RURAL</t>
        </is>
      </c>
      <c r="G372" s="27" t="inlineStr">
        <is>
          <t>42820-000</t>
        </is>
      </c>
      <c r="H372" s="15" t="n">
        <v>2</v>
      </c>
      <c r="I372" s="28" t="inlineStr">
        <is>
          <t>NÃO</t>
        </is>
      </c>
      <c r="J372" s="29" t="n"/>
      <c r="K372" s="14" t="str">
        <f>IF(J372="","7. Acima de 2 km",IF(J372&lt;=50,"1. Até 50 m",IF(J372&lt;=100,"2. De 50 a 100 m",IF(J372&lt;=200,"3. De 100 a 200 m",IF(J372&lt;=300,"4. De 200 a 300 m",IF(J372&lt;=500,"5. De 300 a 500 m","6. De 500 m a 2 km"))))))</f>
        <v>7. Acima de 2 km</v>
      </c>
      <c r="L372" s="26" t="n">
        <v>0</v>
      </c>
      <c r="M372" s="26" t="n">
        <v>0</v>
      </c>
      <c r="N372" s="26" t="n">
        <v>0</v>
      </c>
      <c r="O372" s="26" t="n">
        <v>0</v>
      </c>
      <c r="P372" s="30" t="n">
        <v>-12.6188467</v>
      </c>
      <c r="Q372" s="30" t="n">
        <v>-38.1114617</v>
      </c>
      <c r="R372" s="14" t="inlineStr">
        <is>
          <t>AV. CONTORNO, S/N, CENTRO, FÓRUM ELEITORAL DE CAMAÇARI, CAMAÇARI/BA</t>
        </is>
      </c>
      <c r="S372" s="26">
        <f>IF(A372=A371,0,1)</f>
        <v>0</v>
      </c>
      <c r="T372" s="26">
        <f>IF(COUNTIF($B$4:B372,B372)=1,1,0)</f>
        <v>0</v>
      </c>
    </row>
    <row r="373">
      <c r="A373" s="14" t="inlineStr">
        <is>
          <t>CAMAÇARI</t>
        </is>
      </c>
      <c r="B373" s="26" t="n">
        <v>171</v>
      </c>
      <c r="C373" s="26" t="n">
        <v>1287</v>
      </c>
      <c r="D373" s="14" t="inlineStr">
        <is>
          <t>ESCOLA MUNICIPAL PROFESSORA LAURITA SOUZA RIBEIRO</t>
        </is>
      </c>
      <c r="E373" s="14" t="inlineStr">
        <is>
          <t>DERBA</t>
        </is>
      </c>
      <c r="F373" s="14" t="inlineStr">
        <is>
          <t>AVENIDA RADIAL A 178 - ZONA URBANA</t>
        </is>
      </c>
      <c r="G373" s="27" t="inlineStr">
        <is>
          <t>42800-005</t>
        </is>
      </c>
      <c r="H373" s="15" t="n">
        <v>8</v>
      </c>
      <c r="I373" s="28" t="inlineStr">
        <is>
          <t>NÃO</t>
        </is>
      </c>
      <c r="J373" s="29" t="n">
        <v>399.2</v>
      </c>
      <c r="K373" s="14" t="str">
        <f>IF(J373="","7. Acima de 2 km",IF(J373&lt;=50,"1. Até 50 m",IF(J373&lt;=100,"2. De 50 a 100 m",IF(J373&lt;=200,"3. De 100 a 200 m",IF(J373&lt;=300,"4. De 200 a 300 m",IF(J373&lt;=500,"5. De 300 a 500 m","6. De 500 m a 2 km"))))))</f>
        <v>5. De 300 a 500 m</v>
      </c>
      <c r="L373" s="26" t="n">
        <v>0</v>
      </c>
      <c r="M373" s="26" t="n">
        <v>0</v>
      </c>
      <c r="N373" s="26" t="n">
        <v>0</v>
      </c>
      <c r="O373" s="26" t="n">
        <v>0</v>
      </c>
      <c r="P373" s="30" t="n">
        <v>-12.6973587</v>
      </c>
      <c r="Q373" s="30" t="n">
        <v>-38.3338989</v>
      </c>
      <c r="R373" s="14" t="inlineStr">
        <is>
          <t>AV. CONTORNO, S/N, CENTRO, FÓRUM ELEITORAL DE CAMAÇARI, CAMAÇARI/BA</t>
        </is>
      </c>
      <c r="S373" s="26">
        <f>IF(A373=A372,0,1)</f>
        <v>0</v>
      </c>
      <c r="T373" s="26">
        <f>IF(COUNTIF($B$4:B373,B373)=1,1,0)</f>
        <v>0</v>
      </c>
    </row>
    <row r="374">
      <c r="A374" s="14" t="inlineStr">
        <is>
          <t>CAMAÇARI</t>
        </is>
      </c>
      <c r="B374" s="26" t="n">
        <v>171</v>
      </c>
      <c r="C374" s="26" t="n">
        <v>1295</v>
      </c>
      <c r="D374" s="14" t="inlineStr">
        <is>
          <t>ESCOLA ESTADUAL JOSÉ DE FREITAS MASCARENHAS</t>
        </is>
      </c>
      <c r="E374" s="14" t="inlineStr">
        <is>
          <t>GLEBA A</t>
        </is>
      </c>
      <c r="F374" s="14" t="inlineStr">
        <is>
          <t>AVENIDA VEREADOR PEDRO RIBEIRO DE FREITAS, S/N - ZONA URBANA</t>
        </is>
      </c>
      <c r="G374" s="27" t="inlineStr">
        <is>
          <t>42800-000</t>
        </is>
      </c>
      <c r="H374" s="15" t="n">
        <v>18</v>
      </c>
      <c r="I374" s="28" t="inlineStr">
        <is>
          <t>NÃO</t>
        </is>
      </c>
      <c r="J374" s="29" t="n">
        <v>422.9</v>
      </c>
      <c r="K374" s="14" t="str">
        <f>IF(J374="","7. Acima de 2 km",IF(J374&lt;=50,"1. Até 50 m",IF(J374&lt;=100,"2. De 50 a 100 m",IF(J374&lt;=200,"3. De 100 a 200 m",IF(J374&lt;=300,"4. De 200 a 300 m",IF(J374&lt;=500,"5. De 300 a 500 m","6. De 500 m a 2 km"))))))</f>
        <v>5. De 300 a 500 m</v>
      </c>
      <c r="L374" s="26" t="n">
        <v>0</v>
      </c>
      <c r="M374" s="26" t="n">
        <v>0</v>
      </c>
      <c r="N374" s="26" t="n">
        <v>0</v>
      </c>
      <c r="O374" s="26" t="n">
        <v>0</v>
      </c>
      <c r="P374" s="30" t="n">
        <v>-12.6935183</v>
      </c>
      <c r="Q374" s="30" t="n">
        <v>-38.3333533</v>
      </c>
      <c r="R374" s="14" t="inlineStr">
        <is>
          <t>AV. CONTORNO, S/N, CENTRO, FÓRUM ELEITORAL DE CAMAÇARI, CAMAÇARI/BA</t>
        </is>
      </c>
      <c r="S374" s="26">
        <f>IF(A374=A373,0,1)</f>
        <v>0</v>
      </c>
      <c r="T374" s="26">
        <f>IF(COUNTIF($B$4:B374,B374)=1,1,0)</f>
        <v>0</v>
      </c>
    </row>
    <row r="375">
      <c r="A375" s="14" t="inlineStr">
        <is>
          <t>CAMAÇARI</t>
        </is>
      </c>
      <c r="B375" s="26" t="n">
        <v>171</v>
      </c>
      <c r="C375" s="26" t="n">
        <v>1309</v>
      </c>
      <c r="D375" s="14" t="inlineStr">
        <is>
          <t>CENTRO EDUCACIONAL REITOR EDGAR SANTOS</t>
        </is>
      </c>
      <c r="E375" s="14" t="inlineStr">
        <is>
          <t>GLEBA A</t>
        </is>
      </c>
      <c r="F375" s="14" t="inlineStr">
        <is>
          <t>RUA JOAO ARAUJO S/N - ZONA URBANA</t>
        </is>
      </c>
      <c r="G375" s="27" t="inlineStr">
        <is>
          <t>42707-290</t>
        </is>
      </c>
      <c r="H375" s="15" t="n">
        <v>4</v>
      </c>
      <c r="I375" s="28" t="inlineStr">
        <is>
          <t>NÃO</t>
        </is>
      </c>
      <c r="J375" s="29" t="n">
        <v>243.1</v>
      </c>
      <c r="K375" s="14" t="str">
        <f>IF(J375="","7. Acima de 2 km",IF(J375&lt;=50,"1. Até 50 m",IF(J375&lt;=100,"2. De 50 a 100 m",IF(J375&lt;=200,"3. De 100 a 200 m",IF(J375&lt;=300,"4. De 200 a 300 m",IF(J375&lt;=500,"5. De 300 a 500 m","6. De 500 m a 2 km"))))))</f>
        <v>4. De 200 a 300 m</v>
      </c>
      <c r="L375" s="26" t="n">
        <v>0</v>
      </c>
      <c r="M375" s="26" t="n">
        <v>0</v>
      </c>
      <c r="N375" s="26" t="n">
        <v>0</v>
      </c>
      <c r="O375" s="26" t="n">
        <v>1</v>
      </c>
      <c r="P375" s="30" t="n">
        <v>-12.692875</v>
      </c>
      <c r="Q375" s="30" t="n">
        <v>-38.3357467</v>
      </c>
      <c r="R375" s="14" t="inlineStr">
        <is>
          <t>AV. CONTORNO, S/N, CENTRO, FÓRUM ELEITORAL DE CAMAÇARI, CAMAÇARI/BA</t>
        </is>
      </c>
      <c r="S375" s="26">
        <f>IF(A375=A374,0,1)</f>
        <v>0</v>
      </c>
      <c r="T375" s="26">
        <f>IF(COUNTIF($B$4:B375,B375)=1,1,0)</f>
        <v>0</v>
      </c>
    </row>
    <row r="376">
      <c r="A376" s="14" t="inlineStr">
        <is>
          <t>CAMAÇARI</t>
        </is>
      </c>
      <c r="B376" s="26" t="n">
        <v>171</v>
      </c>
      <c r="C376" s="26" t="n">
        <v>1317</v>
      </c>
      <c r="D376" s="14" t="inlineStr">
        <is>
          <t>ESCOLA MUNICIPAL DENISE TAVARES</t>
        </is>
      </c>
      <c r="E376" s="14" t="inlineStr">
        <is>
          <t>GLEBA B</t>
        </is>
      </c>
      <c r="F376" s="14" t="inlineStr">
        <is>
          <t>RUA RADIAL C S/N - ZONA URBANA</t>
        </is>
      </c>
      <c r="G376" s="27" t="inlineStr">
        <is>
          <t>42809-580</t>
        </is>
      </c>
      <c r="H376" s="15" t="n">
        <v>15</v>
      </c>
      <c r="I376" s="28" t="inlineStr">
        <is>
          <t>NÃO</t>
        </is>
      </c>
      <c r="J376" s="29" t="n">
        <v>243.6</v>
      </c>
      <c r="K376" s="14" t="str">
        <f>IF(J376="","7. Acima de 2 km",IF(J376&lt;=50,"1. Até 50 m",IF(J376&lt;=100,"2. De 50 a 100 m",IF(J376&lt;=200,"3. De 100 a 200 m",IF(J376&lt;=300,"4. De 200 a 300 m",IF(J376&lt;=500,"5. De 300 a 500 m","6. De 500 m a 2 km"))))))</f>
        <v>4. De 200 a 300 m</v>
      </c>
      <c r="L376" s="26" t="n">
        <v>0</v>
      </c>
      <c r="M376" s="26" t="n">
        <v>0</v>
      </c>
      <c r="N376" s="26" t="n">
        <v>0</v>
      </c>
      <c r="O376" s="26" t="n">
        <v>1</v>
      </c>
      <c r="P376" s="30" t="n">
        <v>-12.6935044</v>
      </c>
      <c r="Q376" s="30" t="n">
        <v>-38.326866</v>
      </c>
      <c r="R376" s="14" t="inlineStr">
        <is>
          <t>AV. CONTORNO, S/N, CENTRO, FÓRUM ELEITORAL DE CAMAÇARI, CAMAÇARI/BA</t>
        </is>
      </c>
      <c r="S376" s="26">
        <f>IF(A376=A375,0,1)</f>
        <v>0</v>
      </c>
      <c r="T376" s="26">
        <f>IF(COUNTIF($B$4:B376,B376)=1,1,0)</f>
        <v>0</v>
      </c>
    </row>
    <row r="377">
      <c r="A377" s="14" t="inlineStr">
        <is>
          <t>CAMAÇARI</t>
        </is>
      </c>
      <c r="B377" s="26" t="n">
        <v>171</v>
      </c>
      <c r="C377" s="26" t="n">
        <v>1333</v>
      </c>
      <c r="D377" s="14" t="inlineStr">
        <is>
          <t>ESCOLA MUNICIPAL DO GRAVATÁ (CSTC)</t>
        </is>
      </c>
      <c r="E377" s="14" t="inlineStr">
        <is>
          <t>GRAVATÁ</t>
        </is>
      </c>
      <c r="F377" s="14" t="inlineStr">
        <is>
          <t>AVENIDA VEREADOR PEDRO RIBEIRO DE FREITAS, S/N - ZONA URBANA</t>
        </is>
      </c>
      <c r="G377" s="27" t="inlineStr">
        <is>
          <t>42800-000</t>
        </is>
      </c>
      <c r="H377" s="15" t="n">
        <v>8</v>
      </c>
      <c r="I377" s="28" t="inlineStr">
        <is>
          <t>NÃO</t>
        </is>
      </c>
      <c r="J377" s="29" t="n">
        <v>401</v>
      </c>
      <c r="K377" s="14" t="str">
        <f>IF(J377="","7. Acima de 2 km",IF(J377&lt;=50,"1. Até 50 m",IF(J377&lt;=100,"2. De 50 a 100 m",IF(J377&lt;=200,"3. De 100 a 200 m",IF(J377&lt;=300,"4. De 200 a 300 m",IF(J377&lt;=500,"5. De 300 a 500 m","6. De 500 m a 2 km"))))))</f>
        <v>5. De 300 a 500 m</v>
      </c>
      <c r="L377" s="26" t="n">
        <v>0</v>
      </c>
      <c r="M377" s="26" t="n">
        <v>0</v>
      </c>
      <c r="N377" s="26" t="n">
        <v>0</v>
      </c>
      <c r="O377" s="26" t="n">
        <v>0</v>
      </c>
      <c r="P377" s="30" t="n">
        <v>-12.6871488</v>
      </c>
      <c r="Q377" s="30" t="n">
        <v>-38.3353248</v>
      </c>
      <c r="R377" s="14" t="inlineStr">
        <is>
          <t>AV. CONTORNO, S/N, CENTRO, FÓRUM ELEITORAL DE CAMAÇARI, CAMAÇARI/BA</t>
        </is>
      </c>
      <c r="S377" s="26">
        <f>IF(A377=A376,0,1)</f>
        <v>0</v>
      </c>
      <c r="T377" s="26">
        <f>IF(COUNTIF($B$4:B377,B377)=1,1,0)</f>
        <v>0</v>
      </c>
    </row>
    <row r="378">
      <c r="A378" s="14" t="inlineStr">
        <is>
          <t>CAMAÇARI</t>
        </is>
      </c>
      <c r="B378" s="26" t="n">
        <v>171</v>
      </c>
      <c r="C378" s="26" t="n">
        <v>1341</v>
      </c>
      <c r="D378" s="14" t="inlineStr">
        <is>
          <t>ESCOLA MUNICIPAL HELENA CELESTINO DE MAGALHÃES</t>
        </is>
      </c>
      <c r="E378" s="14" t="inlineStr">
        <is>
          <t>GRAVATÁ</t>
        </is>
      </c>
      <c r="F378" s="14" t="inlineStr">
        <is>
          <t>AVENIDA VEREADOR PEDRO RIBEIRO DE FREITAS, S/N - ZONA URBANA</t>
        </is>
      </c>
      <c r="G378" s="27" t="inlineStr">
        <is>
          <t>42800-000</t>
        </is>
      </c>
      <c r="H378" s="15" t="n">
        <v>19</v>
      </c>
      <c r="I378" s="28" t="inlineStr">
        <is>
          <t>NÃO</t>
        </is>
      </c>
      <c r="J378" s="29" t="n">
        <v>425.3</v>
      </c>
      <c r="K378" s="14" t="str">
        <f>IF(J378="","7. Acima de 2 km",IF(J378&lt;=50,"1. Até 50 m",IF(J378&lt;=100,"2. De 50 a 100 m",IF(J378&lt;=200,"3. De 100 a 200 m",IF(J378&lt;=300,"4. De 200 a 300 m",IF(J378&lt;=500,"5. De 300 a 500 m","6. De 500 m a 2 km"))))))</f>
        <v>5. De 300 a 500 m</v>
      </c>
      <c r="L378" s="26" t="n">
        <v>0</v>
      </c>
      <c r="M378" s="26" t="n">
        <v>0</v>
      </c>
      <c r="N378" s="26" t="n">
        <v>0</v>
      </c>
      <c r="O378" s="26" t="n">
        <v>0</v>
      </c>
      <c r="P378" s="30" t="n">
        <v>-12.6872529</v>
      </c>
      <c r="Q378" s="30" t="n">
        <v>-38.33427</v>
      </c>
      <c r="R378" s="14" t="inlineStr">
        <is>
          <t>AV. CONTORNO, S/N, CENTRO, FÓRUM ELEITORAL DE CAMAÇARI, CAMAÇARI/BA</t>
        </is>
      </c>
      <c r="S378" s="26">
        <f>IF(A378=A377,0,1)</f>
        <v>0</v>
      </c>
      <c r="T378" s="26">
        <f>IF(COUNTIF($B$4:B378,B378)=1,1,0)</f>
        <v>0</v>
      </c>
    </row>
    <row r="379">
      <c r="A379" s="14" t="inlineStr">
        <is>
          <t>CAMAÇARI</t>
        </is>
      </c>
      <c r="B379" s="26" t="n">
        <v>171</v>
      </c>
      <c r="C379" s="26" t="n">
        <v>1384</v>
      </c>
      <c r="D379" s="14" t="inlineStr">
        <is>
          <t>CENTRO EDUCACIONAL TANCREDO NEVES</t>
        </is>
      </c>
      <c r="E379" s="14" t="inlineStr">
        <is>
          <t>POVOADO JAUÁ</t>
        </is>
      </c>
      <c r="F379" s="14" t="inlineStr">
        <is>
          <t>RUA DO FLAMINGO, S/N - ZONA RURAL</t>
        </is>
      </c>
      <c r="G379" s="27" t="inlineStr">
        <is>
          <t>42820-000</t>
        </is>
      </c>
      <c r="H379" s="15" t="n">
        <v>13</v>
      </c>
      <c r="I379" s="28" t="inlineStr">
        <is>
          <t>NÃO</t>
        </is>
      </c>
      <c r="J379" s="29" t="n">
        <v>914.3</v>
      </c>
      <c r="K379" s="14" t="str">
        <f>IF(J379="","7. Acima de 2 km",IF(J379&lt;=50,"1. Até 50 m",IF(J379&lt;=100,"2. De 50 a 100 m",IF(J379&lt;=200,"3. De 100 a 200 m",IF(J379&lt;=300,"4. De 200 a 300 m",IF(J379&lt;=500,"5. De 300 a 500 m","6. De 500 m a 2 km"))))))</f>
        <v>6. De 500 m a 2 km</v>
      </c>
      <c r="L379" s="26" t="n">
        <v>0</v>
      </c>
      <c r="M379" s="26" t="n">
        <v>0</v>
      </c>
      <c r="N379" s="26" t="n">
        <v>0</v>
      </c>
      <c r="O379" s="26" t="n">
        <v>0</v>
      </c>
      <c r="P379" s="30" t="n">
        <v>-12.8228714</v>
      </c>
      <c r="Q379" s="30" t="n">
        <v>-38.2321625</v>
      </c>
      <c r="R379" s="14" t="inlineStr">
        <is>
          <t>AV. CONTORNO, S/N, CENTRO, FÓRUM ELEITORAL DE CAMAÇARI, CAMAÇARI/BA</t>
        </is>
      </c>
      <c r="S379" s="26">
        <f>IF(A379=A378,0,1)</f>
        <v>0</v>
      </c>
      <c r="T379" s="26">
        <f>IF(COUNTIF($B$4:B379,B379)=1,1,0)</f>
        <v>0</v>
      </c>
    </row>
    <row r="380">
      <c r="A380" s="14" t="inlineStr">
        <is>
          <t>CAMAÇARI</t>
        </is>
      </c>
      <c r="B380" s="26" t="n">
        <v>171</v>
      </c>
      <c r="C380" s="26" t="n">
        <v>1392</v>
      </c>
      <c r="D380" s="14" t="inlineStr">
        <is>
          <t>ESCOLA MUNICIPAL CONCEIÇÃO DE MARIA</t>
        </is>
      </c>
      <c r="E380" s="14" t="inlineStr">
        <is>
          <t>POVOADO PARAFUSO</t>
        </is>
      </c>
      <c r="F380" s="14" t="inlineStr">
        <is>
          <t>RUA MARECHAL FLORIANO PEIXOTO, LARGO DOIS DE JULHO S/N - ZONA RURAL</t>
        </is>
      </c>
      <c r="G380" s="27" t="inlineStr">
        <is>
          <t>42849-990</t>
        </is>
      </c>
      <c r="H380" s="15" t="n">
        <v>7</v>
      </c>
      <c r="I380" s="28" t="inlineStr">
        <is>
          <t>NÃO</t>
        </is>
      </c>
      <c r="J380" s="29" t="n">
        <v>574.3</v>
      </c>
      <c r="K380" s="14" t="str">
        <f>IF(J380="","7. Acima de 2 km",IF(J380&lt;=50,"1. Até 50 m",IF(J380&lt;=100,"2. De 50 a 100 m",IF(J380&lt;=200,"3. De 100 a 200 m",IF(J380&lt;=300,"4. De 200 a 300 m",IF(J380&lt;=500,"5. De 300 a 500 m","6. De 500 m a 2 km"))))))</f>
        <v>6. De 500 m a 2 km</v>
      </c>
      <c r="L380" s="26" t="n">
        <v>0</v>
      </c>
      <c r="M380" s="26" t="n">
        <v>0</v>
      </c>
      <c r="N380" s="26" t="n">
        <v>0</v>
      </c>
      <c r="O380" s="26" t="n">
        <v>0</v>
      </c>
      <c r="P380" s="30" t="n">
        <v>-12.76723</v>
      </c>
      <c r="Q380" s="30" t="n">
        <v>-38.3312233</v>
      </c>
      <c r="R380" s="14" t="inlineStr">
        <is>
          <t>AV. CONTORNO, S/N, CENTRO, FÓRUM ELEITORAL DE CAMAÇARI, CAMAÇARI/BA</t>
        </is>
      </c>
      <c r="S380" s="26">
        <f>IF(A380=A379,0,1)</f>
        <v>0</v>
      </c>
      <c r="T380" s="26">
        <f>IF(COUNTIF($B$4:B380,B380)=1,1,0)</f>
        <v>0</v>
      </c>
    </row>
    <row r="381">
      <c r="A381" s="14" t="inlineStr">
        <is>
          <t>CAMAÇARI</t>
        </is>
      </c>
      <c r="B381" s="26" t="n">
        <v>171</v>
      </c>
      <c r="C381" s="26" t="n">
        <v>1430</v>
      </c>
      <c r="D381" s="14" t="inlineStr">
        <is>
          <t>ESCOLA MUNICIPAL ALOISIO DE OLIVEIRA</t>
        </is>
      </c>
      <c r="E381" s="14" t="inlineStr">
        <is>
          <t>POVOADO MONTE GORDO</t>
        </is>
      </c>
      <c r="F381" s="14" t="inlineStr">
        <is>
          <t>RUA SACO SN - ZONA RURAL</t>
        </is>
      </c>
      <c r="G381" s="27" t="inlineStr">
        <is>
          <t>42820-000</t>
        </is>
      </c>
      <c r="H381" s="15" t="n">
        <v>3</v>
      </c>
      <c r="I381" s="28" t="inlineStr">
        <is>
          <t>NÃO</t>
        </is>
      </c>
      <c r="J381" s="29" t="n"/>
      <c r="K381" s="14" t="str">
        <f>IF(J381="","7. Acima de 2 km",IF(J381&lt;=50,"1. Até 50 m",IF(J381&lt;=100,"2. De 50 a 100 m",IF(J381&lt;=200,"3. De 100 a 200 m",IF(J381&lt;=300,"4. De 200 a 300 m",IF(J381&lt;=500,"5. De 300 a 500 m","6. De 500 m a 2 km"))))))</f>
        <v>7. Acima de 2 km</v>
      </c>
      <c r="L381" s="26" t="n">
        <v>0</v>
      </c>
      <c r="M381" s="26" t="n">
        <v>0</v>
      </c>
      <c r="N381" s="26" t="n">
        <v>0</v>
      </c>
      <c r="O381" s="26" t="n">
        <v>0</v>
      </c>
      <c r="P381" s="30" t="n">
        <v>-12.6701287</v>
      </c>
      <c r="Q381" s="30" t="n">
        <v>-38.1196202</v>
      </c>
      <c r="R381" s="14" t="inlineStr">
        <is>
          <t>AV. CONTORNO, S/N, CENTRO, FÓRUM ELEITORAL DE CAMAÇARI, CAMAÇARI/BA</t>
        </is>
      </c>
      <c r="S381" s="26">
        <f>IF(A381=A380,0,1)</f>
        <v>0</v>
      </c>
      <c r="T381" s="26">
        <f>IF(COUNTIF($B$4:B381,B381)=1,1,0)</f>
        <v>0</v>
      </c>
    </row>
    <row r="382">
      <c r="A382" s="14" t="inlineStr">
        <is>
          <t>CAMAÇARI</t>
        </is>
      </c>
      <c r="B382" s="26" t="n">
        <v>171</v>
      </c>
      <c r="C382" s="26" t="n">
        <v>1449</v>
      </c>
      <c r="D382" s="14" t="inlineStr">
        <is>
          <t>ESCOLA MUNICIPAL AMÉLIA RODRIGUES</t>
        </is>
      </c>
      <c r="E382" s="14" t="inlineStr">
        <is>
          <t>POVOADO MONTE GORDO</t>
        </is>
      </c>
      <c r="F382" s="14" t="inlineStr">
        <is>
          <t>RUA SAO BENTO S/N - ZONA RURAL</t>
        </is>
      </c>
      <c r="G382" s="27" t="inlineStr">
        <is>
          <t>42801-000</t>
        </is>
      </c>
      <c r="H382" s="15" t="n">
        <v>12</v>
      </c>
      <c r="I382" s="28" t="inlineStr">
        <is>
          <t>NÃO</t>
        </is>
      </c>
      <c r="J382" s="29" t="n">
        <v>119.7</v>
      </c>
      <c r="K382" s="14" t="str">
        <f>IF(J382="","7. Acima de 2 km",IF(J382&lt;=50,"1. Até 50 m",IF(J382&lt;=100,"2. De 50 a 100 m",IF(J382&lt;=200,"3. De 100 a 200 m",IF(J382&lt;=300,"4. De 200 a 300 m",IF(J382&lt;=500,"5. De 300 a 500 m","6. De 500 m a 2 km"))))))</f>
        <v>3. De 100 a 200 m</v>
      </c>
      <c r="L382" s="26" t="n">
        <v>0</v>
      </c>
      <c r="M382" s="26" t="n">
        <v>0</v>
      </c>
      <c r="N382" s="26" t="n">
        <v>1</v>
      </c>
      <c r="O382" s="26" t="n">
        <v>1</v>
      </c>
      <c r="P382" s="30" t="n">
        <v>-12.654308</v>
      </c>
      <c r="Q382" s="30" t="n">
        <v>-38.1059551</v>
      </c>
      <c r="R382" s="14" t="inlineStr">
        <is>
          <t>AV. CONTORNO, S/N, CENTRO, FÓRUM ELEITORAL DE CAMAÇARI, CAMAÇARI/BA</t>
        </is>
      </c>
      <c r="S382" s="26">
        <f>IF(A382=A381,0,1)</f>
        <v>0</v>
      </c>
      <c r="T382" s="26">
        <f>IF(COUNTIF($B$4:B382,B382)=1,1,0)</f>
        <v>0</v>
      </c>
    </row>
    <row r="383">
      <c r="A383" s="14" t="inlineStr">
        <is>
          <t>CAMAÇARI</t>
        </is>
      </c>
      <c r="B383" s="26" t="n">
        <v>171</v>
      </c>
      <c r="C383" s="26" t="n">
        <v>1465</v>
      </c>
      <c r="D383" s="14" t="inlineStr">
        <is>
          <t>ESCOLA MUNICIPAL ENGº RUY BACELAR</t>
        </is>
      </c>
      <c r="E383" s="14" t="inlineStr">
        <is>
          <t>TRIÂNGULO</t>
        </is>
      </c>
      <c r="F383" s="14" t="inlineStr">
        <is>
          <t>RUA 28 DE SETEMBRO, 128 - ZONA URBANA</t>
        </is>
      </c>
      <c r="G383" s="27" t="inlineStr">
        <is>
          <t>42800-002</t>
        </is>
      </c>
      <c r="H383" s="15" t="n">
        <v>8</v>
      </c>
      <c r="I383" s="28" t="inlineStr">
        <is>
          <t>NÃO</t>
        </is>
      </c>
      <c r="J383" s="29" t="n">
        <v>163.7</v>
      </c>
      <c r="K383" s="14" t="str">
        <f>IF(J383="","7. Acima de 2 km",IF(J383&lt;=50,"1. Até 50 m",IF(J383&lt;=100,"2. De 50 a 100 m",IF(J383&lt;=200,"3. De 100 a 200 m",IF(J383&lt;=300,"4. De 200 a 300 m",IF(J383&lt;=500,"5. De 300 a 500 m","6. De 500 m a 2 km"))))))</f>
        <v>3. De 100 a 200 m</v>
      </c>
      <c r="L383" s="26" t="n">
        <v>0</v>
      </c>
      <c r="M383" s="26" t="n">
        <v>0</v>
      </c>
      <c r="N383" s="26" t="n">
        <v>1</v>
      </c>
      <c r="O383" s="26" t="n">
        <v>1</v>
      </c>
      <c r="P383" s="30" t="n">
        <v>-12.695536</v>
      </c>
      <c r="Q383" s="30" t="n">
        <v>-38.3379918</v>
      </c>
      <c r="R383" s="14" t="inlineStr">
        <is>
          <t>AV. CONTORNO, S/N, CENTRO, FÓRUM ELEITORAL DE CAMAÇARI, CAMAÇARI/BA</t>
        </is>
      </c>
      <c r="S383" s="26">
        <f>IF(A383=A382,0,1)</f>
        <v>0</v>
      </c>
      <c r="T383" s="26">
        <f>IF(COUNTIF($B$4:B383,B383)=1,1,0)</f>
        <v>0</v>
      </c>
    </row>
    <row r="384">
      <c r="A384" s="14" t="inlineStr">
        <is>
          <t>CAMAÇARI</t>
        </is>
      </c>
      <c r="B384" s="26" t="n">
        <v>171</v>
      </c>
      <c r="C384" s="26" t="n">
        <v>1473</v>
      </c>
      <c r="D384" s="14" t="inlineStr">
        <is>
          <t>ESCOLA MUNICIPAL EUSTÁQUIO ALVES SANTANA</t>
        </is>
      </c>
      <c r="E384" s="14" t="inlineStr">
        <is>
          <t>POVOADO PARAFUSO</t>
        </is>
      </c>
      <c r="F384" s="14" t="inlineStr">
        <is>
          <t>RUA ALTO DA BELA VISTA S/N - ZONA RURAL</t>
        </is>
      </c>
      <c r="G384" s="27" t="inlineStr">
        <is>
          <t>42800-000</t>
        </is>
      </c>
      <c r="H384" s="15" t="n">
        <v>4</v>
      </c>
      <c r="I384" s="28" t="inlineStr">
        <is>
          <t>NÃO</t>
        </is>
      </c>
      <c r="J384" s="29" t="n">
        <v>222.9</v>
      </c>
      <c r="K384" s="14" t="str">
        <f>IF(J384="","7. Acima de 2 km",IF(J384&lt;=50,"1. Até 50 m",IF(J384&lt;=100,"2. De 50 a 100 m",IF(J384&lt;=200,"3. De 100 a 200 m",IF(J384&lt;=300,"4. De 200 a 300 m",IF(J384&lt;=500,"5. De 300 a 500 m","6. De 500 m a 2 km"))))))</f>
        <v>4. De 200 a 300 m</v>
      </c>
      <c r="L384" s="26" t="n">
        <v>0</v>
      </c>
      <c r="M384" s="26" t="n">
        <v>0</v>
      </c>
      <c r="N384" s="26" t="n">
        <v>0</v>
      </c>
      <c r="O384" s="26" t="n">
        <v>1</v>
      </c>
      <c r="P384" s="30" t="n">
        <v>-12.7654288</v>
      </c>
      <c r="Q384" s="30" t="n">
        <v>-38.3260993</v>
      </c>
      <c r="R384" s="14" t="inlineStr">
        <is>
          <t>AV. CONTORNO, S/N, CENTRO, FÓRUM ELEITORAL DE CAMAÇARI, CAMAÇARI/BA</t>
        </is>
      </c>
      <c r="S384" s="26">
        <f>IF(A384=A383,0,1)</f>
        <v>0</v>
      </c>
      <c r="T384" s="26">
        <f>IF(COUNTIF($B$4:B384,B384)=1,1,0)</f>
        <v>0</v>
      </c>
    </row>
    <row r="385">
      <c r="A385" s="14" t="inlineStr">
        <is>
          <t>CAMAÇARI</t>
        </is>
      </c>
      <c r="B385" s="26" t="n">
        <v>171</v>
      </c>
      <c r="C385" s="26" t="n">
        <v>1481</v>
      </c>
      <c r="D385" s="14" t="inlineStr">
        <is>
          <t>ESCOLA NEUZA MENEZES BARRETO</t>
        </is>
      </c>
      <c r="E385" s="14" t="inlineStr">
        <is>
          <t>PARQUE SATÉLITE</t>
        </is>
      </c>
      <c r="F385" s="14" t="inlineStr">
        <is>
          <t>AVENIDA RADIAL C S/N - ZONA URBANA</t>
        </is>
      </c>
      <c r="G385" s="27" t="inlineStr">
        <is>
          <t>42800-000</t>
        </is>
      </c>
      <c r="H385" s="15" t="n">
        <v>6</v>
      </c>
      <c r="I385" s="28" t="inlineStr">
        <is>
          <t>NÃO</t>
        </is>
      </c>
      <c r="J385" s="29" t="n">
        <v>885.9</v>
      </c>
      <c r="K385" s="14" t="str">
        <f>IF(J385="","7. Acima de 2 km",IF(J385&lt;=50,"1. Até 50 m",IF(J385&lt;=100,"2. De 50 a 100 m",IF(J385&lt;=200,"3. De 100 a 200 m",IF(J385&lt;=300,"4. De 200 a 300 m",IF(J385&lt;=500,"5. De 300 a 500 m","6. De 500 m a 2 km"))))))</f>
        <v>6. De 500 m a 2 km</v>
      </c>
      <c r="L385" s="26" t="n">
        <v>0</v>
      </c>
      <c r="M385" s="26" t="n">
        <v>0</v>
      </c>
      <c r="N385" s="26" t="n">
        <v>0</v>
      </c>
      <c r="O385" s="26" t="n">
        <v>0</v>
      </c>
      <c r="P385" s="30" t="n">
        <v>-12.6871095</v>
      </c>
      <c r="Q385" s="30" t="n">
        <v>-38.3256251</v>
      </c>
      <c r="R385" s="14" t="inlineStr">
        <is>
          <t>AV. CONTORNO, S/N, CENTRO, FÓRUM ELEITORAL DE CAMAÇARI, CAMAÇARI/BA</t>
        </is>
      </c>
      <c r="S385" s="26">
        <f>IF(A385=A384,0,1)</f>
        <v>0</v>
      </c>
      <c r="T385" s="26">
        <f>IF(COUNTIF($B$4:B385,B385)=1,1,0)</f>
        <v>0</v>
      </c>
    </row>
    <row r="386">
      <c r="A386" s="14" t="inlineStr">
        <is>
          <t>CAMAÇARI</t>
        </is>
      </c>
      <c r="B386" s="26" t="n">
        <v>171</v>
      </c>
      <c r="C386" s="26" t="n">
        <v>1490</v>
      </c>
      <c r="D386" s="14" t="inlineStr">
        <is>
          <t>COLÉGIO ESTADUAL DE VILA DE ABRANTES</t>
        </is>
      </c>
      <c r="E386" s="14" t="inlineStr">
        <is>
          <t>VILA DE ABRANTES</t>
        </is>
      </c>
      <c r="F386" s="14" t="inlineStr">
        <is>
          <t>AVENIDA TIRADENTES, S/N - ZONA URBANA</t>
        </is>
      </c>
      <c r="G386" s="27" t="inlineStr">
        <is>
          <t>42820-000</t>
        </is>
      </c>
      <c r="H386" s="15" t="n">
        <v>15</v>
      </c>
      <c r="I386" s="28" t="inlineStr">
        <is>
          <t>NÃO</t>
        </is>
      </c>
      <c r="J386" s="29" t="n">
        <v>699</v>
      </c>
      <c r="K386" s="14" t="str">
        <f>IF(J386="","7. Acima de 2 km",IF(J386&lt;=50,"1. Até 50 m",IF(J386&lt;=100,"2. De 50 a 100 m",IF(J386&lt;=200,"3. De 100 a 200 m",IF(J386&lt;=300,"4. De 200 a 300 m",IF(J386&lt;=500,"5. De 300 a 500 m","6. De 500 m a 2 km"))))))</f>
        <v>6. De 500 m a 2 km</v>
      </c>
      <c r="L386" s="26" t="n">
        <v>0</v>
      </c>
      <c r="M386" s="26" t="n">
        <v>0</v>
      </c>
      <c r="N386" s="26" t="n">
        <v>0</v>
      </c>
      <c r="O386" s="26" t="n">
        <v>0</v>
      </c>
      <c r="P386" s="30" t="n">
        <v>-12.8299783</v>
      </c>
      <c r="Q386" s="30" t="n">
        <v>-38.262465</v>
      </c>
      <c r="R386" s="14" t="inlineStr">
        <is>
          <t>AV. CONTORNO, S/N, CENTRO, FÓRUM ELEITORAL DE CAMAÇARI, CAMAÇARI/BA</t>
        </is>
      </c>
      <c r="S386" s="26">
        <f>IF(A386=A385,0,1)</f>
        <v>0</v>
      </c>
      <c r="T386" s="26">
        <f>IF(COUNTIF($B$4:B386,B386)=1,1,0)</f>
        <v>0</v>
      </c>
    </row>
    <row r="387">
      <c r="A387" s="14" t="inlineStr">
        <is>
          <t>CAMAÇARI</t>
        </is>
      </c>
      <c r="B387" s="26" t="n">
        <v>171</v>
      </c>
      <c r="C387" s="26" t="n">
        <v>1503</v>
      </c>
      <c r="D387" s="14" t="inlineStr">
        <is>
          <t>ESCOLA MUNICIPAL GILTÔNIA PEREIRA DE SOUZA</t>
        </is>
      </c>
      <c r="E387" s="14" t="inlineStr">
        <is>
          <t>POVOADO AREMBEPE</t>
        </is>
      </c>
      <c r="F387" s="14" t="inlineStr">
        <is>
          <t>RUA PARATI S/N - ZONA RURAL</t>
        </is>
      </c>
      <c r="G387" s="27" t="inlineStr">
        <is>
          <t>42835-000</t>
        </is>
      </c>
      <c r="H387" s="15" t="n">
        <v>10</v>
      </c>
      <c r="I387" s="28" t="inlineStr">
        <is>
          <t>NÃO</t>
        </is>
      </c>
      <c r="J387" s="29" t="n">
        <v>137.4</v>
      </c>
      <c r="K387" s="14" t="str">
        <f>IF(J387="","7. Acima de 2 km",IF(J387&lt;=50,"1. Até 50 m",IF(J387&lt;=100,"2. De 50 a 100 m",IF(J387&lt;=200,"3. De 100 a 200 m",IF(J387&lt;=300,"4. De 200 a 300 m",IF(J387&lt;=500,"5. De 300 a 500 m","6. De 500 m a 2 km"))))))</f>
        <v>3. De 100 a 200 m</v>
      </c>
      <c r="L387" s="26" t="n">
        <v>0</v>
      </c>
      <c r="M387" s="26" t="n">
        <v>0</v>
      </c>
      <c r="N387" s="26" t="n">
        <v>1</v>
      </c>
      <c r="O387" s="26" t="n">
        <v>1</v>
      </c>
      <c r="P387" s="30" t="n">
        <v>-12.7679267</v>
      </c>
      <c r="Q387" s="30" t="n">
        <v>-38.1835133</v>
      </c>
      <c r="R387" s="14" t="inlineStr">
        <is>
          <t>AV. CONTORNO, S/N, CENTRO, FÓRUM ELEITORAL DE CAMAÇARI, CAMAÇARI/BA</t>
        </is>
      </c>
      <c r="S387" s="26">
        <f>IF(A387=A386,0,1)</f>
        <v>0</v>
      </c>
      <c r="T387" s="26">
        <f>IF(COUNTIF($B$4:B387,B387)=1,1,0)</f>
        <v>0</v>
      </c>
    </row>
    <row r="388">
      <c r="A388" s="14" t="inlineStr">
        <is>
          <t>CAMAÇARI</t>
        </is>
      </c>
      <c r="B388" s="26" t="n">
        <v>171</v>
      </c>
      <c r="C388" s="26" t="n">
        <v>1511</v>
      </c>
      <c r="D388" s="14" t="inlineStr">
        <is>
          <t>ESCOLA MUNICIPAL SANTO ANTÔNIO DO JORDÃO</t>
        </is>
      </c>
      <c r="E388" s="14" t="inlineStr">
        <is>
          <t>POVOADO JORDÃO</t>
        </is>
      </c>
      <c r="F388" s="14" t="inlineStr">
        <is>
          <t>RUA SANTO ANTONIO S/N - ZONA RURAL</t>
        </is>
      </c>
      <c r="G388" s="27" t="inlineStr">
        <is>
          <t>42800-000</t>
        </is>
      </c>
      <c r="H388" s="15" t="n">
        <v>1</v>
      </c>
      <c r="I388" s="28" t="inlineStr">
        <is>
          <t>NÃO</t>
        </is>
      </c>
      <c r="J388" s="29" t="n"/>
      <c r="K388" s="14" t="str">
        <f>IF(J388="","7. Acima de 2 km",IF(J388&lt;=50,"1. Até 50 m",IF(J388&lt;=100,"2. De 50 a 100 m",IF(J388&lt;=200,"3. De 100 a 200 m",IF(J388&lt;=300,"4. De 200 a 300 m",IF(J388&lt;=500,"5. De 300 a 500 m","6. De 500 m a 2 km"))))))</f>
        <v>7. Acima de 2 km</v>
      </c>
      <c r="L388" s="26" t="n">
        <v>0</v>
      </c>
      <c r="M388" s="26" t="n">
        <v>0</v>
      </c>
      <c r="N388" s="26" t="n">
        <v>0</v>
      </c>
      <c r="O388" s="26" t="n">
        <v>0</v>
      </c>
      <c r="P388" s="30" t="n">
        <v>-12.5925467</v>
      </c>
      <c r="Q388" s="30" t="n">
        <v>-38.1301033</v>
      </c>
      <c r="R388" s="14" t="inlineStr">
        <is>
          <t>AV. CONTORNO, S/N, CENTRO, FÓRUM ELEITORAL DE CAMAÇARI, CAMAÇARI/BA</t>
        </is>
      </c>
      <c r="S388" s="26">
        <f>IF(A388=A387,0,1)</f>
        <v>0</v>
      </c>
      <c r="T388" s="26">
        <f>IF(COUNTIF($B$4:B388,B388)=1,1,0)</f>
        <v>0</v>
      </c>
    </row>
    <row r="389">
      <c r="A389" s="14" t="inlineStr">
        <is>
          <t>CAMAÇARI</t>
        </is>
      </c>
      <c r="B389" s="26" t="n">
        <v>171</v>
      </c>
      <c r="C389" s="26" t="n">
        <v>1520</v>
      </c>
      <c r="D389" s="14" t="inlineStr">
        <is>
          <t>ESCOLA MUNICIPAL RURAL BOA UNIÃO</t>
        </is>
      </c>
      <c r="E389" s="14" t="inlineStr">
        <is>
          <t>POVOADO CATU DE ABRANTES</t>
        </is>
      </c>
      <c r="F389" s="14" t="inlineStr">
        <is>
          <t>CONDOMINIO COLONIA BOA UNIAO - ZONA RURAL</t>
        </is>
      </c>
      <c r="G389" s="27" t="inlineStr">
        <is>
          <t>42800-000</t>
        </is>
      </c>
      <c r="H389" s="15" t="n">
        <v>2</v>
      </c>
      <c r="I389" s="28" t="inlineStr">
        <is>
          <t>NÃO</t>
        </is>
      </c>
      <c r="J389" s="29" t="n">
        <v>1335.4</v>
      </c>
      <c r="K389" s="14" t="str">
        <f>IF(J389="","7. Acima de 2 km",IF(J389&lt;=50,"1. Até 50 m",IF(J389&lt;=100,"2. De 50 a 100 m",IF(J389&lt;=200,"3. De 100 a 200 m",IF(J389&lt;=300,"4. De 200 a 300 m",IF(J389&lt;=500,"5. De 300 a 500 m","6. De 500 m a 2 km"))))))</f>
        <v>6. De 500 m a 2 km</v>
      </c>
      <c r="L389" s="26" t="n">
        <v>0</v>
      </c>
      <c r="M389" s="26" t="n">
        <v>0</v>
      </c>
      <c r="N389" s="26" t="n">
        <v>0</v>
      </c>
      <c r="O389" s="26" t="n">
        <v>0</v>
      </c>
      <c r="P389" s="30" t="n">
        <v>-12.8475817</v>
      </c>
      <c r="Q389" s="30" t="n">
        <v>-38.2876367</v>
      </c>
      <c r="R389" s="14" t="inlineStr">
        <is>
          <t>AV. CONTORNO, S/N, CENTRO, FÓRUM ELEITORAL DE CAMAÇARI, CAMAÇARI/BA</t>
        </is>
      </c>
      <c r="S389" s="26">
        <f>IF(A389=A388,0,1)</f>
        <v>0</v>
      </c>
      <c r="T389" s="26">
        <f>IF(COUNTIF($B$4:B389,B389)=1,1,0)</f>
        <v>0</v>
      </c>
    </row>
    <row r="390">
      <c r="A390" s="14" t="inlineStr">
        <is>
          <t>CAMAÇARI</t>
        </is>
      </c>
      <c r="B390" s="26" t="n">
        <v>171</v>
      </c>
      <c r="C390" s="26" t="n">
        <v>1546</v>
      </c>
      <c r="D390" s="14" t="inlineStr">
        <is>
          <t>ESCOLA MUNICIPAL ALBERTO FERREIRA BRANDÃO</t>
        </is>
      </c>
      <c r="E390" s="14" t="inlineStr">
        <is>
          <t>GLEBA H</t>
        </is>
      </c>
      <c r="F390" s="14" t="inlineStr">
        <is>
          <t>RUA FLOR DO CAMPO, S/N - ZONA URBANA</t>
        </is>
      </c>
      <c r="G390" s="27" t="inlineStr">
        <is>
          <t>42800-000</t>
        </is>
      </c>
      <c r="H390" s="15" t="n">
        <v>9</v>
      </c>
      <c r="I390" s="28" t="inlineStr">
        <is>
          <t>NÃO</t>
        </is>
      </c>
      <c r="J390" s="29" t="n">
        <v>676.7</v>
      </c>
      <c r="K390" s="14" t="str">
        <f>IF(J390="","7. Acima de 2 km",IF(J390&lt;=50,"1. Até 50 m",IF(J390&lt;=100,"2. De 50 a 100 m",IF(J390&lt;=200,"3. De 100 a 200 m",IF(J390&lt;=300,"4. De 200 a 300 m",IF(J390&lt;=500,"5. De 300 a 500 m","6. De 500 m a 2 km"))))))</f>
        <v>6. De 500 m a 2 km</v>
      </c>
      <c r="L390" s="26" t="n">
        <v>0</v>
      </c>
      <c r="M390" s="26" t="n">
        <v>0</v>
      </c>
      <c r="N390" s="26" t="n">
        <v>0</v>
      </c>
      <c r="O390" s="26" t="n">
        <v>0</v>
      </c>
      <c r="P390" s="30" t="n">
        <v>-12.7120558</v>
      </c>
      <c r="Q390" s="30" t="n">
        <v>-38.344567</v>
      </c>
      <c r="R390" s="14" t="inlineStr">
        <is>
          <t>AV. CONTORNO, S/N, CENTRO, FÓRUM ELEITORAL DE CAMAÇARI, CAMAÇARI/BA</t>
        </is>
      </c>
      <c r="S390" s="26">
        <f>IF(A390=A389,0,1)</f>
        <v>0</v>
      </c>
      <c r="T390" s="26">
        <f>IF(COUNTIF($B$4:B390,B390)=1,1,0)</f>
        <v>0</v>
      </c>
    </row>
    <row r="391">
      <c r="A391" s="14" t="inlineStr">
        <is>
          <t>CAMAÇARI</t>
        </is>
      </c>
      <c r="B391" s="26" t="n">
        <v>171</v>
      </c>
      <c r="C391" s="26" t="n">
        <v>1554</v>
      </c>
      <c r="D391" s="14" t="inlineStr">
        <is>
          <t>CENTRO EDUCACIONAL MARCUS IVO BONNA</t>
        </is>
      </c>
      <c r="E391" s="14" t="inlineStr">
        <is>
          <t>POVOADO CATU DE ABRANTES</t>
        </is>
      </c>
      <c r="F391" s="14" t="inlineStr">
        <is>
          <t>EST DO COCO, KM 8, CD CONDOMÍNIO BUSCA VIDA, LT 27 - ZONA RURAL</t>
        </is>
      </c>
      <c r="G391" s="27" t="inlineStr">
        <is>
          <t>42840-000</t>
        </is>
      </c>
      <c r="H391" s="15" t="n">
        <v>2</v>
      </c>
      <c r="I391" s="28" t="inlineStr">
        <is>
          <t>NÃO</t>
        </is>
      </c>
      <c r="J391" s="29" t="n"/>
      <c r="K391" s="14" t="str">
        <f>IF(J391="","7. Acima de 2 km",IF(J391&lt;=50,"1. Até 50 m",IF(J391&lt;=100,"2. De 50 a 100 m",IF(J391&lt;=200,"3. De 100 a 200 m",IF(J391&lt;=300,"4. De 200 a 300 m",IF(J391&lt;=500,"5. De 300 a 500 m","6. De 500 m a 2 km"))))))</f>
        <v>7. Acima de 2 km</v>
      </c>
      <c r="L391" s="26" t="n">
        <v>0</v>
      </c>
      <c r="M391" s="26" t="n">
        <v>0</v>
      </c>
      <c r="N391" s="26" t="n">
        <v>0</v>
      </c>
      <c r="O391" s="26" t="n">
        <v>0</v>
      </c>
      <c r="P391" s="30" t="n">
        <v>-12.8688803</v>
      </c>
      <c r="Q391" s="30" t="n">
        <v>-38.2665917</v>
      </c>
      <c r="R391" s="14" t="inlineStr">
        <is>
          <t>AV. CONTORNO, S/N, CENTRO, FÓRUM ELEITORAL DE CAMAÇARI, CAMAÇARI/BA</t>
        </is>
      </c>
      <c r="S391" s="26">
        <f>IF(A391=A390,0,1)</f>
        <v>0</v>
      </c>
      <c r="T391" s="26">
        <f>IF(COUNTIF($B$4:B391,B391)=1,1,0)</f>
        <v>0</v>
      </c>
    </row>
    <row r="392">
      <c r="A392" s="14" t="inlineStr">
        <is>
          <t>CAMAÇARI</t>
        </is>
      </c>
      <c r="B392" s="26" t="n">
        <v>171</v>
      </c>
      <c r="C392" s="26" t="n">
        <v>1562</v>
      </c>
      <c r="D392" s="14" t="inlineStr">
        <is>
          <t>ESCOLA MUNICIPAL JOANA ANGELICA</t>
        </is>
      </c>
      <c r="E392" s="14" t="inlineStr">
        <is>
          <t>MANGUEIRAL</t>
        </is>
      </c>
      <c r="F392" s="14" t="inlineStr">
        <is>
          <t>RUA IRECÊ, S/N - ZONA URBANA</t>
        </is>
      </c>
      <c r="G392" s="27" t="inlineStr">
        <is>
          <t>42800-000</t>
        </is>
      </c>
      <c r="H392" s="15" t="n">
        <v>3</v>
      </c>
      <c r="I392" s="28" t="inlineStr">
        <is>
          <t>NÃO</t>
        </is>
      </c>
      <c r="J392" s="29" t="n">
        <v>636.6</v>
      </c>
      <c r="K392" s="14" t="str">
        <f>IF(J392="","7. Acima de 2 km",IF(J392&lt;=50,"1. Até 50 m",IF(J392&lt;=100,"2. De 50 a 100 m",IF(J392&lt;=200,"3. De 100 a 200 m",IF(J392&lt;=300,"4. De 200 a 300 m",IF(J392&lt;=500,"5. De 300 a 500 m","6. De 500 m a 2 km"))))))</f>
        <v>6. De 500 m a 2 km</v>
      </c>
      <c r="L392" s="26" t="n">
        <v>0</v>
      </c>
      <c r="M392" s="26" t="n">
        <v>0</v>
      </c>
      <c r="N392" s="26" t="n">
        <v>0</v>
      </c>
      <c r="O392" s="26" t="n">
        <v>0</v>
      </c>
      <c r="P392" s="30" t="n">
        <v>-12.6870068</v>
      </c>
      <c r="Q392" s="30" t="n">
        <v>-38.3314859</v>
      </c>
      <c r="R392" s="14" t="inlineStr">
        <is>
          <t>AV. CONTORNO, S/N, CENTRO, FÓRUM ELEITORAL DE CAMAÇARI, CAMAÇARI/BA</t>
        </is>
      </c>
      <c r="S392" s="26">
        <f>IF(A392=A391,0,1)</f>
        <v>0</v>
      </c>
      <c r="T392" s="26">
        <f>IF(COUNTIF($B$4:B392,B392)=1,1,0)</f>
        <v>0</v>
      </c>
    </row>
    <row r="393">
      <c r="A393" s="14" t="inlineStr">
        <is>
          <t>CAMAÇARI</t>
        </is>
      </c>
      <c r="B393" s="26" t="n">
        <v>171</v>
      </c>
      <c r="C393" s="26" t="n">
        <v>1589</v>
      </c>
      <c r="D393" s="14" t="inlineStr">
        <is>
          <t>INTERNAÇÃO - CASE - IRMÃ DULCE</t>
        </is>
      </c>
      <c r="E393" s="14" t="inlineStr">
        <is>
          <t>SANTO ANTÔNIO</t>
        </is>
      </c>
      <c r="F393" s="14" t="inlineStr">
        <is>
          <t>RODOVIA BA 512, KM 12, FAZENDA SÃO JOÃO, SN - ZONA URBANA</t>
        </is>
      </c>
      <c r="G393" s="27" t="inlineStr">
        <is>
          <t>42800-000</t>
        </is>
      </c>
      <c r="H393" s="15" t="n">
        <v>1</v>
      </c>
      <c r="I393" s="28" t="inlineStr">
        <is>
          <t>NÃO</t>
        </is>
      </c>
      <c r="J393" s="29" t="n"/>
      <c r="K393" s="14" t="str">
        <f>IF(J393="","7. Acima de 2 km",IF(J393&lt;=50,"1. Até 50 m",IF(J393&lt;=100,"2. De 50 a 100 m",IF(J393&lt;=200,"3. De 100 a 200 m",IF(J393&lt;=300,"4. De 200 a 300 m",IF(J393&lt;=500,"5. De 300 a 500 m","6. De 500 m a 2 km"))))))</f>
        <v>7. Acima de 2 km</v>
      </c>
      <c r="L393" s="26" t="n">
        <v>0</v>
      </c>
      <c r="M393" s="26" t="n">
        <v>0</v>
      </c>
      <c r="N393" s="26" t="n">
        <v>0</v>
      </c>
      <c r="O393" s="26" t="n">
        <v>0</v>
      </c>
      <c r="P393" s="30" t="n">
        <v>-12.6879267</v>
      </c>
      <c r="Q393" s="30" t="n">
        <v>-38.3568033</v>
      </c>
      <c r="R393" s="14" t="inlineStr">
        <is>
          <t>AV. CONTORNO, S/N, CENTRO, FÓRUM ELEITORAL DE CAMAÇARI, CAMAÇARI/BA</t>
        </is>
      </c>
      <c r="S393" s="26">
        <f>IF(A393=A392,0,1)</f>
        <v>0</v>
      </c>
      <c r="T393" s="26">
        <f>IF(COUNTIF($B$4:B393,B393)=1,1,0)</f>
        <v>0</v>
      </c>
    </row>
    <row r="394">
      <c r="A394" s="14" t="inlineStr">
        <is>
          <t>CAMAÇARI</t>
        </is>
      </c>
      <c r="B394" s="26" t="n">
        <v>171</v>
      </c>
      <c r="C394" s="26" t="n">
        <v>1600</v>
      </c>
      <c r="D394" s="14" t="inlineStr">
        <is>
          <t>CENTRO EDUCACIONAL DARCY RIBEIRO</t>
        </is>
      </c>
      <c r="E394" s="14" t="inlineStr">
        <is>
          <t>POVOADO BARRA DE JACUÍPE</t>
        </is>
      </c>
      <c r="F394" s="14" t="inlineStr">
        <is>
          <t>RUA DAS FLORES, S/N - ZONA URBANA</t>
        </is>
      </c>
      <c r="G394" s="27" t="inlineStr">
        <is>
          <t>42833-000</t>
        </is>
      </c>
      <c r="H394" s="15" t="n">
        <v>12</v>
      </c>
      <c r="I394" s="28" t="inlineStr">
        <is>
          <t>NÃO</t>
        </is>
      </c>
      <c r="J394" s="29" t="n">
        <v>163.3</v>
      </c>
      <c r="K394" s="14" t="str">
        <f>IF(J394="","7. Acima de 2 km",IF(J394&lt;=50,"1. Até 50 m",IF(J394&lt;=100,"2. De 50 a 100 m",IF(J394&lt;=200,"3. De 100 a 200 m",IF(J394&lt;=300,"4. De 200 a 300 m",IF(J394&lt;=500,"5. De 300 a 500 m","6. De 500 m a 2 km"))))))</f>
        <v>3. De 100 a 200 m</v>
      </c>
      <c r="L394" s="26" t="n">
        <v>0</v>
      </c>
      <c r="M394" s="26" t="n">
        <v>0</v>
      </c>
      <c r="N394" s="26" t="n">
        <v>1</v>
      </c>
      <c r="O394" s="26" t="n">
        <v>1</v>
      </c>
      <c r="P394" s="30" t="n">
        <v>-12.7012549</v>
      </c>
      <c r="Q394" s="30" t="n">
        <v>-38.1340608</v>
      </c>
      <c r="R394" s="14" t="inlineStr">
        <is>
          <t>AV. CONTORNO, S/N, CENTRO, FÓRUM ELEITORAL DE CAMAÇARI, CAMAÇARI/BA</t>
        </is>
      </c>
      <c r="S394" s="26">
        <f>IF(A394=A393,0,1)</f>
        <v>0</v>
      </c>
      <c r="T394" s="26">
        <f>IF(COUNTIF($B$4:B394,B394)=1,1,0)</f>
        <v>0</v>
      </c>
    </row>
    <row r="395">
      <c r="A395" s="14" t="inlineStr">
        <is>
          <t>CAMAÇARI</t>
        </is>
      </c>
      <c r="B395" s="26" t="n">
        <v>171</v>
      </c>
      <c r="C395" s="26" t="n">
        <v>1627</v>
      </c>
      <c r="D395" s="14" t="inlineStr">
        <is>
          <t>COLÉGIO ESTADUAL PROFESSORA NADIR ARAÚJO COPQUE</t>
        </is>
      </c>
      <c r="E395" s="14" t="inlineStr">
        <is>
          <t>POVOADO AREMBEPE</t>
        </is>
      </c>
      <c r="F395" s="14" t="inlineStr">
        <is>
          <t>ESTRADA DO COCO, KM 23, ZONA URBANA</t>
        </is>
      </c>
      <c r="G395" s="27" t="inlineStr">
        <is>
          <t>42835-000</t>
        </is>
      </c>
      <c r="H395" s="15" t="n">
        <v>5</v>
      </c>
      <c r="I395" s="28" t="inlineStr">
        <is>
          <t>NÃO</t>
        </is>
      </c>
      <c r="J395" s="29" t="n">
        <v>269.8</v>
      </c>
      <c r="K395" s="14" t="str">
        <f>IF(J395="","7. Acima de 2 km",IF(J395&lt;=50,"1. Até 50 m",IF(J395&lt;=100,"2. De 50 a 100 m",IF(J395&lt;=200,"3. De 100 a 200 m",IF(J395&lt;=300,"4. De 200 a 300 m",IF(J395&lt;=500,"5. De 300 a 500 m","6. De 500 m a 2 km"))))))</f>
        <v>4. De 200 a 300 m</v>
      </c>
      <c r="L395" s="26" t="n">
        <v>0</v>
      </c>
      <c r="M395" s="26" t="n">
        <v>0</v>
      </c>
      <c r="N395" s="26" t="n">
        <v>0</v>
      </c>
      <c r="O395" s="26" t="n">
        <v>1</v>
      </c>
      <c r="P395" s="30" t="n">
        <v>-12.7676833</v>
      </c>
      <c r="Q395" s="30" t="n">
        <v>-38.1889434</v>
      </c>
      <c r="R395" s="14" t="inlineStr">
        <is>
          <t>AV. CONTORNO, S/N, CENTRO, FÓRUM ELEITORAL DE CAMAÇARI, CAMAÇARI/BA</t>
        </is>
      </c>
      <c r="S395" s="26">
        <f>IF(A395=A394,0,1)</f>
        <v>0</v>
      </c>
      <c r="T395" s="26">
        <f>IF(COUNTIF($B$4:B395,B395)=1,1,0)</f>
        <v>0</v>
      </c>
    </row>
    <row r="396">
      <c r="A396" s="14" t="inlineStr">
        <is>
          <t>CAMAÇARI</t>
        </is>
      </c>
      <c r="B396" s="26" t="n">
        <v>171</v>
      </c>
      <c r="C396" s="26" t="n">
        <v>1635</v>
      </c>
      <c r="D396" s="14" t="inlineStr">
        <is>
          <t>COLÉGIO ESTADUAL DE BARRA DE POJUCA</t>
        </is>
      </c>
      <c r="E396" s="14" t="inlineStr">
        <is>
          <t>POVOADO BARRA DO POJUCA</t>
        </is>
      </c>
      <c r="F396" s="14" t="inlineStr">
        <is>
          <t>TRAVESSA ELÍSIO NETO, S/N - ZONA RURAL</t>
        </is>
      </c>
      <c r="G396" s="27" t="inlineStr">
        <is>
          <t>42820-000</t>
        </is>
      </c>
      <c r="H396" s="15" t="n">
        <v>3</v>
      </c>
      <c r="I396" s="28" t="inlineStr">
        <is>
          <t>SIM</t>
        </is>
      </c>
      <c r="J396" s="29" t="n">
        <v>83.09999999999999</v>
      </c>
      <c r="K396" s="14" t="str">
        <f>IF(J396="","7. Acima de 2 km",IF(J396&lt;=50,"1. Até 50 m",IF(J396&lt;=100,"2. De 50 a 100 m",IF(J396&lt;=200,"3. De 100 a 200 m",IF(J396&lt;=300,"4. De 200 a 300 m",IF(J396&lt;=500,"5. De 300 a 500 m","6. De 500 m a 2 km"))))))</f>
        <v>2. De 50 a 100 m</v>
      </c>
      <c r="L396" s="26" t="n">
        <v>0</v>
      </c>
      <c r="M396" s="26" t="n">
        <v>1</v>
      </c>
      <c r="N396" s="26" t="n">
        <v>1</v>
      </c>
      <c r="O396" s="26" t="n">
        <v>1</v>
      </c>
      <c r="P396" s="30" t="n">
        <v>-12.58873</v>
      </c>
      <c r="Q396" s="30" t="n">
        <v>-38.05091</v>
      </c>
      <c r="R396" s="14" t="inlineStr">
        <is>
          <t>AV. CONTORNO, S/N, CENTRO, FÓRUM ELEITORAL DE CAMAÇARI, CAMAÇARI/BA</t>
        </is>
      </c>
      <c r="S396" s="26">
        <f>IF(A396=A395,0,1)</f>
        <v>0</v>
      </c>
      <c r="T396" s="26">
        <f>IF(COUNTIF($B$4:B396,B396)=1,1,0)</f>
        <v>0</v>
      </c>
    </row>
    <row r="397">
      <c r="A397" s="14" t="inlineStr">
        <is>
          <t>CAMAÇARI</t>
        </is>
      </c>
      <c r="B397" s="26" t="n">
        <v>171</v>
      </c>
      <c r="C397" s="26" t="n">
        <v>1643</v>
      </c>
      <c r="D397" s="14" t="inlineStr">
        <is>
          <t>ESCOLA MUNICIPAL SANTA MARIA</t>
        </is>
      </c>
      <c r="E397" s="14" t="inlineStr">
        <is>
          <t>SANTA MARIA</t>
        </is>
      </c>
      <c r="F397" s="14" t="inlineStr">
        <is>
          <t>RUA DAS CONCHINHAS, S/N - ZONA URBANA</t>
        </is>
      </c>
      <c r="G397" s="27" t="inlineStr">
        <is>
          <t>42800-005</t>
        </is>
      </c>
      <c r="H397" s="15" t="n">
        <v>1</v>
      </c>
      <c r="I397" s="28" t="inlineStr">
        <is>
          <t>NÃO</t>
        </is>
      </c>
      <c r="J397" s="29" t="n">
        <v>950.3</v>
      </c>
      <c r="K397" s="14" t="str">
        <f>IF(J397="","7. Acima de 2 km",IF(J397&lt;=50,"1. Até 50 m",IF(J397&lt;=100,"2. De 50 a 100 m",IF(J397&lt;=200,"3. De 100 a 200 m",IF(J397&lt;=300,"4. De 200 a 300 m",IF(J397&lt;=500,"5. De 300 a 500 m","6. De 500 m a 2 km"))))))</f>
        <v>6. De 500 m a 2 km</v>
      </c>
      <c r="L397" s="26" t="n">
        <v>0</v>
      </c>
      <c r="M397" s="26" t="n">
        <v>0</v>
      </c>
      <c r="N397" s="26" t="n">
        <v>0</v>
      </c>
      <c r="O397" s="26" t="n">
        <v>0</v>
      </c>
      <c r="P397" s="30" t="n">
        <v>-12.7142046</v>
      </c>
      <c r="Q397" s="30" t="n">
        <v>-38.3469295</v>
      </c>
      <c r="R397" s="14" t="inlineStr">
        <is>
          <t>AV. CONTORNO, S/N, CENTRO, FÓRUM ELEITORAL DE CAMAÇARI, CAMAÇARI/BA</t>
        </is>
      </c>
      <c r="S397" s="26">
        <f>IF(A397=A396,0,1)</f>
        <v>0</v>
      </c>
      <c r="T397" s="26">
        <f>IF(COUNTIF($B$4:B397,B397)=1,1,0)</f>
        <v>0</v>
      </c>
    </row>
    <row r="398">
      <c r="A398" s="14" t="inlineStr">
        <is>
          <t>CAMAÇARI</t>
        </is>
      </c>
      <c r="B398" s="26" t="n">
        <v>171</v>
      </c>
      <c r="C398" s="26" t="n">
        <v>1651</v>
      </c>
      <c r="D398" s="14" t="inlineStr">
        <is>
          <t>ESCOLA MUNICIPAL ELIZA DIAS DE AZEVEDO</t>
        </is>
      </c>
      <c r="E398" s="14" t="inlineStr">
        <is>
          <t>VILA DE ABRANTES</t>
        </is>
      </c>
      <c r="F398" s="14" t="inlineStr">
        <is>
          <t>RUA ALICE UZEDA. S/N - ZONA URBANA</t>
        </is>
      </c>
      <c r="G398" s="27" t="inlineStr">
        <is>
          <t>42820-000</t>
        </is>
      </c>
      <c r="H398" s="15" t="n">
        <v>4</v>
      </c>
      <c r="I398" s="28" t="inlineStr">
        <is>
          <t>NÃO</t>
        </is>
      </c>
      <c r="J398" s="29" t="n">
        <v>629.7</v>
      </c>
      <c r="K398" s="14" t="str">
        <f>IF(J398="","7. Acima de 2 km",IF(J398&lt;=50,"1. Até 50 m",IF(J398&lt;=100,"2. De 50 a 100 m",IF(J398&lt;=200,"3. De 100 a 200 m",IF(J398&lt;=300,"4. De 200 a 300 m",IF(J398&lt;=500,"5. De 300 a 500 m","6. De 500 m a 2 km"))))))</f>
        <v>6. De 500 m a 2 km</v>
      </c>
      <c r="L398" s="26" t="n">
        <v>0</v>
      </c>
      <c r="M398" s="26" t="n">
        <v>0</v>
      </c>
      <c r="N398" s="26" t="n">
        <v>0</v>
      </c>
      <c r="O398" s="26" t="n">
        <v>0</v>
      </c>
      <c r="P398" s="30" t="n">
        <v>-12.8315667</v>
      </c>
      <c r="Q398" s="30" t="n">
        <v>-38.2628183</v>
      </c>
      <c r="R398" s="14" t="inlineStr">
        <is>
          <t>AV. CONTORNO, S/N, CENTRO, FÓRUM ELEITORAL DE CAMAÇARI, CAMAÇARI/BA</t>
        </is>
      </c>
      <c r="S398" s="26">
        <f>IF(A398=A397,0,1)</f>
        <v>0</v>
      </c>
      <c r="T398" s="26">
        <f>IF(COUNTIF($B$4:B398,B398)=1,1,0)</f>
        <v>0</v>
      </c>
    </row>
    <row r="399">
      <c r="A399" s="14" t="inlineStr">
        <is>
          <t>CAMAÇARI</t>
        </is>
      </c>
      <c r="B399" s="26" t="n">
        <v>171</v>
      </c>
      <c r="C399" s="26" t="n">
        <v>1660</v>
      </c>
      <c r="D399" s="14" t="inlineStr">
        <is>
          <t>ESCOLA MUNICIPAL PROFESSORA MARCELINA BISPO DA SILVA</t>
        </is>
      </c>
      <c r="E399" s="14" t="inlineStr">
        <is>
          <t>POVOADO MONTE GORDO</t>
        </is>
      </c>
      <c r="F399" s="14" t="inlineStr">
        <is>
          <t>RUA DIRETA DO ITAIPI, S/N - ZONA RURAL</t>
        </is>
      </c>
      <c r="G399" s="27" t="inlineStr">
        <is>
          <t>42820-000</t>
        </is>
      </c>
      <c r="H399" s="15" t="n">
        <v>1</v>
      </c>
      <c r="I399" s="28" t="inlineStr">
        <is>
          <t>NÃO</t>
        </is>
      </c>
      <c r="J399" s="29" t="n"/>
      <c r="K399" s="14" t="str">
        <f>IF(J399="","7. Acima de 2 km",IF(J399&lt;=50,"1. Até 50 m",IF(J399&lt;=100,"2. De 50 a 100 m",IF(J399&lt;=200,"3. De 100 a 200 m",IF(J399&lt;=300,"4. De 200 a 300 m",IF(J399&lt;=500,"5. De 300 a 500 m","6. De 500 m a 2 km"))))))</f>
        <v>7. Acima de 2 km</v>
      </c>
      <c r="L399" s="26" t="n">
        <v>0</v>
      </c>
      <c r="M399" s="26" t="n">
        <v>0</v>
      </c>
      <c r="N399" s="26" t="n">
        <v>0</v>
      </c>
      <c r="O399" s="26" t="n">
        <v>0</v>
      </c>
      <c r="P399" s="30" t="n">
        <v>-12.62956</v>
      </c>
      <c r="Q399" s="30" t="n">
        <v>-38.0757083</v>
      </c>
      <c r="R399" s="14" t="inlineStr">
        <is>
          <t>AV. CONTORNO, S/N, CENTRO, FÓRUM ELEITORAL DE CAMAÇARI, CAMAÇARI/BA</t>
        </is>
      </c>
      <c r="S399" s="26">
        <f>IF(A399=A398,0,1)</f>
        <v>0</v>
      </c>
      <c r="T399" s="26">
        <f>IF(COUNTIF($B$4:B399,B399)=1,1,0)</f>
        <v>0</v>
      </c>
    </row>
    <row r="400">
      <c r="A400" s="14" t="inlineStr">
        <is>
          <t>CAMAÇARI</t>
        </is>
      </c>
      <c r="B400" s="26" t="n">
        <v>171</v>
      </c>
      <c r="C400" s="26" t="n">
        <v>1678</v>
      </c>
      <c r="D400" s="14" t="inlineStr">
        <is>
          <t>ESCOLA MUNICIPAL SILVIO PEREIRA FRANCO</t>
        </is>
      </c>
      <c r="E400" s="14" t="inlineStr">
        <is>
          <t>POVOADO CATU DE ABRANTES</t>
        </is>
      </c>
      <c r="F400" s="14" t="inlineStr">
        <is>
          <t>RUA VILA SIMARA ELLERY, N 07 - ZONA RURAL</t>
        </is>
      </c>
      <c r="G400" s="27" t="inlineStr">
        <is>
          <t>41820-000</t>
        </is>
      </c>
      <c r="H400" s="15" t="n">
        <v>1</v>
      </c>
      <c r="I400" s="28" t="inlineStr">
        <is>
          <t>NÃO</t>
        </is>
      </c>
      <c r="J400" s="29" t="n">
        <v>489.1</v>
      </c>
      <c r="K400" s="14" t="str">
        <f>IF(J400="","7. Acima de 2 km",IF(J400&lt;=50,"1. Até 50 m",IF(J400&lt;=100,"2. De 50 a 100 m",IF(J400&lt;=200,"3. De 100 a 200 m",IF(J400&lt;=300,"4. De 200 a 300 m",IF(J400&lt;=500,"5. De 300 a 500 m","6. De 500 m a 2 km"))))))</f>
        <v>5. De 300 a 500 m</v>
      </c>
      <c r="L400" s="26" t="n">
        <v>0</v>
      </c>
      <c r="M400" s="26" t="n">
        <v>0</v>
      </c>
      <c r="N400" s="26" t="n">
        <v>0</v>
      </c>
      <c r="O400" s="26" t="n">
        <v>0</v>
      </c>
      <c r="P400" s="30" t="n">
        <v>-12.856867</v>
      </c>
      <c r="Q400" s="30" t="n">
        <v>-38.282775</v>
      </c>
      <c r="R400" s="14" t="inlineStr">
        <is>
          <t>AV. CONTORNO, S/N, CENTRO, FÓRUM ELEITORAL DE CAMAÇARI, CAMAÇARI/BA</t>
        </is>
      </c>
      <c r="S400" s="26">
        <f>IF(A400=A399,0,1)</f>
        <v>0</v>
      </c>
      <c r="T400" s="26">
        <f>IF(COUNTIF($B$4:B400,B400)=1,1,0)</f>
        <v>0</v>
      </c>
    </row>
    <row r="401">
      <c r="A401" s="14" t="inlineStr">
        <is>
          <t>CAMAÇARI</t>
        </is>
      </c>
      <c r="B401" s="26" t="n">
        <v>171</v>
      </c>
      <c r="C401" s="26" t="n">
        <v>1686</v>
      </c>
      <c r="D401" s="14" t="inlineStr">
        <is>
          <t>ESCOLA MUNICIPAL CLEUSA MARIA DE CARVALHO MOREIRA</t>
        </is>
      </c>
      <c r="E401" s="14" t="inlineStr">
        <is>
          <t>CAMAÇARI DE DENTRO</t>
        </is>
      </c>
      <c r="F401" s="14" t="inlineStr">
        <is>
          <t>R. SÃO BENTO</t>
        </is>
      </c>
      <c r="G401" s="27" t="inlineStr">
        <is>
          <t>42806-085</t>
        </is>
      </c>
      <c r="H401" s="15" t="n">
        <v>8</v>
      </c>
      <c r="I401" s="28" t="inlineStr">
        <is>
          <t>NÃO</t>
        </is>
      </c>
      <c r="J401" s="29" t="n">
        <v>323.5</v>
      </c>
      <c r="K401" s="14" t="str">
        <f>IF(J401="","7. Acima de 2 km",IF(J401&lt;=50,"1. Até 50 m",IF(J401&lt;=100,"2. De 50 a 100 m",IF(J401&lt;=200,"3. De 100 a 200 m",IF(J401&lt;=300,"4. De 200 a 300 m",IF(J401&lt;=500,"5. De 300 a 500 m","6. De 500 m a 2 km"))))))</f>
        <v>5. De 300 a 500 m</v>
      </c>
      <c r="L401" s="26" t="n">
        <v>0</v>
      </c>
      <c r="M401" s="26" t="n">
        <v>0</v>
      </c>
      <c r="N401" s="26" t="n">
        <v>0</v>
      </c>
      <c r="O401" s="26" t="n">
        <v>0</v>
      </c>
      <c r="P401" s="30" t="n">
        <v>-12.703958</v>
      </c>
      <c r="Q401" s="30" t="n">
        <v>-38.3318409</v>
      </c>
      <c r="R401" s="14" t="inlineStr">
        <is>
          <t>AV. CONTORNO, S/N, CENTRO, FÓRUM ELEITORAL DE CAMAÇARI, CAMAÇARI/BA</t>
        </is>
      </c>
      <c r="S401" s="26">
        <f>IF(A401=A400,0,1)</f>
        <v>0</v>
      </c>
      <c r="T401" s="26">
        <f>IF(COUNTIF($B$4:B401,B401)=1,1,0)</f>
        <v>0</v>
      </c>
    </row>
    <row r="402">
      <c r="A402" s="14" t="inlineStr">
        <is>
          <t>CANDEIAS</t>
        </is>
      </c>
      <c r="B402" s="26" t="n">
        <v>127</v>
      </c>
      <c r="C402" s="26" t="n">
        <v>1015</v>
      </c>
      <c r="D402" s="14" t="inlineStr">
        <is>
          <t>ESCOLA MUNICIPAL MARGARIDA SOUZA</t>
        </is>
      </c>
      <c r="E402" s="14" t="inlineStr">
        <is>
          <t>CENTRO</t>
        </is>
      </c>
      <c r="F402" s="14" t="inlineStr">
        <is>
          <t>PRACA TIRADENTES, N 12 - ZONA URBANA</t>
        </is>
      </c>
      <c r="G402" s="27" t="inlineStr">
        <is>
          <t>43805-220</t>
        </is>
      </c>
      <c r="H402" s="15" t="n">
        <v>5</v>
      </c>
      <c r="I402" s="28" t="inlineStr">
        <is>
          <t>SIM</t>
        </is>
      </c>
      <c r="J402" s="29" t="n">
        <v>57.5</v>
      </c>
      <c r="K402" s="14" t="str">
        <f>IF(J402="","7. Acima de 2 km",IF(J402&lt;=50,"1. Até 50 m",IF(J402&lt;=100,"2. De 50 a 100 m",IF(J402&lt;=200,"3. De 100 a 200 m",IF(J402&lt;=300,"4. De 200 a 300 m",IF(J402&lt;=500,"5. De 300 a 500 m","6. De 500 m a 2 km"))))))</f>
        <v>2. De 50 a 100 m</v>
      </c>
      <c r="L402" s="26" t="n">
        <v>0</v>
      </c>
      <c r="M402" s="26" t="n">
        <v>4</v>
      </c>
      <c r="N402" s="26" t="n">
        <v>5</v>
      </c>
      <c r="O402" s="26" t="n">
        <v>6</v>
      </c>
      <c r="P402" s="30" t="n">
        <v>-12.6703118</v>
      </c>
      <c r="Q402" s="30" t="n">
        <v>-38.5446043</v>
      </c>
      <c r="R402" s="14" t="inlineStr">
        <is>
          <t>CARTÓRIO ELEITORAL DE CANDEIAS - TV. ALAGOAS, Nº 26-A, BAIRRO PITANGA, CEP: 43.810-340, CANDEIAS/BA</t>
        </is>
      </c>
      <c r="S402" s="26">
        <f>IF(A402=A401,0,1)</f>
        <v>1</v>
      </c>
      <c r="T402" s="26">
        <f>IF(COUNTIF($B$4:B402,B402)=1,1,0)</f>
        <v>1</v>
      </c>
    </row>
    <row r="403">
      <c r="A403" s="14" t="inlineStr">
        <is>
          <t>CANDEIAS</t>
        </is>
      </c>
      <c r="B403" s="26" t="n">
        <v>127</v>
      </c>
      <c r="C403" s="26" t="n">
        <v>1031</v>
      </c>
      <c r="D403" s="14" t="inlineStr">
        <is>
          <t>CENTRO EDUCACIONAL NOSSA SENHORA DAS CANDEIAS</t>
        </is>
      </c>
      <c r="E403" s="14" t="inlineStr">
        <is>
          <t>PITANGA</t>
        </is>
      </c>
      <c r="F403" s="14" t="inlineStr">
        <is>
          <t>RUA DESEMBARGADOR TEIXEIRA DE FREITAS, N 32</t>
        </is>
      </c>
      <c r="G403" s="27" t="inlineStr">
        <is>
          <t>43810-271</t>
        </is>
      </c>
      <c r="H403" s="15" t="n">
        <v>7</v>
      </c>
      <c r="I403" s="28" t="inlineStr">
        <is>
          <t>SIM</t>
        </is>
      </c>
      <c r="J403" s="29" t="n">
        <v>54.8</v>
      </c>
      <c r="K403" s="14" t="str">
        <f>IF(J403="","7. Acima de 2 km",IF(J403&lt;=50,"1. Até 50 m",IF(J403&lt;=100,"2. De 50 a 100 m",IF(J403&lt;=200,"3. De 100 a 200 m",IF(J403&lt;=300,"4. De 200 a 300 m",IF(J403&lt;=500,"5. De 300 a 500 m","6. De 500 m a 2 km"))))))</f>
        <v>2. De 50 a 100 m</v>
      </c>
      <c r="L403" s="26" t="n">
        <v>0</v>
      </c>
      <c r="M403" s="26" t="n">
        <v>3</v>
      </c>
      <c r="N403" s="26" t="n">
        <v>3</v>
      </c>
      <c r="O403" s="26" t="n">
        <v>3</v>
      </c>
      <c r="P403" s="30" t="n">
        <v>-12.6667917</v>
      </c>
      <c r="Q403" s="30" t="n">
        <v>-38.5432008</v>
      </c>
      <c r="R403" s="14" t="inlineStr">
        <is>
          <t>CARTÓRIO ELEITORAL DE CANDEIAS - TV. ALAGOAS, Nº 26-A, BAIRRO PITANGA, CEP: 43.810-340, CANDEIAS/BA</t>
        </is>
      </c>
      <c r="S403" s="26">
        <f>IF(A403=A402,0,1)</f>
        <v>0</v>
      </c>
      <c r="T403" s="26">
        <f>IF(COUNTIF($B$4:B403,B403)=1,1,0)</f>
        <v>0</v>
      </c>
    </row>
    <row r="404">
      <c r="A404" s="14" t="inlineStr">
        <is>
          <t>CANDEIAS</t>
        </is>
      </c>
      <c r="B404" s="26" t="n">
        <v>127</v>
      </c>
      <c r="C404" s="26" t="n">
        <v>1040</v>
      </c>
      <c r="D404" s="14" t="inlineStr">
        <is>
          <t>ESCOLA MUNICIPALIZADA ADRIANO GORDILHO</t>
        </is>
      </c>
      <c r="E404" s="14" t="inlineStr">
        <is>
          <t>TRIANGULO</t>
        </is>
      </c>
      <c r="F404" s="14" t="inlineStr">
        <is>
          <t>RUA CAMURUGIPE, S/N - ZONA URBANA</t>
        </is>
      </c>
      <c r="G404" s="27" t="inlineStr">
        <is>
          <t>43815-380</t>
        </is>
      </c>
      <c r="H404" s="15" t="n">
        <v>5</v>
      </c>
      <c r="I404" s="28" t="inlineStr">
        <is>
          <t>SIM</t>
        </is>
      </c>
      <c r="J404" s="29" t="n">
        <v>94.5</v>
      </c>
      <c r="K404" s="14" t="str">
        <f>IF(J404="","7. Acima de 2 km",IF(J404&lt;=50,"1. Até 50 m",IF(J404&lt;=100,"2. De 50 a 100 m",IF(J404&lt;=200,"3. De 100 a 200 m",IF(J404&lt;=300,"4. De 200 a 300 m",IF(J404&lt;=500,"5. De 300 a 500 m","6. De 500 m a 2 km"))))))</f>
        <v>2. De 50 a 100 m</v>
      </c>
      <c r="L404" s="26" t="n">
        <v>0</v>
      </c>
      <c r="M404" s="26" t="n">
        <v>1</v>
      </c>
      <c r="N404" s="26" t="n">
        <v>5</v>
      </c>
      <c r="O404" s="26" t="n">
        <v>10</v>
      </c>
      <c r="P404" s="30" t="n">
        <v>-12.6695443</v>
      </c>
      <c r="Q404" s="30" t="n">
        <v>-38.5383725</v>
      </c>
      <c r="R404" s="14" t="inlineStr">
        <is>
          <t>CARTÓRIO ELEITORAL DE CANDEIAS - TV. ALAGOAS, Nº 26-A, BAIRRO PITANGA, CEP: 43.810-340, CANDEIAS/BA</t>
        </is>
      </c>
      <c r="S404" s="26">
        <f>IF(A404=A403,0,1)</f>
        <v>0</v>
      </c>
      <c r="T404" s="26">
        <f>IF(COUNTIF($B$4:B404,B404)=1,1,0)</f>
        <v>0</v>
      </c>
    </row>
    <row r="405">
      <c r="A405" s="14" t="inlineStr">
        <is>
          <t>CANDEIAS</t>
        </is>
      </c>
      <c r="B405" s="26" t="n">
        <v>127</v>
      </c>
      <c r="C405" s="26" t="n">
        <v>1058</v>
      </c>
      <c r="D405" s="14" t="inlineStr">
        <is>
          <t>CASA DOS ROMEIROS</t>
        </is>
      </c>
      <c r="E405" s="14" t="inlineStr">
        <is>
          <t>CENTRO</t>
        </is>
      </c>
      <c r="F405" s="14" t="inlineStr">
        <is>
          <t>RUA PIO XI - MATRIZ NOSSA SENHORA DAS CANDEIAS - ZONA URBANA</t>
        </is>
      </c>
      <c r="G405" s="27" t="inlineStr">
        <is>
          <t>43800-000</t>
        </is>
      </c>
      <c r="H405" s="15" t="n">
        <v>8</v>
      </c>
      <c r="I405" s="28" t="inlineStr">
        <is>
          <t>SIM</t>
        </is>
      </c>
      <c r="J405" s="29" t="n">
        <v>37.8</v>
      </c>
      <c r="K405" s="14" t="str">
        <f>IF(J405="","7. Acima de 2 km",IF(J405&lt;=50,"1. Até 50 m",IF(J405&lt;=100,"2. De 50 a 100 m",IF(J405&lt;=200,"3. De 100 a 200 m",IF(J405&lt;=300,"4. De 200 a 300 m",IF(J405&lt;=500,"5. De 300 a 500 m","6. De 500 m a 2 km"))))))</f>
        <v>1. Até 50 m</v>
      </c>
      <c r="L405" s="26" t="n">
        <v>1</v>
      </c>
      <c r="M405" s="26" t="n">
        <v>1</v>
      </c>
      <c r="N405" s="26" t="n">
        <v>2</v>
      </c>
      <c r="O405" s="26" t="n">
        <v>3</v>
      </c>
      <c r="P405" s="30" t="n">
        <v>-12.6700447</v>
      </c>
      <c r="Q405" s="30" t="n">
        <v>-38.5486551</v>
      </c>
      <c r="R405" s="14" t="inlineStr">
        <is>
          <t>CARTÓRIO ELEITORAL DE CANDEIAS - TV. ALAGOAS, Nº 26-A, BAIRRO PITANGA, CEP: 43.810-340, CANDEIAS/BA</t>
        </is>
      </c>
      <c r="S405" s="26">
        <f>IF(A405=A404,0,1)</f>
        <v>0</v>
      </c>
      <c r="T405" s="26">
        <f>IF(COUNTIF($B$4:B405,B405)=1,1,0)</f>
        <v>0</v>
      </c>
    </row>
    <row r="406">
      <c r="A406" s="14" t="inlineStr">
        <is>
          <t>CANDEIAS</t>
        </is>
      </c>
      <c r="B406" s="26" t="n">
        <v>127</v>
      </c>
      <c r="C406" s="26" t="n">
        <v>1090</v>
      </c>
      <c r="D406" s="14" t="inlineStr">
        <is>
          <t>ESCOLA ESTADUAL LUIZ VIANA FILHO</t>
        </is>
      </c>
      <c r="E406" s="14" t="inlineStr">
        <is>
          <t>PITANGA</t>
        </is>
      </c>
      <c r="F406" s="14" t="inlineStr">
        <is>
          <t>RUA DESEMBARGADOR TEIXEIRA DE FREITAS, N 10 - ZONA URBANA</t>
        </is>
      </c>
      <c r="G406" s="27" t="inlineStr">
        <is>
          <t>43810-271</t>
        </is>
      </c>
      <c r="H406" s="15" t="n">
        <v>4</v>
      </c>
      <c r="I406" s="28" t="inlineStr">
        <is>
          <t>SIM</t>
        </is>
      </c>
      <c r="J406" s="29" t="n">
        <v>16.3</v>
      </c>
      <c r="K406" s="14" t="str">
        <f>IF(J406="","7. Acima de 2 km",IF(J406&lt;=50,"1. Até 50 m",IF(J406&lt;=100,"2. De 50 a 100 m",IF(J406&lt;=200,"3. De 100 a 200 m",IF(J406&lt;=300,"4. De 200 a 300 m",IF(J406&lt;=500,"5. De 300 a 500 m","6. De 500 m a 2 km"))))))</f>
        <v>1. Até 50 m</v>
      </c>
      <c r="L406" s="26" t="n">
        <v>1</v>
      </c>
      <c r="M406" s="26" t="n">
        <v>1</v>
      </c>
      <c r="N406" s="26" t="n">
        <v>3</v>
      </c>
      <c r="O406" s="26" t="n">
        <v>4</v>
      </c>
      <c r="P406" s="30" t="n">
        <v>-12.6659228</v>
      </c>
      <c r="Q406" s="30" t="n">
        <v>-38.54349</v>
      </c>
      <c r="R406" s="14" t="inlineStr">
        <is>
          <t>CARTÓRIO ELEITORAL DE CANDEIAS - TV. ALAGOAS, Nº 26-A, BAIRRO PITANGA, CEP: 43.810-340, CANDEIAS/BA</t>
        </is>
      </c>
      <c r="S406" s="26">
        <f>IF(A406=A405,0,1)</f>
        <v>0</v>
      </c>
      <c r="T406" s="26">
        <f>IF(COUNTIF($B$4:B406,B406)=1,1,0)</f>
        <v>0</v>
      </c>
    </row>
    <row r="407">
      <c r="A407" s="14" t="inlineStr">
        <is>
          <t>CANDEIAS</t>
        </is>
      </c>
      <c r="B407" s="26" t="n">
        <v>127</v>
      </c>
      <c r="C407" s="26" t="n">
        <v>1112</v>
      </c>
      <c r="D407" s="14" t="inlineStr">
        <is>
          <t>ESCOLA MUNICIPAL ALZIRA FERREIRA</t>
        </is>
      </c>
      <c r="E407" s="14" t="inlineStr">
        <is>
          <t>SANTO ANTONIO</t>
        </is>
      </c>
      <c r="F407" s="14" t="inlineStr">
        <is>
          <t>RUA ARACAJU - ZONA URBANA</t>
        </is>
      </c>
      <c r="G407" s="27" t="inlineStr">
        <is>
          <t>43800-000</t>
        </is>
      </c>
      <c r="H407" s="15" t="n">
        <v>6</v>
      </c>
      <c r="I407" s="28" t="inlineStr">
        <is>
          <t>NÃO</t>
        </is>
      </c>
      <c r="J407" s="29" t="n">
        <v>153.2</v>
      </c>
      <c r="K407" s="14" t="str">
        <f>IF(J407="","7. Acima de 2 km",IF(J407&lt;=50,"1. Até 50 m",IF(J407&lt;=100,"2. De 50 a 100 m",IF(J407&lt;=200,"3. De 100 a 200 m",IF(J407&lt;=300,"4. De 200 a 300 m",IF(J407&lt;=500,"5. De 300 a 500 m","6. De 500 m a 2 km"))))))</f>
        <v>3. De 100 a 200 m</v>
      </c>
      <c r="L407" s="26" t="n">
        <v>0</v>
      </c>
      <c r="M407" s="26" t="n">
        <v>0</v>
      </c>
      <c r="N407" s="26" t="n">
        <v>2</v>
      </c>
      <c r="O407" s="26" t="n">
        <v>5</v>
      </c>
      <c r="P407" s="30" t="n">
        <v>-12.6728891</v>
      </c>
      <c r="Q407" s="30" t="n">
        <v>-38.5391121</v>
      </c>
      <c r="R407" s="14" t="inlineStr">
        <is>
          <t>CARTÓRIO ELEITORAL DE CANDEIAS - TV. ALAGOAS, Nº 26-A, BAIRRO PITANGA, CEP: 43.810-340, CANDEIAS/BA</t>
        </is>
      </c>
      <c r="S407" s="26">
        <f>IF(A407=A406,0,1)</f>
        <v>0</v>
      </c>
      <c r="T407" s="26">
        <f>IF(COUNTIF($B$4:B407,B407)=1,1,0)</f>
        <v>0</v>
      </c>
    </row>
    <row r="408">
      <c r="A408" s="14" t="inlineStr">
        <is>
          <t>CANDEIAS</t>
        </is>
      </c>
      <c r="B408" s="26" t="n">
        <v>127</v>
      </c>
      <c r="C408" s="26" t="n">
        <v>1120</v>
      </c>
      <c r="D408" s="14" t="inlineStr">
        <is>
          <t>ESCOLA ESTADUAL OURO NEGRO</t>
        </is>
      </c>
      <c r="E408" s="14" t="inlineStr">
        <is>
          <t>CENTRO</t>
        </is>
      </c>
      <c r="F408" s="14" t="inlineStr">
        <is>
          <t>RUA DOS MISSIONÁRIOS, S/N - ZONA URBANA</t>
        </is>
      </c>
      <c r="G408" s="27" t="inlineStr">
        <is>
          <t>43800-000</t>
        </is>
      </c>
      <c r="H408" s="15" t="n">
        <v>8</v>
      </c>
      <c r="I408" s="28" t="inlineStr">
        <is>
          <t>SIM</t>
        </is>
      </c>
      <c r="J408" s="29" t="n">
        <v>89.5</v>
      </c>
      <c r="K408" s="14" t="str">
        <f>IF(J408="","7. Acima de 2 km",IF(J408&lt;=50,"1. Até 50 m",IF(J408&lt;=100,"2. De 50 a 100 m",IF(J408&lt;=200,"3. De 100 a 200 m",IF(J408&lt;=300,"4. De 200 a 300 m",IF(J408&lt;=500,"5. De 300 a 500 m","6. De 500 m a 2 km"))))))</f>
        <v>2. De 50 a 100 m</v>
      </c>
      <c r="L408" s="26" t="n">
        <v>0</v>
      </c>
      <c r="M408" s="26" t="n">
        <v>1</v>
      </c>
      <c r="N408" s="26" t="n">
        <v>3</v>
      </c>
      <c r="O408" s="26" t="n">
        <v>5</v>
      </c>
      <c r="P408" s="30" t="n">
        <v>-12.6709222</v>
      </c>
      <c r="Q408" s="30" t="n">
        <v>-38.5457579</v>
      </c>
      <c r="R408" s="14" t="inlineStr">
        <is>
          <t>CARTÓRIO ELEITORAL DE CANDEIAS - TV. ALAGOAS, Nº 26-A, BAIRRO PITANGA, CEP: 43.810-340, CANDEIAS/BA</t>
        </is>
      </c>
      <c r="S408" s="26">
        <f>IF(A408=A407,0,1)</f>
        <v>0</v>
      </c>
      <c r="T408" s="26">
        <f>IF(COUNTIF($B$4:B408,B408)=1,1,0)</f>
        <v>0</v>
      </c>
    </row>
    <row r="409">
      <c r="A409" s="14" t="inlineStr">
        <is>
          <t>CANDEIAS</t>
        </is>
      </c>
      <c r="B409" s="26" t="n">
        <v>127</v>
      </c>
      <c r="C409" s="26" t="n">
        <v>1147</v>
      </c>
      <c r="D409" s="14" t="inlineStr">
        <is>
          <t>ESCOLA MUNICIPAL ANTONIO CARLOS MAGALHAES</t>
        </is>
      </c>
      <c r="E409" s="14" t="inlineStr">
        <is>
          <t>MALEMBA</t>
        </is>
      </c>
      <c r="F409" s="14" t="inlineStr">
        <is>
          <t>PCA MILTON BULCAO  LEMOS - ZONA URBANA</t>
        </is>
      </c>
      <c r="G409" s="27" t="inlineStr">
        <is>
          <t>43800-000</t>
        </is>
      </c>
      <c r="H409" s="15" t="n">
        <v>4</v>
      </c>
      <c r="I409" s="28" t="inlineStr">
        <is>
          <t>SIM</t>
        </is>
      </c>
      <c r="J409" s="29" t="n">
        <v>6.3</v>
      </c>
      <c r="K409" s="14" t="str">
        <f>IF(J409="","7. Acima de 2 km",IF(J409&lt;=50,"1. Até 50 m",IF(J409&lt;=100,"2. De 50 a 100 m",IF(J409&lt;=200,"3. De 100 a 200 m",IF(J409&lt;=300,"4. De 200 a 300 m",IF(J409&lt;=500,"5. De 300 a 500 m","6. De 500 m a 2 km"))))))</f>
        <v>1. Até 50 m</v>
      </c>
      <c r="L409" s="26" t="n">
        <v>1</v>
      </c>
      <c r="M409" s="26" t="n">
        <v>2</v>
      </c>
      <c r="N409" s="26" t="n">
        <v>2</v>
      </c>
      <c r="O409" s="26" t="n">
        <v>2</v>
      </c>
      <c r="P409" s="30" t="n">
        <v>-12.6762513</v>
      </c>
      <c r="Q409" s="30" t="n">
        <v>-38.5436656</v>
      </c>
      <c r="R409" s="14" t="inlineStr">
        <is>
          <t>CARTÓRIO ELEITORAL DE CANDEIAS - TV. ALAGOAS, Nº 26-A, BAIRRO PITANGA, CEP: 43.810-340, CANDEIAS/BA</t>
        </is>
      </c>
      <c r="S409" s="26">
        <f>IF(A409=A408,0,1)</f>
        <v>0</v>
      </c>
      <c r="T409" s="26">
        <f>IF(COUNTIF($B$4:B409,B409)=1,1,0)</f>
        <v>0</v>
      </c>
    </row>
    <row r="410">
      <c r="A410" s="14" t="inlineStr">
        <is>
          <t>CANDEIAS</t>
        </is>
      </c>
      <c r="B410" s="26" t="n">
        <v>127</v>
      </c>
      <c r="C410" s="26" t="n">
        <v>1155</v>
      </c>
      <c r="D410" s="14" t="inlineStr">
        <is>
          <t>ESCOLA MUNICIPAL JONAS BARBOSA DE LIMA</t>
        </is>
      </c>
      <c r="E410" s="14" t="inlineStr">
        <is>
          <t>CENTRO</t>
        </is>
      </c>
      <c r="F410" s="14" t="inlineStr">
        <is>
          <t>RUA PRESIDENTE KENNEDY, S/N - ZONA URBANA</t>
        </is>
      </c>
      <c r="G410" s="27" t="inlineStr">
        <is>
          <t>43805-000</t>
        </is>
      </c>
      <c r="H410" s="15" t="n">
        <v>5</v>
      </c>
      <c r="I410" s="28" t="inlineStr">
        <is>
          <t>SIM</t>
        </is>
      </c>
      <c r="J410" s="29" t="n">
        <v>53.6</v>
      </c>
      <c r="K410" s="14" t="str">
        <f>IF(J410="","7. Acima de 2 km",IF(J410&lt;=50,"1. Até 50 m",IF(J410&lt;=100,"2. De 50 a 100 m",IF(J410&lt;=200,"3. De 100 a 200 m",IF(J410&lt;=300,"4. De 200 a 300 m",IF(J410&lt;=500,"5. De 300 a 500 m","6. De 500 m a 2 km"))))))</f>
        <v>2. De 50 a 100 m</v>
      </c>
      <c r="L410" s="26" t="n">
        <v>0</v>
      </c>
      <c r="M410" s="26" t="n">
        <v>1</v>
      </c>
      <c r="N410" s="26" t="n">
        <v>3</v>
      </c>
      <c r="O410" s="26" t="n">
        <v>5</v>
      </c>
      <c r="P410" s="30" t="n">
        <v>-12.669749</v>
      </c>
      <c r="Q410" s="30" t="n">
        <v>-38.5454783</v>
      </c>
      <c r="R410" s="14" t="inlineStr">
        <is>
          <t>CARTÓRIO ELEITORAL DE CANDEIAS - TV. ALAGOAS, Nº 26-A, BAIRRO PITANGA, CEP: 43.810-340, CANDEIAS/BA</t>
        </is>
      </c>
      <c r="S410" s="26">
        <f>IF(A410=A409,0,1)</f>
        <v>0</v>
      </c>
      <c r="T410" s="26">
        <f>IF(COUNTIF($B$4:B410,B410)=1,1,0)</f>
        <v>0</v>
      </c>
    </row>
    <row r="411">
      <c r="A411" s="14" t="inlineStr">
        <is>
          <t>CANDEIAS</t>
        </is>
      </c>
      <c r="B411" s="26" t="n">
        <v>127</v>
      </c>
      <c r="C411" s="26" t="n">
        <v>1180</v>
      </c>
      <c r="D411" s="14" t="inlineStr">
        <is>
          <t xml:space="preserve">CENTRO ESTADUAL DE EDUCAÇÃO PROFISSIONAL DE CANDEIAS </t>
        </is>
      </c>
      <c r="E411" s="14" t="inlineStr">
        <is>
          <t>MALEMBA</t>
        </is>
      </c>
      <c r="F411" s="14" t="inlineStr">
        <is>
          <t>RUA JOSE XAVIER, S/N - ZONA URBANA</t>
        </is>
      </c>
      <c r="G411" s="27" t="inlineStr">
        <is>
          <t>43805-580</t>
        </is>
      </c>
      <c r="H411" s="15" t="n">
        <v>13</v>
      </c>
      <c r="I411" s="28" t="inlineStr">
        <is>
          <t>NÃO</t>
        </is>
      </c>
      <c r="J411" s="29" t="n">
        <v>104.5</v>
      </c>
      <c r="K411" s="14" t="str">
        <f>IF(J411="","7. Acima de 2 km",IF(J411&lt;=50,"1. Até 50 m",IF(J411&lt;=100,"2. De 50 a 100 m",IF(J411&lt;=200,"3. De 100 a 200 m",IF(J411&lt;=300,"4. De 200 a 300 m",IF(J411&lt;=500,"5. De 300 a 500 m","6. De 500 m a 2 km"))))))</f>
        <v>3. De 100 a 200 m</v>
      </c>
      <c r="L411" s="26" t="n">
        <v>0</v>
      </c>
      <c r="M411" s="26" t="n">
        <v>0</v>
      </c>
      <c r="N411" s="26" t="n">
        <v>2</v>
      </c>
      <c r="O411" s="26" t="n">
        <v>2</v>
      </c>
      <c r="P411" s="30" t="n">
        <v>-12.6766377</v>
      </c>
      <c r="Q411" s="30" t="n">
        <v>-38.5428498</v>
      </c>
      <c r="R411" s="14" t="inlineStr">
        <is>
          <t>CARTÓRIO ELEITORAL DE CANDEIAS - TV. ALAGOAS, Nº 26-A, BAIRRO PITANGA, CEP: 43.810-340, CANDEIAS/BA</t>
        </is>
      </c>
      <c r="S411" s="26">
        <f>IF(A411=A410,0,1)</f>
        <v>0</v>
      </c>
      <c r="T411" s="26">
        <f>IF(COUNTIF($B$4:B411,B411)=1,1,0)</f>
        <v>0</v>
      </c>
    </row>
    <row r="412">
      <c r="A412" s="14" t="inlineStr">
        <is>
          <t>CANDEIAS</t>
        </is>
      </c>
      <c r="B412" s="26" t="n">
        <v>127</v>
      </c>
      <c r="C412" s="26" t="n">
        <v>1198</v>
      </c>
      <c r="D412" s="14" t="inlineStr">
        <is>
          <t>ESCOLA MUNICIPAL SAO JOAO BATISTA</t>
        </is>
      </c>
      <c r="E412" s="14" t="inlineStr">
        <is>
          <t>NOVA BRASILIA</t>
        </is>
      </c>
      <c r="F412" s="14" t="inlineStr">
        <is>
          <t>RUA D, S/N  -  ZONA URBANA</t>
        </is>
      </c>
      <c r="G412" s="27" t="inlineStr">
        <is>
          <t>43800-000</t>
        </is>
      </c>
      <c r="H412" s="15" t="n">
        <v>10</v>
      </c>
      <c r="I412" s="28" t="inlineStr">
        <is>
          <t>NÃO</t>
        </is>
      </c>
      <c r="J412" s="29" t="n">
        <v>466.6</v>
      </c>
      <c r="K412" s="14" t="str">
        <f>IF(J412="","7. Acima de 2 km",IF(J412&lt;=50,"1. Até 50 m",IF(J412&lt;=100,"2. De 50 a 100 m",IF(J412&lt;=200,"3. De 100 a 200 m",IF(J412&lt;=300,"4. De 200 a 300 m",IF(J412&lt;=500,"5. De 300 a 500 m","6. De 500 m a 2 km"))))))</f>
        <v>5. De 300 a 500 m</v>
      </c>
      <c r="L412" s="26" t="n">
        <v>0</v>
      </c>
      <c r="M412" s="26" t="n">
        <v>0</v>
      </c>
      <c r="N412" s="26" t="n">
        <v>0</v>
      </c>
      <c r="O412" s="26" t="n">
        <v>0</v>
      </c>
      <c r="P412" s="30" t="n">
        <v>-12.6619549</v>
      </c>
      <c r="Q412" s="30" t="n">
        <v>-38.5475787</v>
      </c>
      <c r="R412" s="14" t="inlineStr">
        <is>
          <t>CARTÓRIO ELEITORAL DE CANDEIAS - TV. ALAGOAS, Nº 26-A, BAIRRO PITANGA, CEP: 43.810-340, CANDEIAS/BA</t>
        </is>
      </c>
      <c r="S412" s="26">
        <f>IF(A412=A411,0,1)</f>
        <v>0</v>
      </c>
      <c r="T412" s="26">
        <f>IF(COUNTIF($B$4:B412,B412)=1,1,0)</f>
        <v>0</v>
      </c>
    </row>
    <row r="413">
      <c r="A413" s="14" t="inlineStr">
        <is>
          <t>CANDEIAS</t>
        </is>
      </c>
      <c r="B413" s="26" t="n">
        <v>127</v>
      </c>
      <c r="C413" s="26" t="n">
        <v>1201</v>
      </c>
      <c r="D413" s="14" t="inlineStr">
        <is>
          <t>ESCOLA MUNICIPAL JULIETA VIANA</t>
        </is>
      </c>
      <c r="E413" s="14" t="inlineStr">
        <is>
          <t>AREIA</t>
        </is>
      </c>
      <c r="F413" s="14" t="inlineStr">
        <is>
          <t>RUA GETULIO VARGAS, S/N - ZONA URBANA</t>
        </is>
      </c>
      <c r="G413" s="27" t="inlineStr">
        <is>
          <t>43825-141</t>
        </is>
      </c>
      <c r="H413" s="15" t="n">
        <v>14</v>
      </c>
      <c r="I413" s="28" t="inlineStr">
        <is>
          <t>NÃO</t>
        </is>
      </c>
      <c r="J413" s="29" t="n">
        <v>273.1</v>
      </c>
      <c r="K413" s="14" t="str">
        <f>IF(J413="","7. Acima de 2 km",IF(J413&lt;=50,"1. Até 50 m",IF(J413&lt;=100,"2. De 50 a 100 m",IF(J413&lt;=200,"3. De 100 a 200 m",IF(J413&lt;=300,"4. De 200 a 300 m",IF(J413&lt;=500,"5. De 300 a 500 m","6. De 500 m a 2 km"))))))</f>
        <v>4. De 200 a 300 m</v>
      </c>
      <c r="L413" s="26" t="n">
        <v>0</v>
      </c>
      <c r="M413" s="26" t="n">
        <v>0</v>
      </c>
      <c r="N413" s="26" t="n">
        <v>0</v>
      </c>
      <c r="O413" s="26" t="n">
        <v>1</v>
      </c>
      <c r="P413" s="30" t="n">
        <v>-12.6763357</v>
      </c>
      <c r="Q413" s="30" t="n">
        <v>-38.5355992</v>
      </c>
      <c r="R413" s="14" t="inlineStr">
        <is>
          <t>CARTÓRIO ELEITORAL DE CANDEIAS - TV. ALAGOAS, Nº 26-A, BAIRRO PITANGA, CEP: 43.810-340, CANDEIAS/BA</t>
        </is>
      </c>
      <c r="S413" s="26">
        <f>IF(A413=A412,0,1)</f>
        <v>0</v>
      </c>
      <c r="T413" s="26">
        <f>IF(COUNTIF($B$4:B413,B413)=1,1,0)</f>
        <v>0</v>
      </c>
    </row>
    <row r="414">
      <c r="A414" s="14" t="inlineStr">
        <is>
          <t>CANDEIAS</t>
        </is>
      </c>
      <c r="B414" s="26" t="n">
        <v>127</v>
      </c>
      <c r="C414" s="26" t="n">
        <v>1228</v>
      </c>
      <c r="D414" s="14" t="inlineStr">
        <is>
          <t>ESCOLA MUNICIPAL EDITH DIAS DOS SANTOS</t>
        </is>
      </c>
      <c r="E414" s="14" t="inlineStr">
        <is>
          <t>MALEMBA</t>
        </is>
      </c>
      <c r="F414" s="14" t="inlineStr">
        <is>
          <t xml:space="preserve">RUA SANTA ISABEL, N 01 - ZONA URBANA  </t>
        </is>
      </c>
      <c r="G414" s="27" t="inlineStr">
        <is>
          <t>43825-290</t>
        </is>
      </c>
      <c r="H414" s="15" t="n">
        <v>3</v>
      </c>
      <c r="I414" s="28" t="inlineStr">
        <is>
          <t>NÃO</t>
        </is>
      </c>
      <c r="J414" s="29" t="n">
        <v>144.2</v>
      </c>
      <c r="K414" s="14" t="str">
        <f>IF(J414="","7. Acima de 2 km",IF(J414&lt;=50,"1. Até 50 m",IF(J414&lt;=100,"2. De 50 a 100 m",IF(J414&lt;=200,"3. De 100 a 200 m",IF(J414&lt;=300,"4. De 200 a 300 m",IF(J414&lt;=500,"5. De 300 a 500 m","6. De 500 m a 2 km"))))))</f>
        <v>3. De 100 a 200 m</v>
      </c>
      <c r="L414" s="26" t="n">
        <v>0</v>
      </c>
      <c r="M414" s="26" t="n">
        <v>0</v>
      </c>
      <c r="N414" s="26" t="n">
        <v>1</v>
      </c>
      <c r="O414" s="26" t="n">
        <v>1</v>
      </c>
      <c r="P414" s="30" t="n">
        <v>-12.6789124</v>
      </c>
      <c r="Q414" s="30" t="n">
        <v>-38.5448475</v>
      </c>
      <c r="R414" s="14" t="inlineStr">
        <is>
          <t>CARTÓRIO ELEITORAL DE CANDEIAS - TV. ALAGOAS, Nº 26-A, BAIRRO PITANGA, CEP: 43.810-340, CANDEIAS/BA</t>
        </is>
      </c>
      <c r="S414" s="26">
        <f>IF(A414=A413,0,1)</f>
        <v>0</v>
      </c>
      <c r="T414" s="26">
        <f>IF(COUNTIF($B$4:B414,B414)=1,1,0)</f>
        <v>0</v>
      </c>
    </row>
    <row r="415">
      <c r="A415" s="14" t="inlineStr">
        <is>
          <t>CANDEIAS</t>
        </is>
      </c>
      <c r="B415" s="26" t="n">
        <v>127</v>
      </c>
      <c r="C415" s="26" t="n">
        <v>1236</v>
      </c>
      <c r="D415" s="14" t="inlineStr">
        <is>
          <t>ESCOLA MUNICIPAL LAURENTINO NOLASCO DA CRUZ</t>
        </is>
      </c>
      <c r="E415" s="14" t="inlineStr">
        <is>
          <t>SARANDY</t>
        </is>
      </c>
      <c r="F415" s="14" t="inlineStr">
        <is>
          <t>RUA TOME DE SOUZA - ZONA URBANA</t>
        </is>
      </c>
      <c r="G415" s="27" t="inlineStr">
        <is>
          <t>43800-000</t>
        </is>
      </c>
      <c r="H415" s="15" t="n">
        <v>8</v>
      </c>
      <c r="I415" s="28" t="inlineStr">
        <is>
          <t>NÃO</t>
        </is>
      </c>
      <c r="J415" s="29" t="n">
        <v>297.6</v>
      </c>
      <c r="K415" s="14" t="str">
        <f>IF(J415="","7. Acima de 2 km",IF(J415&lt;=50,"1. Até 50 m",IF(J415&lt;=100,"2. De 50 a 100 m",IF(J415&lt;=200,"3. De 100 a 200 m",IF(J415&lt;=300,"4. De 200 a 300 m",IF(J415&lt;=500,"5. De 300 a 500 m","6. De 500 m a 2 km"))))))</f>
        <v>4. De 200 a 300 m</v>
      </c>
      <c r="L415" s="26" t="n">
        <v>0</v>
      </c>
      <c r="M415" s="26" t="n">
        <v>0</v>
      </c>
      <c r="N415" s="26" t="n">
        <v>0</v>
      </c>
      <c r="O415" s="26" t="n">
        <v>1</v>
      </c>
      <c r="P415" s="30" t="n">
        <v>-12.6682622</v>
      </c>
      <c r="Q415" s="30" t="n">
        <v>-38.5330937</v>
      </c>
      <c r="R415" s="14" t="inlineStr">
        <is>
          <t>CARTÓRIO ELEITORAL DE CANDEIAS - TV. ALAGOAS, Nº 26-A, BAIRRO PITANGA, CEP: 43.810-340, CANDEIAS/BA</t>
        </is>
      </c>
      <c r="S415" s="26">
        <f>IF(A415=A414,0,1)</f>
        <v>0</v>
      </c>
      <c r="T415" s="26">
        <f>IF(COUNTIF($B$4:B415,B415)=1,1,0)</f>
        <v>0</v>
      </c>
    </row>
    <row r="416">
      <c r="A416" s="14" t="inlineStr">
        <is>
          <t>CANDEIAS</t>
        </is>
      </c>
      <c r="B416" s="26" t="n">
        <v>127</v>
      </c>
      <c r="C416" s="26" t="n">
        <v>1260</v>
      </c>
      <c r="D416" s="14" t="inlineStr">
        <is>
          <t>ESCOLA MUNICIPAL PAPA PAULO VI</t>
        </is>
      </c>
      <c r="E416" s="14" t="inlineStr">
        <is>
          <t>PITANGA</t>
        </is>
      </c>
      <c r="F416" s="14" t="inlineStr">
        <is>
          <t>RUA DESEMBARGADOR TEIXEIRA DE FREITAS, S/N - ZONA URBANA</t>
        </is>
      </c>
      <c r="G416" s="27" t="inlineStr">
        <is>
          <t>43800-000</t>
        </is>
      </c>
      <c r="H416" s="15" t="n">
        <v>4</v>
      </c>
      <c r="I416" s="28" t="inlineStr">
        <is>
          <t>NÃO</t>
        </is>
      </c>
      <c r="J416" s="29" t="n">
        <v>112.7</v>
      </c>
      <c r="K416" s="14" t="str">
        <f>IF(J416="","7. Acima de 2 km",IF(J416&lt;=50,"1. Até 50 m",IF(J416&lt;=100,"2. De 50 a 100 m",IF(J416&lt;=200,"3. De 100 a 200 m",IF(J416&lt;=300,"4. De 200 a 300 m",IF(J416&lt;=500,"5. De 300 a 500 m","6. De 500 m a 2 km"))))))</f>
        <v>3. De 100 a 200 m</v>
      </c>
      <c r="L416" s="26" t="n">
        <v>0</v>
      </c>
      <c r="M416" s="26" t="n">
        <v>0</v>
      </c>
      <c r="N416" s="26" t="n">
        <v>2</v>
      </c>
      <c r="O416" s="26" t="n">
        <v>3</v>
      </c>
      <c r="P416" s="30" t="n">
        <v>-12.6651335</v>
      </c>
      <c r="Q416" s="30" t="n">
        <v>-38.5440437</v>
      </c>
      <c r="R416" s="14" t="inlineStr">
        <is>
          <t>CARTÓRIO ELEITORAL DE CANDEIAS - TV. ALAGOAS, Nº 26-A, BAIRRO PITANGA, CEP: 43.810-340, CANDEIAS/BA</t>
        </is>
      </c>
      <c r="S416" s="26">
        <f>IF(A416=A415,0,1)</f>
        <v>0</v>
      </c>
      <c r="T416" s="26">
        <f>IF(COUNTIF($B$4:B416,B416)=1,1,0)</f>
        <v>0</v>
      </c>
    </row>
    <row r="417">
      <c r="A417" s="14" t="inlineStr">
        <is>
          <t>CANDEIAS</t>
        </is>
      </c>
      <c r="B417" s="26" t="n">
        <v>127</v>
      </c>
      <c r="C417" s="26" t="n">
        <v>1295</v>
      </c>
      <c r="D417" s="14" t="inlineStr">
        <is>
          <t>ESCOLA MUNICIPAL ALFREDO SILVA SERRA</t>
        </is>
      </c>
      <c r="E417" s="14" t="inlineStr">
        <is>
          <t>MALEMBA</t>
        </is>
      </c>
      <c r="F417" s="14" t="inlineStr">
        <is>
          <t>RUA TEOTONIO VILELA, S/N - ZONA URBANA</t>
        </is>
      </c>
      <c r="G417" s="27" t="inlineStr">
        <is>
          <t>43805-100</t>
        </is>
      </c>
      <c r="H417" s="15" t="n">
        <v>4</v>
      </c>
      <c r="I417" s="28" t="inlineStr">
        <is>
          <t>SIM</t>
        </is>
      </c>
      <c r="J417" s="29" t="n">
        <v>78.3</v>
      </c>
      <c r="K417" s="14" t="str">
        <f>IF(J417="","7. Acima de 2 km",IF(J417&lt;=50,"1. Até 50 m",IF(J417&lt;=100,"2. De 50 a 100 m",IF(J417&lt;=200,"3. De 100 a 200 m",IF(J417&lt;=300,"4. De 200 a 300 m",IF(J417&lt;=500,"5. De 300 a 500 m","6. De 500 m a 2 km"))))))</f>
        <v>2. De 50 a 100 m</v>
      </c>
      <c r="L417" s="26" t="n">
        <v>0</v>
      </c>
      <c r="M417" s="26" t="n">
        <v>1</v>
      </c>
      <c r="N417" s="26" t="n">
        <v>1</v>
      </c>
      <c r="O417" s="26" t="n">
        <v>1</v>
      </c>
      <c r="P417" s="30" t="n">
        <v>-12.6794695</v>
      </c>
      <c r="Q417" s="30" t="n">
        <v>-38.5451262</v>
      </c>
      <c r="R417" s="14" t="inlineStr">
        <is>
          <t>CARTÓRIO ELEITORAL DE CANDEIAS - TV. ALAGOAS, Nº 26-A, BAIRRO PITANGA, CEP: 43.810-340, CANDEIAS/BA</t>
        </is>
      </c>
      <c r="S417" s="26">
        <f>IF(A417=A416,0,1)</f>
        <v>0</v>
      </c>
      <c r="T417" s="26">
        <f>IF(COUNTIF($B$4:B417,B417)=1,1,0)</f>
        <v>0</v>
      </c>
    </row>
    <row r="418">
      <c r="A418" s="14" t="inlineStr">
        <is>
          <t>CANDEIAS</t>
        </is>
      </c>
      <c r="B418" s="26" t="n">
        <v>127</v>
      </c>
      <c r="C418" s="26" t="n">
        <v>1325</v>
      </c>
      <c r="D418" s="14" t="inlineStr">
        <is>
          <t>COLEGIO MUNICIPAL IEDA BARRADAS CARNEIRO</t>
        </is>
      </c>
      <c r="E418" s="14" t="inlineStr">
        <is>
          <t>URBIS I</t>
        </is>
      </c>
      <c r="F418" s="14" t="inlineStr">
        <is>
          <t>RUA B, S/N  -   ZONA URBANA</t>
        </is>
      </c>
      <c r="G418" s="27" t="inlineStr">
        <is>
          <t>43815-000</t>
        </is>
      </c>
      <c r="H418" s="15" t="n">
        <v>10</v>
      </c>
      <c r="I418" s="28" t="inlineStr">
        <is>
          <t>SIM</t>
        </is>
      </c>
      <c r="J418" s="29" t="n">
        <v>14.5</v>
      </c>
      <c r="K418" s="14" t="str">
        <f>IF(J418="","7. Acima de 2 km",IF(J418&lt;=50,"1. Até 50 m",IF(J418&lt;=100,"2. De 50 a 100 m",IF(J418&lt;=200,"3. De 100 a 200 m",IF(J418&lt;=300,"4. De 200 a 300 m",IF(J418&lt;=500,"5. De 300 a 500 m","6. De 500 m a 2 km"))))))</f>
        <v>1. Até 50 m</v>
      </c>
      <c r="L418" s="26" t="n">
        <v>1</v>
      </c>
      <c r="M418" s="26" t="n">
        <v>1</v>
      </c>
      <c r="N418" s="26" t="n">
        <v>1</v>
      </c>
      <c r="O418" s="26" t="n">
        <v>1</v>
      </c>
      <c r="P418" s="30" t="n">
        <v>-12.6575518</v>
      </c>
      <c r="Q418" s="30" t="n">
        <v>-38.5347356</v>
      </c>
      <c r="R418" s="14" t="inlineStr">
        <is>
          <t>CARTÓRIO ELEITORAL DE CANDEIAS - TV. ALAGOAS, Nº 26-A, BAIRRO PITANGA, CEP: 43.810-340, CANDEIAS/BA</t>
        </is>
      </c>
      <c r="S418" s="26">
        <f>IF(A418=A417,0,1)</f>
        <v>0</v>
      </c>
      <c r="T418" s="26">
        <f>IF(COUNTIF($B$4:B418,B418)=1,1,0)</f>
        <v>0</v>
      </c>
    </row>
    <row r="419">
      <c r="A419" s="14" t="inlineStr">
        <is>
          <t>CANDEIAS</t>
        </is>
      </c>
      <c r="B419" s="26" t="n">
        <v>127</v>
      </c>
      <c r="C419" s="26" t="n">
        <v>1341</v>
      </c>
      <c r="D419" s="14" t="inlineStr">
        <is>
          <t>COLEGIO MUNICIPAL PROFESSOR DASIO JOSE DE SOUZA</t>
        </is>
      </c>
      <c r="E419" s="14" t="inlineStr">
        <is>
          <t>SAO FRANCISCO</t>
        </is>
      </c>
      <c r="F419" s="14" t="inlineStr">
        <is>
          <t>RUA ITAJUBARA, S/N  - ZONA URBANA</t>
        </is>
      </c>
      <c r="G419" s="27" t="inlineStr">
        <is>
          <t>43815-450</t>
        </is>
      </c>
      <c r="H419" s="15" t="n">
        <v>12</v>
      </c>
      <c r="I419" s="28" t="inlineStr">
        <is>
          <t>NÃO</t>
        </is>
      </c>
      <c r="J419" s="29" t="n">
        <v>111.2</v>
      </c>
      <c r="K419" s="14" t="str">
        <f>IF(J419="","7. Acima de 2 km",IF(J419&lt;=50,"1. Até 50 m",IF(J419&lt;=100,"2. De 50 a 100 m",IF(J419&lt;=200,"3. De 100 a 200 m",IF(J419&lt;=300,"4. De 200 a 300 m",IF(J419&lt;=500,"5. De 300 a 500 m","6. De 500 m a 2 km"))))))</f>
        <v>3. De 100 a 200 m</v>
      </c>
      <c r="L419" s="26" t="n">
        <v>0</v>
      </c>
      <c r="M419" s="26" t="n">
        <v>0</v>
      </c>
      <c r="N419" s="26" t="n">
        <v>1</v>
      </c>
      <c r="O419" s="26" t="n">
        <v>2</v>
      </c>
      <c r="P419" s="30" t="n">
        <v>-12.6654345</v>
      </c>
      <c r="Q419" s="30" t="n">
        <v>-38.5312348</v>
      </c>
      <c r="R419" s="14" t="inlineStr">
        <is>
          <t>CARTÓRIO ELEITORAL DE CANDEIAS - TV. ALAGOAS, Nº 26-A, BAIRRO PITANGA, CEP: 43.810-340, CANDEIAS/BA</t>
        </is>
      </c>
      <c r="S419" s="26">
        <f>IF(A419=A418,0,1)</f>
        <v>0</v>
      </c>
      <c r="T419" s="26">
        <f>IF(COUNTIF($B$4:B419,B419)=1,1,0)</f>
        <v>0</v>
      </c>
    </row>
    <row r="420">
      <c r="A420" s="14" t="inlineStr">
        <is>
          <t>CANDEIAS</t>
        </is>
      </c>
      <c r="B420" s="26" t="n">
        <v>127</v>
      </c>
      <c r="C420" s="26" t="n">
        <v>1350</v>
      </c>
      <c r="D420" s="14" t="inlineStr">
        <is>
          <t>ESCOLA MUNICIPAL ALBERTINA DIAS COELHO</t>
        </is>
      </c>
      <c r="E420" s="14" t="inlineStr">
        <is>
          <t>DISTRITO PASSE</t>
        </is>
      </c>
      <c r="F420" s="14" t="inlineStr">
        <is>
          <t>RUA ROÇA GRANDE, S/N - ZONA RURAL</t>
        </is>
      </c>
      <c r="G420" s="27" t="inlineStr">
        <is>
          <t>43800-991</t>
        </is>
      </c>
      <c r="H420" s="15" t="n">
        <v>5</v>
      </c>
      <c r="I420" s="28" t="inlineStr">
        <is>
          <t>NÃO</t>
        </is>
      </c>
      <c r="J420" s="29" t="n"/>
      <c r="K420" s="14" t="str">
        <f>IF(J420="","7. Acima de 2 km",IF(J420&lt;=50,"1. Até 50 m",IF(J420&lt;=100,"2. De 50 a 100 m",IF(J420&lt;=200,"3. De 100 a 200 m",IF(J420&lt;=300,"4. De 200 a 300 m",IF(J420&lt;=500,"5. De 300 a 500 m","6. De 500 m a 2 km"))))))</f>
        <v>7. Acima de 2 km</v>
      </c>
      <c r="L420" s="26" t="n">
        <v>0</v>
      </c>
      <c r="M420" s="26" t="n">
        <v>0</v>
      </c>
      <c r="N420" s="26" t="n">
        <v>0</v>
      </c>
      <c r="O420" s="26" t="n">
        <v>0</v>
      </c>
      <c r="P420" s="30" t="n">
        <v>-12.7195571</v>
      </c>
      <c r="Q420" s="30" t="n">
        <v>-38.5212058</v>
      </c>
      <c r="R420" s="14" t="inlineStr">
        <is>
          <t>CARTÓRIO ELEITORAL DE CANDEIAS - TV. ALAGOAS, Nº 26-A, BAIRRO PITANGA, CEP: 43.810-340, CANDEIAS/BA</t>
        </is>
      </c>
      <c r="S420" s="26">
        <f>IF(A420=A419,0,1)</f>
        <v>0</v>
      </c>
      <c r="T420" s="26">
        <f>IF(COUNTIF($B$4:B420,B420)=1,1,0)</f>
        <v>0</v>
      </c>
    </row>
    <row r="421">
      <c r="A421" s="14" t="inlineStr">
        <is>
          <t>CANDEIAS</t>
        </is>
      </c>
      <c r="B421" s="26" t="n">
        <v>127</v>
      </c>
      <c r="C421" s="26" t="n">
        <v>1368</v>
      </c>
      <c r="D421" s="14" t="inlineStr">
        <is>
          <t>ESCOLA MUNICIPAL CASTRO ALVES</t>
        </is>
      </c>
      <c r="E421" s="14" t="inlineStr">
        <is>
          <t>DISTRITO PASSE</t>
        </is>
      </c>
      <c r="F421" s="14" t="inlineStr">
        <is>
          <t>RUA RIO DO CUNHA, S/N - ZONA RURAL</t>
        </is>
      </c>
      <c r="G421" s="27" t="inlineStr">
        <is>
          <t>43800-991</t>
        </is>
      </c>
      <c r="H421" s="15" t="n">
        <v>3</v>
      </c>
      <c r="I421" s="28" t="inlineStr">
        <is>
          <t>NÃO</t>
        </is>
      </c>
      <c r="J421" s="29" t="n">
        <v>729.1</v>
      </c>
      <c r="K421" s="14" t="str">
        <f>IF(J421="","7. Acima de 2 km",IF(J421&lt;=50,"1. Até 50 m",IF(J421&lt;=100,"2. De 50 a 100 m",IF(J421&lt;=200,"3. De 100 a 200 m",IF(J421&lt;=300,"4. De 200 a 300 m",IF(J421&lt;=500,"5. De 300 a 500 m","6. De 500 m a 2 km"))))))</f>
        <v>6. De 500 m a 2 km</v>
      </c>
      <c r="L421" s="26" t="n">
        <v>0</v>
      </c>
      <c r="M421" s="26" t="n">
        <v>0</v>
      </c>
      <c r="N421" s="26" t="n">
        <v>0</v>
      </c>
      <c r="O421" s="26" t="n">
        <v>0</v>
      </c>
      <c r="P421" s="30" t="n">
        <v>-12.7309584</v>
      </c>
      <c r="Q421" s="30" t="n">
        <v>-38.5315092</v>
      </c>
      <c r="R421" s="14" t="inlineStr">
        <is>
          <t>CARTÓRIO ELEITORAL DE CANDEIAS - TV. ALAGOAS, Nº 26-A, BAIRRO PITANGA, CEP: 43.810-340, CANDEIAS/BA</t>
        </is>
      </c>
      <c r="S421" s="26">
        <f>IF(A421=A420,0,1)</f>
        <v>0</v>
      </c>
      <c r="T421" s="26">
        <f>IF(COUNTIF($B$4:B421,B421)=1,1,0)</f>
        <v>0</v>
      </c>
    </row>
    <row r="422">
      <c r="A422" s="14" t="inlineStr">
        <is>
          <t>CANDEIAS</t>
        </is>
      </c>
      <c r="B422" s="26" t="n">
        <v>127</v>
      </c>
      <c r="C422" s="26" t="n">
        <v>1384</v>
      </c>
      <c r="D422" s="14" t="inlineStr">
        <is>
          <t>ESCOLA MUNICIPAL ANTÔNIO CRISTINO</t>
        </is>
      </c>
      <c r="E422" s="14" t="inlineStr">
        <is>
          <t>DISTRITO PASSE</t>
        </is>
      </c>
      <c r="F422" s="14" t="inlineStr">
        <is>
          <t>RUA DA GAMBOA - ZONA RURAL</t>
        </is>
      </c>
      <c r="G422" s="27" t="inlineStr">
        <is>
          <t>43800-000</t>
        </is>
      </c>
      <c r="H422" s="15" t="n">
        <v>1</v>
      </c>
      <c r="I422" s="28" t="inlineStr">
        <is>
          <t>NÃO</t>
        </is>
      </c>
      <c r="J422" s="29" t="n"/>
      <c r="K422" s="14" t="str">
        <f>IF(J422="","7. Acima de 2 km",IF(J422&lt;=50,"1. Até 50 m",IF(J422&lt;=100,"2. De 50 a 100 m",IF(J422&lt;=200,"3. De 100 a 200 m",IF(J422&lt;=300,"4. De 200 a 300 m",IF(J422&lt;=500,"5. De 300 a 500 m","6. De 500 m a 2 km"))))))</f>
        <v>7. Acima de 2 km</v>
      </c>
      <c r="L422" s="26" t="n">
        <v>0</v>
      </c>
      <c r="M422" s="26" t="n">
        <v>0</v>
      </c>
      <c r="N422" s="26" t="n">
        <v>0</v>
      </c>
      <c r="O422" s="26" t="n">
        <v>0</v>
      </c>
      <c r="P422" s="30" t="n">
        <v>-12.7357459</v>
      </c>
      <c r="Q422" s="30" t="n">
        <v>-38.5171221</v>
      </c>
      <c r="R422" s="14" t="inlineStr">
        <is>
          <t>CARTÓRIO ELEITORAL DE CANDEIAS - TV. ALAGOAS, Nº 26-A, BAIRRO PITANGA, CEP: 43.810-340, CANDEIAS/BA</t>
        </is>
      </c>
      <c r="S422" s="26">
        <f>IF(A422=A421,0,1)</f>
        <v>0</v>
      </c>
      <c r="T422" s="26">
        <f>IF(COUNTIF($B$4:B422,B422)=1,1,0)</f>
        <v>0</v>
      </c>
    </row>
    <row r="423">
      <c r="A423" s="14" t="inlineStr">
        <is>
          <t>CANDEIAS</t>
        </is>
      </c>
      <c r="B423" s="26" t="n">
        <v>127</v>
      </c>
      <c r="C423" s="26" t="n">
        <v>1392</v>
      </c>
      <c r="D423" s="14" t="inlineStr">
        <is>
          <t>ESCOLA MUNICIPAL CONSELHEIRO LUIS VIANA</t>
        </is>
      </c>
      <c r="E423" s="14" t="inlineStr">
        <is>
          <t>DISTRITO MENINO JESUS</t>
        </is>
      </c>
      <c r="F423" s="14" t="inlineStr">
        <is>
          <t>RUA 08 DE DEZEMBRO, S/N - ZONA RURAL</t>
        </is>
      </c>
      <c r="G423" s="27" t="inlineStr">
        <is>
          <t>43800-000</t>
        </is>
      </c>
      <c r="H423" s="15" t="n">
        <v>5</v>
      </c>
      <c r="I423" s="28" t="inlineStr">
        <is>
          <t>NÃO</t>
        </is>
      </c>
      <c r="J423" s="29" t="n"/>
      <c r="K423" s="14" t="str">
        <f>IF(J423="","7. Acima de 2 km",IF(J423&lt;=50,"1. Até 50 m",IF(J423&lt;=100,"2. De 50 a 100 m",IF(J423&lt;=200,"3. De 100 a 200 m",IF(J423&lt;=300,"4. De 200 a 300 m",IF(J423&lt;=500,"5. De 300 a 500 m","6. De 500 m a 2 km"))))))</f>
        <v>7. Acima de 2 km</v>
      </c>
      <c r="L423" s="26" t="n">
        <v>0</v>
      </c>
      <c r="M423" s="26" t="n">
        <v>0</v>
      </c>
      <c r="N423" s="26" t="n">
        <v>0</v>
      </c>
      <c r="O423" s="26" t="n">
        <v>0</v>
      </c>
      <c r="P423" s="30" t="n">
        <v>-12.7126826</v>
      </c>
      <c r="Q423" s="30" t="n">
        <v>-38.4521658</v>
      </c>
      <c r="R423" s="14" t="inlineStr">
        <is>
          <t>CARTÓRIO ELEITORAL DE CANDEIAS - TV. ALAGOAS, Nº 26-A, BAIRRO PITANGA, CEP: 43.810-340, CANDEIAS/BA</t>
        </is>
      </c>
      <c r="S423" s="26">
        <f>IF(A423=A422,0,1)</f>
        <v>0</v>
      </c>
      <c r="T423" s="26">
        <f>IF(COUNTIF($B$4:B423,B423)=1,1,0)</f>
        <v>0</v>
      </c>
    </row>
    <row r="424">
      <c r="A424" s="14" t="inlineStr">
        <is>
          <t>CANDEIAS</t>
        </is>
      </c>
      <c r="B424" s="26" t="n">
        <v>127</v>
      </c>
      <c r="C424" s="26" t="n">
        <v>1406</v>
      </c>
      <c r="D424" s="14" t="inlineStr">
        <is>
          <t>ESCOLA MUNICIPAL THYERES NOVAIS CERQUEIRA LIMA</t>
        </is>
      </c>
      <c r="E424" s="14" t="inlineStr">
        <is>
          <t>DISTRITO CABOTO</t>
        </is>
      </c>
      <c r="F424" s="14" t="inlineStr">
        <is>
          <t>RUA RUI BARBOSA, N 12 - ZONA RURAL</t>
        </is>
      </c>
      <c r="G424" s="27" t="inlineStr">
        <is>
          <t>43800-990</t>
        </is>
      </c>
      <c r="H424" s="15" t="n">
        <v>3</v>
      </c>
      <c r="I424" s="28" t="inlineStr">
        <is>
          <t>NÃO</t>
        </is>
      </c>
      <c r="J424" s="29" t="n"/>
      <c r="K424" s="14" t="str">
        <f>IF(J424="","7. Acima de 2 km",IF(J424&lt;=50,"1. Até 50 m",IF(J424&lt;=100,"2. De 50 a 100 m",IF(J424&lt;=200,"3. De 100 a 200 m",IF(J424&lt;=300,"4. De 200 a 300 m",IF(J424&lt;=500,"5. De 300 a 500 m","6. De 500 m a 2 km"))))))</f>
        <v>7. Acima de 2 km</v>
      </c>
      <c r="L424" s="26" t="n">
        <v>0</v>
      </c>
      <c r="M424" s="26" t="n">
        <v>0</v>
      </c>
      <c r="N424" s="26" t="n">
        <v>0</v>
      </c>
      <c r="O424" s="26" t="n">
        <v>0</v>
      </c>
      <c r="P424" s="30" t="n">
        <v>-12.7515553</v>
      </c>
      <c r="Q424" s="30" t="n">
        <v>-38.5015908</v>
      </c>
      <c r="R424" s="14" t="inlineStr">
        <is>
          <t>CARTÓRIO ELEITORAL DE CANDEIAS - TV. ALAGOAS, Nº 26-A, BAIRRO PITANGA, CEP: 43.810-340, CANDEIAS/BA</t>
        </is>
      </c>
      <c r="S424" s="26">
        <f>IF(A424=A423,0,1)</f>
        <v>0</v>
      </c>
      <c r="T424" s="26">
        <f>IF(COUNTIF($B$4:B424,B424)=1,1,0)</f>
        <v>0</v>
      </c>
    </row>
    <row r="425">
      <c r="A425" s="14" t="inlineStr">
        <is>
          <t>CANDEIAS</t>
        </is>
      </c>
      <c r="B425" s="26" t="n">
        <v>127</v>
      </c>
      <c r="C425" s="26" t="n">
        <v>1414</v>
      </c>
      <c r="D425" s="14" t="inlineStr">
        <is>
          <t>ESCOLA MUNICIPAL UBALDO DE CARVALHO FERREIRA</t>
        </is>
      </c>
      <c r="E425" s="14" t="inlineStr">
        <is>
          <t>DISTRITO BOCA DA MATA</t>
        </is>
      </c>
      <c r="F425" s="14" t="inlineStr">
        <is>
          <t>KM 37, BR 324 - ZONA RURAL</t>
        </is>
      </c>
      <c r="G425" s="27" t="inlineStr">
        <is>
          <t>43813-300</t>
        </is>
      </c>
      <c r="H425" s="15" t="n">
        <v>2</v>
      </c>
      <c r="I425" s="28" t="inlineStr">
        <is>
          <t>NÃO</t>
        </is>
      </c>
      <c r="J425" s="29" t="n"/>
      <c r="K425" s="14" t="str">
        <f>IF(J425="","7. Acima de 2 km",IF(J425&lt;=50,"1. Até 50 m",IF(J425&lt;=100,"2. De 50 a 100 m",IF(J425&lt;=200,"3. De 100 a 200 m",IF(J425&lt;=300,"4. De 200 a 300 m",IF(J425&lt;=500,"5. De 300 a 500 m","6. De 500 m a 2 km"))))))</f>
        <v>7. Acima de 2 km</v>
      </c>
      <c r="L425" s="26" t="n">
        <v>0</v>
      </c>
      <c r="M425" s="26" t="n">
        <v>0</v>
      </c>
      <c r="N425" s="26" t="n">
        <v>0</v>
      </c>
      <c r="O425" s="26" t="n">
        <v>0</v>
      </c>
      <c r="P425" s="30" t="n">
        <v>-12.6757156</v>
      </c>
      <c r="Q425" s="30" t="n">
        <v>-38.4676147</v>
      </c>
      <c r="R425" s="14" t="inlineStr">
        <is>
          <t>CARTÓRIO ELEITORAL DE CANDEIAS - TV. ALAGOAS, Nº 26-A, BAIRRO PITANGA, CEP: 43.810-340, CANDEIAS/BA</t>
        </is>
      </c>
      <c r="S425" s="26">
        <f>IF(A425=A424,0,1)</f>
        <v>0</v>
      </c>
      <c r="T425" s="26">
        <f>IF(COUNTIF($B$4:B425,B425)=1,1,0)</f>
        <v>0</v>
      </c>
    </row>
    <row r="426">
      <c r="A426" s="14" t="inlineStr">
        <is>
          <t>CANDEIAS</t>
        </is>
      </c>
      <c r="B426" s="26" t="n">
        <v>127</v>
      </c>
      <c r="C426" s="26" t="n">
        <v>1422</v>
      </c>
      <c r="D426" s="14" t="inlineStr">
        <is>
          <t>ESCOLA MUNIICIPAL ARGENTINA CASTELO BRANCO</t>
        </is>
      </c>
      <c r="E426" s="14" t="inlineStr">
        <is>
          <t>DISTRITO COLONIA LANDULFO ALVES</t>
        </is>
      </c>
      <c r="F426" s="14" t="inlineStr">
        <is>
          <t>NUCLEO RESIDENCIAL LANDULFO ALVES, BR 324, KM 40 - ZONA RURAL</t>
        </is>
      </c>
      <c r="G426" s="27" t="inlineStr">
        <is>
          <t>43800-000</t>
        </is>
      </c>
      <c r="H426" s="15" t="n">
        <v>2</v>
      </c>
      <c r="I426" s="28" t="inlineStr">
        <is>
          <t>NÃO</t>
        </is>
      </c>
      <c r="J426" s="29" t="n"/>
      <c r="K426" s="14" t="str">
        <f>IF(J426="","7. Acima de 2 km",IF(J426&lt;=50,"1. Até 50 m",IF(J426&lt;=100,"2. De 50 a 100 m",IF(J426&lt;=200,"3. De 100 a 200 m",IF(J426&lt;=300,"4. De 200 a 300 m",IF(J426&lt;=500,"5. De 300 a 500 m","6. De 500 m a 2 km"))))))</f>
        <v>7. Acima de 2 km</v>
      </c>
      <c r="L426" s="26" t="n">
        <v>0</v>
      </c>
      <c r="M426" s="26" t="n">
        <v>0</v>
      </c>
      <c r="N426" s="26" t="n">
        <v>0</v>
      </c>
      <c r="O426" s="26" t="n">
        <v>0</v>
      </c>
      <c r="P426" s="30" t="n">
        <v>-12.6534689</v>
      </c>
      <c r="Q426" s="30" t="n">
        <v>-38.4761183</v>
      </c>
      <c r="R426" s="14" t="inlineStr">
        <is>
          <t>CARTÓRIO ELEITORAL DE CANDEIAS - TV. ALAGOAS, Nº 26-A, BAIRRO PITANGA, CEP: 43.810-340, CANDEIAS/BA</t>
        </is>
      </c>
      <c r="S426" s="26">
        <f>IF(A426=A425,0,1)</f>
        <v>0</v>
      </c>
      <c r="T426" s="26">
        <f>IF(COUNTIF($B$4:B426,B426)=1,1,0)</f>
        <v>0</v>
      </c>
    </row>
    <row r="427">
      <c r="A427" s="14" t="inlineStr">
        <is>
          <t>CANDEIAS</t>
        </is>
      </c>
      <c r="B427" s="26" t="n">
        <v>127</v>
      </c>
      <c r="C427" s="26" t="n">
        <v>1430</v>
      </c>
      <c r="D427" s="14" t="inlineStr">
        <is>
          <t>ESCOLA MUNICIPAL PADRE JOSE DE ANCHIETA</t>
        </is>
      </c>
      <c r="E427" s="14" t="inlineStr">
        <is>
          <t>DISTRITO MADEIRA</t>
        </is>
      </c>
      <c r="F427" s="14" t="inlineStr">
        <is>
          <t>RUA DO REINO, N 68 - ZONA RURAL</t>
        </is>
      </c>
      <c r="G427" s="27" t="inlineStr">
        <is>
          <t>43800-000</t>
        </is>
      </c>
      <c r="H427" s="15" t="n">
        <v>2</v>
      </c>
      <c r="I427" s="28" t="inlineStr">
        <is>
          <t>NÃO</t>
        </is>
      </c>
      <c r="J427" s="29" t="n"/>
      <c r="K427" s="14" t="str">
        <f>IF(J427="","7. Acima de 2 km",IF(J427&lt;=50,"1. Até 50 m",IF(J427&lt;=100,"2. De 50 a 100 m",IF(J427&lt;=200,"3. De 100 a 200 m",IF(J427&lt;=300,"4. De 200 a 300 m",IF(J427&lt;=500,"5. De 300 a 500 m","6. De 500 m a 2 km"))))))</f>
        <v>7. Acima de 2 km</v>
      </c>
      <c r="L427" s="26" t="n">
        <v>0</v>
      </c>
      <c r="M427" s="26" t="n">
        <v>0</v>
      </c>
      <c r="N427" s="26" t="n">
        <v>0</v>
      </c>
      <c r="O427" s="26" t="n">
        <v>0</v>
      </c>
      <c r="P427" s="30" t="n">
        <v>-12.7366966</v>
      </c>
      <c r="Q427" s="30" t="n">
        <v>-38.4732103</v>
      </c>
      <c r="R427" s="14" t="inlineStr">
        <is>
          <t>CARTÓRIO ELEITORAL DE CANDEIAS - TV. ALAGOAS, Nº 26-A, BAIRRO PITANGA, CEP: 43.810-340, CANDEIAS/BA</t>
        </is>
      </c>
      <c r="S427" s="26">
        <f>IF(A427=A426,0,1)</f>
        <v>0</v>
      </c>
      <c r="T427" s="26">
        <f>IF(COUNTIF($B$4:B427,B427)=1,1,0)</f>
        <v>0</v>
      </c>
    </row>
    <row r="428">
      <c r="A428" s="14" t="inlineStr">
        <is>
          <t>CANDEIAS</t>
        </is>
      </c>
      <c r="B428" s="26" t="n">
        <v>127</v>
      </c>
      <c r="C428" s="26" t="n">
        <v>1449</v>
      </c>
      <c r="D428" s="14" t="inlineStr">
        <is>
          <t>ESCOLA MUNICIPAL TERCIA BORGES</t>
        </is>
      </c>
      <c r="E428" s="14" t="inlineStr">
        <is>
          <t>OURO NEGRO</t>
        </is>
      </c>
      <c r="F428" s="14" t="inlineStr">
        <is>
          <t>JARDIM OURO NEGRO - ZONA URBANA</t>
        </is>
      </c>
      <c r="G428" s="27" t="inlineStr">
        <is>
          <t>43800-000</t>
        </is>
      </c>
      <c r="H428" s="15" t="n">
        <v>4</v>
      </c>
      <c r="I428" s="28" t="inlineStr">
        <is>
          <t>NÃO</t>
        </is>
      </c>
      <c r="J428" s="29" t="n">
        <v>1136.5</v>
      </c>
      <c r="K428" s="14" t="str">
        <f>IF(J428="","7. Acima de 2 km",IF(J428&lt;=50,"1. Até 50 m",IF(J428&lt;=100,"2. De 50 a 100 m",IF(J428&lt;=200,"3. De 100 a 200 m",IF(J428&lt;=300,"4. De 200 a 300 m",IF(J428&lt;=500,"5. De 300 a 500 m","6. De 500 m a 2 km"))))))</f>
        <v>6. De 500 m a 2 km</v>
      </c>
      <c r="L428" s="26" t="n">
        <v>0</v>
      </c>
      <c r="M428" s="26" t="n">
        <v>0</v>
      </c>
      <c r="N428" s="26" t="n">
        <v>0</v>
      </c>
      <c r="O428" s="26" t="n">
        <v>0</v>
      </c>
      <c r="P428" s="30" t="n">
        <v>-12.635061</v>
      </c>
      <c r="Q428" s="30" t="n">
        <v>-38.5354476</v>
      </c>
      <c r="R428" s="14" t="inlineStr">
        <is>
          <t>CARTÓRIO ELEITORAL DE CANDEIAS - TV. ALAGOAS, Nº 26-A, BAIRRO PITANGA, CEP: 43.810-340, CANDEIAS/BA</t>
        </is>
      </c>
      <c r="S428" s="26">
        <f>IF(A428=A427,0,1)</f>
        <v>0</v>
      </c>
      <c r="T428" s="26">
        <f>IF(COUNTIF($B$4:B428,B428)=1,1,0)</f>
        <v>0</v>
      </c>
    </row>
    <row r="429">
      <c r="A429" s="14" t="inlineStr">
        <is>
          <t>CANDEIAS</t>
        </is>
      </c>
      <c r="B429" s="26" t="n">
        <v>127</v>
      </c>
      <c r="C429" s="26" t="n">
        <v>1457</v>
      </c>
      <c r="D429" s="14" t="inlineStr">
        <is>
          <t>ESCOLA MUNICIPAL PADRE MANOEL DA NOBREGA</t>
        </is>
      </c>
      <c r="E429" s="14" t="inlineStr">
        <is>
          <t>DISTRITO PASSAGEM DOS TEIXEIRAs</t>
        </is>
      </c>
      <c r="F429" s="14" t="inlineStr">
        <is>
          <t>RUA DA ESCOLA, S/N - ZONA RURAL</t>
        </is>
      </c>
      <c r="G429" s="27" t="inlineStr">
        <is>
          <t>43800-994</t>
        </is>
      </c>
      <c r="H429" s="15" t="n">
        <v>3</v>
      </c>
      <c r="I429" s="28" t="inlineStr">
        <is>
          <t>NÃO</t>
        </is>
      </c>
      <c r="J429" s="29" t="n"/>
      <c r="K429" s="14" t="str">
        <f>IF(J429="","7. Acima de 2 km",IF(J429&lt;=50,"1. Até 50 m",IF(J429&lt;=100,"2. De 50 a 100 m",IF(J429&lt;=200,"3. De 100 a 200 m",IF(J429&lt;=300,"4. De 200 a 300 m",IF(J429&lt;=500,"5. De 300 a 500 m","6. De 500 m a 2 km"))))))</f>
        <v>7. Acima de 2 km</v>
      </c>
      <c r="L429" s="26" t="n">
        <v>0</v>
      </c>
      <c r="M429" s="26" t="n">
        <v>0</v>
      </c>
      <c r="N429" s="26" t="n">
        <v>0</v>
      </c>
      <c r="O429" s="26" t="n">
        <v>0</v>
      </c>
      <c r="P429" s="30" t="n">
        <v>-12.7382642</v>
      </c>
      <c r="Q429" s="30" t="n">
        <v>-38.4471429</v>
      </c>
      <c r="R429" s="14" t="inlineStr">
        <is>
          <t>CARTÓRIO ELEITORAL DE CANDEIAS - TV. ALAGOAS, Nº 26-A, BAIRRO PITANGA, CEP: 43.810-340, CANDEIAS/BA</t>
        </is>
      </c>
      <c r="S429" s="26">
        <f>IF(A429=A428,0,1)</f>
        <v>0</v>
      </c>
      <c r="T429" s="26">
        <f>IF(COUNTIF($B$4:B429,B429)=1,1,0)</f>
        <v>0</v>
      </c>
    </row>
    <row r="430">
      <c r="A430" s="14" t="inlineStr">
        <is>
          <t>CANDEIAS</t>
        </is>
      </c>
      <c r="B430" s="26" t="n">
        <v>127</v>
      </c>
      <c r="C430" s="26" t="n">
        <v>1465</v>
      </c>
      <c r="D430" s="14" t="inlineStr">
        <is>
          <t>GINASIO MUNICIPAL IVONICE COSTA SOTERO</t>
        </is>
      </c>
      <c r="E430" s="14" t="inlineStr">
        <is>
          <t>DISTRITO PASSAGEM DOS TEIXEIRAs</t>
        </is>
      </c>
      <c r="F430" s="14" t="inlineStr">
        <is>
          <t>RUA DA ESCOLA, S/N - ZONA RURAL</t>
        </is>
      </c>
      <c r="G430" s="27" t="inlineStr">
        <is>
          <t>43800-000</t>
        </is>
      </c>
      <c r="H430" s="15" t="n">
        <v>4</v>
      </c>
      <c r="I430" s="28" t="inlineStr">
        <is>
          <t>NÃO</t>
        </is>
      </c>
      <c r="J430" s="29" t="n"/>
      <c r="K430" s="14" t="str">
        <f>IF(J430="","7. Acima de 2 km",IF(J430&lt;=50,"1. Até 50 m",IF(J430&lt;=100,"2. De 50 a 100 m",IF(J430&lt;=200,"3. De 100 a 200 m",IF(J430&lt;=300,"4. De 200 a 300 m",IF(J430&lt;=500,"5. De 300 a 500 m","6. De 500 m a 2 km"))))))</f>
        <v>7. Acima de 2 km</v>
      </c>
      <c r="L430" s="26" t="n">
        <v>0</v>
      </c>
      <c r="M430" s="26" t="n">
        <v>0</v>
      </c>
      <c r="N430" s="26" t="n">
        <v>0</v>
      </c>
      <c r="O430" s="26" t="n">
        <v>0</v>
      </c>
      <c r="P430" s="30" t="n">
        <v>-12.7369572</v>
      </c>
      <c r="Q430" s="30" t="n">
        <v>-38.4495954</v>
      </c>
      <c r="R430" s="14" t="inlineStr">
        <is>
          <t>CARTÓRIO ELEITORAL DE CANDEIAS - TV. ALAGOAS, Nº 26-A, BAIRRO PITANGA, CEP: 43.810-340, CANDEIAS/BA</t>
        </is>
      </c>
      <c r="S430" s="26">
        <f>IF(A430=A429,0,1)</f>
        <v>0</v>
      </c>
      <c r="T430" s="26">
        <f>IF(COUNTIF($B$4:B430,B430)=1,1,0)</f>
        <v>0</v>
      </c>
    </row>
    <row r="431">
      <c r="A431" s="14" t="inlineStr">
        <is>
          <t>CANDEIAS</t>
        </is>
      </c>
      <c r="B431" s="26" t="n">
        <v>127</v>
      </c>
      <c r="C431" s="26" t="n">
        <v>1473</v>
      </c>
      <c r="D431" s="14" t="inlineStr">
        <is>
          <t>ESCOLA MUNICIPAL MILTON MATOS</t>
        </is>
      </c>
      <c r="E431" s="14" t="inlineStr">
        <is>
          <t>DISTRITO CURUACU</t>
        </is>
      </c>
      <c r="F431" s="14" t="inlineStr">
        <is>
          <t>DISTRITO CURUACU - ZONA RURAL</t>
        </is>
      </c>
      <c r="G431" s="27" t="inlineStr">
        <is>
          <t>43800-000</t>
        </is>
      </c>
      <c r="H431" s="15" t="n">
        <v>2</v>
      </c>
      <c r="I431" s="28" t="inlineStr">
        <is>
          <t>NÃO</t>
        </is>
      </c>
      <c r="J431" s="29" t="n"/>
      <c r="K431" s="14" t="str">
        <f>IF(J431="","7. Acima de 2 km",IF(J431&lt;=50,"1. Até 50 m",IF(J431&lt;=100,"2. De 50 a 100 m",IF(J431&lt;=200,"3. De 100 a 200 m",IF(J431&lt;=300,"4. De 200 a 300 m",IF(J431&lt;=500,"5. De 300 a 500 m","6. De 500 m a 2 km"))))))</f>
        <v>7. Acima de 2 km</v>
      </c>
      <c r="L431" s="26" t="n">
        <v>0</v>
      </c>
      <c r="M431" s="26" t="n">
        <v>0</v>
      </c>
      <c r="N431" s="26" t="n">
        <v>0</v>
      </c>
      <c r="O431" s="26" t="n">
        <v>0</v>
      </c>
      <c r="P431" s="30" t="n">
        <v>-12.6061508</v>
      </c>
      <c r="Q431" s="30" t="n">
        <v>-38.4941546</v>
      </c>
      <c r="R431" s="14" t="inlineStr">
        <is>
          <t>CARTÓRIO ELEITORAL DE CANDEIAS - TV. ALAGOAS, Nº 26-A, BAIRRO PITANGA, CEP: 43.810-340, CANDEIAS/BA</t>
        </is>
      </c>
      <c r="S431" s="26">
        <f>IF(A431=A430,0,1)</f>
        <v>0</v>
      </c>
      <c r="T431" s="26">
        <f>IF(COUNTIF($B$4:B431,B431)=1,1,0)</f>
        <v>0</v>
      </c>
    </row>
    <row r="432">
      <c r="A432" s="14" t="inlineStr">
        <is>
          <t>CANDEIAS</t>
        </is>
      </c>
      <c r="B432" s="26" t="n">
        <v>127</v>
      </c>
      <c r="C432" s="26" t="n">
        <v>1481</v>
      </c>
      <c r="D432" s="14" t="inlineStr">
        <is>
          <t>ESCOLA MUNICIPAL 14 DE AGOSTO</t>
        </is>
      </c>
      <c r="E432" s="14" t="inlineStr">
        <is>
          <t>DISTRITO CAROBA</t>
        </is>
      </c>
      <c r="F432" s="14" t="inlineStr">
        <is>
          <t>RUA 14 DE AGOSTO, S/N - ZONA RURAL</t>
        </is>
      </c>
      <c r="G432" s="27" t="inlineStr">
        <is>
          <t>43800-000</t>
        </is>
      </c>
      <c r="H432" s="15" t="n">
        <v>8</v>
      </c>
      <c r="I432" s="28" t="inlineStr">
        <is>
          <t>NÃO</t>
        </is>
      </c>
      <c r="J432" s="29" t="n">
        <v>411.2</v>
      </c>
      <c r="K432" s="14" t="str">
        <f>IF(J432="","7. Acima de 2 km",IF(J432&lt;=50,"1. Até 50 m",IF(J432&lt;=100,"2. De 50 a 100 m",IF(J432&lt;=200,"3. De 100 a 200 m",IF(J432&lt;=300,"4. De 200 a 300 m",IF(J432&lt;=500,"5. De 300 a 500 m","6. De 500 m a 2 km"))))))</f>
        <v>5. De 300 a 500 m</v>
      </c>
      <c r="L432" s="26" t="n">
        <v>0</v>
      </c>
      <c r="M432" s="26" t="n">
        <v>0</v>
      </c>
      <c r="N432" s="26" t="n">
        <v>0</v>
      </c>
      <c r="O432" s="26" t="n">
        <v>0</v>
      </c>
      <c r="P432" s="30" t="n">
        <v>-12.6983944</v>
      </c>
      <c r="Q432" s="30" t="n">
        <v>-38.4771988</v>
      </c>
      <c r="R432" s="14" t="inlineStr">
        <is>
          <t>CARTÓRIO ELEITORAL DE CANDEIAS - TV. ALAGOAS, Nº 26-A, BAIRRO PITANGA, CEP: 43.810-340, CANDEIAS/BA</t>
        </is>
      </c>
      <c r="S432" s="26">
        <f>IF(A432=A431,0,1)</f>
        <v>0</v>
      </c>
      <c r="T432" s="26">
        <f>IF(COUNTIF($B$4:B432,B432)=1,1,0)</f>
        <v>0</v>
      </c>
    </row>
    <row r="433">
      <c r="A433" s="14" t="inlineStr">
        <is>
          <t>CANDEIAS</t>
        </is>
      </c>
      <c r="B433" s="26" t="n">
        <v>127</v>
      </c>
      <c r="C433" s="26" t="n">
        <v>1490</v>
      </c>
      <c r="D433" s="14" t="inlineStr">
        <is>
          <t>ESCOLA MUNICIPAL DR FRANCISCO GUALBERTO D. FONTES</t>
        </is>
      </c>
      <c r="E433" s="14" t="inlineStr">
        <is>
          <t>DISTRITO CANTA GALO</t>
        </is>
      </c>
      <c r="F433" s="14" t="inlineStr">
        <is>
          <t>KM 40, BR 324 - ZONA RURAL</t>
        </is>
      </c>
      <c r="G433" s="27" t="inlineStr">
        <is>
          <t>43800-000</t>
        </is>
      </c>
      <c r="H433" s="15" t="n">
        <v>3</v>
      </c>
      <c r="I433" s="28" t="inlineStr">
        <is>
          <t>NÃO</t>
        </is>
      </c>
      <c r="J433" s="29" t="n"/>
      <c r="K433" s="14" t="str">
        <f>IF(J433="","7. Acima de 2 km",IF(J433&lt;=50,"1. Até 50 m",IF(J433&lt;=100,"2. De 50 a 100 m",IF(J433&lt;=200,"3. De 100 a 200 m",IF(J433&lt;=300,"4. De 200 a 300 m",IF(J433&lt;=500,"5. De 300 a 500 m","6. De 500 m a 2 km"))))))</f>
        <v>7. Acima de 2 km</v>
      </c>
      <c r="L433" s="26" t="n">
        <v>0</v>
      </c>
      <c r="M433" s="26" t="n">
        <v>0</v>
      </c>
      <c r="N433" s="26" t="n">
        <v>0</v>
      </c>
      <c r="O433" s="26" t="n">
        <v>0</v>
      </c>
      <c r="P433" s="30" t="n">
        <v>-12.6287809</v>
      </c>
      <c r="Q433" s="30" t="n">
        <v>-38.480594</v>
      </c>
      <c r="R433" s="14" t="inlineStr">
        <is>
          <t>CARTÓRIO ELEITORAL DE CANDEIAS - TV. ALAGOAS, Nº 26-A, BAIRRO PITANGA, CEP: 43.810-340, CANDEIAS/BA</t>
        </is>
      </c>
      <c r="S433" s="26">
        <f>IF(A433=A432,0,1)</f>
        <v>0</v>
      </c>
      <c r="T433" s="26">
        <f>IF(COUNTIF($B$4:B433,B433)=1,1,0)</f>
        <v>0</v>
      </c>
    </row>
    <row r="434">
      <c r="A434" s="14" t="inlineStr">
        <is>
          <t>CANDEIAS</t>
        </is>
      </c>
      <c r="B434" s="26" t="n">
        <v>127</v>
      </c>
      <c r="C434" s="26" t="n">
        <v>1503</v>
      </c>
      <c r="D434" s="14" t="inlineStr">
        <is>
          <t>ESCOLA MUNICIPAL JUNQUEIRA FREIRE</t>
        </is>
      </c>
      <c r="E434" s="14" t="inlineStr">
        <is>
          <t>DISTRITO PINDOBA</t>
        </is>
      </c>
      <c r="F434" s="14" t="inlineStr">
        <is>
          <t>AV. PINDOBA, S/N - ZONA RURAL</t>
        </is>
      </c>
      <c r="G434" s="27" t="inlineStr">
        <is>
          <t>43800-000</t>
        </is>
      </c>
      <c r="H434" s="15" t="n">
        <v>2</v>
      </c>
      <c r="I434" s="28" t="inlineStr">
        <is>
          <t>NÃO</t>
        </is>
      </c>
      <c r="J434" s="29" t="n"/>
      <c r="K434" s="14" t="str">
        <f>IF(J434="","7. Acima de 2 km",IF(J434&lt;=50,"1. Até 50 m",IF(J434&lt;=100,"2. De 50 a 100 m",IF(J434&lt;=200,"3. De 100 a 200 m",IF(J434&lt;=300,"4. De 200 a 300 m",IF(J434&lt;=500,"5. De 300 a 500 m","6. De 500 m a 2 km"))))))</f>
        <v>7. Acima de 2 km</v>
      </c>
      <c r="L434" s="26" t="n">
        <v>0</v>
      </c>
      <c r="M434" s="26" t="n">
        <v>0</v>
      </c>
      <c r="N434" s="26" t="n">
        <v>0</v>
      </c>
      <c r="O434" s="26" t="n">
        <v>0</v>
      </c>
      <c r="P434" s="30" t="n">
        <v>-12.6231432</v>
      </c>
      <c r="Q434" s="30" t="n">
        <v>-38.5292932</v>
      </c>
      <c r="R434" s="14" t="inlineStr">
        <is>
          <t>CARTÓRIO ELEITORAL DE CANDEIAS - TV. ALAGOAS, Nº 26-A, BAIRRO PITANGA, CEP: 43.810-340, CANDEIAS/BA</t>
        </is>
      </c>
      <c r="S434" s="26">
        <f>IF(A434=A433,0,1)</f>
        <v>0</v>
      </c>
      <c r="T434" s="26">
        <f>IF(COUNTIF($B$4:B434,B434)=1,1,0)</f>
        <v>0</v>
      </c>
    </row>
    <row r="435">
      <c r="A435" s="14" t="inlineStr">
        <is>
          <t>CANDEIAS</t>
        </is>
      </c>
      <c r="B435" s="26" t="n">
        <v>127</v>
      </c>
      <c r="C435" s="26" t="n">
        <v>1511</v>
      </c>
      <c r="D435" s="14" t="inlineStr">
        <is>
          <t>ESCOLA MUNICIPAL PROFESSOR BENITO SARNO</t>
        </is>
      </c>
      <c r="E435" s="14" t="inlineStr">
        <is>
          <t>POVOADO CEDRO</t>
        </is>
      </c>
      <c r="F435" s="14" t="inlineStr">
        <is>
          <t>ESTRADA DO CEDRO, S/N - ZONA RURAL</t>
        </is>
      </c>
      <c r="G435" s="27" t="inlineStr">
        <is>
          <t>43800-000</t>
        </is>
      </c>
      <c r="H435" s="15" t="n">
        <v>1</v>
      </c>
      <c r="I435" s="28" t="inlineStr">
        <is>
          <t>NÃO</t>
        </is>
      </c>
      <c r="J435" s="29" t="n"/>
      <c r="K435" s="14" t="str">
        <f>IF(J435="","7. Acima de 2 km",IF(J435&lt;=50,"1. Até 50 m",IF(J435&lt;=100,"2. De 50 a 100 m",IF(J435&lt;=200,"3. De 100 a 200 m",IF(J435&lt;=300,"4. De 200 a 300 m",IF(J435&lt;=500,"5. De 300 a 500 m","6. De 500 m a 2 km"))))))</f>
        <v>7. Acima de 2 km</v>
      </c>
      <c r="L435" s="26" t="n">
        <v>0</v>
      </c>
      <c r="M435" s="26" t="n">
        <v>0</v>
      </c>
      <c r="N435" s="26" t="n">
        <v>0</v>
      </c>
      <c r="O435" s="26" t="n">
        <v>0</v>
      </c>
      <c r="P435" s="30" t="n">
        <v>-12.657152</v>
      </c>
      <c r="Q435" s="30" t="n">
        <v>-38.4546641</v>
      </c>
      <c r="R435" s="14" t="inlineStr">
        <is>
          <t>CARTÓRIO ELEITORAL DE CANDEIAS - TV. ALAGOAS, Nº 26-A, BAIRRO PITANGA, CEP: 43.810-340, CANDEIAS/BA</t>
        </is>
      </c>
      <c r="S435" s="26">
        <f>IF(A435=A434,0,1)</f>
        <v>0</v>
      </c>
      <c r="T435" s="26">
        <f>IF(COUNTIF($B$4:B435,B435)=1,1,0)</f>
        <v>0</v>
      </c>
    </row>
    <row r="436">
      <c r="A436" s="14" t="inlineStr">
        <is>
          <t>CANDEIAS</t>
        </is>
      </c>
      <c r="B436" s="26" t="n">
        <v>127</v>
      </c>
      <c r="C436" s="26" t="n">
        <v>1554</v>
      </c>
      <c r="D436" s="14" t="inlineStr">
        <is>
          <t>COLÉGIO DA POLÍCIA MILITAR FRANCISCO PEDRO DE OLIVEIRA</t>
        </is>
      </c>
      <c r="E436" s="14" t="inlineStr">
        <is>
          <t>PITANGA</t>
        </is>
      </c>
      <c r="F436" s="14" t="inlineStr">
        <is>
          <t>RUA GUANABARA, S/N - ZONA URBANA</t>
        </is>
      </c>
      <c r="G436" s="27" t="inlineStr">
        <is>
          <t>43810-310</t>
        </is>
      </c>
      <c r="H436" s="15" t="n">
        <v>20</v>
      </c>
      <c r="I436" s="28" t="inlineStr">
        <is>
          <t>NÃO</t>
        </is>
      </c>
      <c r="J436" s="29" t="n">
        <v>117.7</v>
      </c>
      <c r="K436" s="14" t="str">
        <f>IF(J436="","7. Acima de 2 km",IF(J436&lt;=50,"1. Até 50 m",IF(J436&lt;=100,"2. De 50 a 100 m",IF(J436&lt;=200,"3. De 100 a 200 m",IF(J436&lt;=300,"4. De 200 a 300 m",IF(J436&lt;=500,"5. De 300 a 500 m","6. De 500 m a 2 km"))))))</f>
        <v>3. De 100 a 200 m</v>
      </c>
      <c r="L436" s="26" t="n">
        <v>0</v>
      </c>
      <c r="M436" s="26" t="n">
        <v>0</v>
      </c>
      <c r="N436" s="26" t="n">
        <v>3</v>
      </c>
      <c r="O436" s="26" t="n">
        <v>8</v>
      </c>
      <c r="P436" s="30" t="n">
        <v>-12.6677274</v>
      </c>
      <c r="Q436" s="30" t="n">
        <v>-38.5401092</v>
      </c>
      <c r="R436" s="14" t="inlineStr">
        <is>
          <t>CARTÓRIO ELEITORAL DE CANDEIAS - TV. ALAGOAS, Nº 26-A, BAIRRO PITANGA, CEP: 43.810-340, CANDEIAS/BA</t>
        </is>
      </c>
      <c r="S436" s="26">
        <f>IF(A436=A435,0,1)</f>
        <v>0</v>
      </c>
      <c r="T436" s="26">
        <f>IF(COUNTIF($B$4:B436,B436)=1,1,0)</f>
        <v>0</v>
      </c>
    </row>
    <row r="437">
      <c r="A437" s="14" t="inlineStr">
        <is>
          <t>CANDEIAS</t>
        </is>
      </c>
      <c r="B437" s="26" t="n">
        <v>127</v>
      </c>
      <c r="C437" s="26" t="n">
        <v>1562</v>
      </c>
      <c r="D437" s="14" t="inlineStr">
        <is>
          <t>ESCOLA MUNICIPAL NOVA CANDEIAS</t>
        </is>
      </c>
      <c r="E437" s="14" t="inlineStr">
        <is>
          <t>NOVA CANDEIAS</t>
        </is>
      </c>
      <c r="F437" s="14" t="inlineStr">
        <is>
          <t>RUA ESPÍRITO SANTO, S/N - ZONA URBANA</t>
        </is>
      </c>
      <c r="G437" s="27" t="inlineStr">
        <is>
          <t>43800-000</t>
        </is>
      </c>
      <c r="H437" s="15" t="n">
        <v>2</v>
      </c>
      <c r="I437" s="28" t="inlineStr">
        <is>
          <t>SIM</t>
        </is>
      </c>
      <c r="J437" s="29" t="n">
        <v>80.90000000000001</v>
      </c>
      <c r="K437" s="14" t="str">
        <f>IF(J437="","7. Acima de 2 km",IF(J437&lt;=50,"1. Até 50 m",IF(J437&lt;=100,"2. De 50 a 100 m",IF(J437&lt;=200,"3. De 100 a 200 m",IF(J437&lt;=300,"4. De 200 a 300 m",IF(J437&lt;=500,"5. De 300 a 500 m","6. De 500 m a 2 km"))))))</f>
        <v>2. De 50 a 100 m</v>
      </c>
      <c r="L437" s="26" t="n">
        <v>0</v>
      </c>
      <c r="M437" s="26" t="n">
        <v>1</v>
      </c>
      <c r="N437" s="26" t="n">
        <v>1</v>
      </c>
      <c r="O437" s="26" t="n">
        <v>7</v>
      </c>
      <c r="P437" s="30" t="n">
        <v>-12.6663792</v>
      </c>
      <c r="Q437" s="30" t="n">
        <v>-38.5373428</v>
      </c>
      <c r="R437" s="14" t="inlineStr">
        <is>
          <t>CARTÓRIO ELEITORAL DE CANDEIAS - TV. ALAGOAS, Nº 26-A, BAIRRO PITANGA, CEP: 43.810-340, CANDEIAS/BA</t>
        </is>
      </c>
      <c r="S437" s="26">
        <f>IF(A437=A436,0,1)</f>
        <v>0</v>
      </c>
      <c r="T437" s="26">
        <f>IF(COUNTIF($B$4:B437,B437)=1,1,0)</f>
        <v>0</v>
      </c>
    </row>
    <row r="438">
      <c r="A438" s="14" t="inlineStr">
        <is>
          <t>CAPIM GROSSO</t>
        </is>
      </c>
      <c r="B438" s="26" t="n">
        <v>191</v>
      </c>
      <c r="C438" s="26" t="n">
        <v>1015</v>
      </c>
      <c r="D438" s="14" t="inlineStr">
        <is>
          <t>COLÉGIO MUNICIPAL PROFESSORA TARCILA EVANGELISTA DE ANDRADE</t>
        </is>
      </c>
      <c r="E438" s="14" t="inlineStr">
        <is>
          <t>SACRAMENTO</t>
        </is>
      </c>
      <c r="F438" s="14" t="inlineStr">
        <is>
          <t>RUA DOS TRÊS PODERES, 240- ZONA URBANA</t>
        </is>
      </c>
      <c r="G438" s="27" t="inlineStr">
        <is>
          <t>44695-000</t>
        </is>
      </c>
      <c r="H438" s="15" t="n">
        <v>15</v>
      </c>
      <c r="I438" s="28" t="inlineStr">
        <is>
          <t>NÃO</t>
        </is>
      </c>
      <c r="J438" s="29" t="n">
        <v>394.1</v>
      </c>
      <c r="K438" s="14" t="str">
        <f>IF(J438="","7. Acima de 2 km",IF(J438&lt;=50,"1. Até 50 m",IF(J438&lt;=100,"2. De 50 a 100 m",IF(J438&lt;=200,"3. De 100 a 200 m",IF(J438&lt;=300,"4. De 200 a 300 m",IF(J438&lt;=500,"5. De 300 a 500 m","6. De 500 m a 2 km"))))))</f>
        <v>5. De 300 a 500 m</v>
      </c>
      <c r="L438" s="26" t="n">
        <v>0</v>
      </c>
      <c r="M438" s="26" t="n">
        <v>0</v>
      </c>
      <c r="N438" s="26" t="n">
        <v>0</v>
      </c>
      <c r="O438" s="26" t="n">
        <v>0</v>
      </c>
      <c r="P438" s="30" t="n">
        <v>-11.3799573</v>
      </c>
      <c r="Q438" s="30" t="n">
        <v>-40.01818</v>
      </c>
      <c r="R438" s="14" t="inlineStr">
        <is>
          <t>CARTÓRIO ELEITORAL, RUA DEPUTADO ROCHA PIRES, N° 250, BAIRRO OLIVEIRA, CAPIM GROSSO/BA</t>
        </is>
      </c>
      <c r="S438" s="26">
        <f>IF(A438=A437,0,1)</f>
        <v>1</v>
      </c>
      <c r="T438" s="26">
        <f>IF(COUNTIF($B$4:B438,B438)=1,1,0)</f>
        <v>1</v>
      </c>
    </row>
    <row r="439">
      <c r="A439" s="14" t="inlineStr">
        <is>
          <t>CAPIM GROSSO</t>
        </is>
      </c>
      <c r="B439" s="26" t="n">
        <v>191</v>
      </c>
      <c r="C439" s="26" t="n">
        <v>1031</v>
      </c>
      <c r="D439" s="14" t="inlineStr">
        <is>
          <t>CMEI - CENTRO MUNICIPAL DE EDUCAÇÃO INTEGRAL MARLI BARBOSA</t>
        </is>
      </c>
      <c r="E439" s="14" t="inlineStr">
        <is>
          <t>NOVA MORADA</t>
        </is>
      </c>
      <c r="F439" s="14" t="inlineStr">
        <is>
          <t>PÇA JOSÉ ESTEVES RIBEIRO, SN - ZONA URBANA</t>
        </is>
      </c>
      <c r="G439" s="27" t="inlineStr">
        <is>
          <t>44695-000</t>
        </is>
      </c>
      <c r="H439" s="15" t="n">
        <v>9</v>
      </c>
      <c r="I439" s="28" t="inlineStr">
        <is>
          <t>NÃO</t>
        </is>
      </c>
      <c r="J439" s="29" t="n">
        <v>108.4</v>
      </c>
      <c r="K439" s="14" t="str">
        <f>IF(J439="","7. Acima de 2 km",IF(J439&lt;=50,"1. Até 50 m",IF(J439&lt;=100,"2. De 50 a 100 m",IF(J439&lt;=200,"3. De 100 a 200 m",IF(J439&lt;=300,"4. De 200 a 300 m",IF(J439&lt;=500,"5. De 300 a 500 m","6. De 500 m a 2 km"))))))</f>
        <v>3. De 100 a 200 m</v>
      </c>
      <c r="L439" s="26" t="n">
        <v>0</v>
      </c>
      <c r="M439" s="26" t="n">
        <v>0</v>
      </c>
      <c r="N439" s="26" t="n">
        <v>1</v>
      </c>
      <c r="O439" s="26" t="n">
        <v>3</v>
      </c>
      <c r="P439" s="30" t="n">
        <v>-11.377561</v>
      </c>
      <c r="Q439" s="30" t="n">
        <v>-40.0073965</v>
      </c>
      <c r="R439" s="14" t="inlineStr">
        <is>
          <t>CARTÓRIO ELEITORAL, RUA DEPUTADO ROCHA PIRES, N° 250, BAIRRO OLIVEIRA, CAPIM GROSSO/BA</t>
        </is>
      </c>
      <c r="S439" s="26">
        <f>IF(A439=A438,0,1)</f>
        <v>0</v>
      </c>
      <c r="T439" s="26">
        <f>IF(COUNTIF($B$4:B439,B439)=1,1,0)</f>
        <v>0</v>
      </c>
    </row>
    <row r="440">
      <c r="A440" s="14" t="inlineStr">
        <is>
          <t>CAPIM GROSSO</t>
        </is>
      </c>
      <c r="B440" s="26" t="n">
        <v>191</v>
      </c>
      <c r="C440" s="26" t="n">
        <v>1058</v>
      </c>
      <c r="D440" s="14" t="inlineStr">
        <is>
          <t>CENTRO TERRITORIAL PROFISSIONAL DA BACIA DO JACUIPE III-EDNA DALTRO</t>
        </is>
      </c>
      <c r="E440" s="14" t="inlineStr">
        <is>
          <t>JARDIM ARAÚJO</t>
        </is>
      </c>
      <c r="F440" s="14" t="inlineStr">
        <is>
          <t>RUA AACC, S/N, ZONA URBANA, JARDIM ARAÚJO</t>
        </is>
      </c>
      <c r="G440" s="27" t="inlineStr">
        <is>
          <t>44823-468</t>
        </is>
      </c>
      <c r="H440" s="15" t="n">
        <v>7</v>
      </c>
      <c r="I440" s="28" t="inlineStr">
        <is>
          <t>NÃO</t>
        </is>
      </c>
      <c r="J440" s="29" t="n">
        <v>112.6</v>
      </c>
      <c r="K440" s="14" t="str">
        <f>IF(J440="","7. Acima de 2 km",IF(J440&lt;=50,"1. Até 50 m",IF(J440&lt;=100,"2. De 50 a 100 m",IF(J440&lt;=200,"3. De 100 a 200 m",IF(J440&lt;=300,"4. De 200 a 300 m",IF(J440&lt;=500,"5. De 300 a 500 m","6. De 500 m a 2 km"))))))</f>
        <v>3. De 100 a 200 m</v>
      </c>
      <c r="L440" s="26" t="n">
        <v>0</v>
      </c>
      <c r="M440" s="26" t="n">
        <v>0</v>
      </c>
      <c r="N440" s="26" t="n">
        <v>1</v>
      </c>
      <c r="O440" s="26" t="n">
        <v>1</v>
      </c>
      <c r="P440" s="30" t="n">
        <v>-11.3754136</v>
      </c>
      <c r="Q440" s="30" t="n">
        <v>-40.0170471</v>
      </c>
      <c r="R440" s="14" t="inlineStr">
        <is>
          <t>CARTÓRIO ELEITORAL, RUA DEPUTADO ROCHA PIRES, N° 250, BAIRRO OLIVEIRA, CAPIM GROSSO/BA</t>
        </is>
      </c>
      <c r="S440" s="26">
        <f>IF(A440=A439,0,1)</f>
        <v>0</v>
      </c>
      <c r="T440" s="26">
        <f>IF(COUNTIF($B$4:B440,B440)=1,1,0)</f>
        <v>0</v>
      </c>
    </row>
    <row r="441">
      <c r="A441" s="14" t="inlineStr">
        <is>
          <t>CAPIM GROSSO</t>
        </is>
      </c>
      <c r="B441" s="26" t="n">
        <v>191</v>
      </c>
      <c r="C441" s="26" t="n">
        <v>1066</v>
      </c>
      <c r="D441" s="14" t="inlineStr">
        <is>
          <t>ESCOLA MUNICIPAL OTAVIANO FERREIRA DOS SANTOS</t>
        </is>
      </c>
      <c r="E441" s="14" t="inlineStr">
        <is>
          <t>OLIVEIRA</t>
        </is>
      </c>
      <c r="F441" s="14" t="inlineStr">
        <is>
          <t>AVENIDA PINHEIRO, N 35 - ZONA URBANA</t>
        </is>
      </c>
      <c r="G441" s="27" t="inlineStr">
        <is>
          <t>44695-000</t>
        </is>
      </c>
      <c r="H441" s="15" t="n">
        <v>8</v>
      </c>
      <c r="I441" s="28" t="inlineStr">
        <is>
          <t>SIM</t>
        </is>
      </c>
      <c r="J441" s="29" t="n">
        <v>41.4</v>
      </c>
      <c r="K441" s="14" t="str">
        <f>IF(J441="","7. Acima de 2 km",IF(J441&lt;=50,"1. Até 50 m",IF(J441&lt;=100,"2. De 50 a 100 m",IF(J441&lt;=200,"3. De 100 a 200 m",IF(J441&lt;=300,"4. De 200 a 300 m",IF(J441&lt;=500,"5. De 300 a 500 m","6. De 500 m a 2 km"))))))</f>
        <v>1. Até 50 m</v>
      </c>
      <c r="L441" s="26" t="n">
        <v>1</v>
      </c>
      <c r="M441" s="26" t="n">
        <v>1</v>
      </c>
      <c r="N441" s="26" t="n">
        <v>1</v>
      </c>
      <c r="O441" s="26" t="n">
        <v>3</v>
      </c>
      <c r="P441" s="30" t="n">
        <v>-11.3832548</v>
      </c>
      <c r="Q441" s="30" t="n">
        <v>-40.0088947</v>
      </c>
      <c r="R441" s="14" t="inlineStr">
        <is>
          <t>CARTÓRIO ELEITORAL, RUA DEPUTADO ROCHA PIRES, N° 250, BAIRRO OLIVEIRA, CAPIM GROSSO/BA</t>
        </is>
      </c>
      <c r="S441" s="26">
        <f>IF(A441=A440,0,1)</f>
        <v>0</v>
      </c>
      <c r="T441" s="26">
        <f>IF(COUNTIF($B$4:B441,B441)=1,1,0)</f>
        <v>0</v>
      </c>
    </row>
    <row r="442">
      <c r="A442" s="14" t="inlineStr">
        <is>
          <t>CAPIM GROSSO</t>
        </is>
      </c>
      <c r="B442" s="26" t="n">
        <v>191</v>
      </c>
      <c r="C442" s="26" t="n">
        <v>1074</v>
      </c>
      <c r="D442" s="14" t="inlineStr">
        <is>
          <t>COLÉGIO MUNICIPAL EDIVALDO MACHADO BOAVENTURA</t>
        </is>
      </c>
      <c r="E442" s="14" t="inlineStr">
        <is>
          <t>NOVO HORIZONTE</t>
        </is>
      </c>
      <c r="F442" s="14" t="inlineStr">
        <is>
          <t>RUA JOSÉ M. DE ARAÚJO - ZONA URBANA</t>
        </is>
      </c>
      <c r="G442" s="27" t="inlineStr">
        <is>
          <t>44695-000</t>
        </is>
      </c>
      <c r="H442" s="15" t="n">
        <v>10</v>
      </c>
      <c r="I442" s="28" t="inlineStr">
        <is>
          <t>SIM</t>
        </is>
      </c>
      <c r="J442" s="29" t="n">
        <v>92.09999999999999</v>
      </c>
      <c r="K442" s="14" t="str">
        <f>IF(J442="","7. Acima de 2 km",IF(J442&lt;=50,"1. Até 50 m",IF(J442&lt;=100,"2. De 50 a 100 m",IF(J442&lt;=200,"3. De 100 a 200 m",IF(J442&lt;=300,"4. De 200 a 300 m",IF(J442&lt;=500,"5. De 300 a 500 m","6. De 500 m a 2 km"))))))</f>
        <v>2. De 50 a 100 m</v>
      </c>
      <c r="L442" s="26" t="n">
        <v>0</v>
      </c>
      <c r="M442" s="26" t="n">
        <v>1</v>
      </c>
      <c r="N442" s="26" t="n">
        <v>4</v>
      </c>
      <c r="O442" s="26" t="n">
        <v>6</v>
      </c>
      <c r="P442" s="30" t="n">
        <v>-11.3803555</v>
      </c>
      <c r="Q442" s="30" t="n">
        <v>-40.0061679</v>
      </c>
      <c r="R442" s="14" t="inlineStr">
        <is>
          <t>CARTÓRIO ELEITORAL, RUA DEPUTADO ROCHA PIRES, N° 250, BAIRRO OLIVEIRA, CAPIM GROSSO/BA</t>
        </is>
      </c>
      <c r="S442" s="26">
        <f>IF(A442=A441,0,1)</f>
        <v>0</v>
      </c>
      <c r="T442" s="26">
        <f>IF(COUNTIF($B$4:B442,B442)=1,1,0)</f>
        <v>0</v>
      </c>
    </row>
    <row r="443">
      <c r="A443" s="14" t="inlineStr">
        <is>
          <t>CAPIM GROSSO</t>
        </is>
      </c>
      <c r="B443" s="26" t="n">
        <v>191</v>
      </c>
      <c r="C443" s="26" t="n">
        <v>1090</v>
      </c>
      <c r="D443" s="14" t="inlineStr">
        <is>
          <t>COLÉGIO MUNICIPAL ANTÔNIO JOAQUIM RIBEIRO</t>
        </is>
      </c>
      <c r="E443" s="14" t="inlineStr">
        <is>
          <t>POVOADO PEDRAS ALTAS DO MIRIM</t>
        </is>
      </c>
      <c r="F443" s="14" t="inlineStr">
        <is>
          <t>AV SENHOR DO BONFIM, S/N - ZONA RURAL</t>
        </is>
      </c>
      <c r="G443" s="27" t="inlineStr">
        <is>
          <t>44695-000</t>
        </is>
      </c>
      <c r="H443" s="15" t="n">
        <v>8</v>
      </c>
      <c r="I443" s="28" t="inlineStr">
        <is>
          <t>NÃO</t>
        </is>
      </c>
      <c r="J443" s="29" t="n">
        <v>101.4</v>
      </c>
      <c r="K443" s="14" t="str">
        <f>IF(J443="","7. Acima de 2 km",IF(J443&lt;=50,"1. Até 50 m",IF(J443&lt;=100,"2. De 50 a 100 m",IF(J443&lt;=200,"3. De 100 a 200 m",IF(J443&lt;=300,"4. De 200 a 300 m",IF(J443&lt;=500,"5. De 300 a 500 m","6. De 500 m a 2 km"))))))</f>
        <v>3. De 100 a 200 m</v>
      </c>
      <c r="L443" s="26" t="n">
        <v>0</v>
      </c>
      <c r="M443" s="26" t="n">
        <v>0</v>
      </c>
      <c r="N443" s="26" t="n">
        <v>1</v>
      </c>
      <c r="O443" s="26" t="n">
        <v>1</v>
      </c>
      <c r="P443" s="30" t="n">
        <v>-11.3849886</v>
      </c>
      <c r="Q443" s="30" t="n">
        <v>-40.0054122</v>
      </c>
      <c r="R443" s="14" t="inlineStr">
        <is>
          <t>CARTÓRIO ELEITORAL, RUA DEPUTADO ROCHA PIRES, N° 250, BAIRRO OLIVEIRA, CAPIM GROSSO/BA</t>
        </is>
      </c>
      <c r="S443" s="26">
        <f>IF(A443=A442,0,1)</f>
        <v>0</v>
      </c>
      <c r="T443" s="26">
        <f>IF(COUNTIF($B$4:B443,B443)=1,1,0)</f>
        <v>0</v>
      </c>
    </row>
    <row r="444">
      <c r="A444" s="14" t="inlineStr">
        <is>
          <t>CAPIM GROSSO</t>
        </is>
      </c>
      <c r="B444" s="26" t="n">
        <v>191</v>
      </c>
      <c r="C444" s="26" t="n">
        <v>1120</v>
      </c>
      <c r="D444" s="14" t="inlineStr">
        <is>
          <t>ESCOLA MUNICIPAL LUCIENE ARAUJO OLIVEIRA</t>
        </is>
      </c>
      <c r="E444" s="14" t="inlineStr">
        <is>
          <t>POVOADO DO PEIXE</t>
        </is>
      </c>
      <c r="F444" s="14" t="inlineStr">
        <is>
          <t>PRAÇA CAMPO SALES, SN - ZONA RURAL</t>
        </is>
      </c>
      <c r="G444" s="27" t="inlineStr">
        <is>
          <t>44695-000</t>
        </is>
      </c>
      <c r="H444" s="15" t="n">
        <v>4</v>
      </c>
      <c r="I444" s="28" t="inlineStr">
        <is>
          <t>NÃO</t>
        </is>
      </c>
      <c r="J444" s="29" t="n"/>
      <c r="K444" s="14" t="str">
        <f>IF(J444="","7. Acima de 2 km",IF(J444&lt;=50,"1. Até 50 m",IF(J444&lt;=100,"2. De 50 a 100 m",IF(J444&lt;=200,"3. De 100 a 200 m",IF(J444&lt;=300,"4. De 200 a 300 m",IF(J444&lt;=500,"5. De 300 a 500 m","6. De 500 m a 2 km"))))))</f>
        <v>7. Acima de 2 km</v>
      </c>
      <c r="L444" s="26" t="n">
        <v>0</v>
      </c>
      <c r="M444" s="26" t="n">
        <v>0</v>
      </c>
      <c r="N444" s="26" t="n">
        <v>0</v>
      </c>
      <c r="O444" s="26" t="n">
        <v>0</v>
      </c>
      <c r="P444" s="30" t="n">
        <v>-11.3998469</v>
      </c>
      <c r="Q444" s="30" t="n">
        <v>-39.9591133</v>
      </c>
      <c r="R444" s="14" t="inlineStr">
        <is>
          <t>CARTÓRIO ELEITORAL, RUA DEPUTADO ROCHA PIRES, N° 250, BAIRRO OLIVEIRA, CAPIM GROSSO/BA</t>
        </is>
      </c>
      <c r="S444" s="26">
        <f>IF(A444=A443,0,1)</f>
        <v>0</v>
      </c>
      <c r="T444" s="26">
        <f>IF(COUNTIF($B$4:B444,B444)=1,1,0)</f>
        <v>0</v>
      </c>
    </row>
    <row r="445">
      <c r="A445" s="14" t="inlineStr">
        <is>
          <t>CAPIM GROSSO</t>
        </is>
      </c>
      <c r="B445" s="26" t="n">
        <v>191</v>
      </c>
      <c r="C445" s="26" t="n">
        <v>1155</v>
      </c>
      <c r="D445" s="14" t="inlineStr">
        <is>
          <t>ESCOLA MUNCIPAL MANOEL JOSÉ VITORINO DA SILVA</t>
        </is>
      </c>
      <c r="E445" s="14" t="inlineStr">
        <is>
          <t>POVOADO DE CAIÇARA</t>
        </is>
      </c>
      <c r="F445" s="14" t="inlineStr">
        <is>
          <t>PRAÇA AGNELO MONOEL DA SILVA N 88 - ZONA RURAL</t>
        </is>
      </c>
      <c r="G445" s="27" t="inlineStr">
        <is>
          <t>44695-000</t>
        </is>
      </c>
      <c r="H445" s="15" t="n">
        <v>2</v>
      </c>
      <c r="I445" s="28" t="inlineStr">
        <is>
          <t>NÃO</t>
        </is>
      </c>
      <c r="J445" s="29" t="n"/>
      <c r="K445" s="14" t="str">
        <f>IF(J445="","7. Acima de 2 km",IF(J445&lt;=50,"1. Até 50 m",IF(J445&lt;=100,"2. De 50 a 100 m",IF(J445&lt;=200,"3. De 100 a 200 m",IF(J445&lt;=300,"4. De 200 a 300 m",IF(J445&lt;=500,"5. De 300 a 500 m","6. De 500 m a 2 km"))))))</f>
        <v>7. Acima de 2 km</v>
      </c>
      <c r="L445" s="26" t="n">
        <v>0</v>
      </c>
      <c r="M445" s="26" t="n">
        <v>0</v>
      </c>
      <c r="N445" s="26" t="n">
        <v>0</v>
      </c>
      <c r="O445" s="26" t="n">
        <v>0</v>
      </c>
      <c r="P445" s="30" t="n">
        <v>-11.3458959</v>
      </c>
      <c r="Q445" s="30" t="n">
        <v>-40.0513909</v>
      </c>
      <c r="R445" s="14" t="inlineStr">
        <is>
          <t>CARTÓRIO ELEITORAL, RUA DEPUTADO ROCHA PIRES, N° 250, BAIRRO OLIVEIRA, CAPIM GROSSO/BA</t>
        </is>
      </c>
      <c r="S445" s="26">
        <f>IF(A445=A444,0,1)</f>
        <v>0</v>
      </c>
      <c r="T445" s="26">
        <f>IF(COUNTIF($B$4:B445,B445)=1,1,0)</f>
        <v>0</v>
      </c>
    </row>
    <row r="446">
      <c r="A446" s="14" t="inlineStr">
        <is>
          <t>CAPIM GROSSO</t>
        </is>
      </c>
      <c r="B446" s="26" t="n">
        <v>191</v>
      </c>
      <c r="C446" s="26" t="n">
        <v>1163</v>
      </c>
      <c r="D446" s="14" t="inlineStr">
        <is>
          <t>ESCOLA MAXIMINIANO JOSÉ  DOS SANTOS</t>
        </is>
      </c>
      <c r="E446" s="14" t="inlineStr">
        <is>
          <t>POVOADO ÁGUA NOVA</t>
        </is>
      </c>
      <c r="F446" s="14" t="inlineStr">
        <is>
          <t>RUA DAMACENO, SN  - ZONA RURAL</t>
        </is>
      </c>
      <c r="G446" s="27" t="inlineStr">
        <is>
          <t>44825-899</t>
        </is>
      </c>
      <c r="H446" s="15" t="n">
        <v>2</v>
      </c>
      <c r="I446" s="28" t="inlineStr">
        <is>
          <t>NÃO</t>
        </is>
      </c>
      <c r="J446" s="29" t="n"/>
      <c r="K446" s="14" t="str">
        <f>IF(J446="","7. Acima de 2 km",IF(J446&lt;=50,"1. Até 50 m",IF(J446&lt;=100,"2. De 50 a 100 m",IF(J446&lt;=200,"3. De 100 a 200 m",IF(J446&lt;=300,"4. De 200 a 300 m",IF(J446&lt;=500,"5. De 300 a 500 m","6. De 500 m a 2 km"))))))</f>
        <v>7. Acima de 2 km</v>
      </c>
      <c r="L446" s="26" t="n">
        <v>0</v>
      </c>
      <c r="M446" s="26" t="n">
        <v>0</v>
      </c>
      <c r="N446" s="26" t="n">
        <v>0</v>
      </c>
      <c r="O446" s="26" t="n">
        <v>0</v>
      </c>
      <c r="P446" s="30" t="n">
        <v>-11.3691714</v>
      </c>
      <c r="Q446" s="30" t="n">
        <v>-40.0382014</v>
      </c>
      <c r="R446" s="14" t="inlineStr">
        <is>
          <t>CARTÓRIO ELEITORAL, RUA DEPUTADO ROCHA PIRES, N° 250, BAIRRO OLIVEIRA, CAPIM GROSSO/BA</t>
        </is>
      </c>
      <c r="S446" s="26">
        <f>IF(A446=A445,0,1)</f>
        <v>0</v>
      </c>
      <c r="T446" s="26">
        <f>IF(COUNTIF($B$4:B446,B446)=1,1,0)</f>
        <v>0</v>
      </c>
    </row>
    <row r="447">
      <c r="A447" s="14" t="inlineStr">
        <is>
          <t>CAPIM GROSSO</t>
        </is>
      </c>
      <c r="B447" s="26" t="n">
        <v>191</v>
      </c>
      <c r="C447" s="26" t="n">
        <v>1180</v>
      </c>
      <c r="D447" s="14" t="inlineStr">
        <is>
          <t>ESCOLA MUNICIPAL FRANCISCO MACHADO DOS SANTOS</t>
        </is>
      </c>
      <c r="E447" s="14" t="inlineStr">
        <is>
          <t>JARDIM ARAÚJO</t>
        </is>
      </c>
      <c r="F447" s="14" t="inlineStr">
        <is>
          <t>RUA JACOBINA, S/N - ZONA URBANA</t>
        </is>
      </c>
      <c r="G447" s="27" t="inlineStr">
        <is>
          <t>44695-000</t>
        </is>
      </c>
      <c r="H447" s="15" t="n">
        <v>5</v>
      </c>
      <c r="I447" s="28" t="inlineStr">
        <is>
          <t>NÃO</t>
        </is>
      </c>
      <c r="J447" s="29" t="n">
        <v>222.8</v>
      </c>
      <c r="K447" s="14" t="str">
        <f>IF(J447="","7. Acima de 2 km",IF(J447&lt;=50,"1. Até 50 m",IF(J447&lt;=100,"2. De 50 a 100 m",IF(J447&lt;=200,"3. De 100 a 200 m",IF(J447&lt;=300,"4. De 200 a 300 m",IF(J447&lt;=500,"5. De 300 a 500 m","6. De 500 m a 2 km"))))))</f>
        <v>4. De 200 a 300 m</v>
      </c>
      <c r="L447" s="26" t="n">
        <v>0</v>
      </c>
      <c r="M447" s="26" t="n">
        <v>0</v>
      </c>
      <c r="N447" s="26" t="n">
        <v>0</v>
      </c>
      <c r="O447" s="26" t="n">
        <v>3</v>
      </c>
      <c r="P447" s="30" t="n">
        <v>-11.3764985</v>
      </c>
      <c r="Q447" s="30" t="n">
        <v>-40.0137654</v>
      </c>
      <c r="R447" s="14" t="inlineStr">
        <is>
          <t>CARTÓRIO ELEITORAL, RUA DEPUTADO ROCHA PIRES, N° 250, BAIRRO OLIVEIRA, CAPIM GROSSO/BA</t>
        </is>
      </c>
      <c r="S447" s="26">
        <f>IF(A447=A446,0,1)</f>
        <v>0</v>
      </c>
      <c r="T447" s="26">
        <f>IF(COUNTIF($B$4:B447,B447)=1,1,0)</f>
        <v>0</v>
      </c>
    </row>
    <row r="448">
      <c r="A448" s="14" t="inlineStr">
        <is>
          <t>CAPIM GROSSO</t>
        </is>
      </c>
      <c r="B448" s="26" t="n">
        <v>191</v>
      </c>
      <c r="C448" s="26" t="n">
        <v>1198</v>
      </c>
      <c r="D448" s="14" t="inlineStr">
        <is>
          <t>ESCOLA MUNICIPAL CANDIDA ROSA VILAS BOAS</t>
        </is>
      </c>
      <c r="E448" s="14" t="inlineStr">
        <is>
          <t>PLANALTINO</t>
        </is>
      </c>
      <c r="F448" s="14" t="inlineStr">
        <is>
          <t>PRAÇA PRINCIPAL, S/N - ZONA URBANA</t>
        </is>
      </c>
      <c r="G448" s="27" t="inlineStr">
        <is>
          <t>44695-000</t>
        </is>
      </c>
      <c r="H448" s="15" t="n">
        <v>6</v>
      </c>
      <c r="I448" s="28" t="inlineStr">
        <is>
          <t>NÃO</t>
        </is>
      </c>
      <c r="J448" s="29" t="n">
        <v>635.1</v>
      </c>
      <c r="K448" s="14" t="str">
        <f>IF(J448="","7. Acima de 2 km",IF(J448&lt;=50,"1. Até 50 m",IF(J448&lt;=100,"2. De 50 a 100 m",IF(J448&lt;=200,"3. De 100 a 200 m",IF(J448&lt;=300,"4. De 200 a 300 m",IF(J448&lt;=500,"5. De 300 a 500 m","6. De 500 m a 2 km"))))))</f>
        <v>6. De 500 m a 2 km</v>
      </c>
      <c r="L448" s="26" t="n">
        <v>0</v>
      </c>
      <c r="M448" s="26" t="n">
        <v>0</v>
      </c>
      <c r="N448" s="26" t="n">
        <v>0</v>
      </c>
      <c r="O448" s="26" t="n">
        <v>0</v>
      </c>
      <c r="P448" s="30" t="n">
        <v>-11.3763735</v>
      </c>
      <c r="Q448" s="30" t="n">
        <v>-40.0011012</v>
      </c>
      <c r="R448" s="14" t="inlineStr">
        <is>
          <t>CARTÓRIO ELEITORAL, RUA DEPUTADO ROCHA PIRES, N° 250, BAIRRO OLIVEIRA, CAPIM GROSSO/BA</t>
        </is>
      </c>
      <c r="S448" s="26">
        <f>IF(A448=A447,0,1)</f>
        <v>0</v>
      </c>
      <c r="T448" s="26">
        <f>IF(COUNTIF($B$4:B448,B448)=1,1,0)</f>
        <v>0</v>
      </c>
    </row>
    <row r="449">
      <c r="A449" s="14" t="inlineStr">
        <is>
          <t>CASA NOVA</t>
        </is>
      </c>
      <c r="B449" s="26" t="n">
        <v>66</v>
      </c>
      <c r="C449" s="26" t="n">
        <v>1015</v>
      </c>
      <c r="D449" s="14" t="inlineStr">
        <is>
          <t>CENTRO EDUCACIONAL ANTONIO HONORATO</t>
        </is>
      </c>
      <c r="E449" s="14" t="inlineStr">
        <is>
          <t>CENTRO</t>
        </is>
      </c>
      <c r="F449" s="14" t="inlineStr">
        <is>
          <t>QUADRA  S, S/N - ZONA URBANA</t>
        </is>
      </c>
      <c r="G449" s="27" t="inlineStr">
        <is>
          <t>47300-000</t>
        </is>
      </c>
      <c r="H449" s="15" t="n">
        <v>14</v>
      </c>
      <c r="I449" s="28" t="inlineStr">
        <is>
          <t>SIM</t>
        </is>
      </c>
      <c r="J449" s="29" t="n">
        <v>13.8</v>
      </c>
      <c r="K449" s="14" t="str">
        <f>IF(J449="","7. Acima de 2 km",IF(J449&lt;=50,"1. Até 50 m",IF(J449&lt;=100,"2. De 50 a 100 m",IF(J449&lt;=200,"3. De 100 a 200 m",IF(J449&lt;=300,"4. De 200 a 300 m",IF(J449&lt;=500,"5. De 300 a 500 m","6. De 500 m a 2 km"))))))</f>
        <v>1. Até 50 m</v>
      </c>
      <c r="L449" s="26" t="n">
        <v>1</v>
      </c>
      <c r="M449" s="26" t="n">
        <v>1</v>
      </c>
      <c r="N449" s="26" t="n">
        <v>3</v>
      </c>
      <c r="O449" s="26" t="n">
        <v>4</v>
      </c>
      <c r="P449" s="30" t="n">
        <v>-9.178124370000001</v>
      </c>
      <c r="Q449" s="30" t="n">
        <v>-40.9738966</v>
      </c>
      <c r="R449" s="14" t="inlineStr">
        <is>
          <t>FÓRUM DESEMBARGADOR JOSÉ MANOEL VIANA DE CASTRO - PRAÇA 3 PODERES, S/N, CASA NOVA-BA</t>
        </is>
      </c>
      <c r="S449" s="26">
        <f>IF(A449=A448,0,1)</f>
        <v>1</v>
      </c>
      <c r="T449" s="26">
        <f>IF(COUNTIF($B$4:B449,B449)=1,1,0)</f>
        <v>1</v>
      </c>
    </row>
    <row r="450">
      <c r="A450" s="14" t="inlineStr">
        <is>
          <t>CASA NOVA</t>
        </is>
      </c>
      <c r="B450" s="26" t="n">
        <v>66</v>
      </c>
      <c r="C450" s="26" t="n">
        <v>1023</v>
      </c>
      <c r="D450" s="14" t="inlineStr">
        <is>
          <t>GRUPO ESCOLAR CONS. LUIZ VIANA</t>
        </is>
      </c>
      <c r="E450" s="14" t="inlineStr">
        <is>
          <t>CENTRO</t>
        </is>
      </c>
      <c r="F450" s="14" t="inlineStr">
        <is>
          <t>PRACA 2, S/N - ZONA URBANA</t>
        </is>
      </c>
      <c r="G450" s="27" t="inlineStr">
        <is>
          <t>47300-000</t>
        </is>
      </c>
      <c r="H450" s="15" t="n">
        <v>6</v>
      </c>
      <c r="I450" s="28" t="inlineStr">
        <is>
          <t>NÃO</t>
        </is>
      </c>
      <c r="J450" s="29" t="n">
        <v>120.4</v>
      </c>
      <c r="K450" s="14" t="str">
        <f>IF(J450="","7. Acima de 2 km",IF(J450&lt;=50,"1. Até 50 m",IF(J450&lt;=100,"2. De 50 a 100 m",IF(J450&lt;=200,"3. De 100 a 200 m",IF(J450&lt;=300,"4. De 200 a 300 m",IF(J450&lt;=500,"5. De 300 a 500 m","6. De 500 m a 2 km"))))))</f>
        <v>3. De 100 a 200 m</v>
      </c>
      <c r="L450" s="26" t="n">
        <v>0</v>
      </c>
      <c r="M450" s="26" t="n">
        <v>0</v>
      </c>
      <c r="N450" s="26" t="n">
        <v>2</v>
      </c>
      <c r="O450" s="26" t="n">
        <v>8</v>
      </c>
      <c r="P450" s="30" t="n">
        <v>-9.17430358</v>
      </c>
      <c r="Q450" s="30" t="n">
        <v>-40.972532</v>
      </c>
      <c r="R450" s="14" t="inlineStr">
        <is>
          <t>FÓRUM DESEMBARGADOR JOSÉ MANOEL VIANA DE CASTRO - PRAÇA 3 PODERES, S/N, CASA NOVA-BA</t>
        </is>
      </c>
      <c r="S450" s="26">
        <f>IF(A450=A449,0,1)</f>
        <v>0</v>
      </c>
      <c r="T450" s="26">
        <f>IF(COUNTIF($B$4:B450,B450)=1,1,0)</f>
        <v>0</v>
      </c>
    </row>
    <row r="451">
      <c r="A451" s="14" t="inlineStr">
        <is>
          <t>CASA NOVA</t>
        </is>
      </c>
      <c r="B451" s="26" t="n">
        <v>66</v>
      </c>
      <c r="C451" s="26" t="n">
        <v>1031</v>
      </c>
      <c r="D451" s="14" t="inlineStr">
        <is>
          <t>GRUPO ESCOLAR GETULIO VARGAS</t>
        </is>
      </c>
      <c r="E451" s="14" t="inlineStr">
        <is>
          <t>CENTRO</t>
        </is>
      </c>
      <c r="F451" s="14" t="inlineStr">
        <is>
          <t>PRACA 4, S/N - ZONA URBANA</t>
        </is>
      </c>
      <c r="G451" s="27" t="inlineStr">
        <is>
          <t>47300-000</t>
        </is>
      </c>
      <c r="H451" s="15" t="n">
        <v>7</v>
      </c>
      <c r="I451" s="28" t="inlineStr">
        <is>
          <t>SIM</t>
        </is>
      </c>
      <c r="J451" s="29" t="n">
        <v>91.8</v>
      </c>
      <c r="K451" s="14" t="str">
        <f>IF(J451="","7. Acima de 2 km",IF(J451&lt;=50,"1. Até 50 m",IF(J451&lt;=100,"2. De 50 a 100 m",IF(J451&lt;=200,"3. De 100 a 200 m",IF(J451&lt;=300,"4. De 200 a 300 m",IF(J451&lt;=500,"5. De 300 a 500 m","6. De 500 m a 2 km"))))))</f>
        <v>2. De 50 a 100 m</v>
      </c>
      <c r="L451" s="26" t="n">
        <v>0</v>
      </c>
      <c r="M451" s="26" t="n">
        <v>1</v>
      </c>
      <c r="N451" s="26" t="n">
        <v>6</v>
      </c>
      <c r="O451" s="26" t="n">
        <v>9</v>
      </c>
      <c r="P451" s="30" t="n">
        <v>-9.17676683</v>
      </c>
      <c r="Q451" s="30" t="n">
        <v>-40.9746854</v>
      </c>
      <c r="R451" s="14" t="inlineStr">
        <is>
          <t>FÓRUM DESEMBARGADOR JOSÉ MANOEL VIANA DE CASTRO - PRAÇA 3 PODERES, S/N, CASA NOVA-BA</t>
        </is>
      </c>
      <c r="S451" s="26">
        <f>IF(A451=A450,0,1)</f>
        <v>0</v>
      </c>
      <c r="T451" s="26">
        <f>IF(COUNTIF($B$4:B451,B451)=1,1,0)</f>
        <v>0</v>
      </c>
    </row>
    <row r="452">
      <c r="A452" s="14" t="inlineStr">
        <is>
          <t>CASA NOVA</t>
        </is>
      </c>
      <c r="B452" s="26" t="n">
        <v>66</v>
      </c>
      <c r="C452" s="26" t="n">
        <v>1040</v>
      </c>
      <c r="D452" s="14" t="inlineStr">
        <is>
          <t>PREDIO ESCOLAR EULALIA PASSOS</t>
        </is>
      </c>
      <c r="E452" s="14" t="inlineStr">
        <is>
          <t>CENTRO</t>
        </is>
      </c>
      <c r="F452" s="14" t="inlineStr">
        <is>
          <t>PRACA 5, S/N - ZONA URBANA</t>
        </is>
      </c>
      <c r="G452" s="27" t="inlineStr">
        <is>
          <t>47300-000</t>
        </is>
      </c>
      <c r="H452" s="15" t="n">
        <v>4</v>
      </c>
      <c r="I452" s="28" t="inlineStr">
        <is>
          <t>NÃO</t>
        </is>
      </c>
      <c r="J452" s="29" t="n">
        <v>251.8</v>
      </c>
      <c r="K452" s="14" t="str">
        <f>IF(J452="","7. Acima de 2 km",IF(J452&lt;=50,"1. Até 50 m",IF(J452&lt;=100,"2. De 50 a 100 m",IF(J452&lt;=200,"3. De 100 a 200 m",IF(J452&lt;=300,"4. De 200 a 300 m",IF(J452&lt;=500,"5. De 300 a 500 m","6. De 500 m a 2 km"))))))</f>
        <v>4. De 200 a 300 m</v>
      </c>
      <c r="L452" s="26" t="n">
        <v>0</v>
      </c>
      <c r="M452" s="26" t="n">
        <v>0</v>
      </c>
      <c r="N452" s="26" t="n">
        <v>0</v>
      </c>
      <c r="O452" s="26" t="n">
        <v>1</v>
      </c>
      <c r="P452" s="30" t="n">
        <v>-9.180223359999999</v>
      </c>
      <c r="Q452" s="30" t="n">
        <v>-40.97685393</v>
      </c>
      <c r="R452" s="14" t="inlineStr">
        <is>
          <t>FÓRUM DESEMBARGADOR JOSÉ MANOEL VIANA DE CASTRO - PRAÇA 3 PODERES, S/N, CASA NOVA-BA</t>
        </is>
      </c>
      <c r="S452" s="26">
        <f>IF(A452=A451,0,1)</f>
        <v>0</v>
      </c>
      <c r="T452" s="26">
        <f>IF(COUNTIF($B$4:B452,B452)=1,1,0)</f>
        <v>0</v>
      </c>
    </row>
    <row r="453">
      <c r="A453" s="14" t="inlineStr">
        <is>
          <t>CASA NOVA</t>
        </is>
      </c>
      <c r="B453" s="26" t="n">
        <v>66</v>
      </c>
      <c r="C453" s="26" t="n">
        <v>1058</v>
      </c>
      <c r="D453" s="14" t="inlineStr">
        <is>
          <t>PREDIO ESCOLAR SENADOR LUIZ VIANA</t>
        </is>
      </c>
      <c r="E453" s="14" t="inlineStr">
        <is>
          <t>CENTRO</t>
        </is>
      </c>
      <c r="F453" s="14" t="inlineStr">
        <is>
          <t>QUADRA  S, S/N - ZONA URBANA</t>
        </is>
      </c>
      <c r="G453" s="27" t="inlineStr">
        <is>
          <t>47300-000</t>
        </is>
      </c>
      <c r="H453" s="15" t="n">
        <v>7</v>
      </c>
      <c r="I453" s="28" t="inlineStr">
        <is>
          <t>SIM</t>
        </is>
      </c>
      <c r="J453" s="29" t="n">
        <v>37.4</v>
      </c>
      <c r="K453" s="14" t="str">
        <f>IF(J453="","7. Acima de 2 km",IF(J453&lt;=50,"1. Até 50 m",IF(J453&lt;=100,"2. De 50 a 100 m",IF(J453&lt;=200,"3. De 100 a 200 m",IF(J453&lt;=300,"4. De 200 a 300 m",IF(J453&lt;=500,"5. De 300 a 500 m","6. De 500 m a 2 km"))))))</f>
        <v>1. Até 50 m</v>
      </c>
      <c r="L453" s="26" t="n">
        <v>1</v>
      </c>
      <c r="M453" s="26" t="n">
        <v>2</v>
      </c>
      <c r="N453" s="26" t="n">
        <v>3</v>
      </c>
      <c r="O453" s="26" t="n">
        <v>5</v>
      </c>
      <c r="P453" s="30" t="n">
        <v>-9.177778849999999</v>
      </c>
      <c r="Q453" s="30" t="n">
        <v>-40.97361955</v>
      </c>
      <c r="R453" s="14" t="inlineStr">
        <is>
          <t>FÓRUM DESEMBARGADOR JOSÉ MANOEL VIANA DE CASTRO - PRAÇA 3 PODERES, S/N, CASA NOVA-BA</t>
        </is>
      </c>
      <c r="S453" s="26">
        <f>IF(A453=A452,0,1)</f>
        <v>0</v>
      </c>
      <c r="T453" s="26">
        <f>IF(COUNTIF($B$4:B453,B453)=1,1,0)</f>
        <v>0</v>
      </c>
    </row>
    <row r="454">
      <c r="A454" s="14" t="inlineStr">
        <is>
          <t>CASA NOVA</t>
        </is>
      </c>
      <c r="B454" s="26" t="n">
        <v>66</v>
      </c>
      <c r="C454" s="26" t="n">
        <v>1074</v>
      </c>
      <c r="D454" s="14" t="inlineStr">
        <is>
          <t>PREDIO ESCOLAR PINGO DE GENTE</t>
        </is>
      </c>
      <c r="E454" s="14" t="inlineStr">
        <is>
          <t>CENTRO</t>
        </is>
      </c>
      <c r="F454" s="14" t="inlineStr">
        <is>
          <t>QUADRA  X, S/N - ZONA URBANA</t>
        </is>
      </c>
      <c r="G454" s="27" t="inlineStr">
        <is>
          <t>47300-000</t>
        </is>
      </c>
      <c r="H454" s="15" t="n">
        <v>2</v>
      </c>
      <c r="I454" s="28" t="inlineStr">
        <is>
          <t>NÃO</t>
        </is>
      </c>
      <c r="J454" s="29" t="n">
        <v>251.6</v>
      </c>
      <c r="K454" s="14" t="str">
        <f>IF(J454="","7. Acima de 2 km",IF(J454&lt;=50,"1. Até 50 m",IF(J454&lt;=100,"2. De 50 a 100 m",IF(J454&lt;=200,"3. De 100 a 200 m",IF(J454&lt;=300,"4. De 200 a 300 m",IF(J454&lt;=500,"5. De 300 a 500 m","6. De 500 m a 2 km"))))))</f>
        <v>4. De 200 a 300 m</v>
      </c>
      <c r="L454" s="26" t="n">
        <v>0</v>
      </c>
      <c r="M454" s="26" t="n">
        <v>0</v>
      </c>
      <c r="N454" s="26" t="n">
        <v>0</v>
      </c>
      <c r="O454" s="26" t="n">
        <v>1</v>
      </c>
      <c r="P454" s="30" t="n">
        <v>-9.180256849999999</v>
      </c>
      <c r="Q454" s="30" t="n">
        <v>-40.97724315</v>
      </c>
      <c r="R454" s="14" t="inlineStr">
        <is>
          <t>FÓRUM DESEMBARGADOR JOSÉ MANOEL VIANA DE CASTRO - PRAÇA 3 PODERES, S/N, CASA NOVA-BA</t>
        </is>
      </c>
      <c r="S454" s="26">
        <f>IF(A454=A453,0,1)</f>
        <v>0</v>
      </c>
      <c r="T454" s="26">
        <f>IF(COUNTIF($B$4:B454,B454)=1,1,0)</f>
        <v>0</v>
      </c>
    </row>
    <row r="455">
      <c r="A455" s="14" t="inlineStr">
        <is>
          <t>CASA NOVA</t>
        </is>
      </c>
      <c r="B455" s="26" t="n">
        <v>66</v>
      </c>
      <c r="C455" s="26" t="n">
        <v>1082</v>
      </c>
      <c r="D455" s="14" t="inlineStr">
        <is>
          <t>PREDIO ESCOLAR JULIA BORGES</t>
        </is>
      </c>
      <c r="E455" s="14" t="inlineStr">
        <is>
          <t>CENTRO</t>
        </is>
      </c>
      <c r="F455" s="14" t="inlineStr">
        <is>
          <t>QUADRA  S, S/N - ZONA URBANA</t>
        </is>
      </c>
      <c r="G455" s="27" t="inlineStr">
        <is>
          <t>47300-000</t>
        </is>
      </c>
      <c r="H455" s="15" t="n">
        <v>5</v>
      </c>
      <c r="I455" s="28" t="inlineStr">
        <is>
          <t>NÃO</t>
        </is>
      </c>
      <c r="J455" s="29" t="n">
        <v>271.8</v>
      </c>
      <c r="K455" s="14" t="str">
        <f>IF(J455="","7. Acima de 2 km",IF(J455&lt;=50,"1. Até 50 m",IF(J455&lt;=100,"2. De 50 a 100 m",IF(J455&lt;=200,"3. De 100 a 200 m",IF(J455&lt;=300,"4. De 200 a 300 m",IF(J455&lt;=500,"5. De 300 a 500 m","6. De 500 m a 2 km"))))))</f>
        <v>4. De 200 a 300 m</v>
      </c>
      <c r="L455" s="26" t="n">
        <v>0</v>
      </c>
      <c r="M455" s="26" t="n">
        <v>0</v>
      </c>
      <c r="N455" s="26" t="n">
        <v>0</v>
      </c>
      <c r="O455" s="26" t="n">
        <v>1</v>
      </c>
      <c r="P455" s="30" t="n">
        <v>-9.17706898</v>
      </c>
      <c r="Q455" s="30" t="n">
        <v>-40.97093793</v>
      </c>
      <c r="R455" s="14" t="inlineStr">
        <is>
          <t>FÓRUM DESEMBARGADOR JOSÉ MANOEL VIANA DE CASTRO - PRAÇA 3 PODERES, S/N, CASA NOVA-BA</t>
        </is>
      </c>
      <c r="S455" s="26">
        <f>IF(A455=A454,0,1)</f>
        <v>0</v>
      </c>
      <c r="T455" s="26">
        <f>IF(COUNTIF($B$4:B455,B455)=1,1,0)</f>
        <v>0</v>
      </c>
    </row>
    <row r="456">
      <c r="A456" s="14" t="inlineStr">
        <is>
          <t>CASA NOVA</t>
        </is>
      </c>
      <c r="B456" s="26" t="n">
        <v>66</v>
      </c>
      <c r="C456" s="26" t="n">
        <v>1104</v>
      </c>
      <c r="D456" s="14" t="inlineStr">
        <is>
          <t>ESCOLA AGROTECNICA</t>
        </is>
      </c>
      <c r="E456" s="14" t="inlineStr">
        <is>
          <t>CENTRO</t>
        </is>
      </c>
      <c r="F456" s="14" t="inlineStr">
        <is>
          <t>QUADRA  B, LOTE 2, NR. 02 - ZONA URBANA</t>
        </is>
      </c>
      <c r="G456" s="27" t="inlineStr">
        <is>
          <t>47300-000</t>
        </is>
      </c>
      <c r="H456" s="15" t="n">
        <v>5</v>
      </c>
      <c r="I456" s="28" t="inlineStr">
        <is>
          <t>NÃO</t>
        </is>
      </c>
      <c r="J456" s="29" t="n">
        <v>236.8</v>
      </c>
      <c r="K456" s="14" t="str">
        <f>IF(J456="","7. Acima de 2 km",IF(J456&lt;=50,"1. Até 50 m",IF(J456&lt;=100,"2. De 50 a 100 m",IF(J456&lt;=200,"3. De 100 a 200 m",IF(J456&lt;=300,"4. De 200 a 300 m",IF(J456&lt;=500,"5. De 300 a 500 m","6. De 500 m a 2 km"))))))</f>
        <v>4. De 200 a 300 m</v>
      </c>
      <c r="L456" s="26" t="n">
        <v>0</v>
      </c>
      <c r="M456" s="26" t="n">
        <v>0</v>
      </c>
      <c r="N456" s="26" t="n">
        <v>0</v>
      </c>
      <c r="O456" s="26" t="n">
        <v>1</v>
      </c>
      <c r="P456" s="30" t="n">
        <v>-9.18198417</v>
      </c>
      <c r="Q456" s="30" t="n">
        <v>-40.97476164</v>
      </c>
      <c r="R456" s="14" t="inlineStr">
        <is>
          <t>FÓRUM DESEMBARGADOR JOSÉ MANOEL VIANA DE CASTRO - PRAÇA 3 PODERES, S/N, CASA NOVA-BA</t>
        </is>
      </c>
      <c r="S456" s="26">
        <f>IF(A456=A455,0,1)</f>
        <v>0</v>
      </c>
      <c r="T456" s="26">
        <f>IF(COUNTIF($B$4:B456,B456)=1,1,0)</f>
        <v>0</v>
      </c>
    </row>
    <row r="457">
      <c r="A457" s="14" t="inlineStr">
        <is>
          <t>CASA NOVA</t>
        </is>
      </c>
      <c r="B457" s="26" t="n">
        <v>66</v>
      </c>
      <c r="C457" s="26" t="n">
        <v>1112</v>
      </c>
      <c r="D457" s="14" t="inlineStr">
        <is>
          <t>PREDIO ESCOLAR DE MALVAO</t>
        </is>
      </c>
      <c r="E457" s="14" t="inlineStr">
        <is>
          <t>POVOADO MALVAO</t>
        </is>
      </c>
      <c r="F457" s="14" t="inlineStr">
        <is>
          <t>POVOADO MALVAO, KM 25 - ZONA RURAL</t>
        </is>
      </c>
      <c r="G457" s="27" t="inlineStr">
        <is>
          <t>47300-000</t>
        </is>
      </c>
      <c r="H457" s="15" t="n">
        <v>2</v>
      </c>
      <c r="I457" s="28" t="inlineStr">
        <is>
          <t>NÃO</t>
        </is>
      </c>
      <c r="J457" s="29" t="n"/>
      <c r="K457" s="14" t="str">
        <f>IF(J457="","7. Acima de 2 km",IF(J457&lt;=50,"1. Até 50 m",IF(J457&lt;=100,"2. De 50 a 100 m",IF(J457&lt;=200,"3. De 100 a 200 m",IF(J457&lt;=300,"4. De 200 a 300 m",IF(J457&lt;=500,"5. De 300 a 500 m","6. De 500 m a 2 km"))))))</f>
        <v>7. Acima de 2 km</v>
      </c>
      <c r="L457" s="26" t="n">
        <v>0</v>
      </c>
      <c r="M457" s="26" t="n">
        <v>0</v>
      </c>
      <c r="N457" s="26" t="n">
        <v>0</v>
      </c>
      <c r="O457" s="26" t="n">
        <v>0</v>
      </c>
      <c r="P457" s="30" t="n">
        <v>-9.28186532</v>
      </c>
      <c r="Q457" s="30" t="n">
        <v>-41.0334601</v>
      </c>
      <c r="R457" s="14" t="inlineStr">
        <is>
          <t>FÓRUM DESEMBARGADOR JOSÉ MANOEL VIANA DE CASTRO - PRAÇA 3 PODERES, S/N, CASA NOVA-BA</t>
        </is>
      </c>
      <c r="S457" s="26">
        <f>IF(A457=A456,0,1)</f>
        <v>0</v>
      </c>
      <c r="T457" s="26">
        <f>IF(COUNTIF($B$4:B457,B457)=1,1,0)</f>
        <v>0</v>
      </c>
    </row>
    <row r="458">
      <c r="A458" s="14" t="inlineStr">
        <is>
          <t>CASA NOVA</t>
        </is>
      </c>
      <c r="B458" s="26" t="n">
        <v>66</v>
      </c>
      <c r="C458" s="26" t="n">
        <v>1120</v>
      </c>
      <c r="D458" s="14" t="inlineStr">
        <is>
          <t>PREDIO ESCOLAR DE POÇO DA PEDRA</t>
        </is>
      </c>
      <c r="E458" s="14" t="inlineStr">
        <is>
          <t>POVOADO POCO DA PEDRA</t>
        </is>
      </c>
      <c r="F458" s="14" t="inlineStr">
        <is>
          <t>POVOADO POÇO DA PEDRA, KM 36 - ZONA RURAL</t>
        </is>
      </c>
      <c r="G458" s="27" t="inlineStr">
        <is>
          <t>47300-000</t>
        </is>
      </c>
      <c r="H458" s="15" t="n">
        <v>3</v>
      </c>
      <c r="I458" s="28" t="inlineStr">
        <is>
          <t>NÃO</t>
        </is>
      </c>
      <c r="J458" s="29" t="n"/>
      <c r="K458" s="14" t="str">
        <f>IF(J458="","7. Acima de 2 km",IF(J458&lt;=50,"1. Até 50 m",IF(J458&lt;=100,"2. De 50 a 100 m",IF(J458&lt;=200,"3. De 100 a 200 m",IF(J458&lt;=300,"4. De 200 a 300 m",IF(J458&lt;=500,"5. De 300 a 500 m","6. De 500 m a 2 km"))))))</f>
        <v>7. Acima de 2 km</v>
      </c>
      <c r="L458" s="26" t="n">
        <v>0</v>
      </c>
      <c r="M458" s="26" t="n">
        <v>0</v>
      </c>
      <c r="N458" s="26" t="n">
        <v>0</v>
      </c>
      <c r="O458" s="26" t="n">
        <v>0</v>
      </c>
      <c r="P458" s="30" t="n">
        <v>-9.045720749999999</v>
      </c>
      <c r="Q458" s="30" t="n">
        <v>-41.03347042</v>
      </c>
      <c r="R458" s="14" t="inlineStr">
        <is>
          <t>FÓRUM DESEMBARGADOR JOSÉ MANOEL VIANA DE CASTRO - PRAÇA 3 PODERES, S/N, CASA NOVA-BA</t>
        </is>
      </c>
      <c r="S458" s="26">
        <f>IF(A458=A457,0,1)</f>
        <v>0</v>
      </c>
      <c r="T458" s="26">
        <f>IF(COUNTIF($B$4:B458,B458)=1,1,0)</f>
        <v>0</v>
      </c>
    </row>
    <row r="459">
      <c r="A459" s="14" t="inlineStr">
        <is>
          <t>CASA NOVA</t>
        </is>
      </c>
      <c r="B459" s="26" t="n">
        <v>66</v>
      </c>
      <c r="C459" s="26" t="n">
        <v>1155</v>
      </c>
      <c r="D459" s="14" t="inlineStr">
        <is>
          <t>PREDIO ESCOLAR DE SOBRADO</t>
        </is>
      </c>
      <c r="E459" s="14" t="inlineStr">
        <is>
          <t>DISTRITO SANTANA DO SOBRADO</t>
        </is>
      </c>
      <c r="F459" s="14" t="inlineStr">
        <is>
          <t>DISTRITO SANTANA DO SOBRADO, BR 235, KM 27 - ZONA RURAL</t>
        </is>
      </c>
      <c r="G459" s="27" t="inlineStr">
        <is>
          <t>47300-000</t>
        </is>
      </c>
      <c r="H459" s="15" t="n">
        <v>9</v>
      </c>
      <c r="I459" s="28" t="inlineStr">
        <is>
          <t>NÃO</t>
        </is>
      </c>
      <c r="J459" s="29" t="n">
        <v>136.9</v>
      </c>
      <c r="K459" s="14" t="str">
        <f>IF(J459="","7. Acima de 2 km",IF(J459&lt;=50,"1. Até 50 m",IF(J459&lt;=100,"2. De 50 a 100 m",IF(J459&lt;=200,"3. De 100 a 200 m",IF(J459&lt;=300,"4. De 200 a 300 m",IF(J459&lt;=500,"5. De 300 a 500 m","6. De 500 m a 2 km"))))))</f>
        <v>3. De 100 a 200 m</v>
      </c>
      <c r="L459" s="26" t="n">
        <v>0</v>
      </c>
      <c r="M459" s="26" t="n">
        <v>0</v>
      </c>
      <c r="N459" s="26" t="n">
        <v>2</v>
      </c>
      <c r="O459" s="26" t="n">
        <v>2</v>
      </c>
      <c r="P459" s="30" t="n">
        <v>-9.29622007</v>
      </c>
      <c r="Q459" s="30" t="n">
        <v>-40.82158655</v>
      </c>
      <c r="R459" s="14" t="inlineStr">
        <is>
          <t>FÓRUM DESEMBARGADOR JOSÉ MANOEL VIANA DE CASTRO - PRAÇA 3 PODERES, S/N, CASA NOVA-BA</t>
        </is>
      </c>
      <c r="S459" s="26">
        <f>IF(A459=A458,0,1)</f>
        <v>0</v>
      </c>
      <c r="T459" s="26">
        <f>IF(COUNTIF($B$4:B459,B459)=1,1,0)</f>
        <v>0</v>
      </c>
    </row>
    <row r="460">
      <c r="A460" s="14" t="inlineStr">
        <is>
          <t>CASA NOVA</t>
        </is>
      </c>
      <c r="B460" s="26" t="n">
        <v>66</v>
      </c>
      <c r="C460" s="26" t="n">
        <v>1163</v>
      </c>
      <c r="D460" s="14" t="inlineStr">
        <is>
          <t>PREDIO ESCOLAR AURENI ANGELIN PEREIRA</t>
        </is>
      </c>
      <c r="E460" s="14" t="inlineStr">
        <is>
          <t>DISTRITO SANTANA DO SOBRADO</t>
        </is>
      </c>
      <c r="F460" s="14" t="inlineStr">
        <is>
          <t>DISTRITO SANTANA DO SOBRADO, BR 235, KM 27 - ZONA RURAL</t>
        </is>
      </c>
      <c r="G460" s="27" t="inlineStr">
        <is>
          <t>47300-000</t>
        </is>
      </c>
      <c r="H460" s="15" t="n">
        <v>5</v>
      </c>
      <c r="I460" s="28" t="inlineStr">
        <is>
          <t>NÃO</t>
        </is>
      </c>
      <c r="J460" s="29" t="n">
        <v>442.8</v>
      </c>
      <c r="K460" s="14" t="str">
        <f>IF(J460="","7. Acima de 2 km",IF(J460&lt;=50,"1. Até 50 m",IF(J460&lt;=100,"2. De 50 a 100 m",IF(J460&lt;=200,"3. De 100 a 200 m",IF(J460&lt;=300,"4. De 200 a 300 m",IF(J460&lt;=500,"5. De 300 a 500 m","6. De 500 m a 2 km"))))))</f>
        <v>5. De 300 a 500 m</v>
      </c>
      <c r="L460" s="26" t="n">
        <v>0</v>
      </c>
      <c r="M460" s="26" t="n">
        <v>0</v>
      </c>
      <c r="N460" s="26" t="n">
        <v>0</v>
      </c>
      <c r="O460" s="26" t="n">
        <v>0</v>
      </c>
      <c r="P460" s="30" t="n">
        <v>-9.29894668</v>
      </c>
      <c r="Q460" s="30" t="n">
        <v>-40.82264082</v>
      </c>
      <c r="R460" s="14" t="inlineStr">
        <is>
          <t>FÓRUM DESEMBARGADOR JOSÉ MANOEL VIANA DE CASTRO - PRAÇA 3 PODERES, S/N, CASA NOVA-BA</t>
        </is>
      </c>
      <c r="S460" s="26">
        <f>IF(A460=A459,0,1)</f>
        <v>0</v>
      </c>
      <c r="T460" s="26">
        <f>IF(COUNTIF($B$4:B460,B460)=1,1,0)</f>
        <v>0</v>
      </c>
    </row>
    <row r="461">
      <c r="A461" s="14" t="inlineStr">
        <is>
          <t>CASA NOVA</t>
        </is>
      </c>
      <c r="B461" s="26" t="n">
        <v>66</v>
      </c>
      <c r="C461" s="26" t="n">
        <v>1180</v>
      </c>
      <c r="D461" s="14" t="inlineStr">
        <is>
          <t>PREDIO ESCOLAR DE JUNCO</t>
        </is>
      </c>
      <c r="E461" s="14" t="inlineStr">
        <is>
          <t>POVOADO JUNCO</t>
        </is>
      </c>
      <c r="F461" s="14" t="inlineStr">
        <is>
          <t>POVOADO JUNCO, KM 35 - ZONA RURAL</t>
        </is>
      </c>
      <c r="G461" s="27" t="inlineStr">
        <is>
          <t>47300-000</t>
        </is>
      </c>
      <c r="H461" s="15" t="n">
        <v>2</v>
      </c>
      <c r="I461" s="28" t="inlineStr">
        <is>
          <t>NÃO</t>
        </is>
      </c>
      <c r="J461" s="29" t="n"/>
      <c r="K461" s="14" t="str">
        <f>IF(J461="","7. Acima de 2 km",IF(J461&lt;=50,"1. Até 50 m",IF(J461&lt;=100,"2. De 50 a 100 m",IF(J461&lt;=200,"3. De 100 a 200 m",IF(J461&lt;=300,"4. De 200 a 300 m",IF(J461&lt;=500,"5. De 300 a 500 m","6. De 500 m a 2 km"))))))</f>
        <v>7. Acima de 2 km</v>
      </c>
      <c r="L461" s="26" t="n">
        <v>0</v>
      </c>
      <c r="M461" s="26" t="n">
        <v>0</v>
      </c>
      <c r="N461" s="26" t="n">
        <v>0</v>
      </c>
      <c r="O461" s="26" t="n">
        <v>0</v>
      </c>
      <c r="P461" s="30" t="n">
        <v>-9.31087988</v>
      </c>
      <c r="Q461" s="30" t="n">
        <v>-41.19821562</v>
      </c>
      <c r="R461" s="14" t="inlineStr">
        <is>
          <t>FÓRUM DESEMBARGADOR JOSÉ MANOEL VIANA DE CASTRO - PRAÇA 3 PODERES, S/N, CASA NOVA-BA</t>
        </is>
      </c>
      <c r="S461" s="26">
        <f>IF(A461=A460,0,1)</f>
        <v>0</v>
      </c>
      <c r="T461" s="26">
        <f>IF(COUNTIF($B$4:B461,B461)=1,1,0)</f>
        <v>0</v>
      </c>
    </row>
    <row r="462">
      <c r="A462" s="14" t="inlineStr">
        <is>
          <t>CASA NOVA</t>
        </is>
      </c>
      <c r="B462" s="26" t="n">
        <v>66</v>
      </c>
      <c r="C462" s="26" t="n">
        <v>1198</v>
      </c>
      <c r="D462" s="14" t="inlineStr">
        <is>
          <t>PREDIO ESCOLAR DE LAGO</t>
        </is>
      </c>
      <c r="E462" s="14" t="inlineStr">
        <is>
          <t>POVOADO LAGO</t>
        </is>
      </c>
      <c r="F462" s="14" t="inlineStr">
        <is>
          <t>POVOADO LAGO, KM 40 - ZONA RURAL</t>
        </is>
      </c>
      <c r="G462" s="27" t="inlineStr">
        <is>
          <t>47300-000</t>
        </is>
      </c>
      <c r="H462" s="15" t="n">
        <v>3</v>
      </c>
      <c r="I462" s="28" t="inlineStr">
        <is>
          <t>NÃO</t>
        </is>
      </c>
      <c r="J462" s="29" t="n"/>
      <c r="K462" s="14" t="str">
        <f>IF(J462="","7. Acima de 2 km",IF(J462&lt;=50,"1. Até 50 m",IF(J462&lt;=100,"2. De 50 a 100 m",IF(J462&lt;=200,"3. De 100 a 200 m",IF(J462&lt;=300,"4. De 200 a 300 m",IF(J462&lt;=500,"5. De 300 a 500 m","6. De 500 m a 2 km"))))))</f>
        <v>7. Acima de 2 km</v>
      </c>
      <c r="L462" s="26" t="n">
        <v>0</v>
      </c>
      <c r="M462" s="26" t="n">
        <v>0</v>
      </c>
      <c r="N462" s="26" t="n">
        <v>0</v>
      </c>
      <c r="O462" s="26" t="n">
        <v>0</v>
      </c>
      <c r="P462" s="30" t="n">
        <v>-8.885983230000001</v>
      </c>
      <c r="Q462" s="30" t="n">
        <v>-40.91743868</v>
      </c>
      <c r="R462" s="14" t="inlineStr">
        <is>
          <t>FÓRUM DESEMBARGADOR JOSÉ MANOEL VIANA DE CASTRO - PRAÇA 3 PODERES, S/N, CASA NOVA-BA</t>
        </is>
      </c>
      <c r="S462" s="26">
        <f>IF(A462=A461,0,1)</f>
        <v>0</v>
      </c>
      <c r="T462" s="26">
        <f>IF(COUNTIF($B$4:B462,B462)=1,1,0)</f>
        <v>0</v>
      </c>
    </row>
    <row r="463">
      <c r="A463" s="14" t="inlineStr">
        <is>
          <t>CASA NOVA</t>
        </is>
      </c>
      <c r="B463" s="26" t="n">
        <v>66</v>
      </c>
      <c r="C463" s="26" t="n">
        <v>1201</v>
      </c>
      <c r="D463" s="14" t="inlineStr">
        <is>
          <t>PREDIO ESCOLAR DE LUIZ VIANA</t>
        </is>
      </c>
      <c r="E463" s="14" t="inlineStr">
        <is>
          <t>DISTRITO LUIZ VIANA</t>
        </is>
      </c>
      <c r="F463" s="14" t="inlineStr">
        <is>
          <t>DISTRITO LUIZ VIANA, KM 82 - ZONA RURAL</t>
        </is>
      </c>
      <c r="G463" s="27" t="inlineStr">
        <is>
          <t>47300-000</t>
        </is>
      </c>
      <c r="H463" s="15" t="n">
        <v>5</v>
      </c>
      <c r="I463" s="28" t="inlineStr">
        <is>
          <t>NÃO</t>
        </is>
      </c>
      <c r="J463" s="29" t="n"/>
      <c r="K463" s="14" t="str">
        <f>IF(J463="","7. Acima de 2 km",IF(J463&lt;=50,"1. Até 50 m",IF(J463&lt;=100,"2. De 50 a 100 m",IF(J463&lt;=200,"3. De 100 a 200 m",IF(J463&lt;=300,"4. De 200 a 300 m",IF(J463&lt;=500,"5. De 300 a 500 m","6. De 500 m a 2 km"))))))</f>
        <v>7. Acima de 2 km</v>
      </c>
      <c r="L463" s="26" t="n">
        <v>0</v>
      </c>
      <c r="M463" s="26" t="n">
        <v>0</v>
      </c>
      <c r="N463" s="26" t="n">
        <v>0</v>
      </c>
      <c r="O463" s="26" t="n">
        <v>0</v>
      </c>
      <c r="P463" s="30" t="n">
        <v>-8.744753129999999</v>
      </c>
      <c r="Q463" s="30" t="n">
        <v>-41.24299011</v>
      </c>
      <c r="R463" s="14" t="inlineStr">
        <is>
          <t>FÓRUM DESEMBARGADOR JOSÉ MANOEL VIANA DE CASTRO - PRAÇA 3 PODERES, S/N, CASA NOVA-BA</t>
        </is>
      </c>
      <c r="S463" s="26">
        <f>IF(A463=A462,0,1)</f>
        <v>0</v>
      </c>
      <c r="T463" s="26">
        <f>IF(COUNTIF($B$4:B463,B463)=1,1,0)</f>
        <v>0</v>
      </c>
    </row>
    <row r="464">
      <c r="A464" s="14" t="inlineStr">
        <is>
          <t>CASA NOVA</t>
        </is>
      </c>
      <c r="B464" s="26" t="n">
        <v>66</v>
      </c>
      <c r="C464" s="26" t="n">
        <v>1236</v>
      </c>
      <c r="D464" s="14" t="inlineStr">
        <is>
          <t>PREDIO ESCOLAR MUNICIPAL DE JARDIM DE BAIXO</t>
        </is>
      </c>
      <c r="E464" s="14" t="inlineStr">
        <is>
          <t>POVOADO JARDIM DE BAIXO</t>
        </is>
      </c>
      <c r="F464" s="14" t="inlineStr">
        <is>
          <t>POVOADO JARDIM DE BAIXO, KM 46 - ZONA RURAL</t>
        </is>
      </c>
      <c r="G464" s="27" t="inlineStr">
        <is>
          <t>47300-000</t>
        </is>
      </c>
      <c r="H464" s="15" t="n">
        <v>1</v>
      </c>
      <c r="I464" s="28" t="inlineStr">
        <is>
          <t>NÃO</t>
        </is>
      </c>
      <c r="J464" s="29" t="n"/>
      <c r="K464" s="14" t="str">
        <f>IF(J464="","7. Acima de 2 km",IF(J464&lt;=50,"1. Até 50 m",IF(J464&lt;=100,"2. De 50 a 100 m",IF(J464&lt;=200,"3. De 100 a 200 m",IF(J464&lt;=300,"4. De 200 a 300 m",IF(J464&lt;=500,"5. De 300 a 500 m","6. De 500 m a 2 km"))))))</f>
        <v>7. Acima de 2 km</v>
      </c>
      <c r="L464" s="26" t="n">
        <v>0</v>
      </c>
      <c r="M464" s="26" t="n">
        <v>0</v>
      </c>
      <c r="N464" s="26" t="n">
        <v>0</v>
      </c>
      <c r="O464" s="26" t="n">
        <v>0</v>
      </c>
      <c r="P464" s="30" t="n">
        <v>-8.98055151</v>
      </c>
      <c r="Q464" s="30" t="n">
        <v>-41.21355822</v>
      </c>
      <c r="R464" s="14" t="inlineStr">
        <is>
          <t>FÓRUM DESEMBARGADOR JOSÉ MANOEL VIANA DE CASTRO - PRAÇA 3 PODERES, S/N, CASA NOVA-BA</t>
        </is>
      </c>
      <c r="S464" s="26">
        <f>IF(A464=A463,0,1)</f>
        <v>0</v>
      </c>
      <c r="T464" s="26">
        <f>IF(COUNTIF($B$4:B464,B464)=1,1,0)</f>
        <v>0</v>
      </c>
    </row>
    <row r="465">
      <c r="A465" s="14" t="inlineStr">
        <is>
          <t>CASA NOVA</t>
        </is>
      </c>
      <c r="B465" s="26" t="n">
        <v>66</v>
      </c>
      <c r="C465" s="26" t="n">
        <v>1244</v>
      </c>
      <c r="D465" s="14" t="inlineStr">
        <is>
          <t>PREDIO ESCOLAR DE OURICURI</t>
        </is>
      </c>
      <c r="E465" s="14" t="inlineStr">
        <is>
          <t>POVOADO OURICURI</t>
        </is>
      </c>
      <c r="F465" s="14" t="inlineStr">
        <is>
          <t>POVOADO OURICURI, KM 89 - ZONA RURAL</t>
        </is>
      </c>
      <c r="G465" s="27" t="inlineStr">
        <is>
          <t>47300-000</t>
        </is>
      </c>
      <c r="H465" s="15" t="n">
        <v>2</v>
      </c>
      <c r="I465" s="28" t="inlineStr">
        <is>
          <t>NÃO</t>
        </is>
      </c>
      <c r="J465" s="29" t="n"/>
      <c r="K465" s="14" t="str">
        <f>IF(J465="","7. Acima de 2 km",IF(J465&lt;=50,"1. Até 50 m",IF(J465&lt;=100,"2. De 50 a 100 m",IF(J465&lt;=200,"3. De 100 a 200 m",IF(J465&lt;=300,"4. De 200 a 300 m",IF(J465&lt;=500,"5. De 300 a 500 m","6. De 500 m a 2 km"))))))</f>
        <v>7. Acima de 2 km</v>
      </c>
      <c r="L465" s="26" t="n">
        <v>0</v>
      </c>
      <c r="M465" s="26" t="n">
        <v>0</v>
      </c>
      <c r="N465" s="26" t="n">
        <v>0</v>
      </c>
      <c r="O465" s="26" t="n">
        <v>0</v>
      </c>
      <c r="P465" s="30" t="n">
        <v>-8.92654915</v>
      </c>
      <c r="Q465" s="30" t="n">
        <v>-41.4181951</v>
      </c>
      <c r="R465" s="14" t="inlineStr">
        <is>
          <t>FÓRUM DESEMBARGADOR JOSÉ MANOEL VIANA DE CASTRO - PRAÇA 3 PODERES, S/N, CASA NOVA-BA</t>
        </is>
      </c>
      <c r="S465" s="26">
        <f>IF(A465=A464,0,1)</f>
        <v>0</v>
      </c>
      <c r="T465" s="26">
        <f>IF(COUNTIF($B$4:B465,B465)=1,1,0)</f>
        <v>0</v>
      </c>
    </row>
    <row r="466">
      <c r="A466" s="14" t="inlineStr">
        <is>
          <t>CASA NOVA</t>
        </is>
      </c>
      <c r="B466" s="26" t="n">
        <v>66</v>
      </c>
      <c r="C466" s="26" t="n">
        <v>1260</v>
      </c>
      <c r="D466" s="14" t="inlineStr">
        <is>
          <t>PREDIO ESCOLAR DE ACUDE DE PEDRAS</t>
        </is>
      </c>
      <c r="E466" s="14" t="inlineStr">
        <is>
          <t>POVOADO ACUDE DE PEDRAS</t>
        </is>
      </c>
      <c r="F466" s="14" t="inlineStr">
        <is>
          <t>POVOADO ACUDE DE PEDRAS, KM 52 - ZONA RURAL</t>
        </is>
      </c>
      <c r="G466" s="27" t="inlineStr">
        <is>
          <t>47300-000</t>
        </is>
      </c>
      <c r="H466" s="15" t="n">
        <v>2</v>
      </c>
      <c r="I466" s="28" t="inlineStr">
        <is>
          <t>NÃO</t>
        </is>
      </c>
      <c r="J466" s="29" t="n"/>
      <c r="K466" s="14" t="str">
        <f>IF(J466="","7. Acima de 2 km",IF(J466&lt;=50,"1. Até 50 m",IF(J466&lt;=100,"2. De 50 a 100 m",IF(J466&lt;=200,"3. De 100 a 200 m",IF(J466&lt;=300,"4. De 200 a 300 m",IF(J466&lt;=500,"5. De 300 a 500 m","6. De 500 m a 2 km"))))))</f>
        <v>7. Acima de 2 km</v>
      </c>
      <c r="L466" s="26" t="n">
        <v>0</v>
      </c>
      <c r="M466" s="26" t="n">
        <v>0</v>
      </c>
      <c r="N466" s="26" t="n">
        <v>0</v>
      </c>
      <c r="O466" s="26" t="n">
        <v>0</v>
      </c>
      <c r="P466" s="30" t="n">
        <v>-9.111658739999999</v>
      </c>
      <c r="Q466" s="30" t="n">
        <v>-41.29014343</v>
      </c>
      <c r="R466" s="14" t="inlineStr">
        <is>
          <t>FÓRUM DESEMBARGADOR JOSÉ MANOEL VIANA DE CASTRO - PRAÇA 3 PODERES, S/N, CASA NOVA-BA</t>
        </is>
      </c>
      <c r="S466" s="26">
        <f>IF(A466=A465,0,1)</f>
        <v>0</v>
      </c>
      <c r="T466" s="26">
        <f>IF(COUNTIF($B$4:B466,B466)=1,1,0)</f>
        <v>0</v>
      </c>
    </row>
    <row r="467">
      <c r="A467" s="14" t="inlineStr">
        <is>
          <t>CASA NOVA</t>
        </is>
      </c>
      <c r="B467" s="26" t="n">
        <v>66</v>
      </c>
      <c r="C467" s="26" t="n">
        <v>1287</v>
      </c>
      <c r="D467" s="14" t="inlineStr">
        <is>
          <t>PREDIO ESCOLAR DE LAGOA DO ALEGRE</t>
        </is>
      </c>
      <c r="E467" s="14" t="inlineStr">
        <is>
          <t>POVOADO LAGOA DO ALEGRE</t>
        </is>
      </c>
      <c r="F467" s="14" t="inlineStr">
        <is>
          <t>POVOADO LAGOA DO ALEGRE, KM 95 - ZONA RURAL</t>
        </is>
      </c>
      <c r="G467" s="27" t="inlineStr">
        <is>
          <t>47300-000</t>
        </is>
      </c>
      <c r="H467" s="15" t="n">
        <v>4</v>
      </c>
      <c r="I467" s="28" t="inlineStr">
        <is>
          <t>NÃO</t>
        </is>
      </c>
      <c r="J467" s="29" t="n"/>
      <c r="K467" s="14" t="str">
        <f>IF(J467="","7. Acima de 2 km",IF(J467&lt;=50,"1. Até 50 m",IF(J467&lt;=100,"2. De 50 a 100 m",IF(J467&lt;=200,"3. De 100 a 200 m",IF(J467&lt;=300,"4. De 200 a 300 m",IF(J467&lt;=500,"5. De 300 a 500 m","6. De 500 m a 2 km"))))))</f>
        <v>7. Acima de 2 km</v>
      </c>
      <c r="L467" s="26" t="n">
        <v>0</v>
      </c>
      <c r="M467" s="26" t="n">
        <v>0</v>
      </c>
      <c r="N467" s="26" t="n">
        <v>0</v>
      </c>
      <c r="O467" s="26" t="n">
        <v>0</v>
      </c>
      <c r="P467" s="30" t="n">
        <v>-9.106776610000001</v>
      </c>
      <c r="Q467" s="30" t="n">
        <v>-41.68986137</v>
      </c>
      <c r="R467" s="14" t="inlineStr">
        <is>
          <t>FÓRUM DESEMBARGADOR JOSÉ MANOEL VIANA DE CASTRO - PRAÇA 3 PODERES, S/N, CASA NOVA-BA</t>
        </is>
      </c>
      <c r="S467" s="26">
        <f>IF(A467=A466,0,1)</f>
        <v>0</v>
      </c>
      <c r="T467" s="26">
        <f>IF(COUNTIF($B$4:B467,B467)=1,1,0)</f>
        <v>0</v>
      </c>
    </row>
    <row r="468">
      <c r="A468" s="14" t="inlineStr">
        <is>
          <t>CASA NOVA</t>
        </is>
      </c>
      <c r="B468" s="26" t="n">
        <v>66</v>
      </c>
      <c r="C468" s="26" t="n">
        <v>1317</v>
      </c>
      <c r="D468" s="14" t="inlineStr">
        <is>
          <t>PREDIO ESCOLAR DE BARRAGEM</t>
        </is>
      </c>
      <c r="E468" s="14" t="inlineStr">
        <is>
          <t>POVOADO BARRAGEM</t>
        </is>
      </c>
      <c r="F468" s="14" t="inlineStr">
        <is>
          <t>POVOADO BARRAGEM, BR 235, KM 79 - ZONA RURAL</t>
        </is>
      </c>
      <c r="G468" s="27" t="inlineStr">
        <is>
          <t>47300-000</t>
        </is>
      </c>
      <c r="H468" s="15" t="n">
        <v>5</v>
      </c>
      <c r="I468" s="28" t="inlineStr">
        <is>
          <t>NÃO</t>
        </is>
      </c>
      <c r="J468" s="29" t="n"/>
      <c r="K468" s="14" t="str">
        <f>IF(J468="","7. Acima de 2 km",IF(J468&lt;=50,"1. Até 50 m",IF(J468&lt;=100,"2. De 50 a 100 m",IF(J468&lt;=200,"3. De 100 a 200 m",IF(J468&lt;=300,"4. De 200 a 300 m",IF(J468&lt;=500,"5. De 300 a 500 m","6. De 500 m a 2 km"))))))</f>
        <v>7. Acima de 2 km</v>
      </c>
      <c r="L468" s="26" t="n">
        <v>0</v>
      </c>
      <c r="M468" s="26" t="n">
        <v>0</v>
      </c>
      <c r="N468" s="26" t="n">
        <v>0</v>
      </c>
      <c r="O468" s="26" t="n">
        <v>0</v>
      </c>
      <c r="P468" s="30" t="n">
        <v>-9.30162118</v>
      </c>
      <c r="Q468" s="30" t="n">
        <v>-41.61171974</v>
      </c>
      <c r="R468" s="14" t="inlineStr">
        <is>
          <t>FÓRUM DESEMBARGADOR JOSÉ MANOEL VIANA DE CASTRO - PRAÇA 3 PODERES, S/N, CASA NOVA-BA</t>
        </is>
      </c>
      <c r="S468" s="26">
        <f>IF(A468=A467,0,1)</f>
        <v>0</v>
      </c>
      <c r="T468" s="26">
        <f>IF(COUNTIF($B$4:B468,B468)=1,1,0)</f>
        <v>0</v>
      </c>
    </row>
    <row r="469">
      <c r="A469" s="14" t="inlineStr">
        <is>
          <t>CASA NOVA</t>
        </is>
      </c>
      <c r="B469" s="26" t="n">
        <v>66</v>
      </c>
      <c r="C469" s="26" t="n">
        <v>1341</v>
      </c>
      <c r="D469" s="14" t="inlineStr">
        <is>
          <t>PREDIO ESCOLAR DE PAU-A-PIQUE</t>
        </is>
      </c>
      <c r="E469" s="14" t="inlineStr">
        <is>
          <t>DISTRITO PAU A PIQUE</t>
        </is>
      </c>
      <c r="F469" s="14" t="inlineStr">
        <is>
          <t>DISTRITO PAU-A-PIQUE, KM 117 - ZONA RURAL</t>
        </is>
      </c>
      <c r="G469" s="27" t="inlineStr">
        <is>
          <t>47300-000</t>
        </is>
      </c>
      <c r="H469" s="15" t="n">
        <v>7</v>
      </c>
      <c r="I469" s="28" t="inlineStr">
        <is>
          <t>NÃO</t>
        </is>
      </c>
      <c r="J469" s="29" t="n"/>
      <c r="K469" s="14" t="str">
        <f>IF(J469="","7. Acima de 2 km",IF(J469&lt;=50,"1. Até 50 m",IF(J469&lt;=100,"2. De 50 a 100 m",IF(J469&lt;=200,"3. De 100 a 200 m",IF(J469&lt;=300,"4. De 200 a 300 m",IF(J469&lt;=500,"5. De 300 a 500 m","6. De 500 m a 2 km"))))))</f>
        <v>7. Acima de 2 km</v>
      </c>
      <c r="L469" s="26" t="n">
        <v>0</v>
      </c>
      <c r="M469" s="26" t="n">
        <v>0</v>
      </c>
      <c r="N469" s="26" t="n">
        <v>0</v>
      </c>
      <c r="O469" s="26" t="n">
        <v>0</v>
      </c>
      <c r="P469" s="30" t="n">
        <v>-9.618949750000001</v>
      </c>
      <c r="Q469" s="30" t="n">
        <v>-41.62140794</v>
      </c>
      <c r="R469" s="14" t="inlineStr">
        <is>
          <t>FÓRUM DESEMBARGADOR JOSÉ MANOEL VIANA DE CASTRO - PRAÇA 3 PODERES, S/N, CASA NOVA-BA</t>
        </is>
      </c>
      <c r="S469" s="26">
        <f>IF(A469=A468,0,1)</f>
        <v>0</v>
      </c>
      <c r="T469" s="26">
        <f>IF(COUNTIF($B$4:B469,B469)=1,1,0)</f>
        <v>0</v>
      </c>
    </row>
    <row r="470">
      <c r="A470" s="14" t="inlineStr">
        <is>
          <t>CASA NOVA</t>
        </is>
      </c>
      <c r="B470" s="26" t="n">
        <v>66</v>
      </c>
      <c r="C470" s="26" t="n">
        <v>1350</v>
      </c>
      <c r="D470" s="14" t="inlineStr">
        <is>
          <t>PREDIO ESCOLAR DE BEM BOM</t>
        </is>
      </c>
      <c r="E470" s="14" t="inlineStr">
        <is>
          <t>DISTRITO BEM BOM</t>
        </is>
      </c>
      <c r="F470" s="14" t="inlineStr">
        <is>
          <t>DISTRITO BEM BOM, KM 134 - ZONA RURAL</t>
        </is>
      </c>
      <c r="G470" s="27" t="inlineStr">
        <is>
          <t>47300-000</t>
        </is>
      </c>
      <c r="H470" s="15" t="n">
        <v>7</v>
      </c>
      <c r="I470" s="28" t="inlineStr">
        <is>
          <t>NÃO</t>
        </is>
      </c>
      <c r="J470" s="29" t="n"/>
      <c r="K470" s="14" t="str">
        <f>IF(J470="","7. Acima de 2 km",IF(J470&lt;=50,"1. Até 50 m",IF(J470&lt;=100,"2. De 50 a 100 m",IF(J470&lt;=200,"3. De 100 a 200 m",IF(J470&lt;=300,"4. De 200 a 300 m",IF(J470&lt;=500,"5. De 300 a 500 m","6. De 500 m a 2 km"))))))</f>
        <v>7. Acima de 2 km</v>
      </c>
      <c r="L470" s="26" t="n">
        <v>0</v>
      </c>
      <c r="M470" s="26" t="n">
        <v>0</v>
      </c>
      <c r="N470" s="26" t="n">
        <v>0</v>
      </c>
      <c r="O470" s="26" t="n">
        <v>0</v>
      </c>
      <c r="P470" s="30" t="n">
        <v>-9.61957889</v>
      </c>
      <c r="Q470" s="30" t="n">
        <v>-41.80088681</v>
      </c>
      <c r="R470" s="14" t="inlineStr">
        <is>
          <t>FÓRUM DESEMBARGADOR JOSÉ MANOEL VIANA DE CASTRO - PRAÇA 3 PODERES, S/N, CASA NOVA-BA</t>
        </is>
      </c>
      <c r="S470" s="26">
        <f>IF(A470=A469,0,1)</f>
        <v>0</v>
      </c>
      <c r="T470" s="26">
        <f>IF(COUNTIF($B$4:B470,B470)=1,1,0)</f>
        <v>0</v>
      </c>
    </row>
    <row r="471">
      <c r="A471" s="14" t="inlineStr">
        <is>
          <t>CASA NOVA</t>
        </is>
      </c>
      <c r="B471" s="26" t="n">
        <v>66</v>
      </c>
      <c r="C471" s="26" t="n">
        <v>1376</v>
      </c>
      <c r="D471" s="14" t="inlineStr">
        <is>
          <t>PREDIO ESCOLAR DE ANTAS</t>
        </is>
      </c>
      <c r="E471" s="14" t="inlineStr">
        <is>
          <t>POVOADO ANTAS</t>
        </is>
      </c>
      <c r="F471" s="14" t="inlineStr">
        <is>
          <t>POVOADO ANTAS, BR 235, KM 68 - ZONA RURAL</t>
        </is>
      </c>
      <c r="G471" s="27" t="inlineStr">
        <is>
          <t>47300-000</t>
        </is>
      </c>
      <c r="H471" s="15" t="n">
        <v>2</v>
      </c>
      <c r="I471" s="28" t="inlineStr">
        <is>
          <t>NÃO</t>
        </is>
      </c>
      <c r="J471" s="29" t="n"/>
      <c r="K471" s="14" t="str">
        <f>IF(J471="","7. Acima de 2 km",IF(J471&lt;=50,"1. Até 50 m",IF(J471&lt;=100,"2. De 50 a 100 m",IF(J471&lt;=200,"3. De 100 a 200 m",IF(J471&lt;=300,"4. De 200 a 300 m",IF(J471&lt;=500,"5. De 300 a 500 m","6. De 500 m a 2 km"))))))</f>
        <v>7. Acima de 2 km</v>
      </c>
      <c r="L471" s="26" t="n">
        <v>0</v>
      </c>
      <c r="M471" s="26" t="n">
        <v>0</v>
      </c>
      <c r="N471" s="26" t="n">
        <v>0</v>
      </c>
      <c r="O471" s="26" t="n">
        <v>0</v>
      </c>
      <c r="P471" s="30" t="n">
        <v>-9.282809070000001</v>
      </c>
      <c r="Q471" s="30" t="n">
        <v>-41.46237746</v>
      </c>
      <c r="R471" s="14" t="inlineStr">
        <is>
          <t>FÓRUM DESEMBARGADOR JOSÉ MANOEL VIANA DE CASTRO - PRAÇA 3 PODERES, S/N, CASA NOVA-BA</t>
        </is>
      </c>
      <c r="S471" s="26">
        <f>IF(A471=A470,0,1)</f>
        <v>0</v>
      </c>
      <c r="T471" s="26">
        <f>IF(COUNTIF($B$4:B471,B471)=1,1,0)</f>
        <v>0</v>
      </c>
    </row>
    <row r="472">
      <c r="A472" s="14" t="inlineStr">
        <is>
          <t>CASA NOVA</t>
        </is>
      </c>
      <c r="B472" s="26" t="n">
        <v>66</v>
      </c>
      <c r="C472" s="26" t="n">
        <v>1406</v>
      </c>
      <c r="D472" s="14" t="inlineStr">
        <is>
          <t>PREDIO ESCOLAR MUNICIPAL DE JUA</t>
        </is>
      </c>
      <c r="E472" s="14" t="inlineStr">
        <is>
          <t>POVOADO JUA</t>
        </is>
      </c>
      <c r="F472" s="14" t="inlineStr">
        <is>
          <t>POVOADO JUA, KM 70 - ZONA RURAL</t>
        </is>
      </c>
      <c r="G472" s="27" t="inlineStr">
        <is>
          <t>47300-000</t>
        </is>
      </c>
      <c r="H472" s="15" t="n">
        <v>2</v>
      </c>
      <c r="I472" s="28" t="inlineStr">
        <is>
          <t>NÃO</t>
        </is>
      </c>
      <c r="J472" s="29" t="n"/>
      <c r="K472" s="14" t="str">
        <f>IF(J472="","7. Acima de 2 km",IF(J472&lt;=50,"1. Até 50 m",IF(J472&lt;=100,"2. De 50 a 100 m",IF(J472&lt;=200,"3. De 100 a 200 m",IF(J472&lt;=300,"4. De 200 a 300 m",IF(J472&lt;=500,"5. De 300 a 500 m","6. De 500 m a 2 km"))))))</f>
        <v>7. Acima de 2 km</v>
      </c>
      <c r="L472" s="26" t="n">
        <v>0</v>
      </c>
      <c r="M472" s="26" t="n">
        <v>0</v>
      </c>
      <c r="N472" s="26" t="n">
        <v>0</v>
      </c>
      <c r="O472" s="26" t="n">
        <v>0</v>
      </c>
      <c r="P472" s="30" t="n">
        <v>-8.91376159</v>
      </c>
      <c r="Q472" s="30" t="n">
        <v>-41.13794488</v>
      </c>
      <c r="R472" s="14" t="inlineStr">
        <is>
          <t>FÓRUM DESEMBARGADOR JOSÉ MANOEL VIANA DE CASTRO - PRAÇA 3 PODERES, S/N, CASA NOVA-BA</t>
        </is>
      </c>
      <c r="S472" s="26">
        <f>IF(A472=A471,0,1)</f>
        <v>0</v>
      </c>
      <c r="T472" s="26">
        <f>IF(COUNTIF($B$4:B472,B472)=1,1,0)</f>
        <v>0</v>
      </c>
    </row>
    <row r="473">
      <c r="A473" s="14" t="inlineStr">
        <is>
          <t>CASA NOVA</t>
        </is>
      </c>
      <c r="B473" s="26" t="n">
        <v>66</v>
      </c>
      <c r="C473" s="26" t="n">
        <v>1414</v>
      </c>
      <c r="D473" s="14" t="inlineStr">
        <is>
          <t>PREDIO ESCOLAR DE SALGADINHA</t>
        </is>
      </c>
      <c r="E473" s="14" t="inlineStr">
        <is>
          <t>POVOADO SALGADINHA</t>
        </is>
      </c>
      <c r="F473" s="14" t="inlineStr">
        <is>
          <t>POVOADO SALGADINHA, KM 52 - ZONA RURAL</t>
        </is>
      </c>
      <c r="G473" s="27" t="inlineStr">
        <is>
          <t>47300-000</t>
        </is>
      </c>
      <c r="H473" s="15" t="n">
        <v>1</v>
      </c>
      <c r="I473" s="28" t="inlineStr">
        <is>
          <t>NÃO</t>
        </is>
      </c>
      <c r="J473" s="29" t="n"/>
      <c r="K473" s="14" t="str">
        <f>IF(J473="","7. Acima de 2 km",IF(J473&lt;=50,"1. Até 50 m",IF(J473&lt;=100,"2. De 50 a 100 m",IF(J473&lt;=200,"3. De 100 a 200 m",IF(J473&lt;=300,"4. De 200 a 300 m",IF(J473&lt;=500,"5. De 300 a 500 m","6. De 500 m a 2 km"))))))</f>
        <v>7. Acima de 2 km</v>
      </c>
      <c r="L473" s="26" t="n">
        <v>0</v>
      </c>
      <c r="M473" s="26" t="n">
        <v>0</v>
      </c>
      <c r="N473" s="26" t="n">
        <v>0</v>
      </c>
      <c r="O473" s="26" t="n">
        <v>0</v>
      </c>
      <c r="P473" s="30" t="n">
        <v>-9.1982283</v>
      </c>
      <c r="Q473" s="30" t="n">
        <v>-40.777807</v>
      </c>
      <c r="R473" s="14" t="inlineStr">
        <is>
          <t>FÓRUM DESEMBARGADOR JOSÉ MANOEL VIANA DE CASTRO - PRAÇA 3 PODERES, S/N, CASA NOVA-BA</t>
        </is>
      </c>
      <c r="S473" s="26">
        <f>IF(A473=A472,0,1)</f>
        <v>0</v>
      </c>
      <c r="T473" s="26">
        <f>IF(COUNTIF($B$4:B473,B473)=1,1,0)</f>
        <v>0</v>
      </c>
    </row>
    <row r="474">
      <c r="A474" s="14" t="inlineStr">
        <is>
          <t>CASA NOVA</t>
        </is>
      </c>
      <c r="B474" s="26" t="n">
        <v>66</v>
      </c>
      <c r="C474" s="26" t="n">
        <v>1422</v>
      </c>
      <c r="D474" s="14" t="inlineStr">
        <is>
          <t>PREDIO ESCOLAR DE TIRIRICA</t>
        </is>
      </c>
      <c r="E474" s="14" t="inlineStr">
        <is>
          <t>POVOADO TIRIRICA</t>
        </is>
      </c>
      <c r="F474" s="14" t="inlineStr">
        <is>
          <t>POVOADO TIRIRICA, KM 90 - ZONA RURAL</t>
        </is>
      </c>
      <c r="G474" s="27" t="inlineStr">
        <is>
          <t>47300-000</t>
        </is>
      </c>
      <c r="H474" s="15" t="n">
        <v>3</v>
      </c>
      <c r="I474" s="28" t="inlineStr">
        <is>
          <t>NÃO</t>
        </is>
      </c>
      <c r="J474" s="29" t="n"/>
      <c r="K474" s="14" t="str">
        <f>IF(J474="","7. Acima de 2 km",IF(J474&lt;=50,"1. Até 50 m",IF(J474&lt;=100,"2. De 50 a 100 m",IF(J474&lt;=200,"3. De 100 a 200 m",IF(J474&lt;=300,"4. De 200 a 300 m",IF(J474&lt;=500,"5. De 300 a 500 m","6. De 500 m a 2 km"))))))</f>
        <v>7. Acima de 2 km</v>
      </c>
      <c r="L474" s="26" t="n">
        <v>0</v>
      </c>
      <c r="M474" s="26" t="n">
        <v>0</v>
      </c>
      <c r="N474" s="26" t="n">
        <v>0</v>
      </c>
      <c r="O474" s="26" t="n">
        <v>0</v>
      </c>
      <c r="P474" s="30" t="n">
        <v>-8.77109527</v>
      </c>
      <c r="Q474" s="30" t="n">
        <v>-41.15709483</v>
      </c>
      <c r="R474" s="14" t="inlineStr">
        <is>
          <t>FÓRUM DESEMBARGADOR JOSÉ MANOEL VIANA DE CASTRO - PRAÇA 3 PODERES, S/N, CASA NOVA-BA</t>
        </is>
      </c>
      <c r="S474" s="26">
        <f>IF(A474=A473,0,1)</f>
        <v>0</v>
      </c>
      <c r="T474" s="26">
        <f>IF(COUNTIF($B$4:B474,B474)=1,1,0)</f>
        <v>0</v>
      </c>
    </row>
    <row r="475">
      <c r="A475" s="14" t="inlineStr">
        <is>
          <t>CASA NOVA</t>
        </is>
      </c>
      <c r="B475" s="26" t="n">
        <v>66</v>
      </c>
      <c r="C475" s="26" t="n">
        <v>1430</v>
      </c>
      <c r="D475" s="14" t="inlineStr">
        <is>
          <t>PREDIO ESCOLAR DE SERRA BRANCA</t>
        </is>
      </c>
      <c r="E475" s="14" t="inlineStr">
        <is>
          <t>POVOADO SERRA BRANCA</t>
        </is>
      </c>
      <c r="F475" s="14" t="inlineStr">
        <is>
          <t>POVOADO SERRA BRANCA, KM 43 - ZONA RURAL</t>
        </is>
      </c>
      <c r="G475" s="27" t="inlineStr">
        <is>
          <t>47300-000</t>
        </is>
      </c>
      <c r="H475" s="15" t="n">
        <v>1</v>
      </c>
      <c r="I475" s="28" t="inlineStr">
        <is>
          <t>NÃO</t>
        </is>
      </c>
      <c r="J475" s="29" t="n"/>
      <c r="K475" s="14" t="str">
        <f>IF(J475="","7. Acima de 2 km",IF(J475&lt;=50,"1. Até 50 m",IF(J475&lt;=100,"2. De 50 a 100 m",IF(J475&lt;=200,"3. De 100 a 200 m",IF(J475&lt;=300,"4. De 200 a 300 m",IF(J475&lt;=500,"5. De 300 a 500 m","6. De 500 m a 2 km"))))))</f>
        <v>7. Acima de 2 km</v>
      </c>
      <c r="L475" s="26" t="n">
        <v>0</v>
      </c>
      <c r="M475" s="26" t="n">
        <v>0</v>
      </c>
      <c r="N475" s="26" t="n">
        <v>0</v>
      </c>
      <c r="O475" s="26" t="n">
        <v>0</v>
      </c>
      <c r="P475" s="30" t="n">
        <v>-9.184912199999999</v>
      </c>
      <c r="Q475" s="30" t="n">
        <v>-41.2690177</v>
      </c>
      <c r="R475" s="14" t="inlineStr">
        <is>
          <t>FÓRUM DESEMBARGADOR JOSÉ MANOEL VIANA DE CASTRO - PRAÇA 3 PODERES, S/N, CASA NOVA-BA</t>
        </is>
      </c>
      <c r="S475" s="26">
        <f>IF(A475=A474,0,1)</f>
        <v>0</v>
      </c>
      <c r="T475" s="26">
        <f>IF(COUNTIF($B$4:B475,B475)=1,1,0)</f>
        <v>0</v>
      </c>
    </row>
    <row r="476">
      <c r="A476" s="14" t="inlineStr">
        <is>
          <t>CASA NOVA</t>
        </is>
      </c>
      <c r="B476" s="26" t="n">
        <v>66</v>
      </c>
      <c r="C476" s="26" t="n">
        <v>1449</v>
      </c>
      <c r="D476" s="14" t="inlineStr">
        <is>
          <t>PREDIO ESCOLAR DE BARRA DA CRUZ</t>
        </is>
      </c>
      <c r="E476" s="14" t="inlineStr">
        <is>
          <t>POVOADO BARRA DA CRUZ</t>
        </is>
      </c>
      <c r="F476" s="14" t="inlineStr">
        <is>
          <t>POVOADO BARRA DA CRUZ, KM 136 - ZONA RURAL</t>
        </is>
      </c>
      <c r="G476" s="27" t="inlineStr">
        <is>
          <t>47300-000</t>
        </is>
      </c>
      <c r="H476" s="15" t="n">
        <v>1</v>
      </c>
      <c r="I476" s="28" t="inlineStr">
        <is>
          <t>NÃO</t>
        </is>
      </c>
      <c r="J476" s="29" t="n"/>
      <c r="K476" s="14" t="str">
        <f>IF(J476="","7. Acima de 2 km",IF(J476&lt;=50,"1. Até 50 m",IF(J476&lt;=100,"2. De 50 a 100 m",IF(J476&lt;=200,"3. De 100 a 200 m",IF(J476&lt;=300,"4. De 200 a 300 m",IF(J476&lt;=500,"5. De 300 a 500 m","6. De 500 m a 2 km"))))))</f>
        <v>7. Acima de 2 km</v>
      </c>
      <c r="L476" s="26" t="n">
        <v>0</v>
      </c>
      <c r="M476" s="26" t="n">
        <v>0</v>
      </c>
      <c r="N476" s="26" t="n">
        <v>0</v>
      </c>
      <c r="O476" s="26" t="n">
        <v>0</v>
      </c>
      <c r="P476" s="30" t="n">
        <v>-9.62676282</v>
      </c>
      <c r="Q476" s="30" t="n">
        <v>-41.56243031</v>
      </c>
      <c r="R476" s="14" t="inlineStr">
        <is>
          <t>FÓRUM DESEMBARGADOR JOSÉ MANOEL VIANA DE CASTRO - PRAÇA 3 PODERES, S/N, CASA NOVA-BA</t>
        </is>
      </c>
      <c r="S476" s="26">
        <f>IF(A476=A475,0,1)</f>
        <v>0</v>
      </c>
      <c r="T476" s="26">
        <f>IF(COUNTIF($B$4:B476,B476)=1,1,0)</f>
        <v>0</v>
      </c>
    </row>
    <row r="477">
      <c r="A477" s="14" t="inlineStr">
        <is>
          <t>CASA NOVA</t>
        </is>
      </c>
      <c r="B477" s="26" t="n">
        <v>66</v>
      </c>
      <c r="C477" s="26" t="n">
        <v>1457</v>
      </c>
      <c r="D477" s="14" t="inlineStr">
        <is>
          <t>PREDIO ESCOLAR DE CACIMBINHA</t>
        </is>
      </c>
      <c r="E477" s="14" t="inlineStr">
        <is>
          <t>POVOADO CACIMBINHA</t>
        </is>
      </c>
      <c r="F477" s="14" t="inlineStr">
        <is>
          <t>POVOADO CACIMBINHA, KM 94 - ZONA RURAL</t>
        </is>
      </c>
      <c r="G477" s="27" t="inlineStr">
        <is>
          <t>47300-000</t>
        </is>
      </c>
      <c r="H477" s="15" t="n">
        <v>1</v>
      </c>
      <c r="I477" s="28" t="inlineStr">
        <is>
          <t>NÃO</t>
        </is>
      </c>
      <c r="J477" s="29" t="n"/>
      <c r="K477" s="14" t="str">
        <f>IF(J477="","7. Acima de 2 km",IF(J477&lt;=50,"1. Até 50 m",IF(J477&lt;=100,"2. De 50 a 100 m",IF(J477&lt;=200,"3. De 100 a 200 m",IF(J477&lt;=300,"4. De 200 a 300 m",IF(J477&lt;=500,"5. De 300 a 500 m","6. De 500 m a 2 km"))))))</f>
        <v>7. Acima de 2 km</v>
      </c>
      <c r="L477" s="26" t="n">
        <v>0</v>
      </c>
      <c r="M477" s="26" t="n">
        <v>0</v>
      </c>
      <c r="N477" s="26" t="n">
        <v>0</v>
      </c>
      <c r="O477" s="26" t="n">
        <v>0</v>
      </c>
      <c r="P477" s="30" t="n">
        <v>-9.311641</v>
      </c>
      <c r="Q477" s="30" t="n">
        <v>-41.84703209</v>
      </c>
      <c r="R477" s="14" t="inlineStr">
        <is>
          <t>FÓRUM DESEMBARGADOR JOSÉ MANOEL VIANA DE CASTRO - PRAÇA 3 PODERES, S/N, CASA NOVA-BA</t>
        </is>
      </c>
      <c r="S477" s="26">
        <f>IF(A477=A476,0,1)</f>
        <v>0</v>
      </c>
      <c r="T477" s="26">
        <f>IF(COUNTIF($B$4:B477,B477)=1,1,0)</f>
        <v>0</v>
      </c>
    </row>
    <row r="478">
      <c r="A478" s="14" t="inlineStr">
        <is>
          <t>CASA NOVA</t>
        </is>
      </c>
      <c r="B478" s="26" t="n">
        <v>66</v>
      </c>
      <c r="C478" s="26" t="n">
        <v>1465</v>
      </c>
      <c r="D478" s="14" t="inlineStr">
        <is>
          <t>PREDIO ESCOLAR DE JUREMA</t>
        </is>
      </c>
      <c r="E478" s="14" t="inlineStr">
        <is>
          <t>POVOADO JUREMA</t>
        </is>
      </c>
      <c r="F478" s="14" t="inlineStr">
        <is>
          <t>POVOADO JUREMA, KM 85 - ZONA RURAL</t>
        </is>
      </c>
      <c r="G478" s="27" t="inlineStr">
        <is>
          <t>47300-000</t>
        </is>
      </c>
      <c r="H478" s="15" t="n">
        <v>2</v>
      </c>
      <c r="I478" s="28" t="inlineStr">
        <is>
          <t>NÃO</t>
        </is>
      </c>
      <c r="J478" s="29" t="n"/>
      <c r="K478" s="14" t="str">
        <f>IF(J478="","7. Acima de 2 km",IF(J478&lt;=50,"1. Até 50 m",IF(J478&lt;=100,"2. De 50 a 100 m",IF(J478&lt;=200,"3. De 100 a 200 m",IF(J478&lt;=300,"4. De 200 a 300 m",IF(J478&lt;=500,"5. De 300 a 500 m","6. De 500 m a 2 km"))))))</f>
        <v>7. Acima de 2 km</v>
      </c>
      <c r="L478" s="26" t="n">
        <v>0</v>
      </c>
      <c r="M478" s="26" t="n">
        <v>0</v>
      </c>
      <c r="N478" s="26" t="n">
        <v>0</v>
      </c>
      <c r="O478" s="26" t="n">
        <v>0</v>
      </c>
      <c r="P478" s="30" t="n">
        <v>-9.56993654</v>
      </c>
      <c r="Q478" s="30" t="n">
        <v>-41.32344815</v>
      </c>
      <c r="R478" s="14" t="inlineStr">
        <is>
          <t>FÓRUM DESEMBARGADOR JOSÉ MANOEL VIANA DE CASTRO - PRAÇA 3 PODERES, S/N, CASA NOVA-BA</t>
        </is>
      </c>
      <c r="S478" s="26">
        <f>IF(A478=A477,0,1)</f>
        <v>0</v>
      </c>
      <c r="T478" s="26">
        <f>IF(COUNTIF($B$4:B478,B478)=1,1,0)</f>
        <v>0</v>
      </c>
    </row>
    <row r="479">
      <c r="A479" s="14" t="inlineStr">
        <is>
          <t>CASA NOVA</t>
        </is>
      </c>
      <c r="B479" s="26" t="n">
        <v>66</v>
      </c>
      <c r="C479" s="26" t="n">
        <v>1481</v>
      </c>
      <c r="D479" s="14" t="inlineStr">
        <is>
          <t>PREDIO ESCOLAR DE RIACHO GRANDE</t>
        </is>
      </c>
      <c r="E479" s="14" t="inlineStr">
        <is>
          <t>POVOADO RIACHO GRANDE</t>
        </is>
      </c>
      <c r="F479" s="14" t="inlineStr">
        <is>
          <t>POVOADO RIACHO GRANDE, KM 60 - ZONA RURAL</t>
        </is>
      </c>
      <c r="G479" s="27" t="inlineStr">
        <is>
          <t>47300-000</t>
        </is>
      </c>
      <c r="H479" s="15" t="n">
        <v>1</v>
      </c>
      <c r="I479" s="28" t="inlineStr">
        <is>
          <t>NÃO</t>
        </is>
      </c>
      <c r="J479" s="29" t="n"/>
      <c r="K479" s="14" t="str">
        <f>IF(J479="","7. Acima de 2 km",IF(J479&lt;=50,"1. Até 50 m",IF(J479&lt;=100,"2. De 50 a 100 m",IF(J479&lt;=200,"3. De 100 a 200 m",IF(J479&lt;=300,"4. De 200 a 300 m",IF(J479&lt;=500,"5. De 300 a 500 m","6. De 500 m a 2 km"))))))</f>
        <v>7. Acima de 2 km</v>
      </c>
      <c r="L479" s="26" t="n">
        <v>0</v>
      </c>
      <c r="M479" s="26" t="n">
        <v>0</v>
      </c>
      <c r="N479" s="26" t="n">
        <v>0</v>
      </c>
      <c r="O479" s="26" t="n">
        <v>0</v>
      </c>
      <c r="P479" s="30" t="n">
        <v>-9.3743514</v>
      </c>
      <c r="Q479" s="30" t="n">
        <v>-41.24180266</v>
      </c>
      <c r="R479" s="14" t="inlineStr">
        <is>
          <t>FÓRUM DESEMBARGADOR JOSÉ MANOEL VIANA DE CASTRO - PRAÇA 3 PODERES, S/N, CASA NOVA-BA</t>
        </is>
      </c>
      <c r="S479" s="26">
        <f>IF(A479=A478,0,1)</f>
        <v>0</v>
      </c>
      <c r="T479" s="26">
        <f>IF(COUNTIF($B$4:B479,B479)=1,1,0)</f>
        <v>0</v>
      </c>
    </row>
    <row r="480">
      <c r="A480" s="14" t="inlineStr">
        <is>
          <t>CASA NOVA</t>
        </is>
      </c>
      <c r="B480" s="26" t="n">
        <v>66</v>
      </c>
      <c r="C480" s="26" t="n">
        <v>1490</v>
      </c>
      <c r="D480" s="14" t="inlineStr">
        <is>
          <t>PREDIO ESCOLAR MUNICIPAL DE ENTRONCAMENTO</t>
        </is>
      </c>
      <c r="E480" s="14" t="inlineStr">
        <is>
          <t>POVOADO ENTRONCAMENTO</t>
        </is>
      </c>
      <c r="F480" s="14" t="inlineStr">
        <is>
          <t>POVOADO ENTRONCAMENTO, KM 28 - ZONA RURAL</t>
        </is>
      </c>
      <c r="G480" s="27" t="inlineStr">
        <is>
          <t>47300-000</t>
        </is>
      </c>
      <c r="H480" s="15" t="n">
        <v>1</v>
      </c>
      <c r="I480" s="28" t="inlineStr">
        <is>
          <t>NÃO</t>
        </is>
      </c>
      <c r="J480" s="29" t="n"/>
      <c r="K480" s="14" t="str">
        <f>IF(J480="","7. Acima de 2 km",IF(J480&lt;=50,"1. Até 50 m",IF(J480&lt;=100,"2. De 50 a 100 m",IF(J480&lt;=200,"3. De 100 a 200 m",IF(J480&lt;=300,"4. De 200 a 300 m",IF(J480&lt;=500,"5. De 300 a 500 m","6. De 500 m a 2 km"))))))</f>
        <v>7. Acima de 2 km</v>
      </c>
      <c r="L480" s="26" t="n">
        <v>0</v>
      </c>
      <c r="M480" s="26" t="n">
        <v>0</v>
      </c>
      <c r="N480" s="26" t="n">
        <v>0</v>
      </c>
      <c r="O480" s="26" t="n">
        <v>0</v>
      </c>
      <c r="P480" s="30" t="n">
        <v>-9.317237649999999</v>
      </c>
      <c r="Q480" s="30" t="n">
        <v>-41.11539772</v>
      </c>
      <c r="R480" s="14" t="inlineStr">
        <is>
          <t>FÓRUM DESEMBARGADOR JOSÉ MANOEL VIANA DE CASTRO - PRAÇA 3 PODERES, S/N, CASA NOVA-BA</t>
        </is>
      </c>
      <c r="S480" s="26">
        <f>IF(A480=A479,0,1)</f>
        <v>0</v>
      </c>
      <c r="T480" s="26">
        <f>IF(COUNTIF($B$4:B480,B480)=1,1,0)</f>
        <v>0</v>
      </c>
    </row>
    <row r="481">
      <c r="A481" s="14" t="inlineStr">
        <is>
          <t>CASA NOVA</t>
        </is>
      </c>
      <c r="B481" s="26" t="n">
        <v>66</v>
      </c>
      <c r="C481" s="26" t="n">
        <v>1511</v>
      </c>
      <c r="D481" s="14" t="inlineStr">
        <is>
          <t>PREDIO ESCOLAR MUNICIPAL DE LAGOA DOS NEGROS</t>
        </is>
      </c>
      <c r="E481" s="14" t="inlineStr">
        <is>
          <t>POVOADO LAGOA DOS NEGROS</t>
        </is>
      </c>
      <c r="F481" s="14" t="inlineStr">
        <is>
          <t>POVOADO LAGOA DOS NEGROS, KM 92 - ZONA RURAL</t>
        </is>
      </c>
      <c r="G481" s="27" t="inlineStr">
        <is>
          <t>47300-000</t>
        </is>
      </c>
      <c r="H481" s="15" t="n">
        <v>1</v>
      </c>
      <c r="I481" s="28" t="inlineStr">
        <is>
          <t>NÃO</t>
        </is>
      </c>
      <c r="J481" s="29" t="n"/>
      <c r="K481" s="14" t="str">
        <f>IF(J481="","7. Acima de 2 km",IF(J481&lt;=50,"1. Até 50 m",IF(J481&lt;=100,"2. De 50 a 100 m",IF(J481&lt;=200,"3. De 100 a 200 m",IF(J481&lt;=300,"4. De 200 a 300 m",IF(J481&lt;=500,"5. De 300 a 500 m","6. De 500 m a 2 km"))))))</f>
        <v>7. Acima de 2 km</v>
      </c>
      <c r="L481" s="26" t="n">
        <v>0</v>
      </c>
      <c r="M481" s="26" t="n">
        <v>0</v>
      </c>
      <c r="N481" s="26" t="n">
        <v>0</v>
      </c>
      <c r="O481" s="26" t="n">
        <v>0</v>
      </c>
      <c r="P481" s="30" t="n">
        <v>-8.82688083</v>
      </c>
      <c r="Q481" s="30" t="n">
        <v>-41.39446735</v>
      </c>
      <c r="R481" s="14" t="inlineStr">
        <is>
          <t>FÓRUM DESEMBARGADOR JOSÉ MANOEL VIANA DE CASTRO - PRAÇA 3 PODERES, S/N, CASA NOVA-BA</t>
        </is>
      </c>
      <c r="S481" s="26">
        <f>IF(A481=A480,0,1)</f>
        <v>0</v>
      </c>
      <c r="T481" s="26">
        <f>IF(COUNTIF($B$4:B481,B481)=1,1,0)</f>
        <v>0</v>
      </c>
    </row>
    <row r="482">
      <c r="A482" s="14" t="inlineStr">
        <is>
          <t>CASA NOVA</t>
        </is>
      </c>
      <c r="B482" s="26" t="n">
        <v>66</v>
      </c>
      <c r="C482" s="26" t="n">
        <v>1520</v>
      </c>
      <c r="D482" s="14" t="inlineStr">
        <is>
          <t>PREDIO ESCOLAR DE JARDINEIRA DE CIMA</t>
        </is>
      </c>
      <c r="E482" s="14" t="inlineStr">
        <is>
          <t>POVOADO JARDINEIRA DE CIMA</t>
        </is>
      </c>
      <c r="F482" s="14" t="inlineStr">
        <is>
          <t>POVOADO JARDINEIRA DE CIMA, KM 96 - ZONA RURAL</t>
        </is>
      </c>
      <c r="G482" s="27" t="inlineStr">
        <is>
          <t>47300-000</t>
        </is>
      </c>
      <c r="H482" s="15" t="n">
        <v>1</v>
      </c>
      <c r="I482" s="28" t="inlineStr">
        <is>
          <t>NÃO</t>
        </is>
      </c>
      <c r="J482" s="29" t="n"/>
      <c r="K482" s="14" t="str">
        <f>IF(J482="","7. Acima de 2 km",IF(J482&lt;=50,"1. Até 50 m",IF(J482&lt;=100,"2. De 50 a 100 m",IF(J482&lt;=200,"3. De 100 a 200 m",IF(J482&lt;=300,"4. De 200 a 300 m",IF(J482&lt;=500,"5. De 300 a 500 m","6. De 500 m a 2 km"))))))</f>
        <v>7. Acima de 2 km</v>
      </c>
      <c r="L482" s="26" t="n">
        <v>0</v>
      </c>
      <c r="M482" s="26" t="n">
        <v>0</v>
      </c>
      <c r="N482" s="26" t="n">
        <v>0</v>
      </c>
      <c r="O482" s="26" t="n">
        <v>0</v>
      </c>
      <c r="P482" s="30" t="n">
        <v>-8.92067889</v>
      </c>
      <c r="Q482" s="30" t="n">
        <v>-41.49045494</v>
      </c>
      <c r="R482" s="14" t="inlineStr">
        <is>
          <t>FÓRUM DESEMBARGADOR JOSÉ MANOEL VIANA DE CASTRO - PRAÇA 3 PODERES, S/N, CASA NOVA-BA</t>
        </is>
      </c>
      <c r="S482" s="26">
        <f>IF(A482=A481,0,1)</f>
        <v>0</v>
      </c>
      <c r="T482" s="26">
        <f>IF(COUNTIF($B$4:B482,B482)=1,1,0)</f>
        <v>0</v>
      </c>
    </row>
    <row r="483">
      <c r="A483" s="14" t="inlineStr">
        <is>
          <t>CASA NOVA</t>
        </is>
      </c>
      <c r="B483" s="26" t="n">
        <v>66</v>
      </c>
      <c r="C483" s="26" t="n">
        <v>1538</v>
      </c>
      <c r="D483" s="14" t="inlineStr">
        <is>
          <t>PREDIO ESCOLAR MUNICIPAL DE PALMEIRA</t>
        </is>
      </c>
      <c r="E483" s="14" t="inlineStr">
        <is>
          <t>POVOADO PALMEIRA</t>
        </is>
      </c>
      <c r="F483" s="14" t="inlineStr">
        <is>
          <t>POVOADO PALMEIRA, KM 76 - ZONA RURAL</t>
        </is>
      </c>
      <c r="G483" s="27" t="inlineStr">
        <is>
          <t>47300-000</t>
        </is>
      </c>
      <c r="H483" s="15" t="n">
        <v>2</v>
      </c>
      <c r="I483" s="28" t="inlineStr">
        <is>
          <t>NÃO</t>
        </is>
      </c>
      <c r="J483" s="29" t="n"/>
      <c r="K483" s="14" t="str">
        <f>IF(J483="","7. Acima de 2 km",IF(J483&lt;=50,"1. Até 50 m",IF(J483&lt;=100,"2. De 50 a 100 m",IF(J483&lt;=200,"3. De 100 a 200 m",IF(J483&lt;=300,"4. De 200 a 300 m",IF(J483&lt;=500,"5. De 300 a 500 m","6. De 500 m a 2 km"))))))</f>
        <v>7. Acima de 2 km</v>
      </c>
      <c r="L483" s="26" t="n">
        <v>0</v>
      </c>
      <c r="M483" s="26" t="n">
        <v>0</v>
      </c>
      <c r="N483" s="26" t="n">
        <v>0</v>
      </c>
      <c r="O483" s="26" t="n">
        <v>0</v>
      </c>
      <c r="P483" s="30" t="n">
        <v>-9.15199147</v>
      </c>
      <c r="Q483" s="30" t="n">
        <v>-41.48763503</v>
      </c>
      <c r="R483" s="14" t="inlineStr">
        <is>
          <t>FÓRUM DESEMBARGADOR JOSÉ MANOEL VIANA DE CASTRO - PRAÇA 3 PODERES, S/N, CASA NOVA-BA</t>
        </is>
      </c>
      <c r="S483" s="26">
        <f>IF(A483=A482,0,1)</f>
        <v>0</v>
      </c>
      <c r="T483" s="26">
        <f>IF(COUNTIF($B$4:B483,B483)=1,1,0)</f>
        <v>0</v>
      </c>
    </row>
    <row r="484">
      <c r="A484" s="14" t="inlineStr">
        <is>
          <t>CASA NOVA</t>
        </is>
      </c>
      <c r="B484" s="26" t="n">
        <v>66</v>
      </c>
      <c r="C484" s="26" t="n">
        <v>1562</v>
      </c>
      <c r="D484" s="14" t="inlineStr">
        <is>
          <t>PREDIO ESCOLAR MUNICIPAL DE MELANCIA</t>
        </is>
      </c>
      <c r="E484" s="14" t="inlineStr">
        <is>
          <t>POVOADO MELANCIA I</t>
        </is>
      </c>
      <c r="F484" s="14" t="inlineStr">
        <is>
          <t>POVOADO MELANCIA I, KM 53 - ZONA RURAL</t>
        </is>
      </c>
      <c r="G484" s="27" t="inlineStr">
        <is>
          <t>47300-000</t>
        </is>
      </c>
      <c r="H484" s="15" t="n">
        <v>1</v>
      </c>
      <c r="I484" s="28" t="inlineStr">
        <is>
          <t>NÃO</t>
        </is>
      </c>
      <c r="J484" s="29" t="n"/>
      <c r="K484" s="14" t="str">
        <f>IF(J484="","7. Acima de 2 km",IF(J484&lt;=50,"1. Até 50 m",IF(J484&lt;=100,"2. De 50 a 100 m",IF(J484&lt;=200,"3. De 100 a 200 m",IF(J484&lt;=300,"4. De 200 a 300 m",IF(J484&lt;=500,"5. De 300 a 500 m","6. De 500 m a 2 km"))))))</f>
        <v>7. Acima de 2 km</v>
      </c>
      <c r="L484" s="26" t="n">
        <v>0</v>
      </c>
      <c r="M484" s="26" t="n">
        <v>0</v>
      </c>
      <c r="N484" s="26" t="n">
        <v>0</v>
      </c>
      <c r="O484" s="26" t="n">
        <v>0</v>
      </c>
      <c r="P484" s="30" t="n">
        <v>-9.3166101</v>
      </c>
      <c r="Q484" s="30" t="n">
        <v>-41.28971217</v>
      </c>
      <c r="R484" s="14" t="inlineStr">
        <is>
          <t>FÓRUM DESEMBARGADOR JOSÉ MANOEL VIANA DE CASTRO - PRAÇA 3 PODERES, S/N, CASA NOVA-BA</t>
        </is>
      </c>
      <c r="S484" s="26">
        <f>IF(A484=A483,0,1)</f>
        <v>0</v>
      </c>
      <c r="T484" s="26">
        <f>IF(COUNTIF($B$4:B484,B484)=1,1,0)</f>
        <v>0</v>
      </c>
    </row>
    <row r="485">
      <c r="A485" s="14" t="inlineStr">
        <is>
          <t>CASA NOVA</t>
        </is>
      </c>
      <c r="B485" s="26" t="n">
        <v>66</v>
      </c>
      <c r="C485" s="26" t="n">
        <v>1570</v>
      </c>
      <c r="D485" s="14" t="inlineStr">
        <is>
          <t>PREDIO ESCOLAR MUNICIPAL DE SANTA RITA</t>
        </is>
      </c>
      <c r="E485" s="14" t="inlineStr">
        <is>
          <t>POVOADO SANTA RITA</t>
        </is>
      </c>
      <c r="F485" s="14" t="inlineStr">
        <is>
          <t>POVOADO SANTA RITA, KM 25 - ZONA RURAL</t>
        </is>
      </c>
      <c r="G485" s="27" t="inlineStr">
        <is>
          <t>47300-000</t>
        </is>
      </c>
      <c r="H485" s="15" t="n">
        <v>1</v>
      </c>
      <c r="I485" s="28" t="inlineStr">
        <is>
          <t>NÃO</t>
        </is>
      </c>
      <c r="J485" s="29" t="n"/>
      <c r="K485" s="14" t="str">
        <f>IF(J485="","7. Acima de 2 km",IF(J485&lt;=50,"1. Até 50 m",IF(J485&lt;=100,"2. De 50 a 100 m",IF(J485&lt;=200,"3. De 100 a 200 m",IF(J485&lt;=300,"4. De 200 a 300 m",IF(J485&lt;=500,"5. De 300 a 500 m","6. De 500 m a 2 km"))))))</f>
        <v>7. Acima de 2 km</v>
      </c>
      <c r="L485" s="26" t="n">
        <v>0</v>
      </c>
      <c r="M485" s="26" t="n">
        <v>0</v>
      </c>
      <c r="N485" s="26" t="n">
        <v>0</v>
      </c>
      <c r="O485" s="26" t="n">
        <v>0</v>
      </c>
      <c r="P485" s="30" t="n">
        <v>-9.03258885</v>
      </c>
      <c r="Q485" s="30" t="n">
        <v>-40.91726307</v>
      </c>
      <c r="R485" s="14" t="inlineStr">
        <is>
          <t>FÓRUM DESEMBARGADOR JOSÉ MANOEL VIANA DE CASTRO - PRAÇA 3 PODERES, S/N, CASA NOVA-BA</t>
        </is>
      </c>
      <c r="S485" s="26">
        <f>IF(A485=A484,0,1)</f>
        <v>0</v>
      </c>
      <c r="T485" s="26">
        <f>IF(COUNTIF($B$4:B485,B485)=1,1,0)</f>
        <v>0</v>
      </c>
    </row>
    <row r="486">
      <c r="A486" s="14" t="inlineStr">
        <is>
          <t>CASA NOVA</t>
        </is>
      </c>
      <c r="B486" s="26" t="n">
        <v>66</v>
      </c>
      <c r="C486" s="26" t="n">
        <v>1589</v>
      </c>
      <c r="D486" s="14" t="inlineStr">
        <is>
          <t>PREDIO ESCOLAR MUNICIPAL DE CURRAL NOVO</t>
        </is>
      </c>
      <c r="E486" s="14" t="inlineStr">
        <is>
          <t>POVOADO CURRAL NOVO</t>
        </is>
      </c>
      <c r="F486" s="14" t="inlineStr">
        <is>
          <t>POVOADO CURRAL NOVO, KM 48 - ZONA RURAL</t>
        </is>
      </c>
      <c r="G486" s="27" t="inlineStr">
        <is>
          <t>47300-000</t>
        </is>
      </c>
      <c r="H486" s="15" t="n">
        <v>1</v>
      </c>
      <c r="I486" s="28" t="inlineStr">
        <is>
          <t>NÃO</t>
        </is>
      </c>
      <c r="J486" s="29" t="n"/>
      <c r="K486" s="14" t="str">
        <f>IF(J486="","7. Acima de 2 km",IF(J486&lt;=50,"1. Até 50 m",IF(J486&lt;=100,"2. De 50 a 100 m",IF(J486&lt;=200,"3. De 100 a 200 m",IF(J486&lt;=300,"4. De 200 a 300 m",IF(J486&lt;=500,"5. De 300 a 500 m","6. De 500 m a 2 km"))))))</f>
        <v>7. Acima de 2 km</v>
      </c>
      <c r="L486" s="26" t="n">
        <v>0</v>
      </c>
      <c r="M486" s="26" t="n">
        <v>0</v>
      </c>
      <c r="N486" s="26" t="n">
        <v>0</v>
      </c>
      <c r="O486" s="26" t="n">
        <v>0</v>
      </c>
      <c r="P486" s="30" t="n">
        <v>-8.957408340000001</v>
      </c>
      <c r="Q486" s="30" t="n">
        <v>-41.00939301</v>
      </c>
      <c r="R486" s="14" t="inlineStr">
        <is>
          <t>FÓRUM DESEMBARGADOR JOSÉ MANOEL VIANA DE CASTRO - PRAÇA 3 PODERES, S/N, CASA NOVA-BA</t>
        </is>
      </c>
      <c r="S486" s="26">
        <f>IF(A486=A485,0,1)</f>
        <v>0</v>
      </c>
      <c r="T486" s="26">
        <f>IF(COUNTIF($B$4:B486,B486)=1,1,0)</f>
        <v>0</v>
      </c>
    </row>
    <row r="487">
      <c r="A487" s="14" t="inlineStr">
        <is>
          <t>CASA NOVA</t>
        </is>
      </c>
      <c r="B487" s="26" t="n">
        <v>66</v>
      </c>
      <c r="C487" s="26" t="n">
        <v>1597</v>
      </c>
      <c r="D487" s="14" t="inlineStr">
        <is>
          <t>PREDIO ESCOLAR DE LAGOAS NOVAS</t>
        </is>
      </c>
      <c r="E487" s="14" t="inlineStr">
        <is>
          <t>POVOADO LAGOAS NOVAS</t>
        </is>
      </c>
      <c r="F487" s="14" t="inlineStr">
        <is>
          <t>POVOADO LAGOAS NOVAS, KM 40 - ZONA RURAL</t>
        </is>
      </c>
      <c r="G487" s="27" t="inlineStr">
        <is>
          <t>47300-000</t>
        </is>
      </c>
      <c r="H487" s="15" t="n">
        <v>2</v>
      </c>
      <c r="I487" s="28" t="inlineStr">
        <is>
          <t>NÃO</t>
        </is>
      </c>
      <c r="J487" s="29" t="n"/>
      <c r="K487" s="14" t="str">
        <f>IF(J487="","7. Acima de 2 km",IF(J487&lt;=50,"1. Até 50 m",IF(J487&lt;=100,"2. De 50 a 100 m",IF(J487&lt;=200,"3. De 100 a 200 m",IF(J487&lt;=300,"4. De 200 a 300 m",IF(J487&lt;=500,"5. De 300 a 500 m","6. De 500 m a 2 km"))))))</f>
        <v>7. Acima de 2 km</v>
      </c>
      <c r="L487" s="26" t="n">
        <v>0</v>
      </c>
      <c r="M487" s="26" t="n">
        <v>0</v>
      </c>
      <c r="N487" s="26" t="n">
        <v>0</v>
      </c>
      <c r="O487" s="26" t="n">
        <v>0</v>
      </c>
      <c r="P487" s="30" t="n">
        <v>-9.06941567</v>
      </c>
      <c r="Q487" s="30" t="n">
        <v>-41.13043119</v>
      </c>
      <c r="R487" s="14" t="inlineStr">
        <is>
          <t>FÓRUM DESEMBARGADOR JOSÉ MANOEL VIANA DE CASTRO - PRAÇA 3 PODERES, S/N, CASA NOVA-BA</t>
        </is>
      </c>
      <c r="S487" s="26">
        <f>IF(A487=A486,0,1)</f>
        <v>0</v>
      </c>
      <c r="T487" s="26">
        <f>IF(COUNTIF($B$4:B487,B487)=1,1,0)</f>
        <v>0</v>
      </c>
    </row>
    <row r="488">
      <c r="A488" s="14" t="inlineStr">
        <is>
          <t>CASA NOVA</t>
        </is>
      </c>
      <c r="B488" s="26" t="n">
        <v>66</v>
      </c>
      <c r="C488" s="26" t="n">
        <v>1600</v>
      </c>
      <c r="D488" s="14" t="inlineStr">
        <is>
          <t>PREDIO ESCOLAR MUNICIPAL DE SERRA DA PIMENTA</t>
        </is>
      </c>
      <c r="E488" s="14" t="inlineStr">
        <is>
          <t>POVOADO SERRA DA PIMENTA</t>
        </is>
      </c>
      <c r="F488" s="14" t="inlineStr">
        <is>
          <t>POVOADO SERRA DA PIMENTA, KM 22- ZONA RURAL</t>
        </is>
      </c>
      <c r="G488" s="27" t="inlineStr">
        <is>
          <t>47300-000</t>
        </is>
      </c>
      <c r="H488" s="15" t="n">
        <v>1</v>
      </c>
      <c r="I488" s="28" t="inlineStr">
        <is>
          <t>NÃO</t>
        </is>
      </c>
      <c r="J488" s="29" t="n"/>
      <c r="K488" s="14" t="str">
        <f>IF(J488="","7. Acima de 2 km",IF(J488&lt;=50,"1. Até 50 m",IF(J488&lt;=100,"2. De 50 a 100 m",IF(J488&lt;=200,"3. De 100 a 200 m",IF(J488&lt;=300,"4. De 200 a 300 m",IF(J488&lt;=500,"5. De 300 a 500 m","6. De 500 m a 2 km"))))))</f>
        <v>7. Acima de 2 km</v>
      </c>
      <c r="L488" s="26" t="n">
        <v>0</v>
      </c>
      <c r="M488" s="26" t="n">
        <v>0</v>
      </c>
      <c r="N488" s="26" t="n">
        <v>0</v>
      </c>
      <c r="O488" s="26" t="n">
        <v>0</v>
      </c>
      <c r="P488" s="30" t="n">
        <v>-9.21007075</v>
      </c>
      <c r="Q488" s="30" t="n">
        <v>-40.91000211</v>
      </c>
      <c r="R488" s="14" t="inlineStr">
        <is>
          <t>FÓRUM DESEMBARGADOR JOSÉ MANOEL VIANA DE CASTRO - PRAÇA 3 PODERES, S/N, CASA NOVA-BA</t>
        </is>
      </c>
      <c r="S488" s="26">
        <f>IF(A488=A487,0,1)</f>
        <v>0</v>
      </c>
      <c r="T488" s="26">
        <f>IF(COUNTIF($B$4:B488,B488)=1,1,0)</f>
        <v>0</v>
      </c>
    </row>
    <row r="489">
      <c r="A489" s="14" t="inlineStr">
        <is>
          <t>CASA NOVA</t>
        </is>
      </c>
      <c r="B489" s="26" t="n">
        <v>66</v>
      </c>
      <c r="C489" s="26" t="n">
        <v>1619</v>
      </c>
      <c r="D489" s="14" t="inlineStr">
        <is>
          <t>PREDIO ESCOLAR MUNICIPAL DE BARRACAS</t>
        </is>
      </c>
      <c r="E489" s="14" t="inlineStr">
        <is>
          <t>POVOADO BARRACAS</t>
        </is>
      </c>
      <c r="F489" s="14" t="inlineStr">
        <is>
          <t>POVOADO BARRACAS, KM 136 - ZONA RURAL</t>
        </is>
      </c>
      <c r="G489" s="27" t="inlineStr">
        <is>
          <t>47300-000</t>
        </is>
      </c>
      <c r="H489" s="15" t="n">
        <v>1</v>
      </c>
      <c r="I489" s="28" t="inlineStr">
        <is>
          <t>NÃO</t>
        </is>
      </c>
      <c r="J489" s="29" t="n"/>
      <c r="K489" s="14" t="str">
        <f>IF(J489="","7. Acima de 2 km",IF(J489&lt;=50,"1. Até 50 m",IF(J489&lt;=100,"2. De 50 a 100 m",IF(J489&lt;=200,"3. De 100 a 200 m",IF(J489&lt;=300,"4. De 200 a 300 m",IF(J489&lt;=500,"5. De 300 a 500 m","6. De 500 m a 2 km"))))))</f>
        <v>7. Acima de 2 km</v>
      </c>
      <c r="L489" s="26" t="n">
        <v>0</v>
      </c>
      <c r="M489" s="26" t="n">
        <v>0</v>
      </c>
      <c r="N489" s="26" t="n">
        <v>0</v>
      </c>
      <c r="O489" s="26" t="n">
        <v>0</v>
      </c>
      <c r="P489" s="30" t="n">
        <v>-9.59696063</v>
      </c>
      <c r="Q489" s="30" t="n">
        <v>-41.75168151</v>
      </c>
      <c r="R489" s="14" t="inlineStr">
        <is>
          <t>FÓRUM DESEMBARGADOR JOSÉ MANOEL VIANA DE CASTRO - PRAÇA 3 PODERES, S/N, CASA NOVA-BA</t>
        </is>
      </c>
      <c r="S489" s="26">
        <f>IF(A489=A488,0,1)</f>
        <v>0</v>
      </c>
      <c r="T489" s="26">
        <f>IF(COUNTIF($B$4:B489,B489)=1,1,0)</f>
        <v>0</v>
      </c>
    </row>
    <row r="490">
      <c r="A490" s="14" t="inlineStr">
        <is>
          <t>CASA NOVA</t>
        </is>
      </c>
      <c r="B490" s="26" t="n">
        <v>66</v>
      </c>
      <c r="C490" s="26" t="n">
        <v>1635</v>
      </c>
      <c r="D490" s="14" t="inlineStr">
        <is>
          <t>PREDIO ESCOLAR MUNICIPAL DE MELOSA</t>
        </is>
      </c>
      <c r="E490" s="14" t="inlineStr">
        <is>
          <t>POVOADO MELOSA</t>
        </is>
      </c>
      <c r="F490" s="14" t="inlineStr">
        <is>
          <t>POVOADO MELOSA, KM 80 - ZONA RURAL</t>
        </is>
      </c>
      <c r="G490" s="27" t="inlineStr">
        <is>
          <t>47300-000</t>
        </is>
      </c>
      <c r="H490" s="15" t="n">
        <v>1</v>
      </c>
      <c r="I490" s="28" t="inlineStr">
        <is>
          <t>NÃO</t>
        </is>
      </c>
      <c r="J490" s="29" t="n"/>
      <c r="K490" s="14" t="str">
        <f>IF(J490="","7. Acima de 2 km",IF(J490&lt;=50,"1. Até 50 m",IF(J490&lt;=100,"2. De 50 a 100 m",IF(J490&lt;=200,"3. De 100 a 200 m",IF(J490&lt;=300,"4. De 200 a 300 m",IF(J490&lt;=500,"5. De 300 a 500 m","6. De 500 m a 2 km"))))))</f>
        <v>7. Acima de 2 km</v>
      </c>
      <c r="L490" s="26" t="n">
        <v>0</v>
      </c>
      <c r="M490" s="26" t="n">
        <v>0</v>
      </c>
      <c r="N490" s="26" t="n">
        <v>0</v>
      </c>
      <c r="O490" s="26" t="n">
        <v>0</v>
      </c>
      <c r="P490" s="30" t="n">
        <v>-9.1192972</v>
      </c>
      <c r="Q490" s="30" t="n">
        <v>-41.58767054</v>
      </c>
      <c r="R490" s="14" t="inlineStr">
        <is>
          <t>FÓRUM DESEMBARGADOR JOSÉ MANOEL VIANA DE CASTRO - PRAÇA 3 PODERES, S/N, CASA NOVA-BA</t>
        </is>
      </c>
      <c r="S490" s="26">
        <f>IF(A490=A489,0,1)</f>
        <v>0</v>
      </c>
      <c r="T490" s="26">
        <f>IF(COUNTIF($B$4:B490,B490)=1,1,0)</f>
        <v>0</v>
      </c>
    </row>
    <row r="491">
      <c r="A491" s="14" t="inlineStr">
        <is>
          <t>CASA NOVA</t>
        </is>
      </c>
      <c r="B491" s="26" t="n">
        <v>66</v>
      </c>
      <c r="C491" s="26" t="n">
        <v>1643</v>
      </c>
      <c r="D491" s="14" t="inlineStr">
        <is>
          <t>PREDIO ESCOLAR MUNICIPAL DE SAO BENTO</t>
        </is>
      </c>
      <c r="E491" s="14" t="inlineStr">
        <is>
          <t>POVOADO SAO BENTO</t>
        </is>
      </c>
      <c r="F491" s="14" t="inlineStr">
        <is>
          <t>POVOADO SAO BENTO, KM 98 - ZONA RURAL</t>
        </is>
      </c>
      <c r="G491" s="27" t="inlineStr">
        <is>
          <t>47300-000</t>
        </is>
      </c>
      <c r="H491" s="15" t="n">
        <v>1</v>
      </c>
      <c r="I491" s="28" t="inlineStr">
        <is>
          <t>NÃO</t>
        </is>
      </c>
      <c r="J491" s="29" t="n"/>
      <c r="K491" s="14" t="str">
        <f>IF(J491="","7. Acima de 2 km",IF(J491&lt;=50,"1. Até 50 m",IF(J491&lt;=100,"2. De 50 a 100 m",IF(J491&lt;=200,"3. De 100 a 200 m",IF(J491&lt;=300,"4. De 200 a 300 m",IF(J491&lt;=500,"5. De 300 a 500 m","6. De 500 m a 2 km"))))))</f>
        <v>7. Acima de 2 km</v>
      </c>
      <c r="L491" s="26" t="n">
        <v>0</v>
      </c>
      <c r="M491" s="26" t="n">
        <v>0</v>
      </c>
      <c r="N491" s="26" t="n">
        <v>0</v>
      </c>
      <c r="O491" s="26" t="n">
        <v>0</v>
      </c>
      <c r="P491" s="30" t="n">
        <v>-9.00109074</v>
      </c>
      <c r="Q491" s="30" t="n">
        <v>-41.60337892</v>
      </c>
      <c r="R491" s="14" t="inlineStr">
        <is>
          <t>FÓRUM DESEMBARGADOR JOSÉ MANOEL VIANA DE CASTRO - PRAÇA 3 PODERES, S/N, CASA NOVA-BA</t>
        </is>
      </c>
      <c r="S491" s="26">
        <f>IF(A491=A490,0,1)</f>
        <v>0</v>
      </c>
      <c r="T491" s="26">
        <f>IF(COUNTIF($B$4:B491,B491)=1,1,0)</f>
        <v>0</v>
      </c>
    </row>
    <row r="492">
      <c r="A492" s="14" t="inlineStr">
        <is>
          <t>CASA NOVA</t>
        </is>
      </c>
      <c r="B492" s="26" t="n">
        <v>66</v>
      </c>
      <c r="C492" s="26" t="n">
        <v>1651</v>
      </c>
      <c r="D492" s="14" t="inlineStr">
        <is>
          <t>PREDIO ESCOLAR MUNICIPAL DE POCO DO UMBUZEIRO</t>
        </is>
      </c>
      <c r="E492" s="14" t="inlineStr">
        <is>
          <t>POVOADO POCO DO UMBUZEIRO</t>
        </is>
      </c>
      <c r="F492" s="14" t="inlineStr">
        <is>
          <t xml:space="preserve">POVOADO POCO DO UMBUZEIRO, KM 80 - ZONA RURAL  </t>
        </is>
      </c>
      <c r="G492" s="27" t="inlineStr">
        <is>
          <t>47300-000</t>
        </is>
      </c>
      <c r="H492" s="15" t="n">
        <v>1</v>
      </c>
      <c r="I492" s="28" t="inlineStr">
        <is>
          <t>NÃO</t>
        </is>
      </c>
      <c r="J492" s="29" t="n"/>
      <c r="K492" s="14" t="str">
        <f>IF(J492="","7. Acima de 2 km",IF(J492&lt;=50,"1. Até 50 m",IF(J492&lt;=100,"2. De 50 a 100 m",IF(J492&lt;=200,"3. De 100 a 200 m",IF(J492&lt;=300,"4. De 200 a 300 m",IF(J492&lt;=500,"5. De 300 a 500 m","6. De 500 m a 2 km"))))))</f>
        <v>7. Acima de 2 km</v>
      </c>
      <c r="L492" s="26" t="n">
        <v>0</v>
      </c>
      <c r="M492" s="26" t="n">
        <v>0</v>
      </c>
      <c r="N492" s="26" t="n">
        <v>0</v>
      </c>
      <c r="O492" s="26" t="n">
        <v>0</v>
      </c>
      <c r="P492" s="30" t="n">
        <v>-8.851743089999999</v>
      </c>
      <c r="Q492" s="30" t="n">
        <v>-41.0775026</v>
      </c>
      <c r="R492" s="14" t="inlineStr">
        <is>
          <t>FÓRUM DESEMBARGADOR JOSÉ MANOEL VIANA DE CASTRO - PRAÇA 3 PODERES, S/N, CASA NOVA-BA</t>
        </is>
      </c>
      <c r="S492" s="26">
        <f>IF(A492=A491,0,1)</f>
        <v>0</v>
      </c>
      <c r="T492" s="26">
        <f>IF(COUNTIF($B$4:B492,B492)=1,1,0)</f>
        <v>0</v>
      </c>
    </row>
    <row r="493">
      <c r="A493" s="14" t="inlineStr">
        <is>
          <t>CASA NOVA</t>
        </is>
      </c>
      <c r="B493" s="26" t="n">
        <v>66</v>
      </c>
      <c r="C493" s="26" t="n">
        <v>1660</v>
      </c>
      <c r="D493" s="14" t="inlineStr">
        <is>
          <t>PREDIO ESCOLAR MUNICIPAL DE AMALHADINHA</t>
        </is>
      </c>
      <c r="E493" s="14" t="inlineStr">
        <is>
          <t>POVOADO AMALHADINHA</t>
        </is>
      </c>
      <c r="F493" s="14" t="inlineStr">
        <is>
          <t>POVOADO AMALHADINHA, KM 78 - ZONA RURAL</t>
        </is>
      </c>
      <c r="G493" s="27" t="inlineStr">
        <is>
          <t>47300-000</t>
        </is>
      </c>
      <c r="H493" s="15" t="n">
        <v>2</v>
      </c>
      <c r="I493" s="28" t="inlineStr">
        <is>
          <t>NÃO</t>
        </is>
      </c>
      <c r="J493" s="29" t="n"/>
      <c r="K493" s="14" t="str">
        <f>IF(J493="","7. Acima de 2 km",IF(J493&lt;=50,"1. Até 50 m",IF(J493&lt;=100,"2. De 50 a 100 m",IF(J493&lt;=200,"3. De 100 a 200 m",IF(J493&lt;=300,"4. De 200 a 300 m",IF(J493&lt;=500,"5. De 300 a 500 m","6. De 500 m a 2 km"))))))</f>
        <v>7. Acima de 2 km</v>
      </c>
      <c r="L493" s="26" t="n">
        <v>0</v>
      </c>
      <c r="M493" s="26" t="n">
        <v>0</v>
      </c>
      <c r="N493" s="26" t="n">
        <v>0</v>
      </c>
      <c r="O493" s="26" t="n">
        <v>0</v>
      </c>
      <c r="P493" s="30" t="n">
        <v>-8.961076540000001</v>
      </c>
      <c r="Q493" s="30" t="n">
        <v>-41.3084983</v>
      </c>
      <c r="R493" s="14" t="inlineStr">
        <is>
          <t>FÓRUM DESEMBARGADOR JOSÉ MANOEL VIANA DE CASTRO - PRAÇA 3 PODERES, S/N, CASA NOVA-BA</t>
        </is>
      </c>
      <c r="S493" s="26">
        <f>IF(A493=A492,0,1)</f>
        <v>0</v>
      </c>
      <c r="T493" s="26">
        <f>IF(COUNTIF($B$4:B493,B493)=1,1,0)</f>
        <v>0</v>
      </c>
    </row>
    <row r="494">
      <c r="A494" s="14" t="inlineStr">
        <is>
          <t>CASA NOVA</t>
        </is>
      </c>
      <c r="B494" s="26" t="n">
        <v>66</v>
      </c>
      <c r="C494" s="26" t="n">
        <v>1694</v>
      </c>
      <c r="D494" s="14" t="inlineStr">
        <is>
          <t>PREDIO ESCOLAR MUNICIPAL DE CAMPO DOS BOIS</t>
        </is>
      </c>
      <c r="E494" s="14" t="inlineStr">
        <is>
          <t>POVOADO CAMPO DOS BOIS</t>
        </is>
      </c>
      <c r="F494" s="14" t="inlineStr">
        <is>
          <t>POVOADO CAMPO DOS BOIS - ZONA RURAL</t>
        </is>
      </c>
      <c r="G494" s="27" t="inlineStr">
        <is>
          <t>47300-000</t>
        </is>
      </c>
      <c r="H494" s="15" t="n">
        <v>2</v>
      </c>
      <c r="I494" s="28" t="inlineStr">
        <is>
          <t>NÃO</t>
        </is>
      </c>
      <c r="J494" s="29" t="n"/>
      <c r="K494" s="14" t="str">
        <f>IF(J494="","7. Acima de 2 km",IF(J494&lt;=50,"1. Até 50 m",IF(J494&lt;=100,"2. De 50 a 100 m",IF(J494&lt;=200,"3. De 100 a 200 m",IF(J494&lt;=300,"4. De 200 a 300 m",IF(J494&lt;=500,"5. De 300 a 500 m","6. De 500 m a 2 km"))))))</f>
        <v>7. Acima de 2 km</v>
      </c>
      <c r="L494" s="26" t="n">
        <v>0</v>
      </c>
      <c r="M494" s="26" t="n">
        <v>0</v>
      </c>
      <c r="N494" s="26" t="n">
        <v>0</v>
      </c>
      <c r="O494" s="26" t="n">
        <v>0</v>
      </c>
      <c r="P494" s="30" t="n">
        <v>-9.5733614</v>
      </c>
      <c r="Q494" s="30" t="n">
        <v>-41.41248918</v>
      </c>
      <c r="R494" s="14" t="inlineStr">
        <is>
          <t>FÓRUM DESEMBARGADOR JOSÉ MANOEL VIANA DE CASTRO - PRAÇA 3 PODERES, S/N, CASA NOVA-BA</t>
        </is>
      </c>
      <c r="S494" s="26">
        <f>IF(A494=A493,0,1)</f>
        <v>0</v>
      </c>
      <c r="T494" s="26">
        <f>IF(COUNTIF($B$4:B494,B494)=1,1,0)</f>
        <v>0</v>
      </c>
    </row>
    <row r="495">
      <c r="A495" s="14" t="inlineStr">
        <is>
          <t>CASA NOVA</t>
        </is>
      </c>
      <c r="B495" s="26" t="n">
        <v>66</v>
      </c>
      <c r="C495" s="26" t="n">
        <v>1708</v>
      </c>
      <c r="D495" s="14" t="inlineStr">
        <is>
          <t>PREDIO ESCOLAR MUNICIPAL DE SAO LUIZ</t>
        </is>
      </c>
      <c r="E495" s="14" t="inlineStr">
        <is>
          <t>POVOADO SAO LUIZ</t>
        </is>
      </c>
      <c r="F495" s="14" t="inlineStr">
        <is>
          <t>POVOADO SAO LUIZ, KM 26 - ZONA RURAL</t>
        </is>
      </c>
      <c r="G495" s="27" t="inlineStr">
        <is>
          <t>47300-000</t>
        </is>
      </c>
      <c r="H495" s="15" t="n">
        <v>2</v>
      </c>
      <c r="I495" s="28" t="inlineStr">
        <is>
          <t>NÃO</t>
        </is>
      </c>
      <c r="J495" s="29" t="n"/>
      <c r="K495" s="14" t="str">
        <f>IF(J495="","7. Acima de 2 km",IF(J495&lt;=50,"1. Até 50 m",IF(J495&lt;=100,"2. De 50 a 100 m",IF(J495&lt;=200,"3. De 100 a 200 m",IF(J495&lt;=300,"4. De 200 a 300 m",IF(J495&lt;=500,"5. De 300 a 500 m","6. De 500 m a 2 km"))))))</f>
        <v>7. Acima de 2 km</v>
      </c>
      <c r="L495" s="26" t="n">
        <v>0</v>
      </c>
      <c r="M495" s="26" t="n">
        <v>0</v>
      </c>
      <c r="N495" s="26" t="n">
        <v>0</v>
      </c>
      <c r="O495" s="26" t="n">
        <v>0</v>
      </c>
      <c r="P495" s="30" t="n">
        <v>-9.31357379</v>
      </c>
      <c r="Q495" s="30" t="n">
        <v>-40.83973035</v>
      </c>
      <c r="R495" s="14" t="inlineStr">
        <is>
          <t>FÓRUM DESEMBARGADOR JOSÉ MANOEL VIANA DE CASTRO - PRAÇA 3 PODERES, S/N, CASA NOVA-BA</t>
        </is>
      </c>
      <c r="S495" s="26">
        <f>IF(A495=A494,0,1)</f>
        <v>0</v>
      </c>
      <c r="T495" s="26">
        <f>IF(COUNTIF($B$4:B495,B495)=1,1,0)</f>
        <v>0</v>
      </c>
    </row>
    <row r="496">
      <c r="A496" s="14" t="inlineStr">
        <is>
          <t>CASA NOVA</t>
        </is>
      </c>
      <c r="B496" s="26" t="n">
        <v>66</v>
      </c>
      <c r="C496" s="26" t="n">
        <v>1716</v>
      </c>
      <c r="D496" s="14" t="inlineStr">
        <is>
          <t>PREDIO ESCOLAR MUNICIPAL DE ESTREITO</t>
        </is>
      </c>
      <c r="E496" s="14" t="inlineStr">
        <is>
          <t>POVOADO ESTREITO</t>
        </is>
      </c>
      <c r="F496" s="14" t="inlineStr">
        <is>
          <t>POVOADO ESTREITO, KM 80 - ZONA RURAL</t>
        </is>
      </c>
      <c r="G496" s="27" t="inlineStr">
        <is>
          <t>47300-000</t>
        </is>
      </c>
      <c r="H496" s="15" t="n">
        <v>1</v>
      </c>
      <c r="I496" s="28" t="inlineStr">
        <is>
          <t>NÃO</t>
        </is>
      </c>
      <c r="J496" s="29" t="n"/>
      <c r="K496" s="14" t="str">
        <f>IF(J496="","7. Acima de 2 km",IF(J496&lt;=50,"1. Até 50 m",IF(J496&lt;=100,"2. De 50 a 100 m",IF(J496&lt;=200,"3. De 100 a 200 m",IF(J496&lt;=300,"4. De 200 a 300 m",IF(J496&lt;=500,"5. De 300 a 500 m","6. De 500 m a 2 km"))))))</f>
        <v>7. Acima de 2 km</v>
      </c>
      <c r="L496" s="26" t="n">
        <v>0</v>
      </c>
      <c r="M496" s="26" t="n">
        <v>0</v>
      </c>
      <c r="N496" s="26" t="n">
        <v>0</v>
      </c>
      <c r="O496" s="26" t="n">
        <v>0</v>
      </c>
      <c r="P496" s="30" t="n">
        <v>-8.843823199999999</v>
      </c>
      <c r="Q496" s="30" t="n">
        <v>-41.16906849</v>
      </c>
      <c r="R496" s="14" t="inlineStr">
        <is>
          <t>FÓRUM DESEMBARGADOR JOSÉ MANOEL VIANA DE CASTRO - PRAÇA 3 PODERES, S/N, CASA NOVA-BA</t>
        </is>
      </c>
      <c r="S496" s="26">
        <f>IF(A496=A495,0,1)</f>
        <v>0</v>
      </c>
      <c r="T496" s="26">
        <f>IF(COUNTIF($B$4:B496,B496)=1,1,0)</f>
        <v>0</v>
      </c>
    </row>
    <row r="497">
      <c r="A497" s="14" t="inlineStr">
        <is>
          <t>CASA NOVA</t>
        </is>
      </c>
      <c r="B497" s="26" t="n">
        <v>66</v>
      </c>
      <c r="C497" s="26" t="n">
        <v>1724</v>
      </c>
      <c r="D497" s="14" t="inlineStr">
        <is>
          <t>PREDIO ESCOLAR DE BAIXAO DOS CABOCLOS</t>
        </is>
      </c>
      <c r="E497" s="14" t="inlineStr">
        <is>
          <t>POVOADO BAIXAO DOS CABOCLOS</t>
        </is>
      </c>
      <c r="F497" s="14" t="inlineStr">
        <is>
          <t>POVOADO BAIXAO DOS CABOCLOS, KM 92 - ZONA RURAL</t>
        </is>
      </c>
      <c r="G497" s="27" t="inlineStr">
        <is>
          <t>47300-000</t>
        </is>
      </c>
      <c r="H497" s="15" t="n">
        <v>1</v>
      </c>
      <c r="I497" s="28" t="inlineStr">
        <is>
          <t>NÃO</t>
        </is>
      </c>
      <c r="J497" s="29" t="n"/>
      <c r="K497" s="14" t="str">
        <f>IF(J497="","7. Acima de 2 km",IF(J497&lt;=50,"1. Até 50 m",IF(J497&lt;=100,"2. De 50 a 100 m",IF(J497&lt;=200,"3. De 100 a 200 m",IF(J497&lt;=300,"4. De 200 a 300 m",IF(J497&lt;=500,"5. De 300 a 500 m","6. De 500 m a 2 km"))))))</f>
        <v>7. Acima de 2 km</v>
      </c>
      <c r="L497" s="26" t="n">
        <v>0</v>
      </c>
      <c r="M497" s="26" t="n">
        <v>0</v>
      </c>
      <c r="N497" s="26" t="n">
        <v>0</v>
      </c>
      <c r="O497" s="26" t="n">
        <v>0</v>
      </c>
      <c r="P497" s="30" t="n">
        <v>-8.987694490000001</v>
      </c>
      <c r="Q497" s="30" t="n">
        <v>-41.50499723</v>
      </c>
      <c r="R497" s="14" t="inlineStr">
        <is>
          <t>FÓRUM DESEMBARGADOR JOSÉ MANOEL VIANA DE CASTRO - PRAÇA 3 PODERES, S/N, CASA NOVA-BA</t>
        </is>
      </c>
      <c r="S497" s="26">
        <f>IF(A497=A496,0,1)</f>
        <v>0</v>
      </c>
      <c r="T497" s="26">
        <f>IF(COUNTIF($B$4:B497,B497)=1,1,0)</f>
        <v>0</v>
      </c>
    </row>
    <row r="498">
      <c r="A498" s="14" t="inlineStr">
        <is>
          <t>CASA NOVA</t>
        </is>
      </c>
      <c r="B498" s="26" t="n">
        <v>66</v>
      </c>
      <c r="C498" s="26" t="n">
        <v>1732</v>
      </c>
      <c r="D498" s="14" t="inlineStr">
        <is>
          <t>ESCOLA MUNICIPAL INOCENCIO DE SOUZA</t>
        </is>
      </c>
      <c r="E498" s="14" t="inlineStr">
        <is>
          <t>POVOADO MULUNGU</t>
        </is>
      </c>
      <c r="F498" s="14" t="inlineStr">
        <is>
          <t>POVOADO MULUNGU - ZONA RURAL</t>
        </is>
      </c>
      <c r="G498" s="27" t="inlineStr">
        <is>
          <t>47300-000</t>
        </is>
      </c>
      <c r="H498" s="15" t="n">
        <v>1</v>
      </c>
      <c r="I498" s="28" t="inlineStr">
        <is>
          <t>NÃO</t>
        </is>
      </c>
      <c r="J498" s="29" t="n"/>
      <c r="K498" s="14" t="str">
        <f>IF(J498="","7. Acima de 2 km",IF(J498&lt;=50,"1. Até 50 m",IF(J498&lt;=100,"2. De 50 a 100 m",IF(J498&lt;=200,"3. De 100 a 200 m",IF(J498&lt;=300,"4. De 200 a 300 m",IF(J498&lt;=500,"5. De 300 a 500 m","6. De 500 m a 2 km"))))))</f>
        <v>7. Acima de 2 km</v>
      </c>
      <c r="L498" s="26" t="n">
        <v>0</v>
      </c>
      <c r="M498" s="26" t="n">
        <v>0</v>
      </c>
      <c r="N498" s="26" t="n">
        <v>0</v>
      </c>
      <c r="O498" s="26" t="n">
        <v>0</v>
      </c>
      <c r="P498" s="30" t="n">
        <v>-9.25334267</v>
      </c>
      <c r="Q498" s="30" t="n">
        <v>-41.17150464</v>
      </c>
      <c r="R498" s="14" t="inlineStr">
        <is>
          <t>FÓRUM DESEMBARGADOR JOSÉ MANOEL VIANA DE CASTRO - PRAÇA 3 PODERES, S/N, CASA NOVA-BA</t>
        </is>
      </c>
      <c r="S498" s="26">
        <f>IF(A498=A497,0,1)</f>
        <v>0</v>
      </c>
      <c r="T498" s="26">
        <f>IF(COUNTIF($B$4:B498,B498)=1,1,0)</f>
        <v>0</v>
      </c>
    </row>
    <row r="499">
      <c r="A499" s="14" t="inlineStr">
        <is>
          <t>CASA NOVA</t>
        </is>
      </c>
      <c r="B499" s="26" t="n">
        <v>66</v>
      </c>
      <c r="C499" s="26" t="n">
        <v>1740</v>
      </c>
      <c r="D499" s="14" t="inlineStr">
        <is>
          <t>PREDIO ESCOLAR MUNICIPAL SOLON ALVES XAVIER DE SOUZA</t>
        </is>
      </c>
      <c r="E499" s="14" t="inlineStr">
        <is>
          <t>CENTRO</t>
        </is>
      </c>
      <c r="F499" s="14" t="inlineStr">
        <is>
          <t>VILA MASSU - ZONA URBANA</t>
        </is>
      </c>
      <c r="G499" s="27" t="inlineStr">
        <is>
          <t>47300-000</t>
        </is>
      </c>
      <c r="H499" s="15" t="n">
        <v>7</v>
      </c>
      <c r="I499" s="28" t="inlineStr">
        <is>
          <t>NÃO</t>
        </is>
      </c>
      <c r="J499" s="29" t="n">
        <v>242</v>
      </c>
      <c r="K499" s="14" t="str">
        <f>IF(J499="","7. Acima de 2 km",IF(J499&lt;=50,"1. Até 50 m",IF(J499&lt;=100,"2. De 50 a 100 m",IF(J499&lt;=200,"3. De 100 a 200 m",IF(J499&lt;=300,"4. De 200 a 300 m",IF(J499&lt;=500,"5. De 300 a 500 m","6. De 500 m a 2 km"))))))</f>
        <v>4. De 200 a 300 m</v>
      </c>
      <c r="L499" s="26" t="n">
        <v>0</v>
      </c>
      <c r="M499" s="26" t="n">
        <v>0</v>
      </c>
      <c r="N499" s="26" t="n">
        <v>0</v>
      </c>
      <c r="O499" s="26" t="n">
        <v>1</v>
      </c>
      <c r="P499" s="30" t="n">
        <v>-9.17984695</v>
      </c>
      <c r="Q499" s="30" t="n">
        <v>-40.98163685</v>
      </c>
      <c r="R499" s="14" t="inlineStr">
        <is>
          <t>FÓRUM DESEMBARGADOR JOSÉ MANOEL VIANA DE CASTRO - PRAÇA 3 PODERES, S/N, CASA NOVA-BA</t>
        </is>
      </c>
      <c r="S499" s="26">
        <f>IF(A499=A498,0,1)</f>
        <v>0</v>
      </c>
      <c r="T499" s="26">
        <f>IF(COUNTIF($B$4:B499,B499)=1,1,0)</f>
        <v>0</v>
      </c>
    </row>
    <row r="500">
      <c r="A500" s="14" t="inlineStr">
        <is>
          <t>CASA NOVA</t>
        </is>
      </c>
      <c r="B500" s="26" t="n">
        <v>66</v>
      </c>
      <c r="C500" s="26" t="n">
        <v>1759</v>
      </c>
      <c r="D500" s="14" t="inlineStr">
        <is>
          <t>PREDIO ESCOLAR OLIMPIO RIBEIRO</t>
        </is>
      </c>
      <c r="E500" s="14" t="inlineStr">
        <is>
          <t>POVOADO JARDIM DE CIMA</t>
        </is>
      </c>
      <c r="F500" s="14" t="inlineStr">
        <is>
          <t>POVOADO JARDIM DE CIMA, KM 50 - ZONA RURAL</t>
        </is>
      </c>
      <c r="G500" s="27" t="inlineStr">
        <is>
          <t>47300-000</t>
        </is>
      </c>
      <c r="H500" s="15" t="n">
        <v>1</v>
      </c>
      <c r="I500" s="28" t="inlineStr">
        <is>
          <t>NÃO</t>
        </is>
      </c>
      <c r="J500" s="29" t="n"/>
      <c r="K500" s="14" t="str">
        <f>IF(J500="","7. Acima de 2 km",IF(J500&lt;=50,"1. Até 50 m",IF(J500&lt;=100,"2. De 50 a 100 m",IF(J500&lt;=200,"3. De 100 a 200 m",IF(J500&lt;=300,"4. De 200 a 300 m",IF(J500&lt;=500,"5. De 300 a 500 m","6. De 500 m a 2 km"))))))</f>
        <v>7. Acima de 2 km</v>
      </c>
      <c r="L500" s="26" t="n">
        <v>0</v>
      </c>
      <c r="M500" s="26" t="n">
        <v>0</v>
      </c>
      <c r="N500" s="26" t="n">
        <v>0</v>
      </c>
      <c r="O500" s="26" t="n">
        <v>0</v>
      </c>
      <c r="P500" s="30" t="n">
        <v>-8.99515323</v>
      </c>
      <c r="Q500" s="30" t="n">
        <v>-41.24156208</v>
      </c>
      <c r="R500" s="14" t="inlineStr">
        <is>
          <t>FÓRUM DESEMBARGADOR JOSÉ MANOEL VIANA DE CASTRO - PRAÇA 3 PODERES, S/N, CASA NOVA-BA</t>
        </is>
      </c>
      <c r="S500" s="26">
        <f>IF(A500=A499,0,1)</f>
        <v>0</v>
      </c>
      <c r="T500" s="26">
        <f>IF(COUNTIF($B$4:B500,B500)=1,1,0)</f>
        <v>0</v>
      </c>
    </row>
    <row r="501">
      <c r="A501" s="14" t="inlineStr">
        <is>
          <t>CASA NOVA</t>
        </is>
      </c>
      <c r="B501" s="26" t="n">
        <v>66</v>
      </c>
      <c r="C501" s="26" t="n">
        <v>1767</v>
      </c>
      <c r="D501" s="14" t="inlineStr">
        <is>
          <t>PRÉDIO ESCOLAR FRANCISCO DA ROCHA</t>
        </is>
      </c>
      <c r="E501" s="14" t="inlineStr">
        <is>
          <t>POVOADO CACIMBA DA PEDRA</t>
        </is>
      </c>
      <c r="F501" s="14" t="inlineStr">
        <is>
          <t>POVOADO DE CACIMBA DA PEDRA - ZONA RURAL</t>
        </is>
      </c>
      <c r="G501" s="27" t="inlineStr">
        <is>
          <t>47300-000</t>
        </is>
      </c>
      <c r="H501" s="15" t="n">
        <v>1</v>
      </c>
      <c r="I501" s="28" t="inlineStr">
        <is>
          <t>NÃO</t>
        </is>
      </c>
      <c r="J501" s="29" t="n"/>
      <c r="K501" s="14" t="str">
        <f>IF(J501="","7. Acima de 2 km",IF(J501&lt;=50,"1. Até 50 m",IF(J501&lt;=100,"2. De 50 a 100 m",IF(J501&lt;=200,"3. De 100 a 200 m",IF(J501&lt;=300,"4. De 200 a 300 m",IF(J501&lt;=500,"5. De 300 a 500 m","6. De 500 m a 2 km"))))))</f>
        <v>7. Acima de 2 km</v>
      </c>
      <c r="L501" s="26" t="n">
        <v>0</v>
      </c>
      <c r="M501" s="26" t="n">
        <v>0</v>
      </c>
      <c r="N501" s="26" t="n">
        <v>0</v>
      </c>
      <c r="O501" s="26" t="n">
        <v>0</v>
      </c>
      <c r="P501" s="30" t="n">
        <v>-9.35415384</v>
      </c>
      <c r="Q501" s="30" t="n">
        <v>-41.29492515</v>
      </c>
      <c r="R501" s="14" t="inlineStr">
        <is>
          <t>FÓRUM DESEMBARGADOR JOSÉ MANOEL VIANA DE CASTRO - PRAÇA 3 PODERES, S/N, CASA NOVA-BA</t>
        </is>
      </c>
      <c r="S501" s="26">
        <f>IF(A501=A500,0,1)</f>
        <v>0</v>
      </c>
      <c r="T501" s="26">
        <f>IF(COUNTIF($B$4:B501,B501)=1,1,0)</f>
        <v>0</v>
      </c>
    </row>
    <row r="502">
      <c r="A502" s="14" t="inlineStr">
        <is>
          <t>CASA NOVA</t>
        </is>
      </c>
      <c r="B502" s="26" t="n">
        <v>66</v>
      </c>
      <c r="C502" s="26" t="n">
        <v>1783</v>
      </c>
      <c r="D502" s="14" t="inlineStr">
        <is>
          <t>ESCOLA MUNICIPAL ODETE VIANA</t>
        </is>
      </c>
      <c r="E502" s="14" t="inlineStr">
        <is>
          <t>CENTRO</t>
        </is>
      </c>
      <c r="F502" s="14" t="inlineStr">
        <is>
          <t>QUADRA  S, S/N - ZONA URBANA</t>
        </is>
      </c>
      <c r="G502" s="27" t="inlineStr">
        <is>
          <t>47300-000</t>
        </is>
      </c>
      <c r="H502" s="15" t="n">
        <v>3</v>
      </c>
      <c r="I502" s="28" t="inlineStr">
        <is>
          <t>NÃO</t>
        </is>
      </c>
      <c r="J502" s="29" t="n">
        <v>260.2</v>
      </c>
      <c r="K502" s="14" t="str">
        <f>IF(J502="","7. Acima de 2 km",IF(J502&lt;=50,"1. Até 50 m",IF(J502&lt;=100,"2. De 50 a 100 m",IF(J502&lt;=200,"3. De 100 a 200 m",IF(J502&lt;=300,"4. De 200 a 300 m",IF(J502&lt;=500,"5. De 300 a 500 m","6. De 500 m a 2 km"))))))</f>
        <v>4. De 200 a 300 m</v>
      </c>
      <c r="L502" s="26" t="n">
        <v>0</v>
      </c>
      <c r="M502" s="26" t="n">
        <v>0</v>
      </c>
      <c r="N502" s="26" t="n">
        <v>0</v>
      </c>
      <c r="O502" s="26" t="n">
        <v>1</v>
      </c>
      <c r="P502" s="30" t="n">
        <v>-9.1767973</v>
      </c>
      <c r="Q502" s="30" t="n">
        <v>-40.97106705</v>
      </c>
      <c r="R502" s="14" t="inlineStr">
        <is>
          <t>FÓRUM DESEMBARGADOR JOSÉ MANOEL VIANA DE CASTRO - PRAÇA 3 PODERES, S/N, CASA NOVA-BA</t>
        </is>
      </c>
      <c r="S502" s="26">
        <f>IF(A502=A501,0,1)</f>
        <v>0</v>
      </c>
      <c r="T502" s="26">
        <f>IF(COUNTIF($B$4:B502,B502)=1,1,0)</f>
        <v>0</v>
      </c>
    </row>
    <row r="503">
      <c r="A503" s="14" t="inlineStr">
        <is>
          <t>CASA NOVA</t>
        </is>
      </c>
      <c r="B503" s="26" t="n">
        <v>66</v>
      </c>
      <c r="C503" s="26" t="n">
        <v>1791</v>
      </c>
      <c r="D503" s="14" t="inlineStr">
        <is>
          <t>PREDIO ESCOLAR MUNICIPAL DE OURICURI</t>
        </is>
      </c>
      <c r="E503" s="14" t="inlineStr">
        <is>
          <t>POVOADO OURICURI</t>
        </is>
      </c>
      <c r="F503" s="14" t="inlineStr">
        <is>
          <t>POVOADO OURICURI, KM 89 - ZONA RURAL</t>
        </is>
      </c>
      <c r="G503" s="27" t="inlineStr">
        <is>
          <t>47300-000</t>
        </is>
      </c>
      <c r="H503" s="15" t="n">
        <v>1</v>
      </c>
      <c r="I503" s="28" t="inlineStr">
        <is>
          <t>NÃO</t>
        </is>
      </c>
      <c r="J503" s="29" t="n"/>
      <c r="K503" s="14" t="str">
        <f>IF(J503="","7. Acima de 2 km",IF(J503&lt;=50,"1. Até 50 m",IF(J503&lt;=100,"2. De 50 a 100 m",IF(J503&lt;=200,"3. De 100 a 200 m",IF(J503&lt;=300,"4. De 200 a 300 m",IF(J503&lt;=500,"5. De 300 a 500 m","6. De 500 m a 2 km"))))))</f>
        <v>7. Acima de 2 km</v>
      </c>
      <c r="L503" s="26" t="n">
        <v>0</v>
      </c>
      <c r="M503" s="26" t="n">
        <v>0</v>
      </c>
      <c r="N503" s="26" t="n">
        <v>0</v>
      </c>
      <c r="O503" s="26" t="n">
        <v>0</v>
      </c>
      <c r="P503" s="30" t="n">
        <v>-8.926128690000001</v>
      </c>
      <c r="Q503" s="30" t="n">
        <v>-41.42001698</v>
      </c>
      <c r="R503" s="14" t="inlineStr">
        <is>
          <t>FÓRUM DESEMBARGADOR JOSÉ MANOEL VIANA DE CASTRO - PRAÇA 3 PODERES, S/N, CASA NOVA-BA</t>
        </is>
      </c>
      <c r="S503" s="26">
        <f>IF(A503=A502,0,1)</f>
        <v>0</v>
      </c>
      <c r="T503" s="26">
        <f>IF(COUNTIF($B$4:B503,B503)=1,1,0)</f>
        <v>0</v>
      </c>
    </row>
    <row r="504">
      <c r="A504" s="14" t="inlineStr">
        <is>
          <t>CASA NOVA</t>
        </is>
      </c>
      <c r="B504" s="26" t="n">
        <v>66</v>
      </c>
      <c r="C504" s="26" t="n">
        <v>1805</v>
      </c>
      <c r="D504" s="14" t="inlineStr">
        <is>
          <t>PREDIO ESCOLAR MUNICIPAL DE ALMAS</t>
        </is>
      </c>
      <c r="E504" s="14" t="inlineStr">
        <is>
          <t>POVOADO DE ALMAS</t>
        </is>
      </c>
      <c r="F504" s="14" t="inlineStr">
        <is>
          <t>POVOADO DE ALMAS, KM 36 - ZONA RURAL</t>
        </is>
      </c>
      <c r="G504" s="27" t="inlineStr">
        <is>
          <t>47300-000</t>
        </is>
      </c>
      <c r="H504" s="15" t="n">
        <v>1</v>
      </c>
      <c r="I504" s="28" t="inlineStr">
        <is>
          <t>NÃO</t>
        </is>
      </c>
      <c r="J504" s="29" t="n"/>
      <c r="K504" s="14" t="str">
        <f>IF(J504="","7. Acima de 2 km",IF(J504&lt;=50,"1. Até 50 m",IF(J504&lt;=100,"2. De 50 a 100 m",IF(J504&lt;=200,"3. De 100 a 200 m",IF(J504&lt;=300,"4. De 200 a 300 m",IF(J504&lt;=500,"5. De 300 a 500 m","6. De 500 m a 2 km"))))))</f>
        <v>7. Acima de 2 km</v>
      </c>
      <c r="L504" s="26" t="n">
        <v>0</v>
      </c>
      <c r="M504" s="26" t="n">
        <v>0</v>
      </c>
      <c r="N504" s="26" t="n">
        <v>0</v>
      </c>
      <c r="O504" s="26" t="n">
        <v>0</v>
      </c>
      <c r="P504" s="30" t="n">
        <v>-9.13134455</v>
      </c>
      <c r="Q504" s="30" t="n">
        <v>-40.80573008</v>
      </c>
      <c r="R504" s="14" t="inlineStr">
        <is>
          <t>FÓRUM DESEMBARGADOR JOSÉ MANOEL VIANA DE CASTRO - PRAÇA 3 PODERES, S/N, CASA NOVA-BA</t>
        </is>
      </c>
      <c r="S504" s="26">
        <f>IF(A504=A503,0,1)</f>
        <v>0</v>
      </c>
      <c r="T504" s="26">
        <f>IF(COUNTIF($B$4:B504,B504)=1,1,0)</f>
        <v>0</v>
      </c>
    </row>
    <row r="505">
      <c r="A505" s="14" t="inlineStr">
        <is>
          <t>CASA NOVA</t>
        </is>
      </c>
      <c r="B505" s="26" t="n">
        <v>66</v>
      </c>
      <c r="C505" s="26" t="n">
        <v>1813</v>
      </c>
      <c r="D505" s="14" t="inlineStr">
        <is>
          <t>PREDIO ESCOLAR MUNICIPAL DE SERROTE</t>
        </is>
      </c>
      <c r="E505" s="14" t="inlineStr">
        <is>
          <t>POVOADO DE SERROTE</t>
        </is>
      </c>
      <c r="F505" s="14" t="inlineStr">
        <is>
          <t>POVOADO DE SERROTE, KM 30 - ZONA RURAL</t>
        </is>
      </c>
      <c r="G505" s="27" t="inlineStr">
        <is>
          <t>47300-000</t>
        </is>
      </c>
      <c r="H505" s="15" t="n">
        <v>2</v>
      </c>
      <c r="I505" s="28" t="inlineStr">
        <is>
          <t>NÃO</t>
        </is>
      </c>
      <c r="J505" s="29" t="n"/>
      <c r="K505" s="14" t="str">
        <f>IF(J505="","7. Acima de 2 km",IF(J505&lt;=50,"1. Até 50 m",IF(J505&lt;=100,"2. De 50 a 100 m",IF(J505&lt;=200,"3. De 100 a 200 m",IF(J505&lt;=300,"4. De 200 a 300 m",IF(J505&lt;=500,"5. De 300 a 500 m","6. De 500 m a 2 km"))))))</f>
        <v>7. Acima de 2 km</v>
      </c>
      <c r="L505" s="26" t="n">
        <v>0</v>
      </c>
      <c r="M505" s="26" t="n">
        <v>0</v>
      </c>
      <c r="N505" s="26" t="n">
        <v>0</v>
      </c>
      <c r="O505" s="26" t="n">
        <v>0</v>
      </c>
      <c r="P505" s="30" t="n">
        <v>-9.20065829</v>
      </c>
      <c r="Q505" s="30" t="n">
        <v>-40.89509392</v>
      </c>
      <c r="R505" s="14" t="inlineStr">
        <is>
          <t>FÓRUM DESEMBARGADOR JOSÉ MANOEL VIANA DE CASTRO - PRAÇA 3 PODERES, S/N, CASA NOVA-BA</t>
        </is>
      </c>
      <c r="S505" s="26">
        <f>IF(A505=A504,0,1)</f>
        <v>0</v>
      </c>
      <c r="T505" s="26">
        <f>IF(COUNTIF($B$4:B505,B505)=1,1,0)</f>
        <v>0</v>
      </c>
    </row>
    <row r="506">
      <c r="A506" s="14" t="inlineStr">
        <is>
          <t>CASA NOVA</t>
        </is>
      </c>
      <c r="B506" s="26" t="n">
        <v>66</v>
      </c>
      <c r="C506" s="26" t="n">
        <v>1830</v>
      </c>
      <c r="D506" s="14" t="inlineStr">
        <is>
          <t>PREDIO ESCOLAR MUNICIPAL DE INTRUDE</t>
        </is>
      </c>
      <c r="E506" s="14" t="inlineStr">
        <is>
          <t>POVOADO DE INTRUDE</t>
        </is>
      </c>
      <c r="F506" s="14" t="inlineStr">
        <is>
          <t>POVOADO DE INTRUDE, KM 78 - ZONA RURAL</t>
        </is>
      </c>
      <c r="G506" s="27" t="inlineStr">
        <is>
          <t>47300-000</t>
        </is>
      </c>
      <c r="H506" s="15" t="n">
        <v>1</v>
      </c>
      <c r="I506" s="28" t="inlineStr">
        <is>
          <t>NÃO</t>
        </is>
      </c>
      <c r="J506" s="29" t="n"/>
      <c r="K506" s="14" t="str">
        <f>IF(J506="","7. Acima de 2 km",IF(J506&lt;=50,"1. Até 50 m",IF(J506&lt;=100,"2. De 50 a 100 m",IF(J506&lt;=200,"3. De 100 a 200 m",IF(J506&lt;=300,"4. De 200 a 300 m",IF(J506&lt;=500,"5. De 300 a 500 m","6. De 500 m a 2 km"))))))</f>
        <v>7. Acima de 2 km</v>
      </c>
      <c r="L506" s="26" t="n">
        <v>0</v>
      </c>
      <c r="M506" s="26" t="n">
        <v>0</v>
      </c>
      <c r="N506" s="26" t="n">
        <v>0</v>
      </c>
      <c r="O506" s="26" t="n">
        <v>0</v>
      </c>
      <c r="P506" s="30" t="n">
        <v>-8.99568212</v>
      </c>
      <c r="Q506" s="30" t="n">
        <v>-41.33514161</v>
      </c>
      <c r="R506" s="14" t="inlineStr">
        <is>
          <t>FÓRUM DESEMBARGADOR JOSÉ MANOEL VIANA DE CASTRO - PRAÇA 3 PODERES, S/N, CASA NOVA-BA</t>
        </is>
      </c>
      <c r="S506" s="26">
        <f>IF(A506=A505,0,1)</f>
        <v>0</v>
      </c>
      <c r="T506" s="26">
        <f>IF(COUNTIF($B$4:B506,B506)=1,1,0)</f>
        <v>0</v>
      </c>
    </row>
    <row r="507">
      <c r="A507" s="14" t="inlineStr">
        <is>
          <t>CASA NOVA</t>
        </is>
      </c>
      <c r="B507" s="26" t="n">
        <v>66</v>
      </c>
      <c r="C507" s="26" t="n">
        <v>1848</v>
      </c>
      <c r="D507" s="14" t="inlineStr">
        <is>
          <t>PREDIO ESCOLAR MUNICIPAL DE LAGOA FECHADA</t>
        </is>
      </c>
      <c r="E507" s="14" t="inlineStr">
        <is>
          <t>POVOADO DE LAGOA FECHADA</t>
        </is>
      </c>
      <c r="F507" s="14" t="inlineStr">
        <is>
          <t>POVOADO DE LAGOA FECHADA, KM 127 - ZONA RURAL</t>
        </is>
      </c>
      <c r="G507" s="27" t="inlineStr">
        <is>
          <t>47300-000</t>
        </is>
      </c>
      <c r="H507" s="15" t="n">
        <v>1</v>
      </c>
      <c r="I507" s="28" t="inlineStr">
        <is>
          <t>NÃO</t>
        </is>
      </c>
      <c r="J507" s="29" t="n"/>
      <c r="K507" s="14" t="str">
        <f>IF(J507="","7. Acima de 2 km",IF(J507&lt;=50,"1. Até 50 m",IF(J507&lt;=100,"2. De 50 a 100 m",IF(J507&lt;=200,"3. De 100 a 200 m",IF(J507&lt;=300,"4. De 200 a 300 m",IF(J507&lt;=500,"5. De 300 a 500 m","6. De 500 m a 2 km"))))))</f>
        <v>7. Acima de 2 km</v>
      </c>
      <c r="L507" s="26" t="n">
        <v>0</v>
      </c>
      <c r="M507" s="26" t="n">
        <v>0</v>
      </c>
      <c r="N507" s="26" t="n">
        <v>0</v>
      </c>
      <c r="O507" s="26" t="n">
        <v>0</v>
      </c>
      <c r="P507" s="30" t="n">
        <v>-9.56139984</v>
      </c>
      <c r="Q507" s="30" t="n">
        <v>-41.54432629</v>
      </c>
      <c r="R507" s="14" t="inlineStr">
        <is>
          <t>FÓRUM DESEMBARGADOR JOSÉ MANOEL VIANA DE CASTRO - PRAÇA 3 PODERES, S/N, CASA NOVA-BA</t>
        </is>
      </c>
      <c r="S507" s="26">
        <f>IF(A507=A506,0,1)</f>
        <v>0</v>
      </c>
      <c r="T507" s="26">
        <f>IF(COUNTIF($B$4:B507,B507)=1,1,0)</f>
        <v>0</v>
      </c>
    </row>
    <row r="508">
      <c r="A508" s="14" t="inlineStr">
        <is>
          <t>CASA NOVA</t>
        </is>
      </c>
      <c r="B508" s="26" t="n">
        <v>66</v>
      </c>
      <c r="C508" s="26" t="n">
        <v>1856</v>
      </c>
      <c r="D508" s="14" t="inlineStr">
        <is>
          <t>ESCOLA MUNICIPAL SANTA MARTA</t>
        </is>
      </c>
      <c r="E508" s="14" t="inlineStr">
        <is>
          <t>POVOADO BOM PROGRESSO</t>
        </is>
      </c>
      <c r="F508" s="14" t="inlineStr">
        <is>
          <t>POVOADO DE BOM PROGRESSO, KM 59 - ZONA RURAL</t>
        </is>
      </c>
      <c r="G508" s="27" t="inlineStr">
        <is>
          <t>47300-000</t>
        </is>
      </c>
      <c r="H508" s="15" t="n">
        <v>1</v>
      </c>
      <c r="I508" s="28" t="inlineStr">
        <is>
          <t>NÃO</t>
        </is>
      </c>
      <c r="J508" s="29" t="n"/>
      <c r="K508" s="14" t="str">
        <f>IF(J508="","7. Acima de 2 km",IF(J508&lt;=50,"1. Até 50 m",IF(J508&lt;=100,"2. De 50 a 100 m",IF(J508&lt;=200,"3. De 100 a 200 m",IF(J508&lt;=300,"4. De 200 a 300 m",IF(J508&lt;=500,"5. De 300 a 500 m","6. De 500 m a 2 km"))))))</f>
        <v>7. Acima de 2 km</v>
      </c>
      <c r="L508" s="26" t="n">
        <v>0</v>
      </c>
      <c r="M508" s="26" t="n">
        <v>0</v>
      </c>
      <c r="N508" s="26" t="n">
        <v>0</v>
      </c>
      <c r="O508" s="26" t="n">
        <v>0</v>
      </c>
      <c r="P508" s="30" t="n">
        <v>-9.08567729</v>
      </c>
      <c r="Q508" s="30" t="n">
        <v>-41.35477178</v>
      </c>
      <c r="R508" s="14" t="inlineStr">
        <is>
          <t>FÓRUM DESEMBARGADOR JOSÉ MANOEL VIANA DE CASTRO - PRAÇA 3 PODERES, S/N, CASA NOVA-BA</t>
        </is>
      </c>
      <c r="S508" s="26">
        <f>IF(A508=A507,0,1)</f>
        <v>0</v>
      </c>
      <c r="T508" s="26">
        <f>IF(COUNTIF($B$4:B508,B508)=1,1,0)</f>
        <v>0</v>
      </c>
    </row>
    <row r="509">
      <c r="A509" s="14" t="inlineStr">
        <is>
          <t>CASA NOVA</t>
        </is>
      </c>
      <c r="B509" s="26" t="n">
        <v>66</v>
      </c>
      <c r="C509" s="26" t="n">
        <v>1864</v>
      </c>
      <c r="D509" s="14" t="inlineStr">
        <is>
          <t>PREDIO ESCOLAR DE VEREDA DA EMA</t>
        </is>
      </c>
      <c r="E509" s="14" t="inlineStr">
        <is>
          <t>POVOADO DE VEREDA DA EMA</t>
        </is>
      </c>
      <c r="F509" s="14" t="inlineStr">
        <is>
          <t>POVOADO DE VEREDA DA EMA, KM 26 - ZONA RURAL</t>
        </is>
      </c>
      <c r="G509" s="27" t="inlineStr">
        <is>
          <t>47300-000</t>
        </is>
      </c>
      <c r="H509" s="15" t="n">
        <v>1</v>
      </c>
      <c r="I509" s="28" t="inlineStr">
        <is>
          <t>NÃO</t>
        </is>
      </c>
      <c r="J509" s="29" t="n"/>
      <c r="K509" s="14" t="str">
        <f>IF(J509="","7. Acima de 2 km",IF(J509&lt;=50,"1. Até 50 m",IF(J509&lt;=100,"2. De 50 a 100 m",IF(J509&lt;=200,"3. De 100 a 200 m",IF(J509&lt;=300,"4. De 200 a 300 m",IF(J509&lt;=500,"5. De 300 a 500 m","6. De 500 m a 2 km"))))))</f>
        <v>7. Acima de 2 km</v>
      </c>
      <c r="L509" s="26" t="n">
        <v>0</v>
      </c>
      <c r="M509" s="26" t="n">
        <v>0</v>
      </c>
      <c r="N509" s="26" t="n">
        <v>0</v>
      </c>
      <c r="O509" s="26" t="n">
        <v>0</v>
      </c>
      <c r="P509" s="30" t="n">
        <v>-9.048745650000001</v>
      </c>
      <c r="Q509" s="30" t="n">
        <v>-40.97672403</v>
      </c>
      <c r="R509" s="14" t="inlineStr">
        <is>
          <t>FÓRUM DESEMBARGADOR JOSÉ MANOEL VIANA DE CASTRO - PRAÇA 3 PODERES, S/N, CASA NOVA-BA</t>
        </is>
      </c>
      <c r="S509" s="26">
        <f>IF(A509=A508,0,1)</f>
        <v>0</v>
      </c>
      <c r="T509" s="26">
        <f>IF(COUNTIF($B$4:B509,B509)=1,1,0)</f>
        <v>0</v>
      </c>
    </row>
    <row r="510">
      <c r="A510" s="14" t="inlineStr">
        <is>
          <t>CASA NOVA</t>
        </is>
      </c>
      <c r="B510" s="26" t="n">
        <v>66</v>
      </c>
      <c r="C510" s="26" t="n">
        <v>1872</v>
      </c>
      <c r="D510" s="14" t="inlineStr">
        <is>
          <t>ESCOLA SANTO ANTÔNIO</t>
        </is>
      </c>
      <c r="E510" s="14" t="inlineStr">
        <is>
          <t>POVOADO SANTO EUGENIO</t>
        </is>
      </c>
      <c r="F510" s="14" t="inlineStr">
        <is>
          <t>POVOADO SANTO EUGÊNIO - ZONA RURAL</t>
        </is>
      </c>
      <c r="G510" s="27" t="inlineStr">
        <is>
          <t>47300-000</t>
        </is>
      </c>
      <c r="H510" s="15" t="n">
        <v>1</v>
      </c>
      <c r="I510" s="28" t="inlineStr">
        <is>
          <t>NÃO</t>
        </is>
      </c>
      <c r="J510" s="29" t="n"/>
      <c r="K510" s="14" t="str">
        <f>IF(J510="","7. Acima de 2 km",IF(J510&lt;=50,"1. Até 50 m",IF(J510&lt;=100,"2. De 50 a 100 m",IF(J510&lt;=200,"3. De 100 a 200 m",IF(J510&lt;=300,"4. De 200 a 300 m",IF(J510&lt;=500,"5. De 300 a 500 m","6. De 500 m a 2 km"))))))</f>
        <v>7. Acima de 2 km</v>
      </c>
      <c r="L510" s="26" t="n">
        <v>0</v>
      </c>
      <c r="M510" s="26" t="n">
        <v>0</v>
      </c>
      <c r="N510" s="26" t="n">
        <v>0</v>
      </c>
      <c r="O510" s="26" t="n">
        <v>0</v>
      </c>
      <c r="P510" s="30" t="n">
        <v>-9.09057488</v>
      </c>
      <c r="Q510" s="30" t="n">
        <v>-40.92299352</v>
      </c>
      <c r="R510" s="14" t="inlineStr">
        <is>
          <t>FÓRUM DESEMBARGADOR JOSÉ MANOEL VIANA DE CASTRO - PRAÇA 3 PODERES, S/N, CASA NOVA-BA</t>
        </is>
      </c>
      <c r="S510" s="26">
        <f>IF(A510=A509,0,1)</f>
        <v>0</v>
      </c>
      <c r="T510" s="26">
        <f>IF(COUNTIF($B$4:B510,B510)=1,1,0)</f>
        <v>0</v>
      </c>
    </row>
    <row r="511">
      <c r="A511" s="14" t="inlineStr">
        <is>
          <t>CASA NOVA</t>
        </is>
      </c>
      <c r="B511" s="26" t="n">
        <v>66</v>
      </c>
      <c r="C511" s="26" t="n">
        <v>1880</v>
      </c>
      <c r="D511" s="14" t="inlineStr">
        <is>
          <t>PREDIO ESCOLAR MUNICIPAL DE RECREIO</t>
        </is>
      </c>
      <c r="E511" s="14" t="inlineStr">
        <is>
          <t>POVOADO DE RECREIO</t>
        </is>
      </c>
      <c r="F511" s="14" t="inlineStr">
        <is>
          <t>POVOADO DE RECREIO, BR 235, KM 20 - ZONA RURAL</t>
        </is>
      </c>
      <c r="G511" s="27" t="inlineStr">
        <is>
          <t>47300-000</t>
        </is>
      </c>
      <c r="H511" s="15" t="n">
        <v>1</v>
      </c>
      <c r="I511" s="28" t="inlineStr">
        <is>
          <t>NÃO</t>
        </is>
      </c>
      <c r="J511" s="29" t="n"/>
      <c r="K511" s="14" t="str">
        <f>IF(J511="","7. Acima de 2 km",IF(J511&lt;=50,"1. Até 50 m",IF(J511&lt;=100,"2. De 50 a 100 m",IF(J511&lt;=200,"3. De 100 a 200 m",IF(J511&lt;=300,"4. De 200 a 300 m",IF(J511&lt;=500,"5. De 300 a 500 m","6. De 500 m a 2 km"))))))</f>
        <v>7. Acima de 2 km</v>
      </c>
      <c r="L511" s="26" t="n">
        <v>0</v>
      </c>
      <c r="M511" s="26" t="n">
        <v>0</v>
      </c>
      <c r="N511" s="26" t="n">
        <v>0</v>
      </c>
      <c r="O511" s="26" t="n">
        <v>0</v>
      </c>
      <c r="P511" s="30" t="n">
        <v>-9.2098648</v>
      </c>
      <c r="Q511" s="30" t="n">
        <v>-41.04838496</v>
      </c>
      <c r="R511" s="14" t="inlineStr">
        <is>
          <t>FÓRUM DESEMBARGADOR JOSÉ MANOEL VIANA DE CASTRO - PRAÇA 3 PODERES, S/N, CASA NOVA-BA</t>
        </is>
      </c>
      <c r="S511" s="26">
        <f>IF(A511=A510,0,1)</f>
        <v>0</v>
      </c>
      <c r="T511" s="26">
        <f>IF(COUNTIF($B$4:B511,B511)=1,1,0)</f>
        <v>0</v>
      </c>
    </row>
    <row r="512">
      <c r="A512" s="14" t="inlineStr">
        <is>
          <t>CASA NOVA</t>
        </is>
      </c>
      <c r="B512" s="26" t="n">
        <v>66</v>
      </c>
      <c r="C512" s="26" t="n">
        <v>1902</v>
      </c>
      <c r="D512" s="14" t="inlineStr">
        <is>
          <t>PREDIO ESCOLAR MUNICIPAL DE LAJEDO</t>
        </is>
      </c>
      <c r="E512" s="14" t="inlineStr">
        <is>
          <t>POVOADO DE LAJEDO</t>
        </is>
      </c>
      <c r="F512" s="14" t="inlineStr">
        <is>
          <t>POVOADO DE LAJEDO, BR 235, KM 70 - ZONA RURAL</t>
        </is>
      </c>
      <c r="G512" s="27" t="inlineStr">
        <is>
          <t>47300-000</t>
        </is>
      </c>
      <c r="H512" s="15" t="n">
        <v>1</v>
      </c>
      <c r="I512" s="28" t="inlineStr">
        <is>
          <t>NÃO</t>
        </is>
      </c>
      <c r="J512" s="29" t="n"/>
      <c r="K512" s="14" t="str">
        <f>IF(J512="","7. Acima de 2 km",IF(J512&lt;=50,"1. Até 50 m",IF(J512&lt;=100,"2. De 50 a 100 m",IF(J512&lt;=200,"3. De 100 a 200 m",IF(J512&lt;=300,"4. De 200 a 300 m",IF(J512&lt;=500,"5. De 300 a 500 m","6. De 500 m a 2 km"))))))</f>
        <v>7. Acima de 2 km</v>
      </c>
      <c r="L512" s="26" t="n">
        <v>0</v>
      </c>
      <c r="M512" s="26" t="n">
        <v>0</v>
      </c>
      <c r="N512" s="26" t="n">
        <v>0</v>
      </c>
      <c r="O512" s="26" t="n">
        <v>0</v>
      </c>
      <c r="P512" s="30" t="n">
        <v>-9.29073507</v>
      </c>
      <c r="Q512" s="30" t="n">
        <v>-41.52641331</v>
      </c>
      <c r="R512" s="14" t="inlineStr">
        <is>
          <t>FÓRUM DESEMBARGADOR JOSÉ MANOEL VIANA DE CASTRO - PRAÇA 3 PODERES, S/N, CASA NOVA-BA</t>
        </is>
      </c>
      <c r="S512" s="26">
        <f>IF(A512=A511,0,1)</f>
        <v>0</v>
      </c>
      <c r="T512" s="26">
        <f>IF(COUNTIF($B$4:B512,B512)=1,1,0)</f>
        <v>0</v>
      </c>
    </row>
    <row r="513">
      <c r="A513" s="14" t="inlineStr">
        <is>
          <t>CASA NOVA</t>
        </is>
      </c>
      <c r="B513" s="26" t="n">
        <v>66</v>
      </c>
      <c r="C513" s="26" t="n">
        <v>1910</v>
      </c>
      <c r="D513" s="14" t="inlineStr">
        <is>
          <t>PREDIO ESCOLAR MUNICIPAL DE RIACHO DOS ALGODOES</t>
        </is>
      </c>
      <c r="E513" s="14" t="inlineStr">
        <is>
          <t>POVOADO DE RIACHO DOS ALGODOES</t>
        </is>
      </c>
      <c r="F513" s="14" t="inlineStr">
        <is>
          <t>POVOADO DE RIACHO DOS ALGODOES, KM 40 - ZONA RURAL</t>
        </is>
      </c>
      <c r="G513" s="27" t="inlineStr">
        <is>
          <t>47300-000</t>
        </is>
      </c>
      <c r="H513" s="15" t="n">
        <v>1</v>
      </c>
      <c r="I513" s="28" t="inlineStr">
        <is>
          <t>NÃO</t>
        </is>
      </c>
      <c r="J513" s="29" t="n"/>
      <c r="K513" s="14" t="str">
        <f>IF(J513="","7. Acima de 2 km",IF(J513&lt;=50,"1. Até 50 m",IF(J513&lt;=100,"2. De 50 a 100 m",IF(J513&lt;=200,"3. De 100 a 200 m",IF(J513&lt;=300,"4. De 200 a 300 m",IF(J513&lt;=500,"5. De 300 a 500 m","6. De 500 m a 2 km"))))))</f>
        <v>7. Acima de 2 km</v>
      </c>
      <c r="L513" s="26" t="n">
        <v>0</v>
      </c>
      <c r="M513" s="26" t="n">
        <v>0</v>
      </c>
      <c r="N513" s="26" t="n">
        <v>0</v>
      </c>
      <c r="O513" s="26" t="n">
        <v>0</v>
      </c>
      <c r="P513" s="30" t="n">
        <v>-9.367652140000001</v>
      </c>
      <c r="Q513" s="30" t="n">
        <v>-40.80635706</v>
      </c>
      <c r="R513" s="14" t="inlineStr">
        <is>
          <t>FÓRUM DESEMBARGADOR JOSÉ MANOEL VIANA DE CASTRO - PRAÇA 3 PODERES, S/N, CASA NOVA-BA</t>
        </is>
      </c>
      <c r="S513" s="26">
        <f>IF(A513=A512,0,1)</f>
        <v>0</v>
      </c>
      <c r="T513" s="26">
        <f>IF(COUNTIF($B$4:B513,B513)=1,1,0)</f>
        <v>0</v>
      </c>
    </row>
    <row r="514">
      <c r="A514" s="14" t="inlineStr">
        <is>
          <t>CASA NOVA</t>
        </is>
      </c>
      <c r="B514" s="26" t="n">
        <v>66</v>
      </c>
      <c r="C514" s="26" t="n">
        <v>1929</v>
      </c>
      <c r="D514" s="14" t="inlineStr">
        <is>
          <t>ESCOLA MUNICIPAL HILDA TORRES</t>
        </is>
      </c>
      <c r="E514" s="14" t="inlineStr">
        <is>
          <t>POVOADO OURICURI</t>
        </is>
      </c>
      <c r="F514" s="14" t="inlineStr">
        <is>
          <t>POVOADO OURICURI, KM 89 - ZONA RURAL</t>
        </is>
      </c>
      <c r="G514" s="27" t="inlineStr">
        <is>
          <t>47300-000</t>
        </is>
      </c>
      <c r="H514" s="15" t="n">
        <v>3</v>
      </c>
      <c r="I514" s="28" t="inlineStr">
        <is>
          <t>NÃO</t>
        </is>
      </c>
      <c r="J514" s="29" t="n"/>
      <c r="K514" s="14" t="str">
        <f>IF(J514="","7. Acima de 2 km",IF(J514&lt;=50,"1. Até 50 m",IF(J514&lt;=100,"2. De 50 a 100 m",IF(J514&lt;=200,"3. De 100 a 200 m",IF(J514&lt;=300,"4. De 200 a 300 m",IF(J514&lt;=500,"5. De 300 a 500 m","6. De 500 m a 2 km"))))))</f>
        <v>7. Acima de 2 km</v>
      </c>
      <c r="L514" s="26" t="n">
        <v>0</v>
      </c>
      <c r="M514" s="26" t="n">
        <v>0</v>
      </c>
      <c r="N514" s="26" t="n">
        <v>0</v>
      </c>
      <c r="O514" s="26" t="n">
        <v>0</v>
      </c>
      <c r="P514" s="30" t="n">
        <v>-8.927625280000001</v>
      </c>
      <c r="Q514" s="30" t="n">
        <v>-41.41791391</v>
      </c>
      <c r="R514" s="14" t="inlineStr">
        <is>
          <t>FÓRUM DESEMBARGADOR JOSÉ MANOEL VIANA DE CASTRO - PRAÇA 3 PODERES, S/N, CASA NOVA-BA</t>
        </is>
      </c>
      <c r="S514" s="26">
        <f>IF(A514=A513,0,1)</f>
        <v>0</v>
      </c>
      <c r="T514" s="26">
        <f>IF(COUNTIF($B$4:B514,B514)=1,1,0)</f>
        <v>0</v>
      </c>
    </row>
    <row r="515">
      <c r="A515" s="14" t="inlineStr">
        <is>
          <t>CASA NOVA</t>
        </is>
      </c>
      <c r="B515" s="26" t="n">
        <v>66</v>
      </c>
      <c r="C515" s="26" t="n">
        <v>1945</v>
      </c>
      <c r="D515" s="14" t="inlineStr">
        <is>
          <t>PRÉDIO ESCOLAR GENILDA VIANA DE CASTRO</t>
        </is>
      </c>
      <c r="E515" s="14" t="inlineStr">
        <is>
          <t>POVOADO TIRIRICA</t>
        </is>
      </c>
      <c r="F515" s="14" t="inlineStr">
        <is>
          <t>POVOADO TIRIRICA - ZONA RURAL</t>
        </is>
      </c>
      <c r="G515" s="27" t="inlineStr">
        <is>
          <t>47300-000</t>
        </is>
      </c>
      <c r="H515" s="15" t="n">
        <v>1</v>
      </c>
      <c r="I515" s="28" t="inlineStr">
        <is>
          <t>NÃO</t>
        </is>
      </c>
      <c r="J515" s="29" t="n"/>
      <c r="K515" s="14" t="str">
        <f>IF(J515="","7. Acima de 2 km",IF(J515&lt;=50,"1. Até 50 m",IF(J515&lt;=100,"2. De 50 a 100 m",IF(J515&lt;=200,"3. De 100 a 200 m",IF(J515&lt;=300,"4. De 200 a 300 m",IF(J515&lt;=500,"5. De 300 a 500 m","6. De 500 m a 2 km"))))))</f>
        <v>7. Acima de 2 km</v>
      </c>
      <c r="L515" s="26" t="n">
        <v>0</v>
      </c>
      <c r="M515" s="26" t="n">
        <v>0</v>
      </c>
      <c r="N515" s="26" t="n">
        <v>0</v>
      </c>
      <c r="O515" s="26" t="n">
        <v>0</v>
      </c>
      <c r="P515" s="30" t="n">
        <v>-8.77154878</v>
      </c>
      <c r="Q515" s="30" t="n">
        <v>-41.15754233</v>
      </c>
      <c r="R515" s="14" t="inlineStr">
        <is>
          <t>FÓRUM DESEMBARGADOR JOSÉ MANOEL VIANA DE CASTRO - PRAÇA 3 PODERES, S/N, CASA NOVA-BA</t>
        </is>
      </c>
      <c r="S515" s="26">
        <f>IF(A515=A514,0,1)</f>
        <v>0</v>
      </c>
      <c r="T515" s="26">
        <f>IF(COUNTIF($B$4:B515,B515)=1,1,0)</f>
        <v>0</v>
      </c>
    </row>
    <row r="516">
      <c r="A516" s="14" t="inlineStr">
        <is>
          <t>CASA NOVA</t>
        </is>
      </c>
      <c r="B516" s="26" t="n">
        <v>66</v>
      </c>
      <c r="C516" s="26" t="n">
        <v>1961</v>
      </c>
      <c r="D516" s="14" t="inlineStr">
        <is>
          <t>PRÉDIO ESCOLAR DE LADEIRA GRANDE</t>
        </is>
      </c>
      <c r="E516" s="14" t="inlineStr">
        <is>
          <t>POVOADO DE LADEIRA GRANDE</t>
        </is>
      </c>
      <c r="F516" s="14" t="inlineStr">
        <is>
          <t>POVOADO DE LADEIRA GRANDE - ZONA RURAL</t>
        </is>
      </c>
      <c r="G516" s="27" t="inlineStr">
        <is>
          <t>47300-000</t>
        </is>
      </c>
      <c r="H516" s="15" t="n">
        <v>1</v>
      </c>
      <c r="I516" s="28" t="inlineStr">
        <is>
          <t>NÃO</t>
        </is>
      </c>
      <c r="J516" s="29" t="n"/>
      <c r="K516" s="14" t="str">
        <f>IF(J516="","7. Acima de 2 km",IF(J516&lt;=50,"1. Até 50 m",IF(J516&lt;=100,"2. De 50 a 100 m",IF(J516&lt;=200,"3. De 100 a 200 m",IF(J516&lt;=300,"4. De 200 a 300 m",IF(J516&lt;=500,"5. De 300 a 500 m","6. De 500 m a 2 km"))))))</f>
        <v>7. Acima de 2 km</v>
      </c>
      <c r="L516" s="26" t="n">
        <v>0</v>
      </c>
      <c r="M516" s="26" t="n">
        <v>0</v>
      </c>
      <c r="N516" s="26" t="n">
        <v>0</v>
      </c>
      <c r="O516" s="26" t="n">
        <v>0</v>
      </c>
      <c r="P516" s="30" t="n">
        <v>-9.368308710000001</v>
      </c>
      <c r="Q516" s="30" t="n">
        <v>-41.38252258</v>
      </c>
      <c r="R516" s="14" t="inlineStr">
        <is>
          <t>FÓRUM DESEMBARGADOR JOSÉ MANOEL VIANA DE CASTRO - PRAÇA 3 PODERES, S/N, CASA NOVA-BA</t>
        </is>
      </c>
      <c r="S516" s="26">
        <f>IF(A516=A515,0,1)</f>
        <v>0</v>
      </c>
      <c r="T516" s="26">
        <f>IF(COUNTIF($B$4:B516,B516)=1,1,0)</f>
        <v>0</v>
      </c>
    </row>
    <row r="517">
      <c r="A517" s="14" t="inlineStr">
        <is>
          <t>CASA NOVA</t>
        </is>
      </c>
      <c r="B517" s="26" t="n">
        <v>66</v>
      </c>
      <c r="C517" s="26" t="n">
        <v>1970</v>
      </c>
      <c r="D517" s="14" t="inlineStr">
        <is>
          <t>ESCOLA MUNICIPAL DR. JOSÉ ARAÚJO</t>
        </is>
      </c>
      <c r="E517" s="14" t="inlineStr">
        <is>
          <t>DISTRITO SANTANA DO SOBRADO</t>
        </is>
      </c>
      <c r="F517" s="14" t="inlineStr">
        <is>
          <t>DISTRITO SANTANA DO SOBRADO - ZONA RURAL</t>
        </is>
      </c>
      <c r="G517" s="27" t="inlineStr">
        <is>
          <t>47300-000</t>
        </is>
      </c>
      <c r="H517" s="15" t="n">
        <v>6</v>
      </c>
      <c r="I517" s="28" t="inlineStr">
        <is>
          <t>NÃO</t>
        </is>
      </c>
      <c r="J517" s="29" t="n">
        <v>340.6</v>
      </c>
      <c r="K517" s="14" t="str">
        <f>IF(J517="","7. Acima de 2 km",IF(J517&lt;=50,"1. Até 50 m",IF(J517&lt;=100,"2. De 50 a 100 m",IF(J517&lt;=200,"3. De 100 a 200 m",IF(J517&lt;=300,"4. De 200 a 300 m",IF(J517&lt;=500,"5. De 300 a 500 m","6. De 500 m a 2 km"))))))</f>
        <v>5. De 300 a 500 m</v>
      </c>
      <c r="L517" s="26" t="n">
        <v>0</v>
      </c>
      <c r="M517" s="26" t="n">
        <v>0</v>
      </c>
      <c r="N517" s="26" t="n">
        <v>0</v>
      </c>
      <c r="O517" s="26" t="n">
        <v>0</v>
      </c>
      <c r="P517" s="30" t="n">
        <v>-9.29782853</v>
      </c>
      <c r="Q517" s="30" t="n">
        <v>-40.82261249</v>
      </c>
      <c r="R517" s="14" t="inlineStr">
        <is>
          <t>FÓRUM DESEMBARGADOR JOSÉ MANOEL VIANA DE CASTRO - PRAÇA 3 PODERES, S/N, CASA NOVA-BA</t>
        </is>
      </c>
      <c r="S517" s="26">
        <f>IF(A517=A516,0,1)</f>
        <v>0</v>
      </c>
      <c r="T517" s="26">
        <f>IF(COUNTIF($B$4:B517,B517)=1,1,0)</f>
        <v>0</v>
      </c>
    </row>
    <row r="518">
      <c r="A518" s="14" t="inlineStr">
        <is>
          <t>CASA NOVA</t>
        </is>
      </c>
      <c r="B518" s="26" t="n">
        <v>66</v>
      </c>
      <c r="C518" s="26" t="n">
        <v>1988</v>
      </c>
      <c r="D518" s="14" t="inlineStr">
        <is>
          <t>PRÉDIO ESCOLAR GILSON VIANA DE CASTRO</t>
        </is>
      </c>
      <c r="E518" s="14" t="inlineStr">
        <is>
          <t>DISTRITO BEM BOM</t>
        </is>
      </c>
      <c r="F518" s="14" t="inlineStr">
        <is>
          <t>DISTRITO BEM BOM - ZONA RURAL</t>
        </is>
      </c>
      <c r="G518" s="27" t="inlineStr">
        <is>
          <t>47300-000</t>
        </is>
      </c>
      <c r="H518" s="15" t="n">
        <v>2</v>
      </c>
      <c r="I518" s="28" t="inlineStr">
        <is>
          <t>NÃO</t>
        </is>
      </c>
      <c r="J518" s="29" t="n"/>
      <c r="K518" s="14" t="str">
        <f>IF(J518="","7. Acima de 2 km",IF(J518&lt;=50,"1. Até 50 m",IF(J518&lt;=100,"2. De 50 a 100 m",IF(J518&lt;=200,"3. De 100 a 200 m",IF(J518&lt;=300,"4. De 200 a 300 m",IF(J518&lt;=500,"5. De 300 a 500 m","6. De 500 m a 2 km"))))))</f>
        <v>7. Acima de 2 km</v>
      </c>
      <c r="L518" s="26" t="n">
        <v>0</v>
      </c>
      <c r="M518" s="26" t="n">
        <v>0</v>
      </c>
      <c r="N518" s="26" t="n">
        <v>0</v>
      </c>
      <c r="O518" s="26" t="n">
        <v>0</v>
      </c>
      <c r="P518" s="30" t="n">
        <v>-9.61810519</v>
      </c>
      <c r="Q518" s="30" t="n">
        <v>-41.80303207</v>
      </c>
      <c r="R518" s="14" t="inlineStr">
        <is>
          <t>FÓRUM DESEMBARGADOR JOSÉ MANOEL VIANA DE CASTRO - PRAÇA 3 PODERES, S/N, CASA NOVA-BA</t>
        </is>
      </c>
      <c r="S518" s="26">
        <f>IF(A518=A517,0,1)</f>
        <v>0</v>
      </c>
      <c r="T518" s="26">
        <f>IF(COUNTIF($B$4:B518,B518)=1,1,0)</f>
        <v>0</v>
      </c>
    </row>
    <row r="519">
      <c r="A519" s="14" t="inlineStr">
        <is>
          <t>CASA NOVA</t>
        </is>
      </c>
      <c r="B519" s="26" t="n">
        <v>66</v>
      </c>
      <c r="C519" s="26" t="n">
        <v>1996</v>
      </c>
      <c r="D519" s="14" t="inlineStr">
        <is>
          <t>CENTRO EDUCACIONAL SÃO SEBASTIÃO</t>
        </is>
      </c>
      <c r="E519" s="14" t="inlineStr">
        <is>
          <t>DISTRITO PAU A PIQUE</t>
        </is>
      </c>
      <c r="F519" s="14" t="inlineStr">
        <is>
          <t>DISTRITO PAU A PIQUE - ZONA RURAL</t>
        </is>
      </c>
      <c r="G519" s="27" t="inlineStr">
        <is>
          <t>47300-000</t>
        </is>
      </c>
      <c r="H519" s="15" t="n">
        <v>3</v>
      </c>
      <c r="I519" s="28" t="inlineStr">
        <is>
          <t>NÃO</t>
        </is>
      </c>
      <c r="J519" s="29" t="n"/>
      <c r="K519" s="14" t="str">
        <f>IF(J519="","7. Acima de 2 km",IF(J519&lt;=50,"1. Até 50 m",IF(J519&lt;=100,"2. De 50 a 100 m",IF(J519&lt;=200,"3. De 100 a 200 m",IF(J519&lt;=300,"4. De 200 a 300 m",IF(J519&lt;=500,"5. De 300 a 500 m","6. De 500 m a 2 km"))))))</f>
        <v>7. Acima de 2 km</v>
      </c>
      <c r="L519" s="26" t="n">
        <v>0</v>
      </c>
      <c r="M519" s="26" t="n">
        <v>0</v>
      </c>
      <c r="N519" s="26" t="n">
        <v>0</v>
      </c>
      <c r="O519" s="26" t="n">
        <v>0</v>
      </c>
      <c r="P519" s="30" t="n">
        <v>-9.62027293</v>
      </c>
      <c r="Q519" s="30" t="n">
        <v>-41.61981585</v>
      </c>
      <c r="R519" s="14" t="inlineStr">
        <is>
          <t>FÓRUM DESEMBARGADOR JOSÉ MANOEL VIANA DE CASTRO - PRAÇA 3 PODERES, S/N, CASA NOVA-BA</t>
        </is>
      </c>
      <c r="S519" s="26">
        <f>IF(A519=A518,0,1)</f>
        <v>0</v>
      </c>
      <c r="T519" s="26">
        <f>IF(COUNTIF($B$4:B519,B519)=1,1,0)</f>
        <v>0</v>
      </c>
    </row>
    <row r="520">
      <c r="A520" s="14" t="inlineStr">
        <is>
          <t>CASA NOVA</t>
        </is>
      </c>
      <c r="B520" s="26" t="n">
        <v>66</v>
      </c>
      <c r="C520" s="26" t="n">
        <v>2003</v>
      </c>
      <c r="D520" s="14" t="inlineStr">
        <is>
          <t>ESCOLA MUNICIPAL IRENE SANTOS VIANA</t>
        </is>
      </c>
      <c r="E520" s="14" t="inlineStr">
        <is>
          <t>CENTRO</t>
        </is>
      </c>
      <c r="F520" s="14" t="inlineStr">
        <is>
          <t>LOTEAMENTO GILSON VIANA S/N - ZONA URBANA</t>
        </is>
      </c>
      <c r="G520" s="27" t="inlineStr">
        <is>
          <t>47300-000</t>
        </is>
      </c>
      <c r="H520" s="15" t="n">
        <v>2</v>
      </c>
      <c r="I520" s="28" t="inlineStr">
        <is>
          <t>NÃO</t>
        </is>
      </c>
      <c r="J520" s="29" t="n">
        <v>413.5</v>
      </c>
      <c r="K520" s="14" t="str">
        <f>IF(J520="","7. Acima de 2 km",IF(J520&lt;=50,"1. Até 50 m",IF(J520&lt;=100,"2. De 50 a 100 m",IF(J520&lt;=200,"3. De 100 a 200 m",IF(J520&lt;=300,"4. De 200 a 300 m",IF(J520&lt;=500,"5. De 300 a 500 m","6. De 500 m a 2 km"))))))</f>
        <v>5. De 300 a 500 m</v>
      </c>
      <c r="L520" s="26" t="n">
        <v>0</v>
      </c>
      <c r="M520" s="26" t="n">
        <v>0</v>
      </c>
      <c r="N520" s="26" t="n">
        <v>0</v>
      </c>
      <c r="O520" s="26" t="n">
        <v>0</v>
      </c>
      <c r="P520" s="30" t="n">
        <v>-9.169796099999999</v>
      </c>
      <c r="Q520" s="30" t="n">
        <v>-40.97710454</v>
      </c>
      <c r="R520" s="14" t="inlineStr">
        <is>
          <t>FÓRUM DESEMBARGADOR JOSÉ MANOEL VIANA DE CASTRO - PRAÇA 3 PODERES, S/N, CASA NOVA-BA</t>
        </is>
      </c>
      <c r="S520" s="26">
        <f>IF(A520=A519,0,1)</f>
        <v>0</v>
      </c>
      <c r="T520" s="26">
        <f>IF(COUNTIF($B$4:B520,B520)=1,1,0)</f>
        <v>0</v>
      </c>
    </row>
    <row r="521">
      <c r="A521" s="14" t="inlineStr">
        <is>
          <t>CASA NOVA</t>
        </is>
      </c>
      <c r="B521" s="26" t="n">
        <v>66</v>
      </c>
      <c r="C521" s="26" t="n">
        <v>2011</v>
      </c>
      <c r="D521" s="14" t="inlineStr">
        <is>
          <t>ESCOLA NOSSA SENHORA APARECIDA</t>
        </is>
      </c>
      <c r="E521" s="14" t="inlineStr">
        <is>
          <t>POVOADO LAGOA DO VICENTE</t>
        </is>
      </c>
      <c r="F521" s="14" t="inlineStr">
        <is>
          <t>POVOADO LAGOA DO VICENTE - ZONA RURAL</t>
        </is>
      </c>
      <c r="G521" s="27" t="inlineStr">
        <is>
          <t>47300-000</t>
        </is>
      </c>
      <c r="H521" s="15" t="n">
        <v>1</v>
      </c>
      <c r="I521" s="28" t="inlineStr">
        <is>
          <t>NÃO</t>
        </is>
      </c>
      <c r="J521" s="29" t="n"/>
      <c r="K521" s="14" t="str">
        <f>IF(J521="","7. Acima de 2 km",IF(J521&lt;=50,"1. Até 50 m",IF(J521&lt;=100,"2. De 50 a 100 m",IF(J521&lt;=200,"3. De 100 a 200 m",IF(J521&lt;=300,"4. De 200 a 300 m",IF(J521&lt;=500,"5. De 300 a 500 m","6. De 500 m a 2 km"))))))</f>
        <v>7. Acima de 2 km</v>
      </c>
      <c r="L521" s="26" t="n">
        <v>0</v>
      </c>
      <c r="M521" s="26" t="n">
        <v>0</v>
      </c>
      <c r="N521" s="26" t="n">
        <v>0</v>
      </c>
      <c r="O521" s="26" t="n">
        <v>0</v>
      </c>
      <c r="P521" s="30" t="n">
        <v>-9.10878948</v>
      </c>
      <c r="Q521" s="30" t="n">
        <v>-40.87793247</v>
      </c>
      <c r="R521" s="14" t="inlineStr">
        <is>
          <t>FÓRUM DESEMBARGADOR JOSÉ MANOEL VIANA DE CASTRO - PRAÇA 3 PODERES, S/N, CASA NOVA-BA</t>
        </is>
      </c>
      <c r="S521" s="26">
        <f>IF(A521=A520,0,1)</f>
        <v>0</v>
      </c>
      <c r="T521" s="26">
        <f>IF(COUNTIF($B$4:B521,B521)=1,1,0)</f>
        <v>0</v>
      </c>
    </row>
    <row r="522">
      <c r="A522" s="14" t="inlineStr">
        <is>
          <t>CASA NOVA</t>
        </is>
      </c>
      <c r="B522" s="26" t="n">
        <v>66</v>
      </c>
      <c r="C522" s="26" t="n">
        <v>2020</v>
      </c>
      <c r="D522" s="14" t="inlineStr">
        <is>
          <t>ESCOLA MUNICIPAL SÃO PEDRO (MACAMBIRA)</t>
        </is>
      </c>
      <c r="E522" s="14" t="inlineStr">
        <is>
          <t>POVOADO MACAMBIRA</t>
        </is>
      </c>
      <c r="F522" s="14" t="inlineStr">
        <is>
          <t>POVOADO MACAMBIRA - ZONA RURAL</t>
        </is>
      </c>
      <c r="G522" s="27" t="inlineStr">
        <is>
          <t>47300-000</t>
        </is>
      </c>
      <c r="H522" s="15" t="n">
        <v>2</v>
      </c>
      <c r="I522" s="28" t="inlineStr">
        <is>
          <t>NÃO</t>
        </is>
      </c>
      <c r="J522" s="29" t="n"/>
      <c r="K522" s="14" t="str">
        <f>IF(J522="","7. Acima de 2 km",IF(J522&lt;=50,"1. Até 50 m",IF(J522&lt;=100,"2. De 50 a 100 m",IF(J522&lt;=200,"3. De 100 a 200 m",IF(J522&lt;=300,"4. De 200 a 300 m",IF(J522&lt;=500,"5. De 300 a 500 m","6. De 500 m a 2 km"))))))</f>
        <v>7. Acima de 2 km</v>
      </c>
      <c r="L522" s="26" t="n">
        <v>0</v>
      </c>
      <c r="M522" s="26" t="n">
        <v>0</v>
      </c>
      <c r="N522" s="26" t="n">
        <v>0</v>
      </c>
      <c r="O522" s="26" t="n">
        <v>0</v>
      </c>
      <c r="P522" s="30" t="n">
        <v>-9.318289719999999</v>
      </c>
      <c r="Q522" s="30" t="n">
        <v>-41.74832038</v>
      </c>
      <c r="R522" s="14" t="inlineStr">
        <is>
          <t>FÓRUM DESEMBARGADOR JOSÉ MANOEL VIANA DE CASTRO - PRAÇA 3 PODERES, S/N, CASA NOVA-BA</t>
        </is>
      </c>
      <c r="S522" s="26">
        <f>IF(A522=A521,0,1)</f>
        <v>0</v>
      </c>
      <c r="T522" s="26">
        <f>IF(COUNTIF($B$4:B522,B522)=1,1,0)</f>
        <v>0</v>
      </c>
    </row>
    <row r="523">
      <c r="A523" s="14" t="inlineStr">
        <is>
          <t>CASA NOVA</t>
        </is>
      </c>
      <c r="B523" s="26" t="n">
        <v>66</v>
      </c>
      <c r="C523" s="26" t="n">
        <v>2046</v>
      </c>
      <c r="D523" s="14" t="inlineStr">
        <is>
          <t>PRÉDIO ESCOLAR MUNICIPAL DA TORRE</t>
        </is>
      </c>
      <c r="E523" s="14" t="inlineStr">
        <is>
          <t>POVOADO TORRE</t>
        </is>
      </c>
      <c r="F523" s="14" t="inlineStr">
        <is>
          <t>POVOADO TORRE - ZONA RURAL</t>
        </is>
      </c>
      <c r="G523" s="27" t="inlineStr">
        <is>
          <t>47300-000</t>
        </is>
      </c>
      <c r="H523" s="15" t="n">
        <v>2</v>
      </c>
      <c r="I523" s="28" t="inlineStr">
        <is>
          <t>NÃO</t>
        </is>
      </c>
      <c r="J523" s="29" t="n"/>
      <c r="K523" s="14" t="str">
        <f>IF(J523="","7. Acima de 2 km",IF(J523&lt;=50,"1. Até 50 m",IF(J523&lt;=100,"2. De 50 a 100 m",IF(J523&lt;=200,"3. De 100 a 200 m",IF(J523&lt;=300,"4. De 200 a 300 m",IF(J523&lt;=500,"5. De 300 a 500 m","6. De 500 m a 2 km"))))))</f>
        <v>7. Acima de 2 km</v>
      </c>
      <c r="L523" s="26" t="n">
        <v>0</v>
      </c>
      <c r="M523" s="26" t="n">
        <v>0</v>
      </c>
      <c r="N523" s="26" t="n">
        <v>0</v>
      </c>
      <c r="O523" s="26" t="n">
        <v>0</v>
      </c>
      <c r="P523" s="30" t="n">
        <v>-8.869311959999999</v>
      </c>
      <c r="Q523" s="30" t="n">
        <v>-40.97463546</v>
      </c>
      <c r="R523" s="14" t="inlineStr">
        <is>
          <t>FÓRUM DESEMBARGADOR JOSÉ MANOEL VIANA DE CASTRO - PRAÇA 3 PODERES, S/N, CASA NOVA-BA</t>
        </is>
      </c>
      <c r="S523" s="26">
        <f>IF(A523=A522,0,1)</f>
        <v>0</v>
      </c>
      <c r="T523" s="26">
        <f>IF(COUNTIF($B$4:B523,B523)=1,1,0)</f>
        <v>0</v>
      </c>
    </row>
    <row r="524">
      <c r="A524" s="14" t="inlineStr">
        <is>
          <t>CASA NOVA</t>
        </is>
      </c>
      <c r="B524" s="26" t="n">
        <v>66</v>
      </c>
      <c r="C524" s="26" t="n">
        <v>2054</v>
      </c>
      <c r="D524" s="14" t="inlineStr">
        <is>
          <t>PREDIO ESCOLAR MUNICIPAL DE SANTA RITA DA BARRAGEM</t>
        </is>
      </c>
      <c r="E524" s="14" t="inlineStr">
        <is>
          <t>POVOADO SANTA RITA DA BARRAGEM</t>
        </is>
      </c>
      <c r="F524" s="14" t="inlineStr">
        <is>
          <t>POVOADO SANTA RITA DA BARRAGEM, S/N - ZONA RURAL</t>
        </is>
      </c>
      <c r="G524" s="27" t="inlineStr">
        <is>
          <t>47300-000</t>
        </is>
      </c>
      <c r="H524" s="15" t="n">
        <v>1</v>
      </c>
      <c r="I524" s="28" t="inlineStr">
        <is>
          <t>NÃO</t>
        </is>
      </c>
      <c r="J524" s="29" t="n"/>
      <c r="K524" s="14" t="str">
        <f>IF(J524="","7. Acima de 2 km",IF(J524&lt;=50,"1. Até 50 m",IF(J524&lt;=100,"2. De 50 a 100 m",IF(J524&lt;=200,"3. De 100 a 200 m",IF(J524&lt;=300,"4. De 200 a 300 m",IF(J524&lt;=500,"5. De 300 a 500 m","6. De 500 m a 2 km"))))))</f>
        <v>7. Acima de 2 km</v>
      </c>
      <c r="L524" s="26" t="n">
        <v>0</v>
      </c>
      <c r="M524" s="26" t="n">
        <v>0</v>
      </c>
      <c r="N524" s="26" t="n">
        <v>0</v>
      </c>
      <c r="O524" s="26" t="n">
        <v>0</v>
      </c>
      <c r="P524" s="30" t="n">
        <v>-9.440645379999999</v>
      </c>
      <c r="Q524" s="30" t="n">
        <v>-40.78447163</v>
      </c>
      <c r="R524" s="14" t="inlineStr">
        <is>
          <t>FÓRUM DESEMBARGADOR JOSÉ MANOEL VIANA DE CASTRO - PRAÇA 3 PODERES, S/N, CASA NOVA-BA</t>
        </is>
      </c>
      <c r="S524" s="26">
        <f>IF(A524=A523,0,1)</f>
        <v>0</v>
      </c>
      <c r="T524" s="26">
        <f>IF(COUNTIF($B$4:B524,B524)=1,1,0)</f>
        <v>0</v>
      </c>
    </row>
    <row r="525">
      <c r="A525" s="14" t="inlineStr">
        <is>
          <t>CASA NOVA</t>
        </is>
      </c>
      <c r="B525" s="26" t="n">
        <v>66</v>
      </c>
      <c r="C525" s="26" t="n">
        <v>2062</v>
      </c>
      <c r="D525" s="14" t="inlineStr">
        <is>
          <t>ESCOLA MATILDE DIAS</t>
        </is>
      </c>
      <c r="E525" s="14" t="inlineStr">
        <is>
          <t>POVOADO RIACHO DO SOBRADO</t>
        </is>
      </c>
      <c r="F525" s="14" t="inlineStr">
        <is>
          <t>POVOADO DE RIACHO DO SOBRADO - ZONA RURAL</t>
        </is>
      </c>
      <c r="G525" s="27" t="inlineStr">
        <is>
          <t>47300-000</t>
        </is>
      </c>
      <c r="H525" s="15" t="n">
        <v>3</v>
      </c>
      <c r="I525" s="28" t="inlineStr">
        <is>
          <t>NÃO</t>
        </is>
      </c>
      <c r="J525" s="29" t="n"/>
      <c r="K525" s="14" t="str">
        <f>IF(J525="","7. Acima de 2 km",IF(J525&lt;=50,"1. Até 50 m",IF(J525&lt;=100,"2. De 50 a 100 m",IF(J525&lt;=200,"3. De 100 a 200 m",IF(J525&lt;=300,"4. De 200 a 300 m",IF(J525&lt;=500,"5. De 300 a 500 m","6. De 500 m a 2 km"))))))</f>
        <v>7. Acima de 2 km</v>
      </c>
      <c r="L525" s="26" t="n">
        <v>0</v>
      </c>
      <c r="M525" s="26" t="n">
        <v>0</v>
      </c>
      <c r="N525" s="26" t="n">
        <v>0</v>
      </c>
      <c r="O525" s="26" t="n">
        <v>0</v>
      </c>
      <c r="P525" s="30" t="n">
        <v>-9.278465969999999</v>
      </c>
      <c r="Q525" s="30" t="n">
        <v>-40.75305938</v>
      </c>
      <c r="R525" s="14" t="inlineStr">
        <is>
          <t>FÓRUM DESEMBARGADOR JOSÉ MANOEL VIANA DE CASTRO - PRAÇA 3 PODERES, S/N, CASA NOVA-BA</t>
        </is>
      </c>
      <c r="S525" s="26">
        <f>IF(A525=A524,0,1)</f>
        <v>0</v>
      </c>
      <c r="T525" s="26">
        <f>IF(COUNTIF($B$4:B525,B525)=1,1,0)</f>
        <v>0</v>
      </c>
    </row>
    <row r="526">
      <c r="A526" s="14" t="inlineStr">
        <is>
          <t>CASA NOVA</t>
        </is>
      </c>
      <c r="B526" s="26" t="n">
        <v>66</v>
      </c>
      <c r="C526" s="26" t="n">
        <v>2070</v>
      </c>
      <c r="D526" s="14" t="inlineStr">
        <is>
          <t>PRÉDIO ESCOLAR ANTONIO CASTRO DOS SANTOS SILVA</t>
        </is>
      </c>
      <c r="E526" s="14" t="inlineStr">
        <is>
          <t>POVOADO TANQUE NOVO</t>
        </is>
      </c>
      <c r="F526" s="14" t="inlineStr">
        <is>
          <t>POVOADO DE TANQUE NOVO - ZONA RURAL</t>
        </is>
      </c>
      <c r="G526" s="27" t="inlineStr">
        <is>
          <t>47300-000</t>
        </is>
      </c>
      <c r="H526" s="15" t="n">
        <v>2</v>
      </c>
      <c r="I526" s="28" t="inlineStr">
        <is>
          <t>NÃO</t>
        </is>
      </c>
      <c r="J526" s="29" t="n"/>
      <c r="K526" s="14" t="str">
        <f>IF(J526="","7. Acima de 2 km",IF(J526&lt;=50,"1. Até 50 m",IF(J526&lt;=100,"2. De 50 a 100 m",IF(J526&lt;=200,"3. De 100 a 200 m",IF(J526&lt;=300,"4. De 200 a 300 m",IF(J526&lt;=500,"5. De 300 a 500 m","6. De 500 m a 2 km"))))))</f>
        <v>7. Acima de 2 km</v>
      </c>
      <c r="L526" s="26" t="n">
        <v>0</v>
      </c>
      <c r="M526" s="26" t="n">
        <v>0</v>
      </c>
      <c r="N526" s="26" t="n">
        <v>0</v>
      </c>
      <c r="O526" s="26" t="n">
        <v>0</v>
      </c>
      <c r="P526" s="30" t="n">
        <v>-9.119665550000001</v>
      </c>
      <c r="Q526" s="30" t="n">
        <v>-41.24186633</v>
      </c>
      <c r="R526" s="14" t="inlineStr">
        <is>
          <t>FÓRUM DESEMBARGADOR JOSÉ MANOEL VIANA DE CASTRO - PRAÇA 3 PODERES, S/N, CASA NOVA-BA</t>
        </is>
      </c>
      <c r="S526" s="26">
        <f>IF(A526=A525,0,1)</f>
        <v>0</v>
      </c>
      <c r="T526" s="26">
        <f>IF(COUNTIF($B$4:B526,B526)=1,1,0)</f>
        <v>0</v>
      </c>
    </row>
    <row r="527">
      <c r="A527" s="14" t="inlineStr">
        <is>
          <t>CASA NOVA</t>
        </is>
      </c>
      <c r="B527" s="26" t="n">
        <v>66</v>
      </c>
      <c r="C527" s="26" t="n">
        <v>2100</v>
      </c>
      <c r="D527" s="14" t="inlineStr">
        <is>
          <t>PREDIO ESCOLAR MUNICIPAL 56</t>
        </is>
      </c>
      <c r="E527" s="14" t="inlineStr">
        <is>
          <t>POVOADO CINQUENTA E SEIS</t>
        </is>
      </c>
      <c r="F527" s="14" t="inlineStr">
        <is>
          <t>POVOADO CINQUENTA E SEIS - ZONA RURAL</t>
        </is>
      </c>
      <c r="G527" s="27" t="inlineStr">
        <is>
          <t>47300-000</t>
        </is>
      </c>
      <c r="H527" s="15" t="n">
        <v>2</v>
      </c>
      <c r="I527" s="28" t="inlineStr">
        <is>
          <t>NÃO</t>
        </is>
      </c>
      <c r="J527" s="29" t="n"/>
      <c r="K527" s="14" t="str">
        <f>IF(J527="","7. Acima de 2 km",IF(J527&lt;=50,"1. Até 50 m",IF(J527&lt;=100,"2. De 50 a 100 m",IF(J527&lt;=200,"3. De 100 a 200 m",IF(J527&lt;=300,"4. De 200 a 300 m",IF(J527&lt;=500,"5. De 300 a 500 m","6. De 500 m a 2 km"))))))</f>
        <v>7. Acima de 2 km</v>
      </c>
      <c r="L527" s="26" t="n">
        <v>0</v>
      </c>
      <c r="M527" s="26" t="n">
        <v>0</v>
      </c>
      <c r="N527" s="26" t="n">
        <v>0</v>
      </c>
      <c r="O527" s="26" t="n">
        <v>0</v>
      </c>
      <c r="P527" s="30" t="n">
        <v>-9.086266889999999</v>
      </c>
      <c r="Q527" s="30" t="n">
        <v>-41.54831476</v>
      </c>
      <c r="R527" s="14" t="inlineStr">
        <is>
          <t>FÓRUM DESEMBARGADOR JOSÉ MANOEL VIANA DE CASTRO - PRAÇA 3 PODERES, S/N, CASA NOVA-BA</t>
        </is>
      </c>
      <c r="S527" s="26">
        <f>IF(A527=A526,0,1)</f>
        <v>0</v>
      </c>
      <c r="T527" s="26">
        <f>IF(COUNTIF($B$4:B527,B527)=1,1,0)</f>
        <v>0</v>
      </c>
    </row>
    <row r="528">
      <c r="A528" s="14" t="inlineStr">
        <is>
          <t>CASA NOVA</t>
        </is>
      </c>
      <c r="B528" s="26" t="n">
        <v>66</v>
      </c>
      <c r="C528" s="26" t="n">
        <v>2119</v>
      </c>
      <c r="D528" s="14" t="inlineStr">
        <is>
          <t>ESCOLA NOSSA SENHORA AUXILIADORA</t>
        </is>
      </c>
      <c r="E528" s="14" t="inlineStr">
        <is>
          <t>POVOADO LEITE I</t>
        </is>
      </c>
      <c r="F528" s="14" t="inlineStr">
        <is>
          <t>POVOADO LEITE I - ZONA RURAL</t>
        </is>
      </c>
      <c r="G528" s="27" t="inlineStr">
        <is>
          <t>47300-000</t>
        </is>
      </c>
      <c r="H528" s="15" t="n">
        <v>1</v>
      </c>
      <c r="I528" s="28" t="inlineStr">
        <is>
          <t>NÃO</t>
        </is>
      </c>
      <c r="J528" s="29" t="n"/>
      <c r="K528" s="14" t="str">
        <f>IF(J528="","7. Acima de 2 km",IF(J528&lt;=50,"1. Até 50 m",IF(J528&lt;=100,"2. De 50 a 100 m",IF(J528&lt;=200,"3. De 100 a 200 m",IF(J528&lt;=300,"4. De 200 a 300 m",IF(J528&lt;=500,"5. De 300 a 500 m","6. De 500 m a 2 km"))))))</f>
        <v>7. Acima de 2 km</v>
      </c>
      <c r="L528" s="26" t="n">
        <v>0</v>
      </c>
      <c r="M528" s="26" t="n">
        <v>0</v>
      </c>
      <c r="N528" s="26" t="n">
        <v>0</v>
      </c>
      <c r="O528" s="26" t="n">
        <v>0</v>
      </c>
      <c r="P528" s="30" t="n">
        <v>-9.604409159999999</v>
      </c>
      <c r="Q528" s="30" t="n">
        <v>-41.55471799</v>
      </c>
      <c r="R528" s="14" t="inlineStr">
        <is>
          <t>FÓRUM DESEMBARGADOR JOSÉ MANOEL VIANA DE CASTRO - PRAÇA 3 PODERES, S/N, CASA NOVA-BA</t>
        </is>
      </c>
      <c r="S528" s="26">
        <f>IF(A528=A527,0,1)</f>
        <v>0</v>
      </c>
      <c r="T528" s="26">
        <f>IF(COUNTIF($B$4:B528,B528)=1,1,0)</f>
        <v>0</v>
      </c>
    </row>
    <row r="529">
      <c r="A529" s="14" t="inlineStr">
        <is>
          <t>CASA NOVA</t>
        </is>
      </c>
      <c r="B529" s="26" t="n">
        <v>66</v>
      </c>
      <c r="C529" s="26" t="n">
        <v>2135</v>
      </c>
      <c r="D529" s="14" t="inlineStr">
        <is>
          <t>ESCOLA MUNICIPAL SÃO PEDRO (SALINA DA BRINCA)</t>
        </is>
      </c>
      <c r="E529" s="14" t="inlineStr">
        <is>
          <t>POVOADO SALINA DA BRINCA</t>
        </is>
      </c>
      <c r="F529" s="14" t="inlineStr">
        <is>
          <t>POVOADO SALINA DA BRINCA - ZONA RURAL</t>
        </is>
      </c>
      <c r="G529" s="27" t="inlineStr">
        <is>
          <t>47300-000</t>
        </is>
      </c>
      <c r="H529" s="15" t="n">
        <v>1</v>
      </c>
      <c r="I529" s="28" t="inlineStr">
        <is>
          <t>NÃO</t>
        </is>
      </c>
      <c r="J529" s="29" t="n"/>
      <c r="K529" s="14" t="str">
        <f>IF(J529="","7. Acima de 2 km",IF(J529&lt;=50,"1. Até 50 m",IF(J529&lt;=100,"2. De 50 a 100 m",IF(J529&lt;=200,"3. De 100 a 200 m",IF(J529&lt;=300,"4. De 200 a 300 m",IF(J529&lt;=500,"5. De 300 a 500 m","6. De 500 m a 2 km"))))))</f>
        <v>7. Acima de 2 km</v>
      </c>
      <c r="L529" s="26" t="n">
        <v>0</v>
      </c>
      <c r="M529" s="26" t="n">
        <v>0</v>
      </c>
      <c r="N529" s="26" t="n">
        <v>0</v>
      </c>
      <c r="O529" s="26" t="n">
        <v>0</v>
      </c>
      <c r="P529" s="30" t="n">
        <v>-9.246981870000001</v>
      </c>
      <c r="Q529" s="30" t="n">
        <v>-41.34994302</v>
      </c>
      <c r="R529" s="14" t="inlineStr">
        <is>
          <t>FÓRUM DESEMBARGADOR JOSÉ MANOEL VIANA DE CASTRO - PRAÇA 3 PODERES, S/N, CASA NOVA-BA</t>
        </is>
      </c>
      <c r="S529" s="26">
        <f>IF(A529=A528,0,1)</f>
        <v>0</v>
      </c>
      <c r="T529" s="26">
        <f>IF(COUNTIF($B$4:B529,B529)=1,1,0)</f>
        <v>0</v>
      </c>
    </row>
    <row r="530">
      <c r="A530" s="14" t="inlineStr">
        <is>
          <t>CATU</t>
        </is>
      </c>
      <c r="B530" s="26" t="n">
        <v>129</v>
      </c>
      <c r="C530" s="26" t="n">
        <v>1023</v>
      </c>
      <c r="D530" s="14" t="inlineStr">
        <is>
          <t>COLEGIO ESTADUAL DE EDU PROF CONT E GEST DO NE BA PEDRO RIBEIRO PESSOA</t>
        </is>
      </c>
      <c r="E530" s="14" t="inlineStr">
        <is>
          <t>RUA NOVA</t>
        </is>
      </c>
      <c r="F530" s="14" t="inlineStr">
        <is>
          <t>RUA ANITA CARDOSO, S/N - ZONA URBANA</t>
        </is>
      </c>
      <c r="G530" s="27" t="inlineStr">
        <is>
          <t>48110-000</t>
        </is>
      </c>
      <c r="H530" s="15" t="n">
        <v>19</v>
      </c>
      <c r="I530" s="28" t="inlineStr">
        <is>
          <t>NÃO</t>
        </is>
      </c>
      <c r="J530" s="29" t="n">
        <v>241.9</v>
      </c>
      <c r="K530" s="14" t="str">
        <f>IF(J530="","7. Acima de 2 km",IF(J530&lt;=50,"1. Até 50 m",IF(J530&lt;=100,"2. De 50 a 100 m",IF(J530&lt;=200,"3. De 100 a 200 m",IF(J530&lt;=300,"4. De 200 a 300 m",IF(J530&lt;=500,"5. De 300 a 500 m","6. De 500 m a 2 km"))))))</f>
        <v>4. De 200 a 300 m</v>
      </c>
      <c r="L530" s="26" t="n">
        <v>0</v>
      </c>
      <c r="M530" s="26" t="n">
        <v>0</v>
      </c>
      <c r="N530" s="26" t="n">
        <v>0</v>
      </c>
      <c r="O530" s="26" t="n">
        <v>1</v>
      </c>
      <c r="P530" s="30" t="n">
        <v>-12.3498718</v>
      </c>
      <c r="Q530" s="30" t="n">
        <v>-38.3767111</v>
      </c>
      <c r="R530" s="14" t="inlineStr">
        <is>
          <t>AV. MINISTRO ERNESTO SIMÕES FILHO, Nº 370, BAIRRO BOA VISTA, CATU/BA</t>
        </is>
      </c>
      <c r="S530" s="26">
        <f>IF(A530=A529,0,1)</f>
        <v>1</v>
      </c>
      <c r="T530" s="26">
        <f>IF(COUNTIF($B$4:B530,B530)=1,1,0)</f>
        <v>1</v>
      </c>
    </row>
    <row r="531">
      <c r="A531" s="14" t="inlineStr">
        <is>
          <t>CATU</t>
        </is>
      </c>
      <c r="B531" s="26" t="n">
        <v>129</v>
      </c>
      <c r="C531" s="26" t="n">
        <v>1058</v>
      </c>
      <c r="D531" s="14" t="inlineStr">
        <is>
          <t>INSTITUTO FEDERAL DE EDUCAÇÃO, CIÊNCIA E TECNOLOGIA BAIANO</t>
        </is>
      </c>
      <c r="E531" s="14" t="inlineStr">
        <is>
          <t>BARÃO DE CAMAÇARI</t>
        </is>
      </c>
      <c r="F531" s="14" t="inlineStr">
        <is>
          <t>RUA BARÃO DE CAMAÇARI, S/N - ZONA URBANA</t>
        </is>
      </c>
      <c r="G531" s="27" t="inlineStr">
        <is>
          <t>48110-000</t>
        </is>
      </c>
      <c r="H531" s="15" t="n">
        <v>12</v>
      </c>
      <c r="I531" s="28" t="inlineStr">
        <is>
          <t>NÃO</t>
        </is>
      </c>
      <c r="J531" s="29" t="n">
        <v>296.1</v>
      </c>
      <c r="K531" s="14" t="str">
        <f>IF(J531="","7. Acima de 2 km",IF(J531&lt;=50,"1. Até 50 m",IF(J531&lt;=100,"2. De 50 a 100 m",IF(J531&lt;=200,"3. De 100 a 200 m",IF(J531&lt;=300,"4. De 200 a 300 m",IF(J531&lt;=500,"5. De 300 a 500 m","6. De 500 m a 2 km"))))))</f>
        <v>4. De 200 a 300 m</v>
      </c>
      <c r="L531" s="26" t="n">
        <v>0</v>
      </c>
      <c r="M531" s="26" t="n">
        <v>0</v>
      </c>
      <c r="N531" s="26" t="n">
        <v>0</v>
      </c>
      <c r="O531" s="26" t="n">
        <v>1</v>
      </c>
      <c r="P531" s="30" t="n">
        <v>-12.3570506</v>
      </c>
      <c r="Q531" s="30" t="n">
        <v>-38.3752625</v>
      </c>
      <c r="R531" s="14" t="inlineStr">
        <is>
          <t>AV. MINISTRO ERNESTO SIMÕES FILHO, Nº 370, BAIRRO BOA VISTA, CATU/BA</t>
        </is>
      </c>
      <c r="S531" s="26">
        <f>IF(A531=A530,0,1)</f>
        <v>0</v>
      </c>
      <c r="T531" s="26">
        <f>IF(COUNTIF($B$4:B531,B531)=1,1,0)</f>
        <v>0</v>
      </c>
    </row>
    <row r="532">
      <c r="A532" s="14" t="inlineStr">
        <is>
          <t>CATU</t>
        </is>
      </c>
      <c r="B532" s="26" t="n">
        <v>129</v>
      </c>
      <c r="C532" s="26" t="n">
        <v>1074</v>
      </c>
      <c r="D532" s="14" t="inlineStr">
        <is>
          <t>ESCOLA PROFESSOR RAIMUNDO MATA</t>
        </is>
      </c>
      <c r="E532" s="14" t="inlineStr">
        <is>
          <t>BOA VISTA</t>
        </is>
      </c>
      <c r="F532" s="14" t="inlineStr">
        <is>
          <t>RUA SENHORA SANTANA S/N - ZONA URBANA</t>
        </is>
      </c>
      <c r="G532" s="27" t="inlineStr">
        <is>
          <t>48110-000</t>
        </is>
      </c>
      <c r="H532" s="15" t="n">
        <v>7</v>
      </c>
      <c r="I532" s="28" t="inlineStr">
        <is>
          <t>SIM</t>
        </is>
      </c>
      <c r="J532" s="29" t="n">
        <v>60.8</v>
      </c>
      <c r="K532" s="14" t="str">
        <f>IF(J532="","7. Acima de 2 km",IF(J532&lt;=50,"1. Até 50 m",IF(J532&lt;=100,"2. De 50 a 100 m",IF(J532&lt;=200,"3. De 100 a 200 m",IF(J532&lt;=300,"4. De 200 a 300 m",IF(J532&lt;=500,"5. De 300 a 500 m","6. De 500 m a 2 km"))))))</f>
        <v>2. De 50 a 100 m</v>
      </c>
      <c r="L532" s="26" t="n">
        <v>0</v>
      </c>
      <c r="M532" s="26" t="n">
        <v>3</v>
      </c>
      <c r="N532" s="26" t="n">
        <v>3</v>
      </c>
      <c r="O532" s="26" t="n">
        <v>3</v>
      </c>
      <c r="P532" s="30" t="n">
        <v>-12.3637538</v>
      </c>
      <c r="Q532" s="30" t="n">
        <v>-38.3850904</v>
      </c>
      <c r="R532" s="14" t="inlineStr">
        <is>
          <t>AV. MINISTRO ERNESTO SIMÕES FILHO, Nº 370, BAIRRO BOA VISTA, CATU/BA</t>
        </is>
      </c>
      <c r="S532" s="26">
        <f>IF(A532=A531,0,1)</f>
        <v>0</v>
      </c>
      <c r="T532" s="26">
        <f>IF(COUNTIF($B$4:B532,B532)=1,1,0)</f>
        <v>0</v>
      </c>
    </row>
    <row r="533">
      <c r="A533" s="14" t="inlineStr">
        <is>
          <t>CATU</t>
        </is>
      </c>
      <c r="B533" s="26" t="n">
        <v>129</v>
      </c>
      <c r="C533" s="26" t="n">
        <v>1112</v>
      </c>
      <c r="D533" s="14" t="inlineStr">
        <is>
          <t>ESCOLA MUNICIPAL GILBERTO ALVES DE ARAÚJO</t>
        </is>
      </c>
      <c r="E533" s="14" t="inlineStr">
        <is>
          <t>PIONEIRO</t>
        </is>
      </c>
      <c r="F533" s="14" t="inlineStr">
        <is>
          <t>RUA RODOLFO GOES, 120 - ZONA URBANA</t>
        </is>
      </c>
      <c r="G533" s="27" t="inlineStr">
        <is>
          <t>48110-000</t>
        </is>
      </c>
      <c r="H533" s="15" t="n">
        <v>5</v>
      </c>
      <c r="I533" s="28" t="inlineStr">
        <is>
          <t>NÃO</t>
        </is>
      </c>
      <c r="J533" s="29" t="n">
        <v>433.1</v>
      </c>
      <c r="K533" s="14" t="str">
        <f>IF(J533="","7. Acima de 2 km",IF(J533&lt;=50,"1. Até 50 m",IF(J533&lt;=100,"2. De 50 a 100 m",IF(J533&lt;=200,"3. De 100 a 200 m",IF(J533&lt;=300,"4. De 200 a 300 m",IF(J533&lt;=500,"5. De 300 a 500 m","6. De 500 m a 2 km"))))))</f>
        <v>5. De 300 a 500 m</v>
      </c>
      <c r="L533" s="26" t="n">
        <v>0</v>
      </c>
      <c r="M533" s="26" t="n">
        <v>0</v>
      </c>
      <c r="N533" s="26" t="n">
        <v>0</v>
      </c>
      <c r="O533" s="26" t="n">
        <v>0</v>
      </c>
      <c r="P533" s="30" t="n">
        <v>-12.3692809</v>
      </c>
      <c r="Q533" s="30" t="n">
        <v>-38.3898185</v>
      </c>
      <c r="R533" s="14" t="inlineStr">
        <is>
          <t>AV. MINISTRO ERNESTO SIMÕES FILHO, Nº 370, BAIRRO BOA VISTA, CATU/BA</t>
        </is>
      </c>
      <c r="S533" s="26">
        <f>IF(A533=A532,0,1)</f>
        <v>0</v>
      </c>
      <c r="T533" s="26">
        <f>IF(COUNTIF($B$4:B533,B533)=1,1,0)</f>
        <v>0</v>
      </c>
    </row>
    <row r="534">
      <c r="A534" s="14" t="inlineStr">
        <is>
          <t>CATU</t>
        </is>
      </c>
      <c r="B534" s="26" t="n">
        <v>129</v>
      </c>
      <c r="C534" s="26" t="n">
        <v>1139</v>
      </c>
      <c r="D534" s="14" t="inlineStr">
        <is>
          <t>ESCOLA MUNICIPAL ARLINDO RIBEIRO DE ALMEIDA</t>
        </is>
      </c>
      <c r="E534" s="14" t="inlineStr">
        <is>
          <t>POVOADO PAU LAVRADO</t>
        </is>
      </c>
      <c r="F534" s="14" t="inlineStr">
        <is>
          <t>RUA DOIS DE JULHO S/N - ZONA RURAL</t>
        </is>
      </c>
      <c r="G534" s="27" t="inlineStr">
        <is>
          <t>48110-000</t>
        </is>
      </c>
      <c r="H534" s="15" t="n">
        <v>6</v>
      </c>
      <c r="I534" s="28" t="inlineStr">
        <is>
          <t>NÃO</t>
        </is>
      </c>
      <c r="J534" s="29" t="n"/>
      <c r="K534" s="14" t="str">
        <f>IF(J534="","7. Acima de 2 km",IF(J534&lt;=50,"1. Até 50 m",IF(J534&lt;=100,"2. De 50 a 100 m",IF(J534&lt;=200,"3. De 100 a 200 m",IF(J534&lt;=300,"4. De 200 a 300 m",IF(J534&lt;=500,"5. De 300 a 500 m","6. De 500 m a 2 km"))))))</f>
        <v>7. Acima de 2 km</v>
      </c>
      <c r="L534" s="26" t="n">
        <v>0</v>
      </c>
      <c r="M534" s="26" t="n">
        <v>0</v>
      </c>
      <c r="N534" s="26" t="n">
        <v>0</v>
      </c>
      <c r="O534" s="26" t="n">
        <v>0</v>
      </c>
      <c r="P534" s="30" t="n">
        <v>-12.3035193</v>
      </c>
      <c r="Q534" s="30" t="n">
        <v>-38.3710012</v>
      </c>
      <c r="R534" s="14" t="inlineStr">
        <is>
          <t>AV. MINISTRO ERNESTO SIMÕES FILHO, Nº 370, BAIRRO BOA VISTA, CATU/BA</t>
        </is>
      </c>
      <c r="S534" s="26">
        <f>IF(A534=A533,0,1)</f>
        <v>0</v>
      </c>
      <c r="T534" s="26">
        <f>IF(COUNTIF($B$4:B534,B534)=1,1,0)</f>
        <v>0</v>
      </c>
    </row>
    <row r="535">
      <c r="A535" s="14" t="inlineStr">
        <is>
          <t>CATU</t>
        </is>
      </c>
      <c r="B535" s="26" t="n">
        <v>129</v>
      </c>
      <c r="C535" s="26" t="n">
        <v>1163</v>
      </c>
      <c r="D535" s="14" t="inlineStr">
        <is>
          <t>COLÉGIO ANTONIO CARLOS MAGALHÃES</t>
        </is>
      </c>
      <c r="E535" s="14" t="inlineStr">
        <is>
          <t>POVOADO PAU LAVRADO</t>
        </is>
      </c>
      <c r="F535" s="14" t="inlineStr">
        <is>
          <t>RUA DO CRUZEIRO, S/N - ZONA RURAL</t>
        </is>
      </c>
      <c r="G535" s="27" t="inlineStr">
        <is>
          <t>48100-000</t>
        </is>
      </c>
      <c r="H535" s="15" t="n">
        <v>4</v>
      </c>
      <c r="I535" s="28" t="inlineStr">
        <is>
          <t>NÃO</t>
        </is>
      </c>
      <c r="J535" s="29" t="n"/>
      <c r="K535" s="14" t="str">
        <f>IF(J535="","7. Acima de 2 km",IF(J535&lt;=50,"1. Até 50 m",IF(J535&lt;=100,"2. De 50 a 100 m",IF(J535&lt;=200,"3. De 100 a 200 m",IF(J535&lt;=300,"4. De 200 a 300 m",IF(J535&lt;=500,"5. De 300 a 500 m","6. De 500 m a 2 km"))))))</f>
        <v>7. Acima de 2 km</v>
      </c>
      <c r="L535" s="26" t="n">
        <v>0</v>
      </c>
      <c r="M535" s="26" t="n">
        <v>0</v>
      </c>
      <c r="N535" s="26" t="n">
        <v>0</v>
      </c>
      <c r="O535" s="26" t="n">
        <v>0</v>
      </c>
      <c r="P535" s="30" t="n">
        <v>-12.3083183</v>
      </c>
      <c r="Q535" s="30" t="n">
        <v>-38.3739298</v>
      </c>
      <c r="R535" s="14" t="inlineStr">
        <is>
          <t>AV. MINISTRO ERNESTO SIMÕES FILHO, Nº 370, BAIRRO BOA VISTA, CATU/BA</t>
        </is>
      </c>
      <c r="S535" s="26">
        <f>IF(A535=A534,0,1)</f>
        <v>0</v>
      </c>
      <c r="T535" s="26">
        <f>IF(COUNTIF($B$4:B535,B535)=1,1,0)</f>
        <v>0</v>
      </c>
    </row>
    <row r="536">
      <c r="A536" s="14" t="inlineStr">
        <is>
          <t>CATU</t>
        </is>
      </c>
      <c r="B536" s="26" t="n">
        <v>129</v>
      </c>
      <c r="C536" s="26" t="n">
        <v>1180</v>
      </c>
      <c r="D536" s="14" t="inlineStr">
        <is>
          <t>ESCOLA MUNICIPAL GEMINIANA SOUZA ASSUNÇÃO</t>
        </is>
      </c>
      <c r="E536" s="14" t="inlineStr">
        <is>
          <t>DISTRITO BELA FLOR</t>
        </is>
      </c>
      <c r="F536" s="14" t="inlineStr">
        <is>
          <t>DISTRITO BELA FLOR - ZONA RURAL</t>
        </is>
      </c>
      <c r="G536" s="27" t="inlineStr">
        <is>
          <t>48110-000</t>
        </is>
      </c>
      <c r="H536" s="15" t="n">
        <v>4</v>
      </c>
      <c r="I536" s="28" t="inlineStr">
        <is>
          <t>NÃO</t>
        </is>
      </c>
      <c r="J536" s="29" t="n"/>
      <c r="K536" s="14" t="str">
        <f>IF(J536="","7. Acima de 2 km",IF(J536&lt;=50,"1. Até 50 m",IF(J536&lt;=100,"2. De 50 a 100 m",IF(J536&lt;=200,"3. De 100 a 200 m",IF(J536&lt;=300,"4. De 200 a 300 m",IF(J536&lt;=500,"5. De 300 a 500 m","6. De 500 m a 2 km"))))))</f>
        <v>7. Acima de 2 km</v>
      </c>
      <c r="L536" s="26" t="n">
        <v>0</v>
      </c>
      <c r="M536" s="26" t="n">
        <v>0</v>
      </c>
      <c r="N536" s="26" t="n">
        <v>0</v>
      </c>
      <c r="O536" s="26" t="n">
        <v>0</v>
      </c>
      <c r="P536" s="30" t="n">
        <v>-12.4012857</v>
      </c>
      <c r="Q536" s="30" t="n">
        <v>-38.4642317</v>
      </c>
      <c r="R536" s="14" t="inlineStr">
        <is>
          <t>AV. MINISTRO ERNESTO SIMÕES FILHO, Nº 370, BAIRRO BOA VISTA, CATU/BA</t>
        </is>
      </c>
      <c r="S536" s="26">
        <f>IF(A536=A535,0,1)</f>
        <v>0</v>
      </c>
      <c r="T536" s="26">
        <f>IF(COUNTIF($B$4:B536,B536)=1,1,0)</f>
        <v>0</v>
      </c>
    </row>
    <row r="537">
      <c r="A537" s="14" t="inlineStr">
        <is>
          <t>CATU</t>
        </is>
      </c>
      <c r="B537" s="26" t="n">
        <v>129</v>
      </c>
      <c r="C537" s="26" t="n">
        <v>1198</v>
      </c>
      <c r="D537" s="14" t="inlineStr">
        <is>
          <t>ESCOLA MUNICIPAL DR. ROMULO GALVÃO</t>
        </is>
      </c>
      <c r="E537" s="14" t="inlineStr">
        <is>
          <t>DISTRITO SÍTIO NOVO</t>
        </is>
      </c>
      <c r="F537" s="14" t="inlineStr">
        <is>
          <t>RUA DO AREAL  S/N - ZONA RURAL</t>
        </is>
      </c>
      <c r="G537" s="27" t="inlineStr">
        <is>
          <t>48110-000</t>
        </is>
      </c>
      <c r="H537" s="15" t="n">
        <v>3</v>
      </c>
      <c r="I537" s="28" t="inlineStr">
        <is>
          <t>NÃO</t>
        </is>
      </c>
      <c r="J537" s="29" t="n">
        <v>922.3</v>
      </c>
      <c r="K537" s="14" t="str">
        <f>IF(J537="","7. Acima de 2 km",IF(J537&lt;=50,"1. Até 50 m",IF(J537&lt;=100,"2. De 50 a 100 m",IF(J537&lt;=200,"3. De 100 a 200 m",IF(J537&lt;=300,"4. De 200 a 300 m",IF(J537&lt;=500,"5. De 300 a 500 m","6. De 500 m a 2 km"))))))</f>
        <v>6. De 500 m a 2 km</v>
      </c>
      <c r="L537" s="26" t="n">
        <v>0</v>
      </c>
      <c r="M537" s="26" t="n">
        <v>0</v>
      </c>
      <c r="N537" s="26" t="n">
        <v>0</v>
      </c>
      <c r="O537" s="26" t="n">
        <v>0</v>
      </c>
      <c r="P537" s="30" t="n">
        <v>-12.2403273</v>
      </c>
      <c r="Q537" s="30" t="n">
        <v>-38.3785909</v>
      </c>
      <c r="R537" s="14" t="inlineStr">
        <is>
          <t>AV. MINISTRO ERNESTO SIMÕES FILHO, Nº 370, BAIRRO BOA VISTA, CATU/BA</t>
        </is>
      </c>
      <c r="S537" s="26">
        <f>IF(A537=A536,0,1)</f>
        <v>0</v>
      </c>
      <c r="T537" s="26">
        <f>IF(COUNTIF($B$4:B537,B537)=1,1,0)</f>
        <v>0</v>
      </c>
    </row>
    <row r="538">
      <c r="A538" s="14" t="inlineStr">
        <is>
          <t>CATU</t>
        </is>
      </c>
      <c r="B538" s="26" t="n">
        <v>129</v>
      </c>
      <c r="C538" s="26" t="n">
        <v>1260</v>
      </c>
      <c r="D538" s="14" t="inlineStr">
        <is>
          <t>ESCOLA MUNICIPAL FRANCISCO XAVIER RIBEIRO</t>
        </is>
      </c>
      <c r="E538" s="14" t="inlineStr">
        <is>
          <t>CHESF</t>
        </is>
      </c>
      <c r="F538" s="14" t="inlineStr">
        <is>
          <t>RUA FRANCISCO XAVIER RIBEIRO, 271 - ZONA URBANA</t>
        </is>
      </c>
      <c r="G538" s="27" t="inlineStr">
        <is>
          <t>48110-000</t>
        </is>
      </c>
      <c r="H538" s="15" t="n">
        <v>2</v>
      </c>
      <c r="I538" s="28" t="inlineStr">
        <is>
          <t>NÃO</t>
        </is>
      </c>
      <c r="J538" s="29" t="n">
        <v>1085.2</v>
      </c>
      <c r="K538" s="14" t="str">
        <f>IF(J538="","7. Acima de 2 km",IF(J538&lt;=50,"1. Até 50 m",IF(J538&lt;=100,"2. De 50 a 100 m",IF(J538&lt;=200,"3. De 100 a 200 m",IF(J538&lt;=300,"4. De 200 a 300 m",IF(J538&lt;=500,"5. De 300 a 500 m","6. De 500 m a 2 km"))))))</f>
        <v>6. De 500 m a 2 km</v>
      </c>
      <c r="L538" s="26" t="n">
        <v>0</v>
      </c>
      <c r="M538" s="26" t="n">
        <v>0</v>
      </c>
      <c r="N538" s="26" t="n">
        <v>0</v>
      </c>
      <c r="O538" s="26" t="n">
        <v>0</v>
      </c>
      <c r="P538" s="30" t="n">
        <v>-12.375705</v>
      </c>
      <c r="Q538" s="30" t="n">
        <v>-38.39433</v>
      </c>
      <c r="R538" s="14" t="inlineStr">
        <is>
          <t>AV. MINISTRO ERNESTO SIMÕES FILHO, Nº 370, BAIRRO BOA VISTA, CATU/BA</t>
        </is>
      </c>
      <c r="S538" s="26">
        <f>IF(A538=A537,0,1)</f>
        <v>0</v>
      </c>
      <c r="T538" s="26">
        <f>IF(COUNTIF($B$4:B538,B538)=1,1,0)</f>
        <v>0</v>
      </c>
    </row>
    <row r="539">
      <c r="A539" s="14" t="inlineStr">
        <is>
          <t>CATU</t>
        </is>
      </c>
      <c r="B539" s="26" t="n">
        <v>129</v>
      </c>
      <c r="C539" s="26" t="n">
        <v>1279</v>
      </c>
      <c r="D539" s="14" t="inlineStr">
        <is>
          <t>ESCOLA MUNICIPAL ADÉLIA MATA</t>
        </is>
      </c>
      <c r="E539" s="14" t="inlineStr">
        <is>
          <t>GRAVITO</t>
        </is>
      </c>
      <c r="F539" s="14" t="inlineStr">
        <is>
          <t>RUA DO ASFALTO, S/N - ZONA URBANA</t>
        </is>
      </c>
      <c r="G539" s="27" t="inlineStr">
        <is>
          <t>48110-000</t>
        </is>
      </c>
      <c r="H539" s="15" t="n">
        <v>2</v>
      </c>
      <c r="I539" s="28" t="inlineStr">
        <is>
          <t>NÃO</t>
        </is>
      </c>
      <c r="J539" s="29" t="n">
        <v>387.6</v>
      </c>
      <c r="K539" s="14" t="str">
        <f>IF(J539="","7. Acima de 2 km",IF(J539&lt;=50,"1. Até 50 m",IF(J539&lt;=100,"2. De 50 a 100 m",IF(J539&lt;=200,"3. De 100 a 200 m",IF(J539&lt;=300,"4. De 200 a 300 m",IF(J539&lt;=500,"5. De 300 a 500 m","6. De 500 m a 2 km"))))))</f>
        <v>5. De 300 a 500 m</v>
      </c>
      <c r="L539" s="26" t="n">
        <v>0</v>
      </c>
      <c r="M539" s="26" t="n">
        <v>0</v>
      </c>
      <c r="N539" s="26" t="n">
        <v>0</v>
      </c>
      <c r="O539" s="26" t="n">
        <v>0</v>
      </c>
      <c r="P539" s="30" t="n">
        <v>-12.3312464</v>
      </c>
      <c r="Q539" s="30" t="n">
        <v>-38.382299</v>
      </c>
      <c r="R539" s="14" t="inlineStr">
        <is>
          <t>AV. MINISTRO ERNESTO SIMÕES FILHO, Nº 370, BAIRRO BOA VISTA, CATU/BA</t>
        </is>
      </c>
      <c r="S539" s="26">
        <f>IF(A539=A538,0,1)</f>
        <v>0</v>
      </c>
      <c r="T539" s="26">
        <f>IF(COUNTIF($B$4:B539,B539)=1,1,0)</f>
        <v>0</v>
      </c>
    </row>
    <row r="540">
      <c r="A540" s="14" t="inlineStr">
        <is>
          <t>CATU</t>
        </is>
      </c>
      <c r="B540" s="26" t="n">
        <v>129</v>
      </c>
      <c r="C540" s="26" t="n">
        <v>1287</v>
      </c>
      <c r="D540" s="14" t="inlineStr">
        <is>
          <t>ESCOLA MUNICIPAL DESEMBARGADORA MARIA GABRIELA SAMPAIO SEIXAS</t>
        </is>
      </c>
      <c r="E540" s="14" t="inlineStr">
        <is>
          <t>SANTA RITA</t>
        </is>
      </c>
      <c r="F540" s="14" t="inlineStr">
        <is>
          <t>LOTEAMENTO SANTA RITA, S/N - ZONA URBANA</t>
        </is>
      </c>
      <c r="G540" s="27" t="inlineStr">
        <is>
          <t>48110-000</t>
        </is>
      </c>
      <c r="H540" s="15" t="n">
        <v>7</v>
      </c>
      <c r="I540" s="28" t="inlineStr">
        <is>
          <t>NÃO</t>
        </is>
      </c>
      <c r="J540" s="29" t="n">
        <v>247.7</v>
      </c>
      <c r="K540" s="14" t="str">
        <f>IF(J540="","7. Acima de 2 km",IF(J540&lt;=50,"1. Até 50 m",IF(J540&lt;=100,"2. De 50 a 100 m",IF(J540&lt;=200,"3. De 100 a 200 m",IF(J540&lt;=300,"4. De 200 a 300 m",IF(J540&lt;=500,"5. De 300 a 500 m","6. De 500 m a 2 km"))))))</f>
        <v>4. De 200 a 300 m</v>
      </c>
      <c r="L540" s="26" t="n">
        <v>0</v>
      </c>
      <c r="M540" s="26" t="n">
        <v>0</v>
      </c>
      <c r="N540" s="26" t="n">
        <v>0</v>
      </c>
      <c r="O540" s="26" t="n">
        <v>1</v>
      </c>
      <c r="P540" s="30" t="n">
        <v>-12.3544164</v>
      </c>
      <c r="Q540" s="30" t="n">
        <v>-38.3835635</v>
      </c>
      <c r="R540" s="14" t="inlineStr">
        <is>
          <t>AV. MINISTRO ERNESTO SIMÕES FILHO, Nº 370, BAIRRO BOA VISTA, CATU/BA</t>
        </is>
      </c>
      <c r="S540" s="26">
        <f>IF(A540=A539,0,1)</f>
        <v>0</v>
      </c>
      <c r="T540" s="26">
        <f>IF(COUNTIF($B$4:B540,B540)=1,1,0)</f>
        <v>0</v>
      </c>
    </row>
    <row r="541">
      <c r="A541" s="14" t="inlineStr">
        <is>
          <t>CATU</t>
        </is>
      </c>
      <c r="B541" s="26" t="n">
        <v>129</v>
      </c>
      <c r="C541" s="26" t="n">
        <v>1317</v>
      </c>
      <c r="D541" s="14" t="inlineStr">
        <is>
          <t>ESCOLA MUNICIPAL PROF HELENA DE ARAUJO LIMA</t>
        </is>
      </c>
      <c r="E541" s="14" t="inlineStr">
        <is>
          <t>BOA VISTA</t>
        </is>
      </c>
      <c r="F541" s="14" t="inlineStr">
        <is>
          <t>AVENIDA ERNESTO SIMÕES FILHO, S/N - ZONA URBANA</t>
        </is>
      </c>
      <c r="G541" s="27" t="inlineStr">
        <is>
          <t>48110-000</t>
        </is>
      </c>
      <c r="H541" s="15" t="n">
        <v>6</v>
      </c>
      <c r="I541" s="28" t="inlineStr">
        <is>
          <t>SIM</t>
        </is>
      </c>
      <c r="J541" s="29" t="n">
        <v>48.9</v>
      </c>
      <c r="K541" s="14" t="str">
        <f>IF(J541="","7. Acima de 2 km",IF(J541&lt;=50,"1. Até 50 m",IF(J541&lt;=100,"2. De 50 a 100 m",IF(J541&lt;=200,"3. De 100 a 200 m",IF(J541&lt;=300,"4. De 200 a 300 m",IF(J541&lt;=500,"5. De 300 a 500 m","6. De 500 m a 2 km"))))))</f>
        <v>1. Até 50 m</v>
      </c>
      <c r="L541" s="26" t="n">
        <v>1</v>
      </c>
      <c r="M541" s="26" t="n">
        <v>1</v>
      </c>
      <c r="N541" s="26" t="n">
        <v>2</v>
      </c>
      <c r="O541" s="26" t="n">
        <v>2</v>
      </c>
      <c r="P541" s="30" t="n">
        <v>-12.3673228</v>
      </c>
      <c r="Q541" s="30" t="n">
        <v>-38.3844282</v>
      </c>
      <c r="R541" s="14" t="inlineStr">
        <is>
          <t>AV. MINISTRO ERNESTO SIMÕES FILHO, Nº 370, BAIRRO BOA VISTA, CATU/BA</t>
        </is>
      </c>
      <c r="S541" s="26">
        <f>IF(A541=A540,0,1)</f>
        <v>0</v>
      </c>
      <c r="T541" s="26">
        <f>IF(COUNTIF($B$4:B541,B541)=1,1,0)</f>
        <v>0</v>
      </c>
    </row>
    <row r="542">
      <c r="A542" s="14" t="inlineStr">
        <is>
          <t>CATU</t>
        </is>
      </c>
      <c r="B542" s="26" t="n">
        <v>129</v>
      </c>
      <c r="C542" s="26" t="n">
        <v>1333</v>
      </c>
      <c r="D542" s="14" t="inlineStr">
        <is>
          <t>ESCOLA MUNICIPAL SÃO JOSÉ</t>
        </is>
      </c>
      <c r="E542" s="14" t="inlineStr">
        <is>
          <t>DISTRITO DE PEDRAS</t>
        </is>
      </c>
      <c r="F542" s="14" t="inlineStr">
        <is>
          <t>DISTRITO DE PEDRAS - ZONA RURAL</t>
        </is>
      </c>
      <c r="G542" s="27" t="inlineStr">
        <is>
          <t>48110-000</t>
        </is>
      </c>
      <c r="H542" s="15" t="n">
        <v>2</v>
      </c>
      <c r="I542" s="28" t="inlineStr">
        <is>
          <t>NÃO</t>
        </is>
      </c>
      <c r="J542" s="29" t="n"/>
      <c r="K542" s="14" t="str">
        <f>IF(J542="","7. Acima de 2 km",IF(J542&lt;=50,"1. Até 50 m",IF(J542&lt;=100,"2. De 50 a 100 m",IF(J542&lt;=200,"3. De 100 a 200 m",IF(J542&lt;=300,"4. De 200 a 300 m",IF(J542&lt;=500,"5. De 300 a 500 m","6. De 500 m a 2 km"))))))</f>
        <v>7. Acima de 2 km</v>
      </c>
      <c r="L542" s="26" t="n">
        <v>0</v>
      </c>
      <c r="M542" s="26" t="n">
        <v>0</v>
      </c>
      <c r="N542" s="26" t="n">
        <v>0</v>
      </c>
      <c r="O542" s="26" t="n">
        <v>0</v>
      </c>
      <c r="P542" s="30" t="n">
        <v>-12.4189203</v>
      </c>
      <c r="Q542" s="30" t="n">
        <v>-38.4973596</v>
      </c>
      <c r="R542" s="14" t="inlineStr">
        <is>
          <t>AV. MINISTRO ERNESTO SIMÕES FILHO, Nº 370, BAIRRO BOA VISTA, CATU/BA</t>
        </is>
      </c>
      <c r="S542" s="26">
        <f>IF(A542=A541,0,1)</f>
        <v>0</v>
      </c>
      <c r="T542" s="26">
        <f>IF(COUNTIF($B$4:B542,B542)=1,1,0)</f>
        <v>0</v>
      </c>
    </row>
    <row r="543">
      <c r="A543" s="14" t="inlineStr">
        <is>
          <t>CATU</t>
        </is>
      </c>
      <c r="B543" s="26" t="n">
        <v>129</v>
      </c>
      <c r="C543" s="26" t="n">
        <v>1350</v>
      </c>
      <c r="D543" s="14" t="inlineStr">
        <is>
          <t>ESCOLA MUNICIPAL JOÃO RIBEIRO</t>
        </is>
      </c>
      <c r="E543" s="14" t="inlineStr">
        <is>
          <t>POVOADO FAZENDA PANELAS</t>
        </is>
      </c>
      <c r="F543" s="14" t="inlineStr">
        <is>
          <t>FAZENDA PANELAS - ZONA RURAL</t>
        </is>
      </c>
      <c r="G543" s="27" t="inlineStr">
        <is>
          <t>48110-000</t>
        </is>
      </c>
      <c r="H543" s="15" t="n">
        <v>1</v>
      </c>
      <c r="I543" s="28" t="inlineStr">
        <is>
          <t>NÃO</t>
        </is>
      </c>
      <c r="J543" s="29" t="n"/>
      <c r="K543" s="14" t="str">
        <f>IF(J543="","7. Acima de 2 km",IF(J543&lt;=50,"1. Até 50 m",IF(J543&lt;=100,"2. De 50 a 100 m",IF(J543&lt;=200,"3. De 100 a 200 m",IF(J543&lt;=300,"4. De 200 a 300 m",IF(J543&lt;=500,"5. De 300 a 500 m","6. De 500 m a 2 km"))))))</f>
        <v>7. Acima de 2 km</v>
      </c>
      <c r="L543" s="26" t="n">
        <v>0</v>
      </c>
      <c r="M543" s="26" t="n">
        <v>0</v>
      </c>
      <c r="N543" s="26" t="n">
        <v>0</v>
      </c>
      <c r="O543" s="26" t="n">
        <v>0</v>
      </c>
      <c r="P543" s="30" t="n">
        <v>-12.3384563</v>
      </c>
      <c r="Q543" s="30" t="n">
        <v>-38.4199267</v>
      </c>
      <c r="R543" s="14" t="inlineStr">
        <is>
          <t>AV. MINISTRO ERNESTO SIMÕES FILHO, Nº 370, BAIRRO BOA VISTA, CATU/BA</t>
        </is>
      </c>
      <c r="S543" s="26">
        <f>IF(A543=A542,0,1)</f>
        <v>0</v>
      </c>
      <c r="T543" s="26">
        <f>IF(COUNTIF($B$4:B543,B543)=1,1,0)</f>
        <v>0</v>
      </c>
    </row>
    <row r="544">
      <c r="A544" s="14" t="inlineStr">
        <is>
          <t>CATU</t>
        </is>
      </c>
      <c r="B544" s="26" t="n">
        <v>129</v>
      </c>
      <c r="C544" s="26" t="n">
        <v>1376</v>
      </c>
      <c r="D544" s="14" t="inlineStr">
        <is>
          <t>ESCOLA MUNICIPAL BARÃO DE CAMAÇARI</t>
        </is>
      </c>
      <c r="E544" s="14" t="inlineStr">
        <is>
          <t>BARÃO DE CAMAÇARI</t>
        </is>
      </c>
      <c r="F544" s="14" t="inlineStr">
        <is>
          <t>RUA BARÃO DE CAMAÇARI, 698</t>
        </is>
      </c>
      <c r="G544" s="27" t="inlineStr">
        <is>
          <t>48110-000</t>
        </is>
      </c>
      <c r="H544" s="15" t="n">
        <v>4</v>
      </c>
      <c r="I544" s="28" t="inlineStr">
        <is>
          <t>NÃO</t>
        </is>
      </c>
      <c r="J544" s="29" t="n">
        <v>151</v>
      </c>
      <c r="K544" s="14" t="str">
        <f>IF(J544="","7. Acima de 2 km",IF(J544&lt;=50,"1. Até 50 m",IF(J544&lt;=100,"2. De 50 a 100 m",IF(J544&lt;=200,"3. De 100 a 200 m",IF(J544&lt;=300,"4. De 200 a 300 m",IF(J544&lt;=500,"5. De 300 a 500 m","6. De 500 m a 2 km"))))))</f>
        <v>3. De 100 a 200 m</v>
      </c>
      <c r="L544" s="26" t="n">
        <v>0</v>
      </c>
      <c r="M544" s="26" t="n">
        <v>0</v>
      </c>
      <c r="N544" s="26" t="n">
        <v>5</v>
      </c>
      <c r="O544" s="26" t="n">
        <v>6</v>
      </c>
      <c r="P544" s="30" t="n">
        <v>-12.3530132</v>
      </c>
      <c r="Q544" s="30" t="n">
        <v>-38.3780699</v>
      </c>
      <c r="R544" s="14" t="inlineStr">
        <is>
          <t>AV. MINISTRO ERNESTO SIMÕES FILHO, Nº 370, BAIRRO BOA VISTA, CATU/BA</t>
        </is>
      </c>
      <c r="S544" s="26">
        <f>IF(A544=A543,0,1)</f>
        <v>0</v>
      </c>
      <c r="T544" s="26">
        <f>IF(COUNTIF($B$4:B544,B544)=1,1,0)</f>
        <v>0</v>
      </c>
    </row>
    <row r="545">
      <c r="A545" s="14" t="inlineStr">
        <is>
          <t>CATU</t>
        </is>
      </c>
      <c r="B545" s="26" t="n">
        <v>129</v>
      </c>
      <c r="C545" s="26" t="n">
        <v>1392</v>
      </c>
      <c r="D545" s="14" t="inlineStr">
        <is>
          <t>ESCOLA PROF. JORGE LUIZ FERREIRA TEIXEIRA</t>
        </is>
      </c>
      <c r="E545" s="14" t="inlineStr">
        <is>
          <t>PLANALTO I</t>
        </is>
      </c>
      <c r="F545" s="14" t="inlineStr">
        <is>
          <t>RUA PROF. JORGE LUIZ, SN - ZONA URBANA</t>
        </is>
      </c>
      <c r="G545" s="27" t="inlineStr">
        <is>
          <t>48110-000</t>
        </is>
      </c>
      <c r="H545" s="15" t="n">
        <v>5</v>
      </c>
      <c r="I545" s="28" t="inlineStr">
        <is>
          <t>NÃO</t>
        </is>
      </c>
      <c r="J545" s="29" t="n">
        <v>656.1</v>
      </c>
      <c r="K545" s="14" t="str">
        <f>IF(J545="","7. Acima de 2 km",IF(J545&lt;=50,"1. Até 50 m",IF(J545&lt;=100,"2. De 50 a 100 m",IF(J545&lt;=200,"3. De 100 a 200 m",IF(J545&lt;=300,"4. De 200 a 300 m",IF(J545&lt;=500,"5. De 300 a 500 m","6. De 500 m a 2 km"))))))</f>
        <v>6. De 500 m a 2 km</v>
      </c>
      <c r="L545" s="26" t="n">
        <v>0</v>
      </c>
      <c r="M545" s="26" t="n">
        <v>0</v>
      </c>
      <c r="N545" s="26" t="n">
        <v>0</v>
      </c>
      <c r="O545" s="26" t="n">
        <v>0</v>
      </c>
      <c r="P545" s="30" t="n">
        <v>-12.3787791</v>
      </c>
      <c r="Q545" s="30" t="n">
        <v>-38.3888205</v>
      </c>
      <c r="R545" s="14" t="inlineStr">
        <is>
          <t>AV. MINISTRO ERNESTO SIMÕES FILHO, Nº 370, BAIRRO BOA VISTA, CATU/BA</t>
        </is>
      </c>
      <c r="S545" s="26">
        <f>IF(A545=A544,0,1)</f>
        <v>0</v>
      </c>
      <c r="T545" s="26">
        <f>IF(COUNTIF($B$4:B545,B545)=1,1,0)</f>
        <v>0</v>
      </c>
    </row>
    <row r="546">
      <c r="A546" s="14" t="inlineStr">
        <is>
          <t>CATU</t>
        </is>
      </c>
      <c r="B546" s="26" t="n">
        <v>129</v>
      </c>
      <c r="C546" s="26" t="n">
        <v>1406</v>
      </c>
      <c r="D546" s="14" t="inlineStr">
        <is>
          <t>ESCOLA MUNICIPAL THEMISTOCLES CÉZAR GÓES</t>
        </is>
      </c>
      <c r="E546" s="14" t="inlineStr">
        <is>
          <t>BOM VIVER</t>
        </is>
      </c>
      <c r="F546" s="14" t="inlineStr">
        <is>
          <t>ALTO DA ESPERANÇA, SN - ZONA URBANA</t>
        </is>
      </c>
      <c r="G546" s="27" t="inlineStr">
        <is>
          <t>48110-000</t>
        </is>
      </c>
      <c r="H546" s="15" t="n">
        <v>4</v>
      </c>
      <c r="I546" s="28" t="inlineStr">
        <is>
          <t>SIM</t>
        </is>
      </c>
      <c r="J546" s="29" t="n">
        <v>49.1</v>
      </c>
      <c r="K546" s="14" t="str">
        <f>IF(J546="","7. Acima de 2 km",IF(J546&lt;=50,"1. Até 50 m",IF(J546&lt;=100,"2. De 50 a 100 m",IF(J546&lt;=200,"3. De 100 a 200 m",IF(J546&lt;=300,"4. De 200 a 300 m",IF(J546&lt;=500,"5. De 300 a 500 m","6. De 500 m a 2 km"))))))</f>
        <v>1. Até 50 m</v>
      </c>
      <c r="L546" s="26" t="n">
        <v>1</v>
      </c>
      <c r="M546" s="26" t="n">
        <v>1</v>
      </c>
      <c r="N546" s="26" t="n">
        <v>2</v>
      </c>
      <c r="O546" s="26" t="n">
        <v>2</v>
      </c>
      <c r="P546" s="30" t="n">
        <v>-12.3673912</v>
      </c>
      <c r="Q546" s="30" t="n">
        <v>-38.3846122</v>
      </c>
      <c r="R546" s="14" t="inlineStr">
        <is>
          <t>AV. MINISTRO ERNESTO SIMÕES FILHO, Nº 370, BAIRRO BOA VISTA, CATU/BA</t>
        </is>
      </c>
      <c r="S546" s="26">
        <f>IF(A546=A545,0,1)</f>
        <v>0</v>
      </c>
      <c r="T546" s="26">
        <f>IF(COUNTIF($B$4:B546,B546)=1,1,0)</f>
        <v>0</v>
      </c>
    </row>
    <row r="547">
      <c r="A547" s="14" t="inlineStr">
        <is>
          <t>CATU</t>
        </is>
      </c>
      <c r="B547" s="26" t="n">
        <v>129</v>
      </c>
      <c r="C547" s="26" t="n">
        <v>1430</v>
      </c>
      <c r="D547" s="14" t="inlineStr">
        <is>
          <t>ESCOLA MUNICIPAL NAIR ALVES DE ALMEIDA</t>
        </is>
      </c>
      <c r="E547" s="14" t="inlineStr">
        <is>
          <t>PLANALTO II</t>
        </is>
      </c>
      <c r="F547" s="14" t="inlineStr">
        <is>
          <t>RUA DOS JASMINS, 368 - ZONA URBANA</t>
        </is>
      </c>
      <c r="G547" s="27" t="inlineStr">
        <is>
          <t>48110-000</t>
        </is>
      </c>
      <c r="H547" s="15" t="n">
        <v>5</v>
      </c>
      <c r="I547" s="28" t="inlineStr">
        <is>
          <t>NÃO</t>
        </is>
      </c>
      <c r="J547" s="29" t="n">
        <v>595.7</v>
      </c>
      <c r="K547" s="14" t="str">
        <f>IF(J547="","7. Acima de 2 km",IF(J547&lt;=50,"1. Até 50 m",IF(J547&lt;=100,"2. De 50 a 100 m",IF(J547&lt;=200,"3. De 100 a 200 m",IF(J547&lt;=300,"4. De 200 a 300 m",IF(J547&lt;=500,"5. De 300 a 500 m","6. De 500 m a 2 km"))))))</f>
        <v>6. De 500 m a 2 km</v>
      </c>
      <c r="L547" s="26" t="n">
        <v>0</v>
      </c>
      <c r="M547" s="26" t="n">
        <v>0</v>
      </c>
      <c r="N547" s="26" t="n">
        <v>0</v>
      </c>
      <c r="O547" s="26" t="n">
        <v>0</v>
      </c>
      <c r="P547" s="30" t="n">
        <v>-12.3761851</v>
      </c>
      <c r="Q547" s="30" t="n">
        <v>-38.3811387</v>
      </c>
      <c r="R547" s="14" t="inlineStr">
        <is>
          <t>AV. MINISTRO ERNESTO SIMÕES FILHO, Nº 370, BAIRRO BOA VISTA, CATU/BA</t>
        </is>
      </c>
      <c r="S547" s="26">
        <f>IF(A547=A546,0,1)</f>
        <v>0</v>
      </c>
      <c r="T547" s="26">
        <f>IF(COUNTIF($B$4:B547,B547)=1,1,0)</f>
        <v>0</v>
      </c>
    </row>
    <row r="548">
      <c r="A548" s="14" t="inlineStr">
        <is>
          <t>CATU</t>
        </is>
      </c>
      <c r="B548" s="26" t="n">
        <v>129</v>
      </c>
      <c r="C548" s="26" t="n">
        <v>1457</v>
      </c>
      <c r="D548" s="14" t="inlineStr">
        <is>
          <t>ESCOLA MUNICIPAL PROF.JECELINO JOSÉ NOGUEIRA</t>
        </is>
      </c>
      <c r="E548" s="14" t="inlineStr">
        <is>
          <t>BARÃO DE CAMAÇARI</t>
        </is>
      </c>
      <c r="F548" s="14" t="inlineStr">
        <is>
          <t>RUA BARÃO DE CAMAÇARI, S/N - ZONA URBANA</t>
        </is>
      </c>
      <c r="G548" s="27" t="inlineStr">
        <is>
          <t>48110-000</t>
        </is>
      </c>
      <c r="H548" s="15" t="n">
        <v>5</v>
      </c>
      <c r="I548" s="28" t="inlineStr">
        <is>
          <t>NÃO</t>
        </is>
      </c>
      <c r="J548" s="29" t="n">
        <v>385.9</v>
      </c>
      <c r="K548" s="14" t="str">
        <f>IF(J548="","7. Acima de 2 km",IF(J548&lt;=50,"1. Até 50 m",IF(J548&lt;=100,"2. De 50 a 100 m",IF(J548&lt;=200,"3. De 100 a 200 m",IF(J548&lt;=300,"4. De 200 a 300 m",IF(J548&lt;=500,"5. De 300 a 500 m","6. De 500 m a 2 km"))))))</f>
        <v>5. De 300 a 500 m</v>
      </c>
      <c r="L548" s="26" t="n">
        <v>0</v>
      </c>
      <c r="M548" s="26" t="n">
        <v>0</v>
      </c>
      <c r="N548" s="26" t="n">
        <v>0</v>
      </c>
      <c r="O548" s="26" t="n">
        <v>0</v>
      </c>
      <c r="P548" s="30" t="n">
        <v>-12.3566927</v>
      </c>
      <c r="Q548" s="30" t="n">
        <v>-38.3715318</v>
      </c>
      <c r="R548" s="14" t="inlineStr">
        <is>
          <t>AV. MINISTRO ERNESTO SIMÕES FILHO, Nº 370, BAIRRO BOA VISTA, CATU/BA</t>
        </is>
      </c>
      <c r="S548" s="26">
        <f>IF(A548=A547,0,1)</f>
        <v>0</v>
      </c>
      <c r="T548" s="26">
        <f>IF(COUNTIF($B$4:B548,B548)=1,1,0)</f>
        <v>0</v>
      </c>
    </row>
    <row r="549">
      <c r="A549" s="14" t="inlineStr">
        <is>
          <t>CRUZ DAS ALMAS</t>
        </is>
      </c>
      <c r="B549" s="26" t="n">
        <v>142</v>
      </c>
      <c r="C549" s="26" t="n">
        <v>1023</v>
      </c>
      <c r="D549" s="14" t="inlineStr">
        <is>
          <t>ESCOLA MUNICIPAL RECANTO FELIZ</t>
        </is>
      </c>
      <c r="E549" s="14" t="inlineStr">
        <is>
          <t>CENTRO</t>
        </is>
      </c>
      <c r="F549" s="14" t="inlineStr">
        <is>
          <t>AV JURACY MAGALHÃES - ZONA URBANA</t>
        </is>
      </c>
      <c r="G549" s="27" t="inlineStr">
        <is>
          <t>44380-000</t>
        </is>
      </c>
      <c r="H549" s="15" t="n">
        <v>2</v>
      </c>
      <c r="I549" s="28" t="inlineStr">
        <is>
          <t>NÃO</t>
        </is>
      </c>
      <c r="J549" s="29" t="n">
        <v>419.9</v>
      </c>
      <c r="K549" s="14" t="str">
        <f>IF(J549="","7. Acima de 2 km",IF(J549&lt;=50,"1. Até 50 m",IF(J549&lt;=100,"2. De 50 a 100 m",IF(J549&lt;=200,"3. De 100 a 200 m",IF(J549&lt;=300,"4. De 200 a 300 m",IF(J549&lt;=500,"5. De 300 a 500 m","6. De 500 m a 2 km"))))))</f>
        <v>5. De 300 a 500 m</v>
      </c>
      <c r="L549" s="26" t="n">
        <v>0</v>
      </c>
      <c r="M549" s="26" t="n">
        <v>0</v>
      </c>
      <c r="N549" s="26" t="n">
        <v>0</v>
      </c>
      <c r="O549" s="26" t="n">
        <v>0</v>
      </c>
      <c r="P549" s="30" t="n">
        <v>-12.668433</v>
      </c>
      <c r="Q549" s="30" t="n">
        <v>-39.1054708</v>
      </c>
      <c r="R549" s="14" t="inlineStr">
        <is>
          <t>RUA CLODOALDO GOMES DA COSTA, Nº 370, MIRADOURO, CRUZ DAS ALMAS/BA</t>
        </is>
      </c>
      <c r="S549" s="26">
        <f>IF(A549=A548,0,1)</f>
        <v>1</v>
      </c>
      <c r="T549" s="26">
        <f>IF(COUNTIF($B$4:B549,B549)=1,1,0)</f>
        <v>1</v>
      </c>
    </row>
    <row r="550">
      <c r="A550" s="14" t="inlineStr">
        <is>
          <t>CRUZ DAS ALMAS</t>
        </is>
      </c>
      <c r="B550" s="26" t="n">
        <v>142</v>
      </c>
      <c r="C550" s="26" t="n">
        <v>1031</v>
      </c>
      <c r="D550" s="14" t="inlineStr">
        <is>
          <t>GRUPO ESCOLAR MARIA PEIXOTO BARBOSA</t>
        </is>
      </c>
      <c r="E550" s="14" t="inlineStr">
        <is>
          <t>SUZANA</t>
        </is>
      </c>
      <c r="F550" s="14" t="inlineStr">
        <is>
          <t>RUA CLODOALDO GOMES DA COSTA - ZONA URBANA</t>
        </is>
      </c>
      <c r="G550" s="27" t="inlineStr">
        <is>
          <t>44380-000</t>
        </is>
      </c>
      <c r="H550" s="15" t="n">
        <v>8</v>
      </c>
      <c r="I550" s="28" t="inlineStr">
        <is>
          <t>NÃO</t>
        </is>
      </c>
      <c r="J550" s="29" t="n">
        <v>270.4</v>
      </c>
      <c r="K550" s="14" t="str">
        <f>IF(J550="","7. Acima de 2 km",IF(J550&lt;=50,"1. Até 50 m",IF(J550&lt;=100,"2. De 50 a 100 m",IF(J550&lt;=200,"3. De 100 a 200 m",IF(J550&lt;=300,"4. De 200 a 300 m",IF(J550&lt;=500,"5. De 300 a 500 m","6. De 500 m a 2 km"))))))</f>
        <v>4. De 200 a 300 m</v>
      </c>
      <c r="L550" s="26" t="n">
        <v>0</v>
      </c>
      <c r="M550" s="26" t="n">
        <v>0</v>
      </c>
      <c r="N550" s="26" t="n">
        <v>0</v>
      </c>
      <c r="O550" s="26" t="n">
        <v>1</v>
      </c>
      <c r="P550" s="30" t="n">
        <v>-12.6733341</v>
      </c>
      <c r="Q550" s="30" t="n">
        <v>-39.0991217</v>
      </c>
      <c r="R550" s="14" t="inlineStr">
        <is>
          <t>RUA CLODOALDO GOMES DA COSTA, Nº 370, MIRADOURO, CRUZ DAS ALMAS/BA</t>
        </is>
      </c>
      <c r="S550" s="26">
        <f>IF(A550=A549,0,1)</f>
        <v>0</v>
      </c>
      <c r="T550" s="26">
        <f>IF(COUNTIF($B$4:B550,B550)=1,1,0)</f>
        <v>0</v>
      </c>
    </row>
    <row r="551">
      <c r="A551" s="14" t="inlineStr">
        <is>
          <t>CRUZ DAS ALMAS</t>
        </is>
      </c>
      <c r="B551" s="26" t="n">
        <v>142</v>
      </c>
      <c r="C551" s="26" t="n">
        <v>1040</v>
      </c>
      <c r="D551" s="14" t="inlineStr">
        <is>
          <t>PRÉDIO DA FILARMÔNICA LIRA GUARANY</t>
        </is>
      </c>
      <c r="E551" s="14" t="inlineStr">
        <is>
          <t>CENTRO</t>
        </is>
      </c>
      <c r="F551" s="14" t="inlineStr">
        <is>
          <t>RUA MANOEL VILABOIM - ZONA URBANA</t>
        </is>
      </c>
      <c r="G551" s="27" t="inlineStr">
        <is>
          <t>44380-000</t>
        </is>
      </c>
      <c r="H551" s="15" t="n">
        <v>2</v>
      </c>
      <c r="I551" s="28" t="inlineStr">
        <is>
          <t>NÃO</t>
        </is>
      </c>
      <c r="J551" s="29" t="n">
        <v>144.1</v>
      </c>
      <c r="K551" s="14" t="str">
        <f>IF(J551="","7. Acima de 2 km",IF(J551&lt;=50,"1. Até 50 m",IF(J551&lt;=100,"2. De 50 a 100 m",IF(J551&lt;=200,"3. De 100 a 200 m",IF(J551&lt;=300,"4. De 200 a 300 m",IF(J551&lt;=500,"5. De 300 a 500 m","6. De 500 m a 2 km"))))))</f>
        <v>3. De 100 a 200 m</v>
      </c>
      <c r="L551" s="26" t="n">
        <v>0</v>
      </c>
      <c r="M551" s="26" t="n">
        <v>0</v>
      </c>
      <c r="N551" s="26" t="n">
        <v>1</v>
      </c>
      <c r="O551" s="26" t="n">
        <v>4</v>
      </c>
      <c r="P551" s="30" t="n">
        <v>-12.6742263</v>
      </c>
      <c r="Q551" s="30" t="n">
        <v>-39.1002399</v>
      </c>
      <c r="R551" s="14" t="inlineStr">
        <is>
          <t>RUA CLODOALDO GOMES DA COSTA, Nº 370, MIRADOURO, CRUZ DAS ALMAS/BA</t>
        </is>
      </c>
      <c r="S551" s="26">
        <f>IF(A551=A550,0,1)</f>
        <v>0</v>
      </c>
      <c r="T551" s="26">
        <f>IF(COUNTIF($B$4:B551,B551)=1,1,0)</f>
        <v>0</v>
      </c>
    </row>
    <row r="552">
      <c r="A552" s="14" t="inlineStr">
        <is>
          <t>CRUZ DAS ALMAS</t>
        </is>
      </c>
      <c r="B552" s="26" t="n">
        <v>142</v>
      </c>
      <c r="C552" s="26" t="n">
        <v>1058</v>
      </c>
      <c r="D552" s="14" t="inlineStr">
        <is>
          <t>CENTRO EDUCACIONAL CRUZALMENSE - CEC</t>
        </is>
      </c>
      <c r="E552" s="14" t="inlineStr">
        <is>
          <t>CENTRO</t>
        </is>
      </c>
      <c r="F552" s="14" t="inlineStr">
        <is>
          <t>AV. JURACY MAGALHÃES - ZONA URBANA</t>
        </is>
      </c>
      <c r="G552" s="27" t="inlineStr">
        <is>
          <t>44380-000</t>
        </is>
      </c>
      <c r="H552" s="15" t="n">
        <v>7</v>
      </c>
      <c r="I552" s="28" t="inlineStr">
        <is>
          <t>NÃO</t>
        </is>
      </c>
      <c r="J552" s="29" t="n">
        <v>400.3</v>
      </c>
      <c r="K552" s="14" t="str">
        <f>IF(J552="","7. Acima de 2 km",IF(J552&lt;=50,"1. Até 50 m",IF(J552&lt;=100,"2. De 50 a 100 m",IF(J552&lt;=200,"3. De 100 a 200 m",IF(J552&lt;=300,"4. De 200 a 300 m",IF(J552&lt;=500,"5. De 300 a 500 m","6. De 500 m a 2 km"))))))</f>
        <v>5. De 300 a 500 m</v>
      </c>
      <c r="L552" s="26" t="n">
        <v>0</v>
      </c>
      <c r="M552" s="26" t="n">
        <v>0</v>
      </c>
      <c r="N552" s="26" t="n">
        <v>0</v>
      </c>
      <c r="O552" s="26" t="n">
        <v>0</v>
      </c>
      <c r="P552" s="30" t="n">
        <v>-12.6686631</v>
      </c>
      <c r="Q552" s="30" t="n">
        <v>-39.105894</v>
      </c>
      <c r="R552" s="14" t="inlineStr">
        <is>
          <t>RUA CLODOALDO GOMES DA COSTA, Nº 370, MIRADOURO, CRUZ DAS ALMAS/BA</t>
        </is>
      </c>
      <c r="S552" s="26">
        <f>IF(A552=A551,0,1)</f>
        <v>0</v>
      </c>
      <c r="T552" s="26">
        <f>IF(COUNTIF($B$4:B552,B552)=1,1,0)</f>
        <v>0</v>
      </c>
    </row>
    <row r="553">
      <c r="A553" s="14" t="inlineStr">
        <is>
          <t>CRUZ DAS ALMAS</t>
        </is>
      </c>
      <c r="B553" s="26" t="n">
        <v>142</v>
      </c>
      <c r="C553" s="26" t="n">
        <v>1066</v>
      </c>
      <c r="D553" s="14" t="inlineStr">
        <is>
          <t>ESCOLA MUNICIPAL EDIVALDO MACHADO BOAVENTURA</t>
        </is>
      </c>
      <c r="E553" s="14" t="inlineStr">
        <is>
          <t>ALBERTO PASSOS</t>
        </is>
      </c>
      <c r="F553" s="14" t="inlineStr">
        <is>
          <t>RUA AGNELO GONÇALVES DE OLIVEIRA - ZONA URBANA</t>
        </is>
      </c>
      <c r="G553" s="27" t="inlineStr">
        <is>
          <t>44380-000</t>
        </is>
      </c>
      <c r="H553" s="15" t="n">
        <v>6</v>
      </c>
      <c r="I553" s="28" t="inlineStr">
        <is>
          <t>NÃO</t>
        </is>
      </c>
      <c r="J553" s="29" t="n">
        <v>490.8</v>
      </c>
      <c r="K553" s="14" t="str">
        <f>IF(J553="","7. Acima de 2 km",IF(J553&lt;=50,"1. Até 50 m",IF(J553&lt;=100,"2. De 50 a 100 m",IF(J553&lt;=200,"3. De 100 a 200 m",IF(J553&lt;=300,"4. De 200 a 300 m",IF(J553&lt;=500,"5. De 300 a 500 m","6. De 500 m a 2 km"))))))</f>
        <v>5. De 300 a 500 m</v>
      </c>
      <c r="L553" s="26" t="n">
        <v>0</v>
      </c>
      <c r="M553" s="26" t="n">
        <v>0</v>
      </c>
      <c r="N553" s="26" t="n">
        <v>0</v>
      </c>
      <c r="O553" s="26" t="n">
        <v>0</v>
      </c>
      <c r="P553" s="30" t="n">
        <v>-12.6778805</v>
      </c>
      <c r="Q553" s="30" t="n">
        <v>-39.0963367</v>
      </c>
      <c r="R553" s="14" t="inlineStr">
        <is>
          <t>RUA CLODOALDO GOMES DA COSTA, Nº 370, MIRADOURO, CRUZ DAS ALMAS/BA</t>
        </is>
      </c>
      <c r="S553" s="26">
        <f>IF(A553=A552,0,1)</f>
        <v>0</v>
      </c>
      <c r="T553" s="26">
        <f>IF(COUNTIF($B$4:B553,B553)=1,1,0)</f>
        <v>0</v>
      </c>
    </row>
    <row r="554">
      <c r="A554" s="14" t="inlineStr">
        <is>
          <t>CRUZ DAS ALMAS</t>
        </is>
      </c>
      <c r="B554" s="26" t="n">
        <v>142</v>
      </c>
      <c r="C554" s="26" t="n">
        <v>1074</v>
      </c>
      <c r="D554" s="14" t="inlineStr">
        <is>
          <t>PRÉDIO ESCOLAR COMENDADOR TEMÍSTOCLES</t>
        </is>
      </c>
      <c r="E554" s="14" t="inlineStr">
        <is>
          <t>CENTRO</t>
        </is>
      </c>
      <c r="F554" s="14" t="inlineStr">
        <is>
          <t>AV. ALBERTO PASSOS - ZONA URBANA</t>
        </is>
      </c>
      <c r="G554" s="27" t="inlineStr">
        <is>
          <t>44380-000</t>
        </is>
      </c>
      <c r="H554" s="15" t="n">
        <v>3</v>
      </c>
      <c r="I554" s="28" t="inlineStr">
        <is>
          <t>SIM</t>
        </is>
      </c>
      <c r="J554" s="29" t="n">
        <v>31.3</v>
      </c>
      <c r="K554" s="14" t="str">
        <f>IF(J554="","7. Acima de 2 km",IF(J554&lt;=50,"1. Até 50 m",IF(J554&lt;=100,"2. De 50 a 100 m",IF(J554&lt;=200,"3. De 100 a 200 m",IF(J554&lt;=300,"4. De 200 a 300 m",IF(J554&lt;=500,"5. De 300 a 500 m","6. De 500 m a 2 km"))))))</f>
        <v>1. Até 50 m</v>
      </c>
      <c r="L554" s="26" t="n">
        <v>1</v>
      </c>
      <c r="M554" s="26" t="n">
        <v>1</v>
      </c>
      <c r="N554" s="26" t="n">
        <v>2</v>
      </c>
      <c r="O554" s="26" t="n">
        <v>3</v>
      </c>
      <c r="P554" s="30" t="n">
        <v>-12.6721458</v>
      </c>
      <c r="Q554" s="30" t="n">
        <v>-39.1040604</v>
      </c>
      <c r="R554" s="14" t="inlineStr">
        <is>
          <t>RUA CLODOALDO GOMES DA COSTA, Nº 370, MIRADOURO, CRUZ DAS ALMAS/BA</t>
        </is>
      </c>
      <c r="S554" s="26">
        <f>IF(A554=A553,0,1)</f>
        <v>0</v>
      </c>
      <c r="T554" s="26">
        <f>IF(COUNTIF($B$4:B554,B554)=1,1,0)</f>
        <v>0</v>
      </c>
    </row>
    <row r="555">
      <c r="A555" s="14" t="inlineStr">
        <is>
          <t>CRUZ DAS ALMAS</t>
        </is>
      </c>
      <c r="B555" s="26" t="n">
        <v>142</v>
      </c>
      <c r="C555" s="26" t="n">
        <v>1090</v>
      </c>
      <c r="D555" s="14" t="inlineStr">
        <is>
          <t>COLÉGIO MONSENHOR NEIVA</t>
        </is>
      </c>
      <c r="E555" s="14" t="inlineStr">
        <is>
          <t>BONSUCESSO</t>
        </is>
      </c>
      <c r="F555" s="14" t="inlineStr">
        <is>
          <t>PARQUE SUMAÚMA - ZONA URBANA</t>
        </is>
      </c>
      <c r="G555" s="27" t="inlineStr">
        <is>
          <t>44380-000</t>
        </is>
      </c>
      <c r="H555" s="15" t="n">
        <v>6</v>
      </c>
      <c r="I555" s="28" t="inlineStr">
        <is>
          <t>NÃO</t>
        </is>
      </c>
      <c r="J555" s="29" t="n">
        <v>581.2</v>
      </c>
      <c r="K555" s="14" t="str">
        <f>IF(J555="","7. Acima de 2 km",IF(J555&lt;=50,"1. Até 50 m",IF(J555&lt;=100,"2. De 50 a 100 m",IF(J555&lt;=200,"3. De 100 a 200 m",IF(J555&lt;=300,"4. De 200 a 300 m",IF(J555&lt;=500,"5. De 300 a 500 m","6. De 500 m a 2 km"))))))</f>
        <v>6. De 500 m a 2 km</v>
      </c>
      <c r="L555" s="26" t="n">
        <v>0</v>
      </c>
      <c r="M555" s="26" t="n">
        <v>0</v>
      </c>
      <c r="N555" s="26" t="n">
        <v>0</v>
      </c>
      <c r="O555" s="26" t="n">
        <v>0</v>
      </c>
      <c r="P555" s="30" t="n">
        <v>-12.6770818</v>
      </c>
      <c r="Q555" s="30" t="n">
        <v>-39.1085372</v>
      </c>
      <c r="R555" s="14" t="inlineStr">
        <is>
          <t>RUA CLODOALDO GOMES DA COSTA, Nº 370, MIRADOURO, CRUZ DAS ALMAS/BA</t>
        </is>
      </c>
      <c r="S555" s="26">
        <f>IF(A555=A554,0,1)</f>
        <v>0</v>
      </c>
      <c r="T555" s="26">
        <f>IF(COUNTIF($B$4:B555,B555)=1,1,0)</f>
        <v>0</v>
      </c>
    </row>
    <row r="556">
      <c r="A556" s="14" t="inlineStr">
        <is>
          <t>CRUZ DAS ALMAS</t>
        </is>
      </c>
      <c r="B556" s="26" t="n">
        <v>142</v>
      </c>
      <c r="C556" s="26" t="n">
        <v>1120</v>
      </c>
      <c r="D556" s="14" t="inlineStr">
        <is>
          <t>BIBLIOTECA MUNICIPAL DE CRUZ DAS ALMAS</t>
        </is>
      </c>
      <c r="E556" s="14" t="inlineStr">
        <is>
          <t>CENTRO</t>
        </is>
      </c>
      <c r="F556" s="14" t="inlineStr">
        <is>
          <t>RUA 31 MARÇO - ZONA URBANA</t>
        </is>
      </c>
      <c r="G556" s="27" t="inlineStr">
        <is>
          <t>44380-000</t>
        </is>
      </c>
      <c r="H556" s="15" t="n">
        <v>6</v>
      </c>
      <c r="I556" s="28" t="inlineStr">
        <is>
          <t>NÃO</t>
        </is>
      </c>
      <c r="J556" s="29" t="n">
        <v>282.1</v>
      </c>
      <c r="K556" s="14" t="str">
        <f>IF(J556="","7. Acima de 2 km",IF(J556&lt;=50,"1. Até 50 m",IF(J556&lt;=100,"2. De 50 a 100 m",IF(J556&lt;=200,"3. De 100 a 200 m",IF(J556&lt;=300,"4. De 200 a 300 m",IF(J556&lt;=500,"5. De 300 a 500 m","6. De 500 m a 2 km"))))))</f>
        <v>4. De 200 a 300 m</v>
      </c>
      <c r="L556" s="26" t="n">
        <v>0</v>
      </c>
      <c r="M556" s="26" t="n">
        <v>0</v>
      </c>
      <c r="N556" s="26" t="n">
        <v>0</v>
      </c>
      <c r="O556" s="26" t="n">
        <v>1</v>
      </c>
      <c r="P556" s="30" t="n">
        <v>-12.6699826</v>
      </c>
      <c r="Q556" s="30" t="n">
        <v>-39.1013322</v>
      </c>
      <c r="R556" s="14" t="inlineStr">
        <is>
          <t>RUA CLODOALDO GOMES DA COSTA, Nº 370, MIRADOURO, CRUZ DAS ALMAS/BA</t>
        </is>
      </c>
      <c r="S556" s="26">
        <f>IF(A556=A555,0,1)</f>
        <v>0</v>
      </c>
      <c r="T556" s="26">
        <f>IF(COUNTIF($B$4:B556,B556)=1,1,0)</f>
        <v>0</v>
      </c>
    </row>
    <row r="557">
      <c r="A557" s="14" t="inlineStr">
        <is>
          <t>CRUZ DAS ALMAS</t>
        </is>
      </c>
      <c r="B557" s="26" t="n">
        <v>142</v>
      </c>
      <c r="C557" s="26" t="n">
        <v>1147</v>
      </c>
      <c r="D557" s="14" t="inlineStr">
        <is>
          <t>ESCOLA MUNICIPAL CARMELITO BARBOSA ALVES</t>
        </is>
      </c>
      <c r="E557" s="14" t="inlineStr">
        <is>
          <t>SUZANA</t>
        </is>
      </c>
      <c r="F557" s="14" t="inlineStr">
        <is>
          <t>RUA 29 DE JULHO - ZONA URBANA</t>
        </is>
      </c>
      <c r="G557" s="27" t="inlineStr">
        <is>
          <t>44380-000</t>
        </is>
      </c>
      <c r="H557" s="15" t="n">
        <v>4</v>
      </c>
      <c r="I557" s="28" t="inlineStr">
        <is>
          <t>NÃO</t>
        </is>
      </c>
      <c r="J557" s="29" t="n">
        <v>311.7</v>
      </c>
      <c r="K557" s="14" t="str">
        <f>IF(J557="","7. Acima de 2 km",IF(J557&lt;=50,"1. Até 50 m",IF(J557&lt;=100,"2. De 50 a 100 m",IF(J557&lt;=200,"3. De 100 a 200 m",IF(J557&lt;=300,"4. De 200 a 300 m",IF(J557&lt;=500,"5. De 300 a 500 m","6. De 500 m a 2 km"))))))</f>
        <v>5. De 300 a 500 m</v>
      </c>
      <c r="L557" s="26" t="n">
        <v>0</v>
      </c>
      <c r="M557" s="26" t="n">
        <v>0</v>
      </c>
      <c r="N557" s="26" t="n">
        <v>0</v>
      </c>
      <c r="O557" s="26" t="n">
        <v>0</v>
      </c>
      <c r="P557" s="30" t="n">
        <v>-12.6727056</v>
      </c>
      <c r="Q557" s="30" t="n">
        <v>-39.0989571</v>
      </c>
      <c r="R557" s="14" t="inlineStr">
        <is>
          <t>RUA CLODOALDO GOMES DA COSTA, Nº 370, MIRADOURO, CRUZ DAS ALMAS/BA</t>
        </is>
      </c>
      <c r="S557" s="26">
        <f>IF(A557=A556,0,1)</f>
        <v>0</v>
      </c>
      <c r="T557" s="26">
        <f>IF(COUNTIF($B$4:B557,B557)=1,1,0)</f>
        <v>0</v>
      </c>
    </row>
    <row r="558">
      <c r="A558" s="14" t="inlineStr">
        <is>
          <t>CRUZ DAS ALMAS</t>
        </is>
      </c>
      <c r="B558" s="26" t="n">
        <v>142</v>
      </c>
      <c r="C558" s="26" t="n">
        <v>1163</v>
      </c>
      <c r="D558" s="14" t="inlineStr">
        <is>
          <t>CETEP ALBERTO TORRES</t>
        </is>
      </c>
      <c r="E558" s="14" t="inlineStr">
        <is>
          <t>CENTRO</t>
        </is>
      </c>
      <c r="F558" s="14" t="inlineStr">
        <is>
          <t>RUA RUI BARBOSA, N 832 - ZONA URBANA</t>
        </is>
      </c>
      <c r="G558" s="27" t="inlineStr">
        <is>
          <t>44380-000</t>
        </is>
      </c>
      <c r="H558" s="15" t="n">
        <v>15</v>
      </c>
      <c r="I558" s="28" t="inlineStr">
        <is>
          <t>NÃO</t>
        </is>
      </c>
      <c r="J558" s="29" t="n">
        <v>119.8</v>
      </c>
      <c r="K558" s="14" t="str">
        <f>IF(J558="","7. Acima de 2 km",IF(J558&lt;=50,"1. Até 50 m",IF(J558&lt;=100,"2. De 50 a 100 m",IF(J558&lt;=200,"3. De 100 a 200 m",IF(J558&lt;=300,"4. De 200 a 300 m",IF(J558&lt;=500,"5. De 300 a 500 m","6. De 500 m a 2 km"))))))</f>
        <v>3. De 100 a 200 m</v>
      </c>
      <c r="L558" s="26" t="n">
        <v>0</v>
      </c>
      <c r="M558" s="26" t="n">
        <v>0</v>
      </c>
      <c r="N558" s="26" t="n">
        <v>2</v>
      </c>
      <c r="O558" s="26" t="n">
        <v>2</v>
      </c>
      <c r="P558" s="30" t="n">
        <v>-12.6628784</v>
      </c>
      <c r="Q558" s="30" t="n">
        <v>-39.1004068</v>
      </c>
      <c r="R558" s="14" t="inlineStr">
        <is>
          <t>RUA CLODOALDO GOMES DA COSTA, Nº 370, MIRADOURO, CRUZ DAS ALMAS/BA</t>
        </is>
      </c>
      <c r="S558" s="26">
        <f>IF(A558=A557,0,1)</f>
        <v>0</v>
      </c>
      <c r="T558" s="26">
        <f>IF(COUNTIF($B$4:B558,B558)=1,1,0)</f>
        <v>0</v>
      </c>
    </row>
    <row r="559">
      <c r="A559" s="14" t="inlineStr">
        <is>
          <t>CRUZ DAS ALMAS</t>
        </is>
      </c>
      <c r="B559" s="26" t="n">
        <v>142</v>
      </c>
      <c r="C559" s="26" t="n">
        <v>1171</v>
      </c>
      <c r="D559" s="14" t="inlineStr">
        <is>
          <t>ESCOLA MUNICIPAL CLEMENTE MARIANI</t>
        </is>
      </c>
      <c r="E559" s="14" t="inlineStr">
        <is>
          <t>CENTRO</t>
        </is>
      </c>
      <c r="F559" s="14" t="inlineStr">
        <is>
          <t>RUA J.J. SEABRA - ZONA URBANA</t>
        </is>
      </c>
      <c r="G559" s="27" t="inlineStr">
        <is>
          <t>44380-000</t>
        </is>
      </c>
      <c r="H559" s="15" t="n">
        <v>4</v>
      </c>
      <c r="I559" s="28" t="inlineStr">
        <is>
          <t>NÃO</t>
        </is>
      </c>
      <c r="J559" s="29" t="n">
        <v>409.8</v>
      </c>
      <c r="K559" s="14" t="str">
        <f>IF(J559="","7. Acima de 2 km",IF(J559&lt;=50,"1. Até 50 m",IF(J559&lt;=100,"2. De 50 a 100 m",IF(J559&lt;=200,"3. De 100 a 200 m",IF(J559&lt;=300,"4. De 200 a 300 m",IF(J559&lt;=500,"5. De 300 a 500 m","6. De 500 m a 2 km"))))))</f>
        <v>5. De 300 a 500 m</v>
      </c>
      <c r="L559" s="26" t="n">
        <v>0</v>
      </c>
      <c r="M559" s="26" t="n">
        <v>0</v>
      </c>
      <c r="N559" s="26" t="n">
        <v>0</v>
      </c>
      <c r="O559" s="26" t="n">
        <v>0</v>
      </c>
      <c r="P559" s="30" t="n">
        <v>-12.6776189</v>
      </c>
      <c r="Q559" s="30" t="n">
        <v>-39.1047149</v>
      </c>
      <c r="R559" s="14" t="inlineStr">
        <is>
          <t>RUA CLODOALDO GOMES DA COSTA, Nº 370, MIRADOURO, CRUZ DAS ALMAS/BA</t>
        </is>
      </c>
      <c r="S559" s="26">
        <f>IF(A559=A558,0,1)</f>
        <v>0</v>
      </c>
      <c r="T559" s="26">
        <f>IF(COUNTIF($B$4:B559,B559)=1,1,0)</f>
        <v>0</v>
      </c>
    </row>
    <row r="560">
      <c r="A560" s="14" t="inlineStr">
        <is>
          <t>CRUZ DAS ALMAS</t>
        </is>
      </c>
      <c r="B560" s="26" t="n">
        <v>142</v>
      </c>
      <c r="C560" s="26" t="n">
        <v>1180</v>
      </c>
      <c r="D560" s="14" t="inlineStr">
        <is>
          <t>COLÉGIO MUNICIPAL JORGE GUERRA</t>
        </is>
      </c>
      <c r="E560" s="14" t="inlineStr">
        <is>
          <t>SANTA CRUZ</t>
        </is>
      </c>
      <c r="F560" s="14" t="inlineStr">
        <is>
          <t>RUA CRISÓGNO FERNANDES - ZONA URBANA</t>
        </is>
      </c>
      <c r="G560" s="27" t="inlineStr">
        <is>
          <t>44380-000</t>
        </is>
      </c>
      <c r="H560" s="15" t="n">
        <v>6</v>
      </c>
      <c r="I560" s="28" t="inlineStr">
        <is>
          <t>NÃO</t>
        </is>
      </c>
      <c r="J560" s="29" t="n">
        <v>715.3</v>
      </c>
      <c r="K560" s="14" t="str">
        <f>IF(J560="","7. Acima de 2 km",IF(J560&lt;=50,"1. Até 50 m",IF(J560&lt;=100,"2. De 50 a 100 m",IF(J560&lt;=200,"3. De 100 a 200 m",IF(J560&lt;=300,"4. De 200 a 300 m",IF(J560&lt;=500,"5. De 300 a 500 m","6. De 500 m a 2 km"))))))</f>
        <v>6. De 500 m a 2 km</v>
      </c>
      <c r="L560" s="26" t="n">
        <v>0</v>
      </c>
      <c r="M560" s="26" t="n">
        <v>0</v>
      </c>
      <c r="N560" s="26" t="n">
        <v>0</v>
      </c>
      <c r="O560" s="26" t="n">
        <v>0</v>
      </c>
      <c r="P560" s="30" t="n">
        <v>-12.6689824</v>
      </c>
      <c r="Q560" s="30" t="n">
        <v>-39.1130928</v>
      </c>
      <c r="R560" s="14" t="inlineStr">
        <is>
          <t>RUA CLODOALDO GOMES DA COSTA, Nº 370, MIRADOURO, CRUZ DAS ALMAS/BA</t>
        </is>
      </c>
      <c r="S560" s="26">
        <f>IF(A560=A559,0,1)</f>
        <v>0</v>
      </c>
      <c r="T560" s="26">
        <f>IF(COUNTIF($B$4:B560,B560)=1,1,0)</f>
        <v>0</v>
      </c>
    </row>
    <row r="561">
      <c r="A561" s="14" t="inlineStr">
        <is>
          <t>CRUZ DAS ALMAS</t>
        </is>
      </c>
      <c r="B561" s="26" t="n">
        <v>142</v>
      </c>
      <c r="C561" s="26" t="n">
        <v>1201</v>
      </c>
      <c r="D561" s="14" t="inlineStr">
        <is>
          <t>ESCOLA MUNICIPAL DE EMBIRA</t>
        </is>
      </c>
      <c r="E561" s="14" t="inlineStr">
        <is>
          <t>POVOADO EMBIRA</t>
        </is>
      </c>
      <c r="F561" s="14" t="inlineStr">
        <is>
          <t>POVOADO EMBIRA - ZONA RURAL</t>
        </is>
      </c>
      <c r="G561" s="27" t="inlineStr">
        <is>
          <t>44380-000</t>
        </is>
      </c>
      <c r="H561" s="15" t="n">
        <v>5</v>
      </c>
      <c r="I561" s="28" t="inlineStr">
        <is>
          <t>NÃO</t>
        </is>
      </c>
      <c r="J561" s="29" t="n"/>
      <c r="K561" s="14" t="str">
        <f>IF(J561="","7. Acima de 2 km",IF(J561&lt;=50,"1. Até 50 m",IF(J561&lt;=100,"2. De 50 a 100 m",IF(J561&lt;=200,"3. De 100 a 200 m",IF(J561&lt;=300,"4. De 200 a 300 m",IF(J561&lt;=500,"5. De 300 a 500 m","6. De 500 m a 2 km"))))))</f>
        <v>7. Acima de 2 km</v>
      </c>
      <c r="L561" s="26" t="n">
        <v>0</v>
      </c>
      <c r="M561" s="26" t="n">
        <v>0</v>
      </c>
      <c r="N561" s="26" t="n">
        <v>0</v>
      </c>
      <c r="O561" s="26" t="n">
        <v>0</v>
      </c>
      <c r="P561" s="30" t="n">
        <v>-12.6824608</v>
      </c>
      <c r="Q561" s="30" t="n">
        <v>-39.1430386</v>
      </c>
      <c r="R561" s="14" t="inlineStr">
        <is>
          <t>RUA CLODOALDO GOMES DA COSTA, Nº 370, MIRADOURO, CRUZ DAS ALMAS/BA</t>
        </is>
      </c>
      <c r="S561" s="26">
        <f>IF(A561=A560,0,1)</f>
        <v>0</v>
      </c>
      <c r="T561" s="26">
        <f>IF(COUNTIF($B$4:B561,B561)=1,1,0)</f>
        <v>0</v>
      </c>
    </row>
    <row r="562">
      <c r="A562" s="14" t="inlineStr">
        <is>
          <t>CRUZ DAS ALMAS</t>
        </is>
      </c>
      <c r="B562" s="26" t="n">
        <v>142</v>
      </c>
      <c r="C562" s="26" t="n">
        <v>1228</v>
      </c>
      <c r="D562" s="14" t="inlineStr">
        <is>
          <t>COLÉGIO ESTADUAL LANDULFO ALVES DE ALMEIDA</t>
        </is>
      </c>
      <c r="E562" s="14" t="inlineStr">
        <is>
          <t>ALBERTO PASSOS</t>
        </is>
      </c>
      <c r="F562" s="14" t="inlineStr">
        <is>
          <t>PRAÇA LANDULFO ALVES - ZONA URBANA</t>
        </is>
      </c>
      <c r="G562" s="27" t="inlineStr">
        <is>
          <t>44380-000</t>
        </is>
      </c>
      <c r="H562" s="15" t="n">
        <v>10</v>
      </c>
      <c r="I562" s="28" t="inlineStr">
        <is>
          <t>NÃO</t>
        </is>
      </c>
      <c r="J562" s="29" t="n">
        <v>365</v>
      </c>
      <c r="K562" s="14" t="str">
        <f>IF(J562="","7. Acima de 2 km",IF(J562&lt;=50,"1. Até 50 m",IF(J562&lt;=100,"2. De 50 a 100 m",IF(J562&lt;=200,"3. De 100 a 200 m",IF(J562&lt;=300,"4. De 200 a 300 m",IF(J562&lt;=500,"5. De 300 a 500 m","6. De 500 m a 2 km"))))))</f>
        <v>5. De 300 a 500 m</v>
      </c>
      <c r="L562" s="26" t="n">
        <v>0</v>
      </c>
      <c r="M562" s="26" t="n">
        <v>0</v>
      </c>
      <c r="N562" s="26" t="n">
        <v>0</v>
      </c>
      <c r="O562" s="26" t="n">
        <v>0</v>
      </c>
      <c r="P562" s="30" t="n">
        <v>-12.6777626</v>
      </c>
      <c r="Q562" s="30" t="n">
        <v>-39.0974938</v>
      </c>
      <c r="R562" s="14" t="inlineStr">
        <is>
          <t>RUA CLODOALDO GOMES DA COSTA, Nº 370, MIRADOURO, CRUZ DAS ALMAS/BA</t>
        </is>
      </c>
      <c r="S562" s="26">
        <f>IF(A562=A561,0,1)</f>
        <v>0</v>
      </c>
      <c r="T562" s="26">
        <f>IF(COUNTIF($B$4:B562,B562)=1,1,0)</f>
        <v>0</v>
      </c>
    </row>
    <row r="563">
      <c r="A563" s="14" t="inlineStr">
        <is>
          <t>CRUZ DAS ALMAS</t>
        </is>
      </c>
      <c r="B563" s="26" t="n">
        <v>142</v>
      </c>
      <c r="C563" s="26" t="n">
        <v>1236</v>
      </c>
      <c r="D563" s="14" t="inlineStr">
        <is>
          <t>ESCOLA MUNICIPAL FRANCISCA CONCEIÇÃO</t>
        </is>
      </c>
      <c r="E563" s="14" t="inlineStr">
        <is>
          <t>POVOADO PUMBA I</t>
        </is>
      </c>
      <c r="F563" s="14" t="inlineStr">
        <is>
          <t>POVOADO PUMBA - ZONA RURAL</t>
        </is>
      </c>
      <c r="G563" s="27" t="inlineStr">
        <is>
          <t>44380-000</t>
        </is>
      </c>
      <c r="H563" s="15" t="n">
        <v>2</v>
      </c>
      <c r="I563" s="28" t="inlineStr">
        <is>
          <t>NÃO</t>
        </is>
      </c>
      <c r="J563" s="29" t="n"/>
      <c r="K563" s="14" t="str">
        <f>IF(J563="","7. Acima de 2 km",IF(J563&lt;=50,"1. Até 50 m",IF(J563&lt;=100,"2. De 50 a 100 m",IF(J563&lt;=200,"3. De 100 a 200 m",IF(J563&lt;=300,"4. De 200 a 300 m",IF(J563&lt;=500,"5. De 300 a 500 m","6. De 500 m a 2 km"))))))</f>
        <v>7. Acima de 2 km</v>
      </c>
      <c r="L563" s="26" t="n">
        <v>0</v>
      </c>
      <c r="M563" s="26" t="n">
        <v>0</v>
      </c>
      <c r="N563" s="26" t="n">
        <v>0</v>
      </c>
      <c r="O563" s="26" t="n">
        <v>0</v>
      </c>
      <c r="P563" s="30" t="n">
        <v>-12.6505119</v>
      </c>
      <c r="Q563" s="30" t="n">
        <v>-39.1617239</v>
      </c>
      <c r="R563" s="14" t="inlineStr">
        <is>
          <t>RUA CLODOALDO GOMES DA COSTA, Nº 370, MIRADOURO, CRUZ DAS ALMAS/BA</t>
        </is>
      </c>
      <c r="S563" s="26">
        <f>IF(A563=A562,0,1)</f>
        <v>0</v>
      </c>
      <c r="T563" s="26">
        <f>IF(COUNTIF($B$4:B563,B563)=1,1,0)</f>
        <v>0</v>
      </c>
    </row>
    <row r="564">
      <c r="A564" s="14" t="inlineStr">
        <is>
          <t>CRUZ DAS ALMAS</t>
        </is>
      </c>
      <c r="B564" s="26" t="n">
        <v>142</v>
      </c>
      <c r="C564" s="26" t="n">
        <v>1252</v>
      </c>
      <c r="D564" s="14" t="inlineStr">
        <is>
          <t>COLÉGIO MUNICIPAL VIRGILDÁSIO SENA</t>
        </is>
      </c>
      <c r="E564" s="14" t="inlineStr">
        <is>
          <t>CENTRO</t>
        </is>
      </c>
      <c r="F564" s="14" t="inlineStr">
        <is>
          <t>RUA JURACY MAGALHÃES - ZONA URBANA</t>
        </is>
      </c>
      <c r="G564" s="27" t="inlineStr">
        <is>
          <t>44380-000</t>
        </is>
      </c>
      <c r="H564" s="15" t="n">
        <v>3</v>
      </c>
      <c r="I564" s="28" t="inlineStr">
        <is>
          <t>NÃO</t>
        </is>
      </c>
      <c r="J564" s="29" t="n">
        <v>436.8</v>
      </c>
      <c r="K564" s="14" t="str">
        <f>IF(J564="","7. Acima de 2 km",IF(J564&lt;=50,"1. Até 50 m",IF(J564&lt;=100,"2. De 50 a 100 m",IF(J564&lt;=200,"3. De 100 a 200 m",IF(J564&lt;=300,"4. De 200 a 300 m",IF(J564&lt;=500,"5. De 300 a 500 m","6. De 500 m a 2 km"))))))</f>
        <v>5. De 300 a 500 m</v>
      </c>
      <c r="L564" s="26" t="n">
        <v>0</v>
      </c>
      <c r="M564" s="26" t="n">
        <v>0</v>
      </c>
      <c r="N564" s="26" t="n">
        <v>0</v>
      </c>
      <c r="O564" s="26" t="n">
        <v>0</v>
      </c>
      <c r="P564" s="30" t="n">
        <v>-12.6681172</v>
      </c>
      <c r="Q564" s="30" t="n">
        <v>-39.1050281</v>
      </c>
      <c r="R564" s="14" t="inlineStr">
        <is>
          <t>RUA CLODOALDO GOMES DA COSTA, Nº 370, MIRADOURO, CRUZ DAS ALMAS/BA</t>
        </is>
      </c>
      <c r="S564" s="26">
        <f>IF(A564=A563,0,1)</f>
        <v>0</v>
      </c>
      <c r="T564" s="26">
        <f>IF(COUNTIF($B$4:B564,B564)=1,1,0)</f>
        <v>0</v>
      </c>
    </row>
    <row r="565">
      <c r="A565" s="14" t="inlineStr">
        <is>
          <t>CRUZ DAS ALMAS</t>
        </is>
      </c>
      <c r="B565" s="26" t="n">
        <v>142</v>
      </c>
      <c r="C565" s="26" t="n">
        <v>1260</v>
      </c>
      <c r="D565" s="14" t="inlineStr">
        <is>
          <t>ESCOLA MUNICIPAL AUGUSTO EUGÊNIO DA SILVEIRA</t>
        </is>
      </c>
      <c r="E565" s="14" t="inlineStr">
        <is>
          <t>POVOADO SAPUCAIA</t>
        </is>
      </c>
      <c r="F565" s="14" t="inlineStr">
        <is>
          <t>POVOADO SAPUCAIA - ZONA RURAL</t>
        </is>
      </c>
      <c r="G565" s="27" t="inlineStr">
        <is>
          <t>44380-000</t>
        </is>
      </c>
      <c r="H565" s="15" t="n">
        <v>3</v>
      </c>
      <c r="I565" s="28" t="inlineStr">
        <is>
          <t>NÃO</t>
        </is>
      </c>
      <c r="J565" s="29" t="n"/>
      <c r="K565" s="14" t="str">
        <f>IF(J565="","7. Acima de 2 km",IF(J565&lt;=50,"1. Até 50 m",IF(J565&lt;=100,"2. De 50 a 100 m",IF(J565&lt;=200,"3. De 100 a 200 m",IF(J565&lt;=300,"4. De 200 a 300 m",IF(J565&lt;=500,"5. De 300 a 500 m","6. De 500 m a 2 km"))))))</f>
        <v>7. Acima de 2 km</v>
      </c>
      <c r="L565" s="26" t="n">
        <v>0</v>
      </c>
      <c r="M565" s="26" t="n">
        <v>0</v>
      </c>
      <c r="N565" s="26" t="n">
        <v>0</v>
      </c>
      <c r="O565" s="26" t="n">
        <v>0</v>
      </c>
      <c r="P565" s="30" t="n">
        <v>-12.6603394</v>
      </c>
      <c r="Q565" s="30" t="n">
        <v>-39.0605087</v>
      </c>
      <c r="R565" s="14" t="inlineStr">
        <is>
          <t>RUA CLODOALDO GOMES DA COSTA, Nº 370, MIRADOURO, CRUZ DAS ALMAS/BA</t>
        </is>
      </c>
      <c r="S565" s="26">
        <f>IF(A565=A564,0,1)</f>
        <v>0</v>
      </c>
      <c r="T565" s="26">
        <f>IF(COUNTIF($B$4:B565,B565)=1,1,0)</f>
        <v>0</v>
      </c>
    </row>
    <row r="566">
      <c r="A566" s="14" t="inlineStr">
        <is>
          <t>CRUZ DAS ALMAS</t>
        </is>
      </c>
      <c r="B566" s="26" t="n">
        <v>142</v>
      </c>
      <c r="C566" s="26" t="n">
        <v>1279</v>
      </c>
      <c r="D566" s="14" t="inlineStr">
        <is>
          <t>COLÉGIO ESTADUAL DR. LAURO PASSOS</t>
        </is>
      </c>
      <c r="E566" s="14" t="inlineStr">
        <is>
          <t>ITAPICURU</t>
        </is>
      </c>
      <c r="F566" s="14" t="inlineStr">
        <is>
          <t>RUA 3 DO NÚCLEO HABITACIONAL DA URBIS - ZONA URBANA</t>
        </is>
      </c>
      <c r="G566" s="27" t="inlineStr">
        <is>
          <t>44380-000</t>
        </is>
      </c>
      <c r="H566" s="15" t="n">
        <v>8</v>
      </c>
      <c r="I566" s="28" t="inlineStr">
        <is>
          <t>NÃO</t>
        </is>
      </c>
      <c r="J566" s="29" t="n">
        <v>583.7</v>
      </c>
      <c r="K566" s="14" t="str">
        <f>IF(J566="","7. Acima de 2 km",IF(J566&lt;=50,"1. Até 50 m",IF(J566&lt;=100,"2. De 50 a 100 m",IF(J566&lt;=200,"3. De 100 a 200 m",IF(J566&lt;=300,"4. De 200 a 300 m",IF(J566&lt;=500,"5. De 300 a 500 m","6. De 500 m a 2 km"))))))</f>
        <v>6. De 500 m a 2 km</v>
      </c>
      <c r="L566" s="26" t="n">
        <v>0</v>
      </c>
      <c r="M566" s="26" t="n">
        <v>0</v>
      </c>
      <c r="N566" s="26" t="n">
        <v>0</v>
      </c>
      <c r="O566" s="26" t="n">
        <v>0</v>
      </c>
      <c r="P566" s="30" t="n">
        <v>-12.6591215</v>
      </c>
      <c r="Q566" s="30" t="n">
        <v>-39.1185177</v>
      </c>
      <c r="R566" s="14" t="inlineStr">
        <is>
          <t>RUA CLODOALDO GOMES DA COSTA, Nº 370, MIRADOURO, CRUZ DAS ALMAS/BA</t>
        </is>
      </c>
      <c r="S566" s="26">
        <f>IF(A566=A565,0,1)</f>
        <v>0</v>
      </c>
      <c r="T566" s="26">
        <f>IF(COUNTIF($B$4:B566,B566)=1,1,0)</f>
        <v>0</v>
      </c>
    </row>
    <row r="567">
      <c r="A567" s="14" t="inlineStr">
        <is>
          <t>CRUZ DAS ALMAS</t>
        </is>
      </c>
      <c r="B567" s="26" t="n">
        <v>142</v>
      </c>
      <c r="C567" s="26" t="n">
        <v>1295</v>
      </c>
      <c r="D567" s="14" t="inlineStr">
        <is>
          <t>ESCOLA MUNICIPAL HAMILTON RIBEIRO CERQUEIRA</t>
        </is>
      </c>
      <c r="E567" s="14" t="inlineStr">
        <is>
          <t>INOCOOP</t>
        </is>
      </c>
      <c r="F567" s="14" t="inlineStr">
        <is>
          <t>RUA ALEXANDRE FERREIRA DE SOUZA - ZONA URBANA</t>
        </is>
      </c>
      <c r="G567" s="27" t="inlineStr">
        <is>
          <t>44380-000</t>
        </is>
      </c>
      <c r="H567" s="15" t="n">
        <v>4</v>
      </c>
      <c r="I567" s="28" t="inlineStr">
        <is>
          <t>NÃO</t>
        </is>
      </c>
      <c r="J567" s="29" t="n">
        <v>348.5</v>
      </c>
      <c r="K567" s="14" t="str">
        <f>IF(J567="","7. Acima de 2 km",IF(J567&lt;=50,"1. Até 50 m",IF(J567&lt;=100,"2. De 50 a 100 m",IF(J567&lt;=200,"3. De 100 a 200 m",IF(J567&lt;=300,"4. De 200 a 300 m",IF(J567&lt;=500,"5. De 300 a 500 m","6. De 500 m a 2 km"))))))</f>
        <v>5. De 300 a 500 m</v>
      </c>
      <c r="L567" s="26" t="n">
        <v>0</v>
      </c>
      <c r="M567" s="26" t="n">
        <v>0</v>
      </c>
      <c r="N567" s="26" t="n">
        <v>0</v>
      </c>
      <c r="O567" s="26" t="n">
        <v>0</v>
      </c>
      <c r="P567" s="30" t="n">
        <v>-12.6583409</v>
      </c>
      <c r="Q567" s="30" t="n">
        <v>-39.1011591</v>
      </c>
      <c r="R567" s="14" t="inlineStr">
        <is>
          <t>RUA CLODOALDO GOMES DA COSTA, Nº 370, MIRADOURO, CRUZ DAS ALMAS/BA</t>
        </is>
      </c>
      <c r="S567" s="26">
        <f>IF(A567=A566,0,1)</f>
        <v>0</v>
      </c>
      <c r="T567" s="26">
        <f>IF(COUNTIF($B$4:B567,B567)=1,1,0)</f>
        <v>0</v>
      </c>
    </row>
    <row r="568">
      <c r="A568" s="14" t="inlineStr">
        <is>
          <t>CRUZ DAS ALMAS</t>
        </is>
      </c>
      <c r="B568" s="26" t="n">
        <v>142</v>
      </c>
      <c r="C568" s="26" t="n">
        <v>1309</v>
      </c>
      <c r="D568" s="14" t="inlineStr">
        <is>
          <t>GRUPO ESCOLAR MUNICIPAL JOÃO FIÚZA</t>
        </is>
      </c>
      <c r="E568" s="14" t="inlineStr">
        <is>
          <t>POVOADO PUMBA I</t>
        </is>
      </c>
      <c r="F568" s="14" t="inlineStr">
        <is>
          <t>POVOADO DA PUMBA - ZONA RURAL</t>
        </is>
      </c>
      <c r="G568" s="27" t="inlineStr">
        <is>
          <t>44380-000</t>
        </is>
      </c>
      <c r="H568" s="15" t="n">
        <v>3</v>
      </c>
      <c r="I568" s="28" t="inlineStr">
        <is>
          <t>NÃO</t>
        </is>
      </c>
      <c r="J568" s="29" t="n"/>
      <c r="K568" s="14" t="str">
        <f>IF(J568="","7. Acima de 2 km",IF(J568&lt;=50,"1. Até 50 m",IF(J568&lt;=100,"2. De 50 a 100 m",IF(J568&lt;=200,"3. De 100 a 200 m",IF(J568&lt;=300,"4. De 200 a 300 m",IF(J568&lt;=500,"5. De 300 a 500 m","6. De 500 m a 2 km"))))))</f>
        <v>7. Acima de 2 km</v>
      </c>
      <c r="L568" s="26" t="n">
        <v>0</v>
      </c>
      <c r="M568" s="26" t="n">
        <v>0</v>
      </c>
      <c r="N568" s="26" t="n">
        <v>0</v>
      </c>
      <c r="O568" s="26" t="n">
        <v>0</v>
      </c>
      <c r="P568" s="30" t="n">
        <v>-12.6517036</v>
      </c>
      <c r="Q568" s="30" t="n">
        <v>-39.1551151</v>
      </c>
      <c r="R568" s="14" t="inlineStr">
        <is>
          <t>RUA CLODOALDO GOMES DA COSTA, Nº 370, MIRADOURO, CRUZ DAS ALMAS/BA</t>
        </is>
      </c>
      <c r="S568" s="26">
        <f>IF(A568=A567,0,1)</f>
        <v>0</v>
      </c>
      <c r="T568" s="26">
        <f>IF(COUNTIF($B$4:B568,B568)=1,1,0)</f>
        <v>0</v>
      </c>
    </row>
    <row r="569">
      <c r="A569" s="14" t="inlineStr">
        <is>
          <t>CRUZ DAS ALMAS</t>
        </is>
      </c>
      <c r="B569" s="26" t="n">
        <v>142</v>
      </c>
      <c r="C569" s="26" t="n">
        <v>1376</v>
      </c>
      <c r="D569" s="14" t="inlineStr">
        <is>
          <t>ESCOLA MUNICIPAL VINTE E NOVE DE JULHO</t>
        </is>
      </c>
      <c r="E569" s="14" t="inlineStr">
        <is>
          <t>POVOADO BOCA DA MATA</t>
        </is>
      </c>
      <c r="F569" s="14" t="inlineStr">
        <is>
          <t>POVOADO  BOCA DA MATA - ZONA RURAL</t>
        </is>
      </c>
      <c r="G569" s="27" t="inlineStr">
        <is>
          <t>44380-000</t>
        </is>
      </c>
      <c r="H569" s="15" t="n">
        <v>3</v>
      </c>
      <c r="I569" s="28" t="inlineStr">
        <is>
          <t>NÃO</t>
        </is>
      </c>
      <c r="J569" s="29" t="n"/>
      <c r="K569" s="14" t="str">
        <f>IF(J569="","7. Acima de 2 km",IF(J569&lt;=50,"1. Até 50 m",IF(J569&lt;=100,"2. De 50 a 100 m",IF(J569&lt;=200,"3. De 100 a 200 m",IF(J569&lt;=300,"4. De 200 a 300 m",IF(J569&lt;=500,"5. De 300 a 500 m","6. De 500 m a 2 km"))))))</f>
        <v>7. Acima de 2 km</v>
      </c>
      <c r="L569" s="26" t="n">
        <v>0</v>
      </c>
      <c r="M569" s="26" t="n">
        <v>0</v>
      </c>
      <c r="N569" s="26" t="n">
        <v>0</v>
      </c>
      <c r="O569" s="26" t="n">
        <v>0</v>
      </c>
      <c r="P569" s="30" t="n">
        <v>-12.6807299</v>
      </c>
      <c r="Q569" s="30" t="n">
        <v>-39.1654495</v>
      </c>
      <c r="R569" s="14" t="inlineStr">
        <is>
          <t>RUA CLODOALDO GOMES DA COSTA, Nº 370, MIRADOURO, CRUZ DAS ALMAS/BA</t>
        </is>
      </c>
      <c r="S569" s="26">
        <f>IF(A569=A568,0,1)</f>
        <v>0</v>
      </c>
      <c r="T569" s="26">
        <f>IF(COUNTIF($B$4:B569,B569)=1,1,0)</f>
        <v>0</v>
      </c>
    </row>
    <row r="570">
      <c r="A570" s="14" t="inlineStr">
        <is>
          <t>CRUZ DAS ALMAS</t>
        </is>
      </c>
      <c r="B570" s="26" t="n">
        <v>142</v>
      </c>
      <c r="C570" s="26" t="n">
        <v>1392</v>
      </c>
      <c r="D570" s="14" t="inlineStr">
        <is>
          <t>COLÉGIO MUNICIPAL RAIMUNDO JEAN CAVALCANTE SILVA</t>
        </is>
      </c>
      <c r="E570" s="14" t="inlineStr">
        <is>
          <t>POVOADO ARAÇÁ</t>
        </is>
      </c>
      <c r="F570" s="14" t="inlineStr">
        <is>
          <t>POVOADO  ARAÇÁ - ZONA RURAL</t>
        </is>
      </c>
      <c r="G570" s="27" t="inlineStr">
        <is>
          <t>44380-000</t>
        </is>
      </c>
      <c r="H570" s="15" t="n">
        <v>2</v>
      </c>
      <c r="I570" s="28" t="inlineStr">
        <is>
          <t>NÃO</t>
        </is>
      </c>
      <c r="J570" s="29" t="n"/>
      <c r="K570" s="14" t="str">
        <f>IF(J570="","7. Acima de 2 km",IF(J570&lt;=50,"1. Até 50 m",IF(J570&lt;=100,"2. De 50 a 100 m",IF(J570&lt;=200,"3. De 100 a 200 m",IF(J570&lt;=300,"4. De 200 a 300 m",IF(J570&lt;=500,"5. De 300 a 500 m","6. De 500 m a 2 km"))))))</f>
        <v>7. Acima de 2 km</v>
      </c>
      <c r="L570" s="26" t="n">
        <v>0</v>
      </c>
      <c r="M570" s="26" t="n">
        <v>0</v>
      </c>
      <c r="N570" s="26" t="n">
        <v>0</v>
      </c>
      <c r="O570" s="26" t="n">
        <v>0</v>
      </c>
      <c r="P570" s="30" t="n">
        <v>-12.7330428</v>
      </c>
      <c r="Q570" s="30" t="n">
        <v>-39.1279459</v>
      </c>
      <c r="R570" s="14" t="inlineStr">
        <is>
          <t>RUA CLODOALDO GOMES DA COSTA, Nº 370, MIRADOURO, CRUZ DAS ALMAS/BA</t>
        </is>
      </c>
      <c r="S570" s="26">
        <f>IF(A570=A569,0,1)</f>
        <v>0</v>
      </c>
      <c r="T570" s="26">
        <f>IF(COUNTIF($B$4:B570,B570)=1,1,0)</f>
        <v>0</v>
      </c>
    </row>
    <row r="571">
      <c r="A571" s="14" t="inlineStr">
        <is>
          <t>CRUZ DAS ALMAS</t>
        </is>
      </c>
      <c r="B571" s="26" t="n">
        <v>142</v>
      </c>
      <c r="C571" s="26" t="n">
        <v>1406</v>
      </c>
      <c r="D571" s="14" t="inlineStr">
        <is>
          <t>ESCOLA MUNICIPAL 15 DE JANEIRO</t>
        </is>
      </c>
      <c r="E571" s="14" t="inlineStr">
        <is>
          <t>POVOADO TOQUINHA</t>
        </is>
      </c>
      <c r="F571" s="14" t="inlineStr">
        <is>
          <t>RUA MANOEL GARRINCHA, S/N - ZONA RURAL</t>
        </is>
      </c>
      <c r="G571" s="27" t="inlineStr">
        <is>
          <t>44380-000</t>
        </is>
      </c>
      <c r="H571" s="15" t="n">
        <v>4</v>
      </c>
      <c r="I571" s="28" t="inlineStr">
        <is>
          <t>NÃO</t>
        </is>
      </c>
      <c r="J571" s="29" t="n">
        <v>932</v>
      </c>
      <c r="K571" s="14" t="str">
        <f>IF(J571="","7. Acima de 2 km",IF(J571&lt;=50,"1. Até 50 m",IF(J571&lt;=100,"2. De 50 a 100 m",IF(J571&lt;=200,"3. De 100 a 200 m",IF(J571&lt;=300,"4. De 200 a 300 m",IF(J571&lt;=500,"5. De 300 a 500 m","6. De 500 m a 2 km"))))))</f>
        <v>6. De 500 m a 2 km</v>
      </c>
      <c r="L571" s="26" t="n">
        <v>0</v>
      </c>
      <c r="M571" s="26" t="n">
        <v>0</v>
      </c>
      <c r="N571" s="26" t="n">
        <v>0</v>
      </c>
      <c r="O571" s="26" t="n">
        <v>0</v>
      </c>
      <c r="P571" s="30" t="n">
        <v>-12.6631627</v>
      </c>
      <c r="Q571" s="30" t="n">
        <v>-39.130569</v>
      </c>
      <c r="R571" s="14" t="inlineStr">
        <is>
          <t>RUA CLODOALDO GOMES DA COSTA, Nº 370, MIRADOURO, CRUZ DAS ALMAS/BA</t>
        </is>
      </c>
      <c r="S571" s="26">
        <f>IF(A571=A570,0,1)</f>
        <v>0</v>
      </c>
      <c r="T571" s="26">
        <f>IF(COUNTIF($B$4:B571,B571)=1,1,0)</f>
        <v>0</v>
      </c>
    </row>
    <row r="572">
      <c r="A572" s="14" t="inlineStr">
        <is>
          <t>CRUZ DAS ALMAS</t>
        </is>
      </c>
      <c r="B572" s="26" t="n">
        <v>142</v>
      </c>
      <c r="C572" s="26" t="n">
        <v>1422</v>
      </c>
      <c r="D572" s="14" t="inlineStr">
        <is>
          <t>COLÉGIO ESTADUAL LUCIANO PASSOS</t>
        </is>
      </c>
      <c r="E572" s="14" t="inlineStr">
        <is>
          <t>CENTRO</t>
        </is>
      </c>
      <c r="F572" s="14" t="inlineStr">
        <is>
          <t>RUA EMBRAPA, S/N - ZONA URBANA</t>
        </is>
      </c>
      <c r="G572" s="27" t="inlineStr">
        <is>
          <t>44380-000</t>
        </is>
      </c>
      <c r="H572" s="15" t="n">
        <v>5</v>
      </c>
      <c r="I572" s="28" t="inlineStr">
        <is>
          <t>NÃO</t>
        </is>
      </c>
      <c r="J572" s="29" t="n">
        <v>395.7</v>
      </c>
      <c r="K572" s="14" t="str">
        <f>IF(J572="","7. Acima de 2 km",IF(J572&lt;=50,"1. Até 50 m",IF(J572&lt;=100,"2. De 50 a 100 m",IF(J572&lt;=200,"3. De 100 a 200 m",IF(J572&lt;=300,"4. De 200 a 300 m",IF(J572&lt;=500,"5. De 300 a 500 m","6. De 500 m a 2 km"))))))</f>
        <v>5. De 300 a 500 m</v>
      </c>
      <c r="L572" s="26" t="n">
        <v>0</v>
      </c>
      <c r="M572" s="26" t="n">
        <v>0</v>
      </c>
      <c r="N572" s="26" t="n">
        <v>0</v>
      </c>
      <c r="O572" s="26" t="n">
        <v>0</v>
      </c>
      <c r="P572" s="30" t="n">
        <v>-12.6802102</v>
      </c>
      <c r="Q572" s="30" t="n">
        <v>-39.0928821</v>
      </c>
      <c r="R572" s="14" t="inlineStr">
        <is>
          <t>RUA CLODOALDO GOMES DA COSTA, Nº 370, MIRADOURO, CRUZ DAS ALMAS/BA</t>
        </is>
      </c>
      <c r="S572" s="26">
        <f>IF(A572=A571,0,1)</f>
        <v>0</v>
      </c>
      <c r="T572" s="26">
        <f>IF(COUNTIF($B$4:B572,B572)=1,1,0)</f>
        <v>0</v>
      </c>
    </row>
    <row r="573">
      <c r="A573" s="14" t="inlineStr">
        <is>
          <t>CRUZ DAS ALMAS</t>
        </is>
      </c>
      <c r="B573" s="26" t="n">
        <v>142</v>
      </c>
      <c r="C573" s="26" t="n">
        <v>1430</v>
      </c>
      <c r="D573" s="14" t="inlineStr">
        <is>
          <t>ESCOLA MUNICIPAL HIPÓLITO LIMA DE OLIVEIRA</t>
        </is>
      </c>
      <c r="E573" s="14" t="inlineStr">
        <is>
          <t>ITAPICURU</t>
        </is>
      </c>
      <c r="F573" s="14" t="inlineStr">
        <is>
          <t>RUA CARMELITO BARBOSA ALVES - ZONA URBANA</t>
        </is>
      </c>
      <c r="G573" s="27" t="inlineStr">
        <is>
          <t>44380-000</t>
        </is>
      </c>
      <c r="H573" s="15" t="n">
        <v>5</v>
      </c>
      <c r="I573" s="28" t="inlineStr">
        <is>
          <t>NÃO</t>
        </is>
      </c>
      <c r="J573" s="29" t="n">
        <v>1136</v>
      </c>
      <c r="K573" s="14" t="str">
        <f>IF(J573="","7. Acima de 2 km",IF(J573&lt;=50,"1. Até 50 m",IF(J573&lt;=100,"2. De 50 a 100 m",IF(J573&lt;=200,"3. De 100 a 200 m",IF(J573&lt;=300,"4. De 200 a 300 m",IF(J573&lt;=500,"5. De 300 a 500 m","6. De 500 m a 2 km"))))))</f>
        <v>6. De 500 m a 2 km</v>
      </c>
      <c r="L573" s="26" t="n">
        <v>0</v>
      </c>
      <c r="M573" s="26" t="n">
        <v>0</v>
      </c>
      <c r="N573" s="26" t="n">
        <v>0</v>
      </c>
      <c r="O573" s="26" t="n">
        <v>0</v>
      </c>
      <c r="P573" s="30" t="n">
        <v>-12.651495</v>
      </c>
      <c r="Q573" s="30" t="n">
        <v>-39.1156483</v>
      </c>
      <c r="R573" s="14" t="inlineStr">
        <is>
          <t>RUA CLODOALDO GOMES DA COSTA, Nº 370, MIRADOURO, CRUZ DAS ALMAS/BA</t>
        </is>
      </c>
      <c r="S573" s="26">
        <f>IF(A573=A572,0,1)</f>
        <v>0</v>
      </c>
      <c r="T573" s="26">
        <f>IF(COUNTIF($B$4:B573,B573)=1,1,0)</f>
        <v>0</v>
      </c>
    </row>
    <row r="574">
      <c r="A574" s="14" t="inlineStr">
        <is>
          <t>CRUZ DAS ALMAS</t>
        </is>
      </c>
      <c r="B574" s="26" t="n">
        <v>142</v>
      </c>
      <c r="C574" s="26" t="n">
        <v>1457</v>
      </c>
      <c r="D574" s="14" t="inlineStr">
        <is>
          <t>COLÉGIO MUNICIPAL LOURIVAL JOSÉ SANTOS</t>
        </is>
      </c>
      <c r="E574" s="14" t="inlineStr">
        <is>
          <t>POVOADO PUMBA I</t>
        </is>
      </c>
      <c r="F574" s="14" t="inlineStr">
        <is>
          <t>POVOADO PUMBA I - ZONA RURAL</t>
        </is>
      </c>
      <c r="G574" s="27" t="inlineStr">
        <is>
          <t>44380-000</t>
        </is>
      </c>
      <c r="H574" s="15" t="n">
        <v>4</v>
      </c>
      <c r="I574" s="28" t="inlineStr">
        <is>
          <t>NÃO</t>
        </is>
      </c>
      <c r="J574" s="29" t="n"/>
      <c r="K574" s="14" t="str">
        <f>IF(J574="","7. Acima de 2 km",IF(J574&lt;=50,"1. Até 50 m",IF(J574&lt;=100,"2. De 50 a 100 m",IF(J574&lt;=200,"3. De 100 a 200 m",IF(J574&lt;=300,"4. De 200 a 300 m",IF(J574&lt;=500,"5. De 300 a 500 m","6. De 500 m a 2 km"))))))</f>
        <v>7. Acima de 2 km</v>
      </c>
      <c r="L574" s="26" t="n">
        <v>0</v>
      </c>
      <c r="M574" s="26" t="n">
        <v>0</v>
      </c>
      <c r="N574" s="26" t="n">
        <v>0</v>
      </c>
      <c r="O574" s="26" t="n">
        <v>0</v>
      </c>
      <c r="P574" s="30" t="n">
        <v>-12.6584816</v>
      </c>
      <c r="Q574" s="30" t="n">
        <v>-39.1585441</v>
      </c>
      <c r="R574" s="14" t="inlineStr">
        <is>
          <t>RUA CLODOALDO GOMES DA COSTA, Nº 370, MIRADOURO, CRUZ DAS ALMAS/BA</t>
        </is>
      </c>
      <c r="S574" s="26">
        <f>IF(A574=A573,0,1)</f>
        <v>0</v>
      </c>
      <c r="T574" s="26">
        <f>IF(COUNTIF($B$4:B574,B574)=1,1,0)</f>
        <v>0</v>
      </c>
    </row>
    <row r="575">
      <c r="A575" s="14" t="inlineStr">
        <is>
          <t>CRUZ DAS ALMAS</t>
        </is>
      </c>
      <c r="B575" s="26" t="n">
        <v>142</v>
      </c>
      <c r="C575" s="26" t="n">
        <v>1465</v>
      </c>
      <c r="D575" s="14" t="inlineStr">
        <is>
          <t>ESCOLA MUNICIPAL FELIPE TEIXEIRA</t>
        </is>
      </c>
      <c r="E575" s="14" t="inlineStr">
        <is>
          <t>POVOADO PIABAS</t>
        </is>
      </c>
      <c r="F575" s="14" t="inlineStr">
        <is>
          <t>POVOADO PIABAS - ZONA RURAL</t>
        </is>
      </c>
      <c r="G575" s="27" t="inlineStr">
        <is>
          <t>44380-000</t>
        </is>
      </c>
      <c r="H575" s="15" t="n">
        <v>2</v>
      </c>
      <c r="I575" s="28" t="inlineStr">
        <is>
          <t>NÃO</t>
        </is>
      </c>
      <c r="J575" s="29" t="n"/>
      <c r="K575" s="14" t="str">
        <f>IF(J575="","7. Acima de 2 km",IF(J575&lt;=50,"1. Até 50 m",IF(J575&lt;=100,"2. De 50 a 100 m",IF(J575&lt;=200,"3. De 100 a 200 m",IF(J575&lt;=300,"4. De 200 a 300 m",IF(J575&lt;=500,"5. De 300 a 500 m","6. De 500 m a 2 km"))))))</f>
        <v>7. Acima de 2 km</v>
      </c>
      <c r="L575" s="26" t="n">
        <v>0</v>
      </c>
      <c r="M575" s="26" t="n">
        <v>0</v>
      </c>
      <c r="N575" s="26" t="n">
        <v>0</v>
      </c>
      <c r="O575" s="26" t="n">
        <v>0</v>
      </c>
      <c r="P575" s="30" t="n">
        <v>-12.6552278</v>
      </c>
      <c r="Q575" s="30" t="n">
        <v>-39.1907738</v>
      </c>
      <c r="R575" s="14" t="inlineStr">
        <is>
          <t>RUA CLODOALDO GOMES DA COSTA, Nº 370, MIRADOURO, CRUZ DAS ALMAS/BA</t>
        </is>
      </c>
      <c r="S575" s="26">
        <f>IF(A575=A574,0,1)</f>
        <v>0</v>
      </c>
      <c r="T575" s="26">
        <f>IF(COUNTIF($B$4:B575,B575)=1,1,0)</f>
        <v>0</v>
      </c>
    </row>
    <row r="576">
      <c r="A576" s="14" t="inlineStr">
        <is>
          <t>CRUZ DAS ALMAS</t>
        </is>
      </c>
      <c r="B576" s="26" t="n">
        <v>142</v>
      </c>
      <c r="C576" s="26" t="n">
        <v>1473</v>
      </c>
      <c r="D576" s="14" t="inlineStr">
        <is>
          <t>POSTO MÉDICO CAMINHOÁ</t>
        </is>
      </c>
      <c r="E576" s="14" t="inlineStr">
        <is>
          <t>POVOADO CAMINHOÁ</t>
        </is>
      </c>
      <c r="F576" s="14" t="inlineStr">
        <is>
          <t>POVOADO CAMINHOÁ - ZONA RURAL</t>
        </is>
      </c>
      <c r="G576" s="27" t="inlineStr">
        <is>
          <t>44380-000</t>
        </is>
      </c>
      <c r="H576" s="15" t="n">
        <v>1</v>
      </c>
      <c r="I576" s="28" t="inlineStr">
        <is>
          <t>NÃO</t>
        </is>
      </c>
      <c r="J576" s="29" t="n"/>
      <c r="K576" s="14" t="str">
        <f>IF(J576="","7. Acima de 2 km",IF(J576&lt;=50,"1. Até 50 m",IF(J576&lt;=100,"2. De 50 a 100 m",IF(J576&lt;=200,"3. De 100 a 200 m",IF(J576&lt;=300,"4. De 200 a 300 m",IF(J576&lt;=500,"5. De 300 a 500 m","6. De 500 m a 2 km"))))))</f>
        <v>7. Acima de 2 km</v>
      </c>
      <c r="L576" s="26" t="n">
        <v>0</v>
      </c>
      <c r="M576" s="26" t="n">
        <v>0</v>
      </c>
      <c r="N576" s="26" t="n">
        <v>0</v>
      </c>
      <c r="O576" s="26" t="n">
        <v>0</v>
      </c>
      <c r="P576" s="30" t="n">
        <v>-12.7200938</v>
      </c>
      <c r="Q576" s="30" t="n">
        <v>-39.104495</v>
      </c>
      <c r="R576" s="14" t="inlineStr">
        <is>
          <t>RUA CLODOALDO GOMES DA COSTA, Nº 370, MIRADOURO, CRUZ DAS ALMAS/BA</t>
        </is>
      </c>
      <c r="S576" s="26">
        <f>IF(A576=A575,0,1)</f>
        <v>0</v>
      </c>
      <c r="T576" s="26">
        <f>IF(COUNTIF($B$4:B576,B576)=1,1,0)</f>
        <v>0</v>
      </c>
    </row>
    <row r="577">
      <c r="A577" s="14" t="inlineStr">
        <is>
          <t>CRUZ DAS ALMAS</t>
        </is>
      </c>
      <c r="B577" s="26" t="n">
        <v>142</v>
      </c>
      <c r="C577" s="26" t="n">
        <v>1481</v>
      </c>
      <c r="D577" s="14" t="inlineStr">
        <is>
          <t>COLÉGIO FRANCISCO JOSÉ BARBOSA</t>
        </is>
      </c>
      <c r="E577" s="14" t="inlineStr">
        <is>
          <t>POVOADO TUÁ</t>
        </is>
      </c>
      <c r="F577" s="14" t="inlineStr">
        <is>
          <t>POVOADO TUÁ - ZONA RURAL</t>
        </is>
      </c>
      <c r="G577" s="27" t="inlineStr">
        <is>
          <t>44380-000</t>
        </is>
      </c>
      <c r="H577" s="15" t="n">
        <v>2</v>
      </c>
      <c r="I577" s="28" t="inlineStr">
        <is>
          <t>NÃO</t>
        </is>
      </c>
      <c r="J577" s="29" t="n"/>
      <c r="K577" s="14" t="str">
        <f>IF(J577="","7. Acima de 2 km",IF(J577&lt;=50,"1. Até 50 m",IF(J577&lt;=100,"2. De 50 a 100 m",IF(J577&lt;=200,"3. De 100 a 200 m",IF(J577&lt;=300,"4. De 200 a 300 m",IF(J577&lt;=500,"5. De 300 a 500 m","6. De 500 m a 2 km"))))))</f>
        <v>7. Acima de 2 km</v>
      </c>
      <c r="L577" s="26" t="n">
        <v>0</v>
      </c>
      <c r="M577" s="26" t="n">
        <v>0</v>
      </c>
      <c r="N577" s="26" t="n">
        <v>0</v>
      </c>
      <c r="O577" s="26" t="n">
        <v>0</v>
      </c>
      <c r="P577" s="30" t="n">
        <v>-12.7280417</v>
      </c>
      <c r="Q577" s="30" t="n">
        <v>-39.0622808</v>
      </c>
      <c r="R577" s="14" t="inlineStr">
        <is>
          <t>RUA CLODOALDO GOMES DA COSTA, Nº 370, MIRADOURO, CRUZ DAS ALMAS/BA</t>
        </is>
      </c>
      <c r="S577" s="26">
        <f>IF(A577=A576,0,1)</f>
        <v>0</v>
      </c>
      <c r="T577" s="26">
        <f>IF(COUNTIF($B$4:B577,B577)=1,1,0)</f>
        <v>0</v>
      </c>
    </row>
    <row r="578">
      <c r="A578" s="14" t="inlineStr">
        <is>
          <t>CRUZ DAS ALMAS</t>
        </is>
      </c>
      <c r="B578" s="26" t="n">
        <v>142</v>
      </c>
      <c r="C578" s="26" t="n">
        <v>1490</v>
      </c>
      <c r="D578" s="14" t="inlineStr">
        <is>
          <t>ESCOLA PROFESSORA NATÁLIA ROSA PEDRA VELAME</t>
        </is>
      </c>
      <c r="E578" s="14" t="inlineStr">
        <is>
          <t>COPLAN</t>
        </is>
      </c>
      <c r="F578" s="14" t="inlineStr">
        <is>
          <t>RUA RAMIRO ELOY PASSOS, S/N - ZONA URBANA</t>
        </is>
      </c>
      <c r="G578" s="27" t="inlineStr">
        <is>
          <t>44380-000</t>
        </is>
      </c>
      <c r="H578" s="15" t="n">
        <v>4</v>
      </c>
      <c r="I578" s="28" t="inlineStr">
        <is>
          <t>NÃO</t>
        </is>
      </c>
      <c r="J578" s="29" t="n">
        <v>802.7</v>
      </c>
      <c r="K578" s="14" t="str">
        <f>IF(J578="","7. Acima de 2 km",IF(J578&lt;=50,"1. Até 50 m",IF(J578&lt;=100,"2. De 50 a 100 m",IF(J578&lt;=200,"3. De 100 a 200 m",IF(J578&lt;=300,"4. De 200 a 300 m",IF(J578&lt;=500,"5. De 300 a 500 m","6. De 500 m a 2 km"))))))</f>
        <v>6. De 500 m a 2 km</v>
      </c>
      <c r="L578" s="26" t="n">
        <v>0</v>
      </c>
      <c r="M578" s="26" t="n">
        <v>0</v>
      </c>
      <c r="N578" s="26" t="n">
        <v>0</v>
      </c>
      <c r="O578" s="26" t="n">
        <v>0</v>
      </c>
      <c r="P578" s="30" t="n">
        <v>-12.6612533</v>
      </c>
      <c r="Q578" s="30" t="n">
        <v>-39.1171616</v>
      </c>
      <c r="R578" s="14" t="inlineStr">
        <is>
          <t>RUA CLODOALDO GOMES DA COSTA, Nº 370, MIRADOURO, CRUZ DAS ALMAS/BA</t>
        </is>
      </c>
      <c r="S578" s="26">
        <f>IF(A578=A577,0,1)</f>
        <v>0</v>
      </c>
      <c r="T578" s="26">
        <f>IF(COUNTIF($B$4:B578,B578)=1,1,0)</f>
        <v>0</v>
      </c>
    </row>
    <row r="579">
      <c r="A579" s="14" t="inlineStr">
        <is>
          <t>CRUZ DAS ALMAS</t>
        </is>
      </c>
      <c r="B579" s="26" t="n">
        <v>142</v>
      </c>
      <c r="C579" s="26" t="n">
        <v>1503</v>
      </c>
      <c r="D579" s="14" t="inlineStr">
        <is>
          <t>ESCOLA DOUTOR JOSÉ CONRADO</t>
        </is>
      </c>
      <c r="E579" s="14" t="inlineStr">
        <is>
          <t>ASSEMBLÉIA</t>
        </is>
      </c>
      <c r="F579" s="14" t="inlineStr">
        <is>
          <t>RUA DOUTOR VALTERCIO FONSECA, S/N - ZONA URBANA</t>
        </is>
      </c>
      <c r="G579" s="27" t="inlineStr">
        <is>
          <t>44380-000</t>
        </is>
      </c>
      <c r="H579" s="15" t="n">
        <v>2</v>
      </c>
      <c r="I579" s="28" t="inlineStr">
        <is>
          <t>NÃO</t>
        </is>
      </c>
      <c r="J579" s="29" t="n">
        <v>567.9</v>
      </c>
      <c r="K579" s="14" t="str">
        <f>IF(J579="","7. Acima de 2 km",IF(J579&lt;=50,"1. Até 50 m",IF(J579&lt;=100,"2. De 50 a 100 m",IF(J579&lt;=200,"3. De 100 a 200 m",IF(J579&lt;=300,"4. De 200 a 300 m",IF(J579&lt;=500,"5. De 300 a 500 m","6. De 500 m a 2 km"))))))</f>
        <v>6. De 500 m a 2 km</v>
      </c>
      <c r="L579" s="26" t="n">
        <v>0</v>
      </c>
      <c r="M579" s="26" t="n">
        <v>0</v>
      </c>
      <c r="N579" s="26" t="n">
        <v>0</v>
      </c>
      <c r="O579" s="26" t="n">
        <v>0</v>
      </c>
      <c r="P579" s="30" t="n">
        <v>-12.6684498</v>
      </c>
      <c r="Q579" s="30" t="n">
        <v>-39.1110313</v>
      </c>
      <c r="R579" s="14" t="inlineStr">
        <is>
          <t>RUA CLODOALDO GOMES DA COSTA, Nº 370, MIRADOURO, CRUZ DAS ALMAS/BA</t>
        </is>
      </c>
      <c r="S579" s="26">
        <f>IF(A579=A578,0,1)</f>
        <v>0</v>
      </c>
      <c r="T579" s="26">
        <f>IF(COUNTIF($B$4:B579,B579)=1,1,0)</f>
        <v>0</v>
      </c>
    </row>
    <row r="580">
      <c r="A580" s="14" t="inlineStr">
        <is>
          <t>CRUZ DAS ALMAS</t>
        </is>
      </c>
      <c r="B580" s="26" t="n">
        <v>142</v>
      </c>
      <c r="C580" s="26" t="n">
        <v>1511</v>
      </c>
      <c r="D580" s="14" t="inlineStr">
        <is>
          <t>ESCOLA PROFESSORA OTÍLIA CONRADO</t>
        </is>
      </c>
      <c r="E580" s="14" t="inlineStr">
        <is>
          <t>POVOADO LISBOA</t>
        </is>
      </c>
      <c r="F580" s="14" t="inlineStr">
        <is>
          <t>POVOADO LISBOA - ZONA RURAL</t>
        </is>
      </c>
      <c r="G580" s="27" t="inlineStr">
        <is>
          <t>44380-000</t>
        </is>
      </c>
      <c r="H580" s="15" t="n">
        <v>1</v>
      </c>
      <c r="I580" s="28" t="inlineStr">
        <is>
          <t>NÃO</t>
        </is>
      </c>
      <c r="J580" s="29" t="n"/>
      <c r="K580" s="14" t="str">
        <f>IF(J580="","7. Acima de 2 km",IF(J580&lt;=50,"1. Até 50 m",IF(J580&lt;=100,"2. De 50 a 100 m",IF(J580&lt;=200,"3. De 100 a 200 m",IF(J580&lt;=300,"4. De 200 a 300 m",IF(J580&lt;=500,"5. De 300 a 500 m","6. De 500 m a 2 km"))))))</f>
        <v>7. Acima de 2 km</v>
      </c>
      <c r="L580" s="26" t="n">
        <v>0</v>
      </c>
      <c r="M580" s="26" t="n">
        <v>0</v>
      </c>
      <c r="N580" s="26" t="n">
        <v>0</v>
      </c>
      <c r="O580" s="26" t="n">
        <v>0</v>
      </c>
      <c r="P580" s="30" t="n">
        <v>-12.6629777</v>
      </c>
      <c r="Q580" s="30" t="n">
        <v>-39.141584</v>
      </c>
      <c r="R580" s="14" t="inlineStr">
        <is>
          <t>RUA CLODOALDO GOMES DA COSTA, Nº 370, MIRADOURO, CRUZ DAS ALMAS/BA</t>
        </is>
      </c>
      <c r="S580" s="26">
        <f>IF(A580=A579,0,1)</f>
        <v>0</v>
      </c>
      <c r="T580" s="26">
        <f>IF(COUNTIF($B$4:B580,B580)=1,1,0)</f>
        <v>0</v>
      </c>
    </row>
    <row r="581">
      <c r="A581" s="14" t="inlineStr">
        <is>
          <t>CRUZ DAS ALMAS</t>
        </is>
      </c>
      <c r="B581" s="26" t="n">
        <v>142</v>
      </c>
      <c r="C581" s="26" t="n">
        <v>1520</v>
      </c>
      <c r="D581" s="14" t="inlineStr">
        <is>
          <t>COLÉGIO JOSÉ BATISTA DA FONSECA</t>
        </is>
      </c>
      <c r="E581" s="14" t="inlineStr">
        <is>
          <t>CENTRO</t>
        </is>
      </c>
      <c r="F581" s="14" t="inlineStr">
        <is>
          <t>RUA MANOEL CAETANO DA ROCHA PASSOS - ZONA URBANA</t>
        </is>
      </c>
      <c r="G581" s="27" t="inlineStr">
        <is>
          <t>44380-000</t>
        </is>
      </c>
      <c r="H581" s="15" t="n">
        <v>8</v>
      </c>
      <c r="I581" s="28" t="inlineStr">
        <is>
          <t>NÃO</t>
        </is>
      </c>
      <c r="J581" s="29" t="n">
        <v>236.3</v>
      </c>
      <c r="K581" s="14" t="str">
        <f>IF(J581="","7. Acima de 2 km",IF(J581&lt;=50,"1. Até 50 m",IF(J581&lt;=100,"2. De 50 a 100 m",IF(J581&lt;=200,"3. De 100 a 200 m",IF(J581&lt;=300,"4. De 200 a 300 m",IF(J581&lt;=500,"5. De 300 a 500 m","6. De 500 m a 2 km"))))))</f>
        <v>4. De 200 a 300 m</v>
      </c>
      <c r="L581" s="26" t="n">
        <v>0</v>
      </c>
      <c r="M581" s="26" t="n">
        <v>0</v>
      </c>
      <c r="N581" s="26" t="n">
        <v>0</v>
      </c>
      <c r="O581" s="26" t="n">
        <v>1</v>
      </c>
      <c r="P581" s="30" t="n">
        <v>-12.6656163</v>
      </c>
      <c r="Q581" s="30" t="n">
        <v>-39.1015372</v>
      </c>
      <c r="R581" s="14" t="inlineStr">
        <is>
          <t>RUA CLODOALDO GOMES DA COSTA, Nº 370, MIRADOURO, CRUZ DAS ALMAS/BA</t>
        </is>
      </c>
      <c r="S581" s="26">
        <f>IF(A581=A580,0,1)</f>
        <v>0</v>
      </c>
      <c r="T581" s="26">
        <f>IF(COUNTIF($B$4:B581,B581)=1,1,0)</f>
        <v>0</v>
      </c>
    </row>
    <row r="582">
      <c r="A582" s="14" t="inlineStr">
        <is>
          <t>CRUZ DAS ALMAS</t>
        </is>
      </c>
      <c r="B582" s="26" t="n">
        <v>142</v>
      </c>
      <c r="C582" s="26" t="n">
        <v>1538</v>
      </c>
      <c r="D582" s="14" t="inlineStr">
        <is>
          <t>CRECHE ESCOLA MARINALVA VILAS BOAS</t>
        </is>
      </c>
      <c r="E582" s="14" t="inlineStr">
        <is>
          <t>BAIXA DA LINHA</t>
        </is>
      </c>
      <c r="F582" s="14" t="inlineStr">
        <is>
          <t>COMUNIDADE QUILOMBOLA BAIXA DA LINHA, S/N</t>
        </is>
      </c>
      <c r="G582" s="27" t="inlineStr">
        <is>
          <t>44380-000</t>
        </is>
      </c>
      <c r="H582" s="15" t="n">
        <v>1</v>
      </c>
      <c r="I582" s="28" t="inlineStr">
        <is>
          <t>NÃO</t>
        </is>
      </c>
      <c r="J582" s="29" t="n"/>
      <c r="K582" s="14" t="str">
        <f>IF(J582="","7. Acima de 2 km",IF(J582&lt;=50,"1. Até 50 m",IF(J582&lt;=100,"2. De 50 a 100 m",IF(J582&lt;=200,"3. De 100 a 200 m",IF(J582&lt;=300,"4. De 200 a 300 m",IF(J582&lt;=500,"5. De 300 a 500 m","6. De 500 m a 2 km"))))))</f>
        <v>7. Acima de 2 km</v>
      </c>
      <c r="L582" s="26" t="n">
        <v>0</v>
      </c>
      <c r="M582" s="26" t="n">
        <v>0</v>
      </c>
      <c r="N582" s="26" t="n">
        <v>0</v>
      </c>
      <c r="O582" s="26" t="n">
        <v>0</v>
      </c>
      <c r="P582" s="30" t="n">
        <v>-12.647917</v>
      </c>
      <c r="Q582" s="30" t="n">
        <v>-39.0871383</v>
      </c>
      <c r="R582" s="14" t="inlineStr">
        <is>
          <t>RUA CLODOALDO GOMES DA COSTA, Nº 370, MIRADOURO, CRUZ DAS ALMAS/BA</t>
        </is>
      </c>
      <c r="S582" s="26">
        <f>IF(A582=A581,0,1)</f>
        <v>0</v>
      </c>
      <c r="T582" s="26">
        <f>IF(COUNTIF($B$4:B582,B582)=1,1,0)</f>
        <v>0</v>
      </c>
    </row>
    <row r="583">
      <c r="A583" s="14" t="inlineStr">
        <is>
          <t>CRUZ DAS ALMAS</t>
        </is>
      </c>
      <c r="B583" s="26" t="n">
        <v>142</v>
      </c>
      <c r="C583" s="26" t="n">
        <v>1546</v>
      </c>
      <c r="D583" s="14" t="inlineStr">
        <is>
          <t>ESCOLA AMARO FRANCISCO XAVIER DE SANTANA</t>
        </is>
      </c>
      <c r="E583" s="14" t="inlineStr">
        <is>
          <t>POVOADO PUMBA II</t>
        </is>
      </c>
      <c r="F583" s="14" t="inlineStr">
        <is>
          <t>BAIXA FRIA/ PUMBA II, S/Nº</t>
        </is>
      </c>
      <c r="G583" s="27" t="inlineStr">
        <is>
          <t>44380-000</t>
        </is>
      </c>
      <c r="H583" s="15" t="n">
        <v>1</v>
      </c>
      <c r="I583" s="28" t="inlineStr">
        <is>
          <t>NÃO</t>
        </is>
      </c>
      <c r="J583" s="29" t="n"/>
      <c r="K583" s="14" t="str">
        <f>IF(J583="","7. Acima de 2 km",IF(J583&lt;=50,"1. Até 50 m",IF(J583&lt;=100,"2. De 50 a 100 m",IF(J583&lt;=200,"3. De 100 a 200 m",IF(J583&lt;=300,"4. De 200 a 300 m",IF(J583&lt;=500,"5. De 300 a 500 m","6. De 500 m a 2 km"))))))</f>
        <v>7. Acima de 2 km</v>
      </c>
      <c r="L583" s="26" t="n">
        <v>0</v>
      </c>
      <c r="M583" s="26" t="n">
        <v>0</v>
      </c>
      <c r="N583" s="26" t="n">
        <v>0</v>
      </c>
      <c r="O583" s="26" t="n">
        <v>0</v>
      </c>
      <c r="P583" s="30" t="n">
        <v>-12.6612334</v>
      </c>
      <c r="Q583" s="30" t="n">
        <v>-39.1716106</v>
      </c>
      <c r="R583" s="14" t="inlineStr">
        <is>
          <t>RUA CLODOALDO GOMES DA COSTA, Nº 370, MIRADOURO, CRUZ DAS ALMAS/BA</t>
        </is>
      </c>
      <c r="S583" s="26">
        <f>IF(A583=A582,0,1)</f>
        <v>0</v>
      </c>
      <c r="T583" s="26">
        <f>IF(COUNTIF($B$4:B583,B583)=1,1,0)</f>
        <v>0</v>
      </c>
    </row>
    <row r="584">
      <c r="A584" s="14" t="inlineStr">
        <is>
          <t>CRUZ DAS ALMAS</t>
        </is>
      </c>
      <c r="B584" s="26" t="n">
        <v>142</v>
      </c>
      <c r="C584" s="26" t="n">
        <v>1554</v>
      </c>
      <c r="D584" s="14" t="inlineStr">
        <is>
          <t>CRECHE MARIA ALVES DIAS COSTA</t>
        </is>
      </c>
      <c r="E584" s="14" t="inlineStr">
        <is>
          <t>POVOADO VILAREJO</t>
        </is>
      </c>
      <c r="F584" s="14" t="inlineStr">
        <is>
          <t>RUA DA GARGALHA, VILAREJO</t>
        </is>
      </c>
      <c r="G584" s="27" t="inlineStr">
        <is>
          <t>44380-000</t>
        </is>
      </c>
      <c r="H584" s="15" t="n">
        <v>1</v>
      </c>
      <c r="I584" s="28" t="inlineStr">
        <is>
          <t>NÃO</t>
        </is>
      </c>
      <c r="J584" s="29" t="n">
        <v>779.1</v>
      </c>
      <c r="K584" s="14" t="str">
        <f>IF(J584="","7. Acima de 2 km",IF(J584&lt;=50,"1. Até 50 m",IF(J584&lt;=100,"2. De 50 a 100 m",IF(J584&lt;=200,"3. De 100 a 200 m",IF(J584&lt;=300,"4. De 200 a 300 m",IF(J584&lt;=500,"5. De 300 a 500 m","6. De 500 m a 2 km"))))))</f>
        <v>6. De 500 m a 2 km</v>
      </c>
      <c r="L584" s="26" t="n">
        <v>0</v>
      </c>
      <c r="M584" s="26" t="n">
        <v>0</v>
      </c>
      <c r="N584" s="26" t="n">
        <v>0</v>
      </c>
      <c r="O584" s="26" t="n">
        <v>0</v>
      </c>
      <c r="P584" s="30" t="n">
        <v>-12.6708646</v>
      </c>
      <c r="Q584" s="30" t="n">
        <v>-39.1143573</v>
      </c>
      <c r="R584" s="14" t="inlineStr">
        <is>
          <t>RUA CLODOALDO GOMES DA COSTA, Nº 370, MIRADOURO, CRUZ DAS ALMAS/BA</t>
        </is>
      </c>
      <c r="S584" s="26">
        <f>IF(A584=A583,0,1)</f>
        <v>0</v>
      </c>
      <c r="T584" s="26">
        <f>IF(COUNTIF($B$4:B584,B584)=1,1,0)</f>
        <v>0</v>
      </c>
    </row>
    <row r="585">
      <c r="A585" s="14" t="inlineStr">
        <is>
          <t>CRUZ DAS ALMAS</t>
        </is>
      </c>
      <c r="B585" s="26" t="n">
        <v>142</v>
      </c>
      <c r="C585" s="26" t="n">
        <v>1562</v>
      </c>
      <c r="D585" s="14" t="inlineStr">
        <is>
          <t xml:space="preserve">CRECHE MARIA DA CONCEIÇÃO MACHADO SAMPAIO </t>
        </is>
      </c>
      <c r="E585" s="14" t="inlineStr">
        <is>
          <t>BANGUELA</t>
        </is>
      </c>
      <c r="F585" s="14" t="inlineStr">
        <is>
          <t>RUA NEMÉSIO DULTRA DA COSTA, S/N, BANGUELA</t>
        </is>
      </c>
      <c r="G585" s="27" t="inlineStr">
        <is>
          <t>44380-000</t>
        </is>
      </c>
      <c r="H585" s="15" t="n">
        <v>1</v>
      </c>
      <c r="I585" s="28" t="inlineStr">
        <is>
          <t>NÃO</t>
        </is>
      </c>
      <c r="J585" s="29" t="n">
        <v>319.4</v>
      </c>
      <c r="K585" s="14" t="str">
        <f>IF(J585="","7. Acima de 2 km",IF(J585&lt;=50,"1. Até 50 m",IF(J585&lt;=100,"2. De 50 a 100 m",IF(J585&lt;=200,"3. De 100 a 200 m",IF(J585&lt;=300,"4. De 200 a 300 m",IF(J585&lt;=500,"5. De 300 a 500 m","6. De 500 m a 2 km"))))))</f>
        <v>5. De 300 a 500 m</v>
      </c>
      <c r="L585" s="26" t="n">
        <v>0</v>
      </c>
      <c r="M585" s="26" t="n">
        <v>0</v>
      </c>
      <c r="N585" s="26" t="n">
        <v>0</v>
      </c>
      <c r="O585" s="26" t="n">
        <v>0</v>
      </c>
      <c r="P585" s="30" t="n">
        <v>-12.6795238</v>
      </c>
      <c r="Q585" s="30" t="n">
        <v>-39.0991879</v>
      </c>
      <c r="R585" s="14" t="inlineStr">
        <is>
          <t>RUA CLODOALDO GOMES DA COSTA, Nº 370, MIRADOURO, CRUZ DAS ALMAS/BA</t>
        </is>
      </c>
      <c r="S585" s="26">
        <f>IF(A585=A584,0,1)</f>
        <v>0</v>
      </c>
      <c r="T585" s="26">
        <f>IF(COUNTIF($B$4:B585,B585)=1,1,0)</f>
        <v>0</v>
      </c>
    </row>
    <row r="586">
      <c r="A586" s="14" t="inlineStr">
        <is>
          <t>CRUZ DAS ALMAS</t>
        </is>
      </c>
      <c r="B586" s="26" t="n">
        <v>142</v>
      </c>
      <c r="C586" s="26" t="n">
        <v>1570</v>
      </c>
      <c r="D586" s="14" t="inlineStr">
        <is>
          <t xml:space="preserve">ESCOLA MUNICIPAL TADEU FRANÇA </t>
        </is>
      </c>
      <c r="E586" s="14" t="inlineStr">
        <is>
          <t>SÃO JUDAS TADEU</t>
        </is>
      </c>
      <c r="F586" s="14" t="inlineStr">
        <is>
          <t xml:space="preserve">RUA C, SÃO JUDAS TADEU </t>
        </is>
      </c>
      <c r="G586" s="27" t="inlineStr">
        <is>
          <t>44380-000</t>
        </is>
      </c>
      <c r="H586" s="15" t="n">
        <v>1</v>
      </c>
      <c r="I586" s="28" t="inlineStr">
        <is>
          <t>NÃO</t>
        </is>
      </c>
      <c r="J586" s="29" t="n">
        <v>705.6</v>
      </c>
      <c r="K586" s="14" t="str">
        <f>IF(J586="","7. Acima de 2 km",IF(J586&lt;=50,"1. Até 50 m",IF(J586&lt;=100,"2. De 50 a 100 m",IF(J586&lt;=200,"3. De 100 a 200 m",IF(J586&lt;=300,"4. De 200 a 300 m",IF(J586&lt;=500,"5. De 300 a 500 m","6. De 500 m a 2 km"))))))</f>
        <v>6. De 500 m a 2 km</v>
      </c>
      <c r="L586" s="26" t="n">
        <v>0</v>
      </c>
      <c r="M586" s="26" t="n">
        <v>0</v>
      </c>
      <c r="N586" s="26" t="n">
        <v>0</v>
      </c>
      <c r="O586" s="26" t="n">
        <v>0</v>
      </c>
      <c r="P586" s="30" t="n">
        <v>-12.6821943</v>
      </c>
      <c r="Q586" s="30" t="n">
        <v>-39.0968926</v>
      </c>
      <c r="R586" s="14" t="inlineStr">
        <is>
          <t>RUA CLODOALDO GOMES DA COSTA, Nº 370, MIRADOURO, CRUZ DAS ALMAS/BA</t>
        </is>
      </c>
      <c r="S586" s="26">
        <f>IF(A586=A585,0,1)</f>
        <v>0</v>
      </c>
      <c r="T586" s="26">
        <f>IF(COUNTIF($B$4:B586,B586)=1,1,0)</f>
        <v>0</v>
      </c>
    </row>
    <row r="587">
      <c r="A587" s="14" t="inlineStr">
        <is>
          <t>DIAS D'ÁVILA</t>
        </is>
      </c>
      <c r="B587" s="26" t="n">
        <v>186</v>
      </c>
      <c r="C587" s="26" t="n">
        <v>1015</v>
      </c>
      <c r="D587" s="14" t="inlineStr">
        <is>
          <t>ESCOLA MUNICIPAL CLAUDIONOR SIMÕES DO CARMO</t>
        </is>
      </c>
      <c r="E587" s="14" t="inlineStr">
        <is>
          <t>ENTRONCAMENTO</t>
        </is>
      </c>
      <c r="F587" s="14" t="inlineStr">
        <is>
          <t>RUA BETA, N 115 - ZONA URBANA</t>
        </is>
      </c>
      <c r="G587" s="27" t="inlineStr">
        <is>
          <t>42850-000</t>
        </is>
      </c>
      <c r="H587" s="15" t="n">
        <v>10</v>
      </c>
      <c r="I587" s="28" t="inlineStr">
        <is>
          <t>SIM</t>
        </is>
      </c>
      <c r="J587" s="29" t="n">
        <v>70.59999999999999</v>
      </c>
      <c r="K587" s="14" t="str">
        <f>IF(J587="","7. Acima de 2 km",IF(J587&lt;=50,"1. Até 50 m",IF(J587&lt;=100,"2. De 50 a 100 m",IF(J587&lt;=200,"3. De 100 a 200 m",IF(J587&lt;=300,"4. De 200 a 300 m",IF(J587&lt;=500,"5. De 300 a 500 m","6. De 500 m a 2 km"))))))</f>
        <v>2. De 50 a 100 m</v>
      </c>
      <c r="L587" s="26" t="n">
        <v>0</v>
      </c>
      <c r="M587" s="26" t="n">
        <v>1</v>
      </c>
      <c r="N587" s="26" t="n">
        <v>3</v>
      </c>
      <c r="O587" s="26" t="n">
        <v>4</v>
      </c>
      <c r="P587" s="30" t="n">
        <v>-12.5959366</v>
      </c>
      <c r="Q587" s="30" t="n">
        <v>-38.3282709</v>
      </c>
      <c r="R587" s="14" t="inlineStr">
        <is>
          <t>CARTÓRIO DA 186ª ZONA ELEITORAL, RUA PROFESSOR CÉSAR REIS, Nº 156, LESSA RIBEIRO, DIAS D'ÁVILA/BA</t>
        </is>
      </c>
      <c r="S587" s="26">
        <f>IF(A587=A586,0,1)</f>
        <v>1</v>
      </c>
      <c r="T587" s="26">
        <f>IF(COUNTIF($B$4:B587,B587)=1,1,0)</f>
        <v>1</v>
      </c>
    </row>
    <row r="588">
      <c r="A588" s="14" t="inlineStr">
        <is>
          <t>DIAS D'ÁVILA</t>
        </is>
      </c>
      <c r="B588" s="26" t="n">
        <v>186</v>
      </c>
      <c r="C588" s="26" t="n">
        <v>1031</v>
      </c>
      <c r="D588" s="14" t="inlineStr">
        <is>
          <t>CENTRO EDUCACIONAL NORMÉLIO MOURA DA COSTA</t>
        </is>
      </c>
      <c r="E588" s="14" t="inlineStr">
        <is>
          <t>GARCIA D'ÁVILA</t>
        </is>
      </c>
      <c r="F588" s="14" t="inlineStr">
        <is>
          <t>RUA JOAQUIM NABUCO SN - ZONA URBANA</t>
        </is>
      </c>
      <c r="G588" s="27" t="inlineStr">
        <is>
          <t>42850-000</t>
        </is>
      </c>
      <c r="H588" s="15" t="n">
        <v>5</v>
      </c>
      <c r="I588" s="28" t="inlineStr">
        <is>
          <t>NÃO</t>
        </is>
      </c>
      <c r="J588" s="29" t="n">
        <v>504.8</v>
      </c>
      <c r="K588" s="14" t="str">
        <f>IF(J588="","7. Acima de 2 km",IF(J588&lt;=50,"1. Até 50 m",IF(J588&lt;=100,"2. De 50 a 100 m",IF(J588&lt;=200,"3. De 100 a 200 m",IF(J588&lt;=300,"4. De 200 a 300 m",IF(J588&lt;=500,"5. De 300 a 500 m","6. De 500 m a 2 km"))))))</f>
        <v>6. De 500 m a 2 km</v>
      </c>
      <c r="L588" s="26" t="n">
        <v>0</v>
      </c>
      <c r="M588" s="26" t="n">
        <v>0</v>
      </c>
      <c r="N588" s="26" t="n">
        <v>0</v>
      </c>
      <c r="O588" s="26" t="n">
        <v>0</v>
      </c>
      <c r="P588" s="30" t="n">
        <v>-12.6122721</v>
      </c>
      <c r="Q588" s="30" t="n">
        <v>-38.2926858</v>
      </c>
      <c r="R588" s="14" t="inlineStr">
        <is>
          <t>CARTÓRIO DA 186ª ZONA ELEITORAL, RUA PROFESSOR CÉSAR REIS, Nº 156, LESSA RIBEIRO, DIAS D'ÁVILA/BA</t>
        </is>
      </c>
      <c r="S588" s="26">
        <f>IF(A588=A587,0,1)</f>
        <v>0</v>
      </c>
      <c r="T588" s="26">
        <f>IF(COUNTIF($B$4:B588,B588)=1,1,0)</f>
        <v>0</v>
      </c>
    </row>
    <row r="589">
      <c r="A589" s="14" t="inlineStr">
        <is>
          <t>DIAS D'ÁVILA</t>
        </is>
      </c>
      <c r="B589" s="26" t="n">
        <v>186</v>
      </c>
      <c r="C589" s="26" t="n">
        <v>1040</v>
      </c>
      <c r="D589" s="14" t="inlineStr">
        <is>
          <t>ESCOLA MUNICIPAL PROF. LUIZ SANDE</t>
        </is>
      </c>
      <c r="E589" s="14" t="inlineStr">
        <is>
          <t>LESSA RIBEIRO</t>
        </is>
      </c>
      <c r="F589" s="14" t="inlineStr">
        <is>
          <t>RUA CAMPO ALEGRE, 543 - ZONA URBANA</t>
        </is>
      </c>
      <c r="G589" s="27" t="inlineStr">
        <is>
          <t>42850-000</t>
        </is>
      </c>
      <c r="H589" s="15" t="n">
        <v>6</v>
      </c>
      <c r="I589" s="28" t="inlineStr">
        <is>
          <t>NÃO</t>
        </is>
      </c>
      <c r="J589" s="29" t="n">
        <v>104.6</v>
      </c>
      <c r="K589" s="14" t="str">
        <f>IF(J589="","7. Acima de 2 km",IF(J589&lt;=50,"1. Até 50 m",IF(J589&lt;=100,"2. De 50 a 100 m",IF(J589&lt;=200,"3. De 100 a 200 m",IF(J589&lt;=300,"4. De 200 a 300 m",IF(J589&lt;=500,"5. De 300 a 500 m","6. De 500 m a 2 km"))))))</f>
        <v>3. De 100 a 200 m</v>
      </c>
      <c r="L589" s="26" t="n">
        <v>0</v>
      </c>
      <c r="M589" s="26" t="n">
        <v>0</v>
      </c>
      <c r="N589" s="26" t="n">
        <v>2</v>
      </c>
      <c r="O589" s="26" t="n">
        <v>2</v>
      </c>
      <c r="P589" s="30" t="n">
        <v>-12.6086159</v>
      </c>
      <c r="Q589" s="30" t="n">
        <v>-38.3106436</v>
      </c>
      <c r="R589" s="14" t="inlineStr">
        <is>
          <t>CARTÓRIO DA 186ª ZONA ELEITORAL, RUA PROFESSOR CÉSAR REIS, Nº 156, LESSA RIBEIRO, DIAS D'ÁVILA/BA</t>
        </is>
      </c>
      <c r="S589" s="26">
        <f>IF(A589=A588,0,1)</f>
        <v>0</v>
      </c>
      <c r="T589" s="26">
        <f>IF(COUNTIF($B$4:B589,B589)=1,1,0)</f>
        <v>0</v>
      </c>
    </row>
    <row r="590">
      <c r="A590" s="14" t="inlineStr">
        <is>
          <t>DIAS D'ÁVILA</t>
        </is>
      </c>
      <c r="B590" s="26" t="n">
        <v>186</v>
      </c>
      <c r="C590" s="26" t="n">
        <v>1066</v>
      </c>
      <c r="D590" s="14" t="inlineStr">
        <is>
          <t>CENTRO EDUCACIONAL PADRE CAMILO TORREND</t>
        </is>
      </c>
      <c r="E590" s="14" t="inlineStr">
        <is>
          <t>CRISTO REI</t>
        </is>
      </c>
      <c r="F590" s="14" t="inlineStr">
        <is>
          <t>RUA TOCANTINS, N 108</t>
        </is>
      </c>
      <c r="G590" s="27" t="inlineStr">
        <is>
          <t>42850-000</t>
        </is>
      </c>
      <c r="H590" s="15" t="n">
        <v>9</v>
      </c>
      <c r="I590" s="28" t="inlineStr">
        <is>
          <t>NÃO</t>
        </is>
      </c>
      <c r="J590" s="29" t="n">
        <v>319.5</v>
      </c>
      <c r="K590" s="14" t="str">
        <f>IF(J590="","7. Acima de 2 km",IF(J590&lt;=50,"1. Até 50 m",IF(J590&lt;=100,"2. De 50 a 100 m",IF(J590&lt;=200,"3. De 100 a 200 m",IF(J590&lt;=300,"4. De 200 a 300 m",IF(J590&lt;=500,"5. De 300 a 500 m","6. De 500 m a 2 km"))))))</f>
        <v>5. De 300 a 500 m</v>
      </c>
      <c r="L590" s="26" t="n">
        <v>0</v>
      </c>
      <c r="M590" s="26" t="n">
        <v>0</v>
      </c>
      <c r="N590" s="26" t="n">
        <v>0</v>
      </c>
      <c r="O590" s="26" t="n">
        <v>0</v>
      </c>
      <c r="P590" s="30" t="n">
        <v>-12.6033312</v>
      </c>
      <c r="Q590" s="30" t="n">
        <v>-38.3054039</v>
      </c>
      <c r="R590" s="14" t="inlineStr">
        <is>
          <t>CARTÓRIO DA 186ª ZONA ELEITORAL, RUA PROFESSOR CÉSAR REIS, Nº 156, LESSA RIBEIRO, DIAS D'ÁVILA/BA</t>
        </is>
      </c>
      <c r="S590" s="26">
        <f>IF(A590=A589,0,1)</f>
        <v>0</v>
      </c>
      <c r="T590" s="26">
        <f>IF(COUNTIF($B$4:B590,B590)=1,1,0)</f>
        <v>0</v>
      </c>
    </row>
    <row r="591">
      <c r="A591" s="14" t="inlineStr">
        <is>
          <t>DIAS D'ÁVILA</t>
        </is>
      </c>
      <c r="B591" s="26" t="n">
        <v>186</v>
      </c>
      <c r="C591" s="26" t="n">
        <v>1090</v>
      </c>
      <c r="D591" s="14" t="inlineStr">
        <is>
          <t>ESCOLA MUNICIPAL MADRE DIAMANTINA</t>
        </is>
      </c>
      <c r="E591" s="14" t="inlineStr">
        <is>
          <t>GENARO</t>
        </is>
      </c>
      <c r="F591" s="14" t="inlineStr">
        <is>
          <t>RUA WALTER SEIXAS, N. 288 - ZONA URBANA</t>
        </is>
      </c>
      <c r="G591" s="27" t="inlineStr">
        <is>
          <t>42850-000</t>
        </is>
      </c>
      <c r="H591" s="15" t="n">
        <v>11</v>
      </c>
      <c r="I591" s="28" t="inlineStr">
        <is>
          <t>NÃO</t>
        </is>
      </c>
      <c r="J591" s="29" t="n">
        <v>530.9</v>
      </c>
      <c r="K591" s="14" t="str">
        <f>IF(J591="","7. Acima de 2 km",IF(J591&lt;=50,"1. Até 50 m",IF(J591&lt;=100,"2. De 50 a 100 m",IF(J591&lt;=200,"3. De 100 a 200 m",IF(J591&lt;=300,"4. De 200 a 300 m",IF(J591&lt;=500,"5. De 300 a 500 m","6. De 500 m a 2 km"))))))</f>
        <v>6. De 500 m a 2 km</v>
      </c>
      <c r="L591" s="26" t="n">
        <v>0</v>
      </c>
      <c r="M591" s="26" t="n">
        <v>0</v>
      </c>
      <c r="N591" s="26" t="n">
        <v>0</v>
      </c>
      <c r="O591" s="26" t="n">
        <v>0</v>
      </c>
      <c r="P591" s="30" t="n">
        <v>-12.6150651</v>
      </c>
      <c r="Q591" s="30" t="n">
        <v>-38.2917784</v>
      </c>
      <c r="R591" s="14" t="inlineStr">
        <is>
          <t>CARTÓRIO DA 186ª ZONA ELEITORAL, RUA PROFESSOR CÉSAR REIS, Nº 156, LESSA RIBEIRO, DIAS D'ÁVILA/BA</t>
        </is>
      </c>
      <c r="S591" s="26">
        <f>IF(A591=A590,0,1)</f>
        <v>0</v>
      </c>
      <c r="T591" s="26">
        <f>IF(COUNTIF($B$4:B591,B591)=1,1,0)</f>
        <v>0</v>
      </c>
    </row>
    <row r="592">
      <c r="A592" s="14" t="inlineStr">
        <is>
          <t>DIAS D'ÁVILA</t>
        </is>
      </c>
      <c r="B592" s="26" t="n">
        <v>186</v>
      </c>
      <c r="C592" s="26" t="n">
        <v>1104</v>
      </c>
      <c r="D592" s="14" t="inlineStr">
        <is>
          <t>ESCOLA MUNICIPAL PROFESSORA ANFRÍSIA SANTIAGO</t>
        </is>
      </c>
      <c r="E592" s="14" t="inlineStr">
        <is>
          <t>NOVA DIAS D'ÁVILA</t>
        </is>
      </c>
      <c r="F592" s="14" t="inlineStr">
        <is>
          <t>RUA CAJAYBA, N. 226 - ZONA URBANA</t>
        </is>
      </c>
      <c r="G592" s="27" t="inlineStr">
        <is>
          <t>42850-000</t>
        </is>
      </c>
      <c r="H592" s="15" t="n">
        <v>8</v>
      </c>
      <c r="I592" s="28" t="inlineStr">
        <is>
          <t>NÃO</t>
        </is>
      </c>
      <c r="J592" s="29" t="n">
        <v>179.1</v>
      </c>
      <c r="K592" s="14" t="str">
        <f>IF(J592="","7. Acima de 2 km",IF(J592&lt;=50,"1. Até 50 m",IF(J592&lt;=100,"2. De 50 a 100 m",IF(J592&lt;=200,"3. De 100 a 200 m",IF(J592&lt;=300,"4. De 200 a 300 m",IF(J592&lt;=500,"5. De 300 a 500 m","6. De 500 m a 2 km"))))))</f>
        <v>3. De 100 a 200 m</v>
      </c>
      <c r="L592" s="26" t="n">
        <v>0</v>
      </c>
      <c r="M592" s="26" t="n">
        <v>0</v>
      </c>
      <c r="N592" s="26" t="n">
        <v>2</v>
      </c>
      <c r="O592" s="26" t="n">
        <v>2</v>
      </c>
      <c r="P592" s="30" t="n">
        <v>-12.6347831</v>
      </c>
      <c r="Q592" s="30" t="n">
        <v>-38.2729926</v>
      </c>
      <c r="R592" s="14" t="inlineStr">
        <is>
          <t>CARTÓRIO DA 186ª ZONA ELEITORAL, RUA PROFESSOR CÉSAR REIS, Nº 156, LESSA RIBEIRO, DIAS D'ÁVILA/BA</t>
        </is>
      </c>
      <c r="S592" s="26">
        <f>IF(A592=A591,0,1)</f>
        <v>0</v>
      </c>
      <c r="T592" s="26">
        <f>IF(COUNTIF($B$4:B592,B592)=1,1,0)</f>
        <v>0</v>
      </c>
    </row>
    <row r="593">
      <c r="A593" s="14" t="inlineStr">
        <is>
          <t>DIAS D'ÁVILA</t>
        </is>
      </c>
      <c r="B593" s="26" t="n">
        <v>186</v>
      </c>
      <c r="C593" s="26" t="n">
        <v>1112</v>
      </c>
      <c r="D593" s="14" t="inlineStr">
        <is>
          <t>ESCOLA MUNICIPAL CRISTO REI</t>
        </is>
      </c>
      <c r="E593" s="14" t="inlineStr">
        <is>
          <t>CRISTO REI</t>
        </is>
      </c>
      <c r="F593" s="14" t="inlineStr">
        <is>
          <t>RUA DA MÉXICO, N. 437 - ZONA URBANA</t>
        </is>
      </c>
      <c r="G593" s="27" t="inlineStr">
        <is>
          <t>42850-000</t>
        </is>
      </c>
      <c r="H593" s="15" t="n">
        <v>10</v>
      </c>
      <c r="I593" s="28" t="inlineStr">
        <is>
          <t>NÃO</t>
        </is>
      </c>
      <c r="J593" s="29" t="n">
        <v>443.4</v>
      </c>
      <c r="K593" s="14" t="str">
        <f>IF(J593="","7. Acima de 2 km",IF(J593&lt;=50,"1. Até 50 m",IF(J593&lt;=100,"2. De 50 a 100 m",IF(J593&lt;=200,"3. De 100 a 200 m",IF(J593&lt;=300,"4. De 200 a 300 m",IF(J593&lt;=500,"5. De 300 a 500 m","6. De 500 m a 2 km"))))))</f>
        <v>5. De 300 a 500 m</v>
      </c>
      <c r="L593" s="26" t="n">
        <v>0</v>
      </c>
      <c r="M593" s="26" t="n">
        <v>0</v>
      </c>
      <c r="N593" s="26" t="n">
        <v>0</v>
      </c>
      <c r="O593" s="26" t="n">
        <v>0</v>
      </c>
      <c r="P593" s="30" t="n">
        <v>-12.6012876</v>
      </c>
      <c r="Q593" s="30" t="n">
        <v>-38.3085938</v>
      </c>
      <c r="R593" s="14" t="inlineStr">
        <is>
          <t>CARTÓRIO DA 186ª ZONA ELEITORAL, RUA PROFESSOR CÉSAR REIS, Nº 156, LESSA RIBEIRO, DIAS D'ÁVILA/BA</t>
        </is>
      </c>
      <c r="S593" s="26">
        <f>IF(A593=A592,0,1)</f>
        <v>0</v>
      </c>
      <c r="T593" s="26">
        <f>IF(COUNTIF($B$4:B593,B593)=1,1,0)</f>
        <v>0</v>
      </c>
    </row>
    <row r="594">
      <c r="A594" s="14" t="inlineStr">
        <is>
          <t>DIAS D'ÁVILA</t>
        </is>
      </c>
      <c r="B594" s="26" t="n">
        <v>186</v>
      </c>
      <c r="C594" s="26" t="n">
        <v>1139</v>
      </c>
      <c r="D594" s="14" t="inlineStr">
        <is>
          <t>COLÉGIO ESTADUAL PROFESSOR EDILSON SOUTO FREIRE</t>
        </is>
      </c>
      <c r="E594" s="14" t="inlineStr">
        <is>
          <t>URBIS</t>
        </is>
      </c>
      <c r="F594" s="14" t="inlineStr">
        <is>
          <t>RUA DA  HOLANDA, S/N - ZONA URBANA</t>
        </is>
      </c>
      <c r="G594" s="27" t="inlineStr">
        <is>
          <t>42850-000</t>
        </is>
      </c>
      <c r="H594" s="15" t="n">
        <v>9</v>
      </c>
      <c r="I594" s="28" t="inlineStr">
        <is>
          <t>NÃO</t>
        </is>
      </c>
      <c r="J594" s="29" t="n">
        <v>146</v>
      </c>
      <c r="K594" s="14" t="str">
        <f>IF(J594="","7. Acima de 2 km",IF(J594&lt;=50,"1. Até 50 m",IF(J594&lt;=100,"2. De 50 a 100 m",IF(J594&lt;=200,"3. De 100 a 200 m",IF(J594&lt;=300,"4. De 200 a 300 m",IF(J594&lt;=500,"5. De 300 a 500 m","6. De 500 m a 2 km"))))))</f>
        <v>3. De 100 a 200 m</v>
      </c>
      <c r="L594" s="26" t="n">
        <v>0</v>
      </c>
      <c r="M594" s="26" t="n">
        <v>0</v>
      </c>
      <c r="N594" s="26" t="n">
        <v>1</v>
      </c>
      <c r="O594" s="26" t="n">
        <v>1</v>
      </c>
      <c r="P594" s="30" t="n">
        <v>-12.6177241</v>
      </c>
      <c r="Q594" s="30" t="n">
        <v>-38.299445</v>
      </c>
      <c r="R594" s="14" t="inlineStr">
        <is>
          <t>CARTÓRIO DA 186ª ZONA ELEITORAL, RUA PROFESSOR CÉSAR REIS, Nº 156, LESSA RIBEIRO, DIAS D'ÁVILA/BA</t>
        </is>
      </c>
      <c r="S594" s="26">
        <f>IF(A594=A593,0,1)</f>
        <v>0</v>
      </c>
      <c r="T594" s="26">
        <f>IF(COUNTIF($B$4:B594,B594)=1,1,0)</f>
        <v>0</v>
      </c>
    </row>
    <row r="595">
      <c r="A595" s="14" t="inlineStr">
        <is>
          <t>DIAS D'ÁVILA</t>
        </is>
      </c>
      <c r="B595" s="26" t="n">
        <v>186</v>
      </c>
      <c r="C595" s="26" t="n">
        <v>1155</v>
      </c>
      <c r="D595" s="14" t="inlineStr">
        <is>
          <t>ESCOLA MUNICIPAL MARIA SANTIAGO BACELAR DE SANTANA</t>
        </is>
      </c>
      <c r="E595" s="14" t="inlineStr">
        <is>
          <t>CONCÓRDIA</t>
        </is>
      </c>
      <c r="F595" s="14" t="inlineStr">
        <is>
          <t>RUA PRIMEIRO DE JANEIRO, N 490 - ZONA URBANA</t>
        </is>
      </c>
      <c r="G595" s="27" t="inlineStr">
        <is>
          <t>42850-000</t>
        </is>
      </c>
      <c r="H595" s="15" t="n">
        <v>8</v>
      </c>
      <c r="I595" s="28" t="inlineStr">
        <is>
          <t>NÃO</t>
        </is>
      </c>
      <c r="J595" s="29" t="n">
        <v>245.1</v>
      </c>
      <c r="K595" s="14" t="str">
        <f>IF(J595="","7. Acima de 2 km",IF(J595&lt;=50,"1. Até 50 m",IF(J595&lt;=100,"2. De 50 a 100 m",IF(J595&lt;=200,"3. De 100 a 200 m",IF(J595&lt;=300,"4. De 200 a 300 m",IF(J595&lt;=500,"5. De 300 a 500 m","6. De 500 m a 2 km"))))))</f>
        <v>4. De 200 a 300 m</v>
      </c>
      <c r="L595" s="26" t="n">
        <v>0</v>
      </c>
      <c r="M595" s="26" t="n">
        <v>0</v>
      </c>
      <c r="N595" s="26" t="n">
        <v>0</v>
      </c>
      <c r="O595" s="26" t="n">
        <v>1</v>
      </c>
      <c r="P595" s="30" t="n">
        <v>-12.6025552</v>
      </c>
      <c r="Q595" s="30" t="n">
        <v>-38.3265484</v>
      </c>
      <c r="R595" s="14" t="inlineStr">
        <is>
          <t>CARTÓRIO DA 186ª ZONA ELEITORAL, RUA PROFESSOR CÉSAR REIS, Nº 156, LESSA RIBEIRO, DIAS D'ÁVILA/BA</t>
        </is>
      </c>
      <c r="S595" s="26">
        <f>IF(A595=A594,0,1)</f>
        <v>0</v>
      </c>
      <c r="T595" s="26">
        <f>IF(COUNTIF($B$4:B595,B595)=1,1,0)</f>
        <v>0</v>
      </c>
    </row>
    <row r="596">
      <c r="A596" s="14" t="inlineStr">
        <is>
          <t>DIAS D'ÁVILA</t>
        </is>
      </c>
      <c r="B596" s="26" t="n">
        <v>186</v>
      </c>
      <c r="C596" s="26" t="n">
        <v>1163</v>
      </c>
      <c r="D596" s="14" t="inlineStr">
        <is>
          <t>ESCOLA PROFESSORA ALTAIR DA COSTA LIMA</t>
        </is>
      </c>
      <c r="E596" s="14" t="inlineStr">
        <is>
          <t>CENTRO</t>
        </is>
      </c>
      <c r="F596" s="14" t="inlineStr">
        <is>
          <t>RUA GETÚLIO VARGAS, S/N - ZONA URBANA</t>
        </is>
      </c>
      <c r="G596" s="27" t="inlineStr">
        <is>
          <t>42850-000</t>
        </is>
      </c>
      <c r="H596" s="15" t="n">
        <v>8</v>
      </c>
      <c r="I596" s="28" t="inlineStr">
        <is>
          <t>NÃO</t>
        </is>
      </c>
      <c r="J596" s="29" t="n">
        <v>139.8</v>
      </c>
      <c r="K596" s="14" t="str">
        <f>IF(J596="","7. Acima de 2 km",IF(J596&lt;=50,"1. Até 50 m",IF(J596&lt;=100,"2. De 50 a 100 m",IF(J596&lt;=200,"3. De 100 a 200 m",IF(J596&lt;=300,"4. De 200 a 300 m",IF(J596&lt;=500,"5. De 300 a 500 m","6. De 500 m a 2 km"))))))</f>
        <v>3. De 100 a 200 m</v>
      </c>
      <c r="L596" s="26" t="n">
        <v>0</v>
      </c>
      <c r="M596" s="26" t="n">
        <v>0</v>
      </c>
      <c r="N596" s="26" t="n">
        <v>3</v>
      </c>
      <c r="O596" s="26" t="n">
        <v>4</v>
      </c>
      <c r="P596" s="30" t="n">
        <v>-12.6115507</v>
      </c>
      <c r="Q596" s="30" t="n">
        <v>-38.3033635</v>
      </c>
      <c r="R596" s="14" t="inlineStr">
        <is>
          <t>CARTÓRIO DA 186ª ZONA ELEITORAL, RUA PROFESSOR CÉSAR REIS, Nº 156, LESSA RIBEIRO, DIAS D'ÁVILA/BA</t>
        </is>
      </c>
      <c r="S596" s="26">
        <f>IF(A596=A595,0,1)</f>
        <v>0</v>
      </c>
      <c r="T596" s="26">
        <f>IF(COUNTIF($B$4:B596,B596)=1,1,0)</f>
        <v>0</v>
      </c>
    </row>
    <row r="597">
      <c r="A597" s="14" t="inlineStr">
        <is>
          <t>DIAS D'ÁVILA</t>
        </is>
      </c>
      <c r="B597" s="26" t="n">
        <v>186</v>
      </c>
      <c r="C597" s="26" t="n">
        <v>1180</v>
      </c>
      <c r="D597" s="14" t="inlineStr">
        <is>
          <t>ESCOLA MUNICIPAL ARACI DOS SANTOS REIS</t>
        </is>
      </c>
      <c r="E597" s="14" t="inlineStr">
        <is>
          <t>DISTRITO DE LEANDRINHO</t>
        </is>
      </c>
      <c r="F597" s="14" t="inlineStr">
        <is>
          <t>RUA DA ASSEMBLÉIA - ZONA RURAL</t>
        </is>
      </c>
      <c r="G597" s="27" t="inlineStr">
        <is>
          <t>42850-000</t>
        </is>
      </c>
      <c r="H597" s="15" t="n">
        <v>6</v>
      </c>
      <c r="I597" s="28" t="inlineStr">
        <is>
          <t>NÃO</t>
        </is>
      </c>
      <c r="J597" s="29" t="n"/>
      <c r="K597" s="14" t="str">
        <f>IF(J597="","7. Acima de 2 km",IF(J597&lt;=50,"1. Até 50 m",IF(J597&lt;=100,"2. De 50 a 100 m",IF(J597&lt;=200,"3. De 100 a 200 m",IF(J597&lt;=300,"4. De 200 a 300 m",IF(J597&lt;=500,"5. De 300 a 500 m","6. De 500 m a 2 km"))))))</f>
        <v>7. Acima de 2 km</v>
      </c>
      <c r="L597" s="26" t="n">
        <v>0</v>
      </c>
      <c r="M597" s="26" t="n">
        <v>0</v>
      </c>
      <c r="N597" s="26" t="n">
        <v>0</v>
      </c>
      <c r="O597" s="26" t="n">
        <v>0</v>
      </c>
      <c r="P597" s="30" t="n">
        <v>-12.6419829</v>
      </c>
      <c r="Q597" s="30" t="n">
        <v>-38.3750702</v>
      </c>
      <c r="R597" s="14" t="inlineStr">
        <is>
          <t>CARTÓRIO DA 186ª ZONA ELEITORAL, RUA PROFESSOR CÉSAR REIS, Nº 156, LESSA RIBEIRO, DIAS D'ÁVILA/BA</t>
        </is>
      </c>
      <c r="S597" s="26">
        <f>IF(A597=A596,0,1)</f>
        <v>0</v>
      </c>
      <c r="T597" s="26">
        <f>IF(COUNTIF($B$4:B597,B597)=1,1,0)</f>
        <v>0</v>
      </c>
    </row>
    <row r="598">
      <c r="A598" s="14" t="inlineStr">
        <is>
          <t>DIAS D'ÁVILA</t>
        </is>
      </c>
      <c r="B598" s="26" t="n">
        <v>186</v>
      </c>
      <c r="C598" s="26" t="n">
        <v>1198</v>
      </c>
      <c r="D598" s="14" t="inlineStr">
        <is>
          <t>ESCOLA MUNICIPAL EUTRÓDIA CARVALHO DOS SANTOS</t>
        </is>
      </c>
      <c r="E598" s="14" t="inlineStr">
        <is>
          <t>URBIS</t>
        </is>
      </c>
      <c r="F598" s="14" t="inlineStr">
        <is>
          <t>RUA RUI BARBOSA, 10 - ZONA URBANA</t>
        </is>
      </c>
      <c r="G598" s="27" t="inlineStr">
        <is>
          <t>42850-000</t>
        </is>
      </c>
      <c r="H598" s="15" t="n">
        <v>6</v>
      </c>
      <c r="I598" s="28" t="inlineStr">
        <is>
          <t>NÃO</t>
        </is>
      </c>
      <c r="J598" s="29" t="n">
        <v>527.1</v>
      </c>
      <c r="K598" s="14" t="str">
        <f>IF(J598="","7. Acima de 2 km",IF(J598&lt;=50,"1. Até 50 m",IF(J598&lt;=100,"2. De 50 a 100 m",IF(J598&lt;=200,"3. De 100 a 200 m",IF(J598&lt;=300,"4. De 200 a 300 m",IF(J598&lt;=500,"5. De 300 a 500 m","6. De 500 m a 2 km"))))))</f>
        <v>6. De 500 m a 2 km</v>
      </c>
      <c r="L598" s="26" t="n">
        <v>0</v>
      </c>
      <c r="M598" s="26" t="n">
        <v>0</v>
      </c>
      <c r="N598" s="26" t="n">
        <v>0</v>
      </c>
      <c r="O598" s="26" t="n">
        <v>0</v>
      </c>
      <c r="P598" s="30" t="n">
        <v>-12.6187448</v>
      </c>
      <c r="Q598" s="30" t="n">
        <v>-38.3032785</v>
      </c>
      <c r="R598" s="14" t="inlineStr">
        <is>
          <t>CARTÓRIO DA 186ª ZONA ELEITORAL, RUA PROFESSOR CÉSAR REIS, Nº 156, LESSA RIBEIRO, DIAS D'ÁVILA/BA</t>
        </is>
      </c>
      <c r="S598" s="26">
        <f>IF(A598=A597,0,1)</f>
        <v>0</v>
      </c>
      <c r="T598" s="26">
        <f>IF(COUNTIF($B$4:B598,B598)=1,1,0)</f>
        <v>0</v>
      </c>
    </row>
    <row r="599">
      <c r="A599" s="14" t="inlineStr">
        <is>
          <t>DIAS D'ÁVILA</t>
        </is>
      </c>
      <c r="B599" s="26" t="n">
        <v>186</v>
      </c>
      <c r="C599" s="26" t="n">
        <v>1201</v>
      </c>
      <c r="D599" s="14" t="inlineStr">
        <is>
          <t>ESCOLA MUNICIPAL BIRIBEIRA</t>
        </is>
      </c>
      <c r="E599" s="14" t="inlineStr">
        <is>
          <t>DISTRITO DE BIRIBEIRA</t>
        </is>
      </c>
      <c r="F599" s="14" t="inlineStr">
        <is>
          <t>DISTRITO DE BIRIBEIRA - ZONA RURAL</t>
        </is>
      </c>
      <c r="G599" s="27" t="inlineStr">
        <is>
          <t>42850-000</t>
        </is>
      </c>
      <c r="H599" s="15" t="n">
        <v>4</v>
      </c>
      <c r="I599" s="28" t="inlineStr">
        <is>
          <t>NÃO</t>
        </is>
      </c>
      <c r="J599" s="29" t="n"/>
      <c r="K599" s="14" t="str">
        <f>IF(J599="","7. Acima de 2 km",IF(J599&lt;=50,"1. Até 50 m",IF(J599&lt;=100,"2. De 50 a 100 m",IF(J599&lt;=200,"3. De 100 a 200 m",IF(J599&lt;=300,"4. De 200 a 300 m",IF(J599&lt;=500,"5. De 300 a 500 m","6. De 500 m a 2 km"))))))</f>
        <v>7. Acima de 2 km</v>
      </c>
      <c r="L599" s="26" t="n">
        <v>0</v>
      </c>
      <c r="M599" s="26" t="n">
        <v>0</v>
      </c>
      <c r="N599" s="26" t="n">
        <v>0</v>
      </c>
      <c r="O599" s="26" t="n">
        <v>0</v>
      </c>
      <c r="P599" s="30" t="n">
        <v>-12.62747</v>
      </c>
      <c r="Q599" s="30" t="n">
        <v>-38.2077654</v>
      </c>
      <c r="R599" s="14" t="inlineStr">
        <is>
          <t>CARTÓRIO DA 186ª ZONA ELEITORAL, RUA PROFESSOR CÉSAR REIS, Nº 156, LESSA RIBEIRO, DIAS D'ÁVILA/BA</t>
        </is>
      </c>
      <c r="S599" s="26">
        <f>IF(A599=A598,0,1)</f>
        <v>0</v>
      </c>
      <c r="T599" s="26">
        <f>IF(COUNTIF($B$4:B599,B599)=1,1,0)</f>
        <v>0</v>
      </c>
    </row>
    <row r="600">
      <c r="A600" s="14" t="inlineStr">
        <is>
          <t>DIAS D'ÁVILA</t>
        </is>
      </c>
      <c r="B600" s="26" t="n">
        <v>186</v>
      </c>
      <c r="C600" s="26" t="n">
        <v>1210</v>
      </c>
      <c r="D600" s="14" t="inlineStr">
        <is>
          <t>ESCOLA MUNICIPAL FLORÊNCIO BORGES DE SANTANA</t>
        </is>
      </c>
      <c r="E600" s="14" t="inlineStr">
        <is>
          <t>IMBASSAY</t>
        </is>
      </c>
      <c r="F600" s="14" t="inlineStr">
        <is>
          <t>RUA SANTA TEREZINHA, SN (R DA ÁGUA MINERAL DIAS D ÁVILA) - ZONA URBANA</t>
        </is>
      </c>
      <c r="G600" s="27" t="inlineStr">
        <is>
          <t>42850-000</t>
        </is>
      </c>
      <c r="H600" s="15" t="n">
        <v>5</v>
      </c>
      <c r="I600" s="28" t="inlineStr">
        <is>
          <t>NÃO</t>
        </is>
      </c>
      <c r="J600" s="29" t="n">
        <v>497.9</v>
      </c>
      <c r="K600" s="14" t="str">
        <f>IF(J600="","7. Acima de 2 km",IF(J600&lt;=50,"1. Até 50 m",IF(J600&lt;=100,"2. De 50 a 100 m",IF(J600&lt;=200,"3. De 100 a 200 m",IF(J600&lt;=300,"4. De 200 a 300 m",IF(J600&lt;=500,"5. De 300 a 500 m","6. De 500 m a 2 km"))))))</f>
        <v>5. De 300 a 500 m</v>
      </c>
      <c r="L600" s="26" t="n">
        <v>0</v>
      </c>
      <c r="M600" s="26" t="n">
        <v>0</v>
      </c>
      <c r="N600" s="26" t="n">
        <v>0</v>
      </c>
      <c r="O600" s="26" t="n">
        <v>0</v>
      </c>
      <c r="P600" s="30" t="n">
        <v>-12.6136224</v>
      </c>
      <c r="Q600" s="30" t="n">
        <v>-38.31583</v>
      </c>
      <c r="R600" s="14" t="inlineStr">
        <is>
          <t>CARTÓRIO DA 186ª ZONA ELEITORAL, RUA PROFESSOR CÉSAR REIS, Nº 156, LESSA RIBEIRO, DIAS D'ÁVILA/BA</t>
        </is>
      </c>
      <c r="S600" s="26">
        <f>IF(A600=A599,0,1)</f>
        <v>0</v>
      </c>
      <c r="T600" s="26">
        <f>IF(COUNTIF($B$4:B600,B600)=1,1,0)</f>
        <v>0</v>
      </c>
    </row>
    <row r="601">
      <c r="A601" s="14" t="inlineStr">
        <is>
          <t>DIAS D'ÁVILA</t>
        </is>
      </c>
      <c r="B601" s="26" t="n">
        <v>186</v>
      </c>
      <c r="C601" s="26" t="n">
        <v>1228</v>
      </c>
      <c r="D601" s="14" t="inlineStr">
        <is>
          <t>ESCOLA MUNICIPAL SANTOS TITARA</t>
        </is>
      </c>
      <c r="E601" s="14" t="inlineStr">
        <is>
          <t>JARDIM ALVORADA</t>
        </is>
      </c>
      <c r="F601" s="14" t="inlineStr">
        <is>
          <t>RUA CATHARINA PARAGUASSU, S/N - ZONA URBANA</t>
        </is>
      </c>
      <c r="G601" s="27" t="inlineStr">
        <is>
          <t>42850-000</t>
        </is>
      </c>
      <c r="H601" s="15" t="n">
        <v>4</v>
      </c>
      <c r="I601" s="28" t="inlineStr">
        <is>
          <t>NÃO</t>
        </is>
      </c>
      <c r="J601" s="29" t="n">
        <v>363.2</v>
      </c>
      <c r="K601" s="14" t="str">
        <f>IF(J601="","7. Acima de 2 km",IF(J601&lt;=50,"1. Até 50 m",IF(J601&lt;=100,"2. De 50 a 100 m",IF(J601&lt;=200,"3. De 100 a 200 m",IF(J601&lt;=300,"4. De 200 a 300 m",IF(J601&lt;=500,"5. De 300 a 500 m","6. De 500 m a 2 km"))))))</f>
        <v>5. De 300 a 500 m</v>
      </c>
      <c r="L601" s="26" t="n">
        <v>0</v>
      </c>
      <c r="M601" s="26" t="n">
        <v>0</v>
      </c>
      <c r="N601" s="26" t="n">
        <v>0</v>
      </c>
      <c r="O601" s="26" t="n">
        <v>0</v>
      </c>
      <c r="P601" s="30" t="n">
        <v>-12.6171229</v>
      </c>
      <c r="Q601" s="30" t="n">
        <v>-38.2944724</v>
      </c>
      <c r="R601" s="14" t="inlineStr">
        <is>
          <t>CARTÓRIO DA 186ª ZONA ELEITORAL, RUA PROFESSOR CÉSAR REIS, Nº 156, LESSA RIBEIRO, DIAS D'ÁVILA/BA</t>
        </is>
      </c>
      <c r="S601" s="26">
        <f>IF(A601=A600,0,1)</f>
        <v>0</v>
      </c>
      <c r="T601" s="26">
        <f>IF(COUNTIF($B$4:B601,B601)=1,1,0)</f>
        <v>0</v>
      </c>
    </row>
    <row r="602">
      <c r="A602" s="14" t="inlineStr">
        <is>
          <t>DIAS D'ÁVILA</t>
        </is>
      </c>
      <c r="B602" s="26" t="n">
        <v>186</v>
      </c>
      <c r="C602" s="26" t="n">
        <v>1236</v>
      </c>
      <c r="D602" s="14" t="inlineStr">
        <is>
          <t>ESCOLA MUNICIPAL DO BOSQUE</t>
        </is>
      </c>
      <c r="E602" s="14" t="inlineStr">
        <is>
          <t>BOSQUE DIAS D'ÁVILA</t>
        </is>
      </c>
      <c r="F602" s="14" t="inlineStr">
        <is>
          <t>RUA ARCHIMEDES, S/N - ZONA URBANA</t>
        </is>
      </c>
      <c r="G602" s="27" t="inlineStr">
        <is>
          <t>42850-000</t>
        </is>
      </c>
      <c r="H602" s="15" t="n">
        <v>8</v>
      </c>
      <c r="I602" s="28" t="inlineStr">
        <is>
          <t>NÃO</t>
        </is>
      </c>
      <c r="J602" s="29" t="n">
        <v>523.9</v>
      </c>
      <c r="K602" s="14" t="str">
        <f>IF(J602="","7. Acima de 2 km",IF(J602&lt;=50,"1. Até 50 m",IF(J602&lt;=100,"2. De 50 a 100 m",IF(J602&lt;=200,"3. De 100 a 200 m",IF(J602&lt;=300,"4. De 200 a 300 m",IF(J602&lt;=500,"5. De 300 a 500 m","6. De 500 m a 2 km"))))))</f>
        <v>6. De 500 m a 2 km</v>
      </c>
      <c r="L602" s="26" t="n">
        <v>0</v>
      </c>
      <c r="M602" s="26" t="n">
        <v>0</v>
      </c>
      <c r="N602" s="26" t="n">
        <v>0</v>
      </c>
      <c r="O602" s="26" t="n">
        <v>0</v>
      </c>
      <c r="P602" s="30" t="n">
        <v>-12.6235051</v>
      </c>
      <c r="Q602" s="30" t="n">
        <v>-38.2824806</v>
      </c>
      <c r="R602" s="14" t="inlineStr">
        <is>
          <t>CARTÓRIO DA 186ª ZONA ELEITORAL, RUA PROFESSOR CÉSAR REIS, Nº 156, LESSA RIBEIRO, DIAS D'ÁVILA/BA</t>
        </is>
      </c>
      <c r="S602" s="26">
        <f>IF(A602=A601,0,1)</f>
        <v>0</v>
      </c>
      <c r="T602" s="26">
        <f>IF(COUNTIF($B$4:B602,B602)=1,1,0)</f>
        <v>0</v>
      </c>
    </row>
    <row r="603">
      <c r="A603" s="14" t="inlineStr">
        <is>
          <t>DIAS D'ÁVILA</t>
        </is>
      </c>
      <c r="B603" s="26" t="n">
        <v>186</v>
      </c>
      <c r="C603" s="26" t="n">
        <v>1244</v>
      </c>
      <c r="D603" s="14" t="inlineStr">
        <is>
          <t>ESCOLA MUNICIPAL BOA VISTA DE SANTA HELENA</t>
        </is>
      </c>
      <c r="E603" s="14" t="inlineStr">
        <is>
          <t>DISTRITO DE SANTA HELENA</t>
        </is>
      </c>
      <c r="F603" s="14" t="inlineStr">
        <is>
          <t>DISTRITO DE SANTA HELENA - ZONA RURAL</t>
        </is>
      </c>
      <c r="G603" s="27" t="inlineStr">
        <is>
          <t>42850-000</t>
        </is>
      </c>
      <c r="H603" s="15" t="n">
        <v>1</v>
      </c>
      <c r="I603" s="28" t="inlineStr">
        <is>
          <t>NÃO</t>
        </is>
      </c>
      <c r="J603" s="29" t="n"/>
      <c r="K603" s="14" t="str">
        <f>IF(J603="","7. Acima de 2 km",IF(J603&lt;=50,"1. Até 50 m",IF(J603&lt;=100,"2. De 50 a 100 m",IF(J603&lt;=200,"3. De 100 a 200 m",IF(J603&lt;=300,"4. De 200 a 300 m",IF(J603&lt;=500,"5. De 300 a 500 m","6. De 500 m a 2 km"))))))</f>
        <v>7. Acima de 2 km</v>
      </c>
      <c r="L603" s="26" t="n">
        <v>0</v>
      </c>
      <c r="M603" s="26" t="n">
        <v>0</v>
      </c>
      <c r="N603" s="26" t="n">
        <v>0</v>
      </c>
      <c r="O603" s="26" t="n">
        <v>0</v>
      </c>
      <c r="P603" s="30" t="n">
        <v>-12.5743673</v>
      </c>
      <c r="Q603" s="30" t="n">
        <v>-38.1737822</v>
      </c>
      <c r="R603" s="14" t="inlineStr">
        <is>
          <t>CARTÓRIO DA 186ª ZONA ELEITORAL, RUA PROFESSOR CÉSAR REIS, Nº 156, LESSA RIBEIRO, DIAS D'ÁVILA/BA</t>
        </is>
      </c>
      <c r="S603" s="26">
        <f>IF(A603=A602,0,1)</f>
        <v>0</v>
      </c>
      <c r="T603" s="26">
        <f>IF(COUNTIF($B$4:B603,B603)=1,1,0)</f>
        <v>0</v>
      </c>
    </row>
    <row r="604">
      <c r="A604" s="14" t="inlineStr">
        <is>
          <t>DIAS D'ÁVILA</t>
        </is>
      </c>
      <c r="B604" s="26" t="n">
        <v>186</v>
      </c>
      <c r="C604" s="26" t="n">
        <v>1252</v>
      </c>
      <c r="D604" s="14" t="inlineStr">
        <is>
          <t>ESCOLA  MUNICIPAL FUTURAMA</t>
        </is>
      </c>
      <c r="E604" s="14" t="inlineStr">
        <is>
          <t>DISTRITO DE JARDIM FUTURAMA</t>
        </is>
      </c>
      <c r="F604" s="14" t="inlineStr">
        <is>
          <t>DISTRITO DE JARDIM FUTURAMA - ZONA RURAL</t>
        </is>
      </c>
      <c r="G604" s="27" t="inlineStr">
        <is>
          <t>42850-000</t>
        </is>
      </c>
      <c r="H604" s="15" t="n">
        <v>2</v>
      </c>
      <c r="I604" s="28" t="inlineStr">
        <is>
          <t>NÃO</t>
        </is>
      </c>
      <c r="J604" s="29" t="n"/>
      <c r="K604" s="14" t="str">
        <f>IF(J604="","7. Acima de 2 km",IF(J604&lt;=50,"1. Até 50 m",IF(J604&lt;=100,"2. De 50 a 100 m",IF(J604&lt;=200,"3. De 100 a 200 m",IF(J604&lt;=300,"4. De 200 a 300 m",IF(J604&lt;=500,"5. De 300 a 500 m","6. De 500 m a 2 km"))))))</f>
        <v>7. Acima de 2 km</v>
      </c>
      <c r="L604" s="26" t="n">
        <v>0</v>
      </c>
      <c r="M604" s="26" t="n">
        <v>0</v>
      </c>
      <c r="N604" s="26" t="n">
        <v>0</v>
      </c>
      <c r="O604" s="26" t="n">
        <v>0</v>
      </c>
      <c r="P604" s="30" t="n">
        <v>-12.6687723</v>
      </c>
      <c r="Q604" s="30" t="n">
        <v>-38.3717027</v>
      </c>
      <c r="R604" s="14" t="inlineStr">
        <is>
          <t>CARTÓRIO DA 186ª ZONA ELEITORAL, RUA PROFESSOR CÉSAR REIS, Nº 156, LESSA RIBEIRO, DIAS D'ÁVILA/BA</t>
        </is>
      </c>
      <c r="S604" s="26">
        <f>IF(A604=A603,0,1)</f>
        <v>0</v>
      </c>
      <c r="T604" s="26">
        <f>IF(COUNTIF($B$4:B604,B604)=1,1,0)</f>
        <v>0</v>
      </c>
    </row>
    <row r="605">
      <c r="A605" s="14" t="inlineStr">
        <is>
          <t>DIAS D'ÁVILA</t>
        </is>
      </c>
      <c r="B605" s="26" t="n">
        <v>186</v>
      </c>
      <c r="C605" s="26" t="n">
        <v>1260</v>
      </c>
      <c r="D605" s="14" t="inlineStr">
        <is>
          <t>ESCOLA MUNICIPAL SÃO JOSÉ</t>
        </is>
      </c>
      <c r="E605" s="14" t="inlineStr">
        <is>
          <t>DISTRITO DE EMBOACICA</t>
        </is>
      </c>
      <c r="F605" s="14" t="inlineStr">
        <is>
          <t>RUA PRINCIPAL - ZONA RURAL</t>
        </is>
      </c>
      <c r="G605" s="27" t="inlineStr">
        <is>
          <t>42850-000</t>
        </is>
      </c>
      <c r="H605" s="15" t="n">
        <v>1</v>
      </c>
      <c r="I605" s="28" t="inlineStr">
        <is>
          <t>NÃO</t>
        </is>
      </c>
      <c r="J605" s="29" t="n"/>
      <c r="K605" s="14" t="str">
        <f>IF(J605="","7. Acima de 2 km",IF(J605&lt;=50,"1. Até 50 m",IF(J605&lt;=100,"2. De 50 a 100 m",IF(J605&lt;=200,"3. De 100 a 200 m",IF(J605&lt;=300,"4. De 200 a 300 m",IF(J605&lt;=500,"5. De 300 a 500 m","6. De 500 m a 2 km"))))))</f>
        <v>7. Acima de 2 km</v>
      </c>
      <c r="L605" s="26" t="n">
        <v>0</v>
      </c>
      <c r="M605" s="26" t="n">
        <v>0</v>
      </c>
      <c r="N605" s="26" t="n">
        <v>0</v>
      </c>
      <c r="O605" s="26" t="n">
        <v>0</v>
      </c>
      <c r="P605" s="30" t="n">
        <v>-12.6040994</v>
      </c>
      <c r="Q605" s="30" t="n">
        <v>-38.1358264</v>
      </c>
      <c r="R605" s="14" t="inlineStr">
        <is>
          <t>CARTÓRIO DA 186ª ZONA ELEITORAL, RUA PROFESSOR CÉSAR REIS, Nº 156, LESSA RIBEIRO, DIAS D'ÁVILA/BA</t>
        </is>
      </c>
      <c r="S605" s="26">
        <f>IF(A605=A604,0,1)</f>
        <v>0</v>
      </c>
      <c r="T605" s="26">
        <f>IF(COUNTIF($B$4:B605,B605)=1,1,0)</f>
        <v>0</v>
      </c>
    </row>
    <row r="606">
      <c r="A606" s="14" t="inlineStr">
        <is>
          <t>DIAS D'ÁVILA</t>
        </is>
      </c>
      <c r="B606" s="26" t="n">
        <v>186</v>
      </c>
      <c r="C606" s="26" t="n">
        <v>1279</v>
      </c>
      <c r="D606" s="14" t="inlineStr">
        <is>
          <t>ESCOLA MUNICIPAL PROFESSOR ANÍSIO TEIXEIRA</t>
        </is>
      </c>
      <c r="E606" s="14" t="inlineStr">
        <is>
          <t>PARQUE PETRÓPOLIS</t>
        </is>
      </c>
      <c r="F606" s="14" t="inlineStr">
        <is>
          <t>AV. SAPEAÇU, S/N - ZONA URBANA</t>
        </is>
      </c>
      <c r="G606" s="27" t="inlineStr">
        <is>
          <t>42850-000</t>
        </is>
      </c>
      <c r="H606" s="15" t="n">
        <v>7</v>
      </c>
      <c r="I606" s="28" t="inlineStr">
        <is>
          <t>NÃO</t>
        </is>
      </c>
      <c r="J606" s="29" t="n">
        <v>101</v>
      </c>
      <c r="K606" s="14" t="str">
        <f>IF(J606="","7. Acima de 2 km",IF(J606&lt;=50,"1. Até 50 m",IF(J606&lt;=100,"2. De 50 a 100 m",IF(J606&lt;=200,"3. De 100 a 200 m",IF(J606&lt;=300,"4. De 200 a 300 m",IF(J606&lt;=500,"5. De 300 a 500 m","6. De 500 m a 2 km"))))))</f>
        <v>3. De 100 a 200 m</v>
      </c>
      <c r="L606" s="26" t="n">
        <v>0</v>
      </c>
      <c r="M606" s="26" t="n">
        <v>0</v>
      </c>
      <c r="N606" s="26" t="n">
        <v>1</v>
      </c>
      <c r="O606" s="26" t="n">
        <v>2</v>
      </c>
      <c r="P606" s="30" t="n">
        <v>-12.6216003</v>
      </c>
      <c r="Q606" s="30" t="n">
        <v>-38.289298</v>
      </c>
      <c r="R606" s="14" t="inlineStr">
        <is>
          <t>CARTÓRIO DA 186ª ZONA ELEITORAL, RUA PROFESSOR CÉSAR REIS, Nº 156, LESSA RIBEIRO, DIAS D'ÁVILA/BA</t>
        </is>
      </c>
      <c r="S606" s="26">
        <f>IF(A606=A605,0,1)</f>
        <v>0</v>
      </c>
      <c r="T606" s="26">
        <f>IF(COUNTIF($B$4:B606,B606)=1,1,0)</f>
        <v>0</v>
      </c>
    </row>
    <row r="607">
      <c r="A607" s="14" t="inlineStr">
        <is>
          <t>DIAS D'ÁVILA</t>
        </is>
      </c>
      <c r="B607" s="26" t="n">
        <v>186</v>
      </c>
      <c r="C607" s="26" t="n">
        <v>1287</v>
      </c>
      <c r="D607" s="14" t="inlineStr">
        <is>
          <t>ESCOLA MUNICIPAL CARLOS DRUMOND DE ANDRADE</t>
        </is>
      </c>
      <c r="E607" s="14" t="inlineStr">
        <is>
          <t>URBIS</t>
        </is>
      </c>
      <c r="F607" s="14" t="inlineStr">
        <is>
          <t>RUA DA HOLANDA, S/N - ZONA URBANA</t>
        </is>
      </c>
      <c r="G607" s="27" t="inlineStr">
        <is>
          <t>42850-000</t>
        </is>
      </c>
      <c r="H607" s="15" t="n">
        <v>5</v>
      </c>
      <c r="I607" s="28" t="inlineStr">
        <is>
          <t>NÃO</t>
        </is>
      </c>
      <c r="J607" s="29" t="n">
        <v>219.5</v>
      </c>
      <c r="K607" s="14" t="str">
        <f>IF(J607="","7. Acima de 2 km",IF(J607&lt;=50,"1. Até 50 m",IF(J607&lt;=100,"2. De 50 a 100 m",IF(J607&lt;=200,"3. De 100 a 200 m",IF(J607&lt;=300,"4. De 200 a 300 m",IF(J607&lt;=500,"5. De 300 a 500 m","6. De 500 m a 2 km"))))))</f>
        <v>4. De 200 a 300 m</v>
      </c>
      <c r="L607" s="26" t="n">
        <v>0</v>
      </c>
      <c r="M607" s="26" t="n">
        <v>0</v>
      </c>
      <c r="N607" s="26" t="n">
        <v>0</v>
      </c>
      <c r="O607" s="26" t="n">
        <v>1</v>
      </c>
      <c r="P607" s="30" t="n">
        <v>-12.6175013</v>
      </c>
      <c r="Q607" s="30" t="n">
        <v>-38.3001187</v>
      </c>
      <c r="R607" s="14" t="inlineStr">
        <is>
          <t>CARTÓRIO DA 186ª ZONA ELEITORAL, RUA PROFESSOR CÉSAR REIS, Nº 156, LESSA RIBEIRO, DIAS D'ÁVILA/BA</t>
        </is>
      </c>
      <c r="S607" s="26">
        <f>IF(A607=A606,0,1)</f>
        <v>0</v>
      </c>
      <c r="T607" s="26">
        <f>IF(COUNTIF($B$4:B607,B607)=1,1,0)</f>
        <v>0</v>
      </c>
    </row>
    <row r="608">
      <c r="A608" s="14" t="inlineStr">
        <is>
          <t>DIAS D'ÁVILA</t>
        </is>
      </c>
      <c r="B608" s="26" t="n">
        <v>186</v>
      </c>
      <c r="C608" s="26" t="n">
        <v>1295</v>
      </c>
      <c r="D608" s="14" t="inlineStr">
        <is>
          <t>ESCOLA MUNICIPAL AYRTON CARLOS NUNES</t>
        </is>
      </c>
      <c r="E608" s="14" t="inlineStr">
        <is>
          <t>GARCIA D'ÁVILA</t>
        </is>
      </c>
      <c r="F608" s="14" t="inlineStr">
        <is>
          <t>RUA SÃO SALVADOR, S/N - ZONA URBANA</t>
        </is>
      </c>
      <c r="G608" s="27" t="inlineStr">
        <is>
          <t>42850-000</t>
        </is>
      </c>
      <c r="H608" s="15" t="n">
        <v>5</v>
      </c>
      <c r="I608" s="28" t="inlineStr">
        <is>
          <t>NÃO</t>
        </is>
      </c>
      <c r="J608" s="29" t="n">
        <v>836.3</v>
      </c>
      <c r="K608" s="14" t="str">
        <f>IF(J608="","7. Acima de 2 km",IF(J608&lt;=50,"1. Até 50 m",IF(J608&lt;=100,"2. De 50 a 100 m",IF(J608&lt;=200,"3. De 100 a 200 m",IF(J608&lt;=300,"4. De 200 a 300 m",IF(J608&lt;=500,"5. De 300 a 500 m","6. De 500 m a 2 km"))))))</f>
        <v>6. De 500 m a 2 km</v>
      </c>
      <c r="L608" s="26" t="n">
        <v>0</v>
      </c>
      <c r="M608" s="26" t="n">
        <v>0</v>
      </c>
      <c r="N608" s="26" t="n">
        <v>0</v>
      </c>
      <c r="O608" s="26" t="n">
        <v>0</v>
      </c>
      <c r="P608" s="30" t="n">
        <v>-12.6114827</v>
      </c>
      <c r="Q608" s="30" t="n">
        <v>-38.2896592</v>
      </c>
      <c r="R608" s="14" t="inlineStr">
        <is>
          <t>CARTÓRIO DA 186ª ZONA ELEITORAL, RUA PROFESSOR CÉSAR REIS, Nº 156, LESSA RIBEIRO, DIAS D'ÁVILA/BA</t>
        </is>
      </c>
      <c r="S608" s="26">
        <f>IF(A608=A607,0,1)</f>
        <v>0</v>
      </c>
      <c r="T608" s="26">
        <f>IF(COUNTIF($B$4:B608,B608)=1,1,0)</f>
        <v>0</v>
      </c>
    </row>
    <row r="609">
      <c r="A609" s="14" t="inlineStr">
        <is>
          <t>DIAS D'ÁVILA</t>
        </is>
      </c>
      <c r="B609" s="26" t="n">
        <v>186</v>
      </c>
      <c r="C609" s="26" t="n">
        <v>1309</v>
      </c>
      <c r="D609" s="14" t="inlineStr">
        <is>
          <t>ESCOLA MUNICIPAL JOSÉ DA CONCEIÇÃO ALMEIDA</t>
        </is>
      </c>
      <c r="E609" s="14" t="inlineStr">
        <is>
          <t>GENARO</t>
        </is>
      </c>
      <c r="F609" s="14" t="inlineStr">
        <is>
          <t>RUA JOSÉ DA CONCEIÇÃO ALMEIDA, N 360 - ZONA URBANA</t>
        </is>
      </c>
      <c r="G609" s="27" t="inlineStr">
        <is>
          <t>42850-000</t>
        </is>
      </c>
      <c r="H609" s="15" t="n">
        <v>4</v>
      </c>
      <c r="I609" s="28" t="inlineStr">
        <is>
          <t>NÃO</t>
        </is>
      </c>
      <c r="J609" s="29" t="n">
        <v>485.6</v>
      </c>
      <c r="K609" s="14" t="str">
        <f>IF(J609="","7. Acima de 2 km",IF(J609&lt;=50,"1. Até 50 m",IF(J609&lt;=100,"2. De 50 a 100 m",IF(J609&lt;=200,"3. De 100 a 200 m",IF(J609&lt;=300,"4. De 200 a 300 m",IF(J609&lt;=500,"5. De 300 a 500 m","6. De 500 m a 2 km"))))))</f>
        <v>5. De 300 a 500 m</v>
      </c>
      <c r="L609" s="26" t="n">
        <v>0</v>
      </c>
      <c r="M609" s="26" t="n">
        <v>0</v>
      </c>
      <c r="N609" s="26" t="n">
        <v>0</v>
      </c>
      <c r="O609" s="26" t="n">
        <v>0</v>
      </c>
      <c r="P609" s="30" t="n">
        <v>-12.6173261</v>
      </c>
      <c r="Q609" s="30" t="n">
        <v>-38.2888915</v>
      </c>
      <c r="R609" s="14" t="inlineStr">
        <is>
          <t>CARTÓRIO DA 186ª ZONA ELEITORAL, RUA PROFESSOR CÉSAR REIS, Nº 156, LESSA RIBEIRO, DIAS D'ÁVILA/BA</t>
        </is>
      </c>
      <c r="S609" s="26">
        <f>IF(A609=A608,0,1)</f>
        <v>0</v>
      </c>
      <c r="T609" s="26">
        <f>IF(COUNTIF($B$4:B609,B609)=1,1,0)</f>
        <v>0</v>
      </c>
    </row>
    <row r="610">
      <c r="A610" s="14" t="inlineStr">
        <is>
          <t>DIAS D'ÁVILA</t>
        </is>
      </c>
      <c r="B610" s="26" t="n">
        <v>186</v>
      </c>
      <c r="C610" s="26" t="n">
        <v>1325</v>
      </c>
      <c r="D610" s="14" t="inlineStr">
        <is>
          <t>COLÉGIO MUNICIPAL LAURA FOLLY</t>
        </is>
      </c>
      <c r="E610" s="14" t="inlineStr">
        <is>
          <t>ENTRONCAMENTO</t>
        </is>
      </c>
      <c r="F610" s="14" t="inlineStr">
        <is>
          <t>AV.RAUL SEIXAS,S/N - ZONA URBANA</t>
        </is>
      </c>
      <c r="G610" s="27" t="inlineStr">
        <is>
          <t>42850-000</t>
        </is>
      </c>
      <c r="H610" s="15" t="n">
        <v>4</v>
      </c>
      <c r="I610" s="28" t="inlineStr">
        <is>
          <t>SIM</t>
        </is>
      </c>
      <c r="J610" s="29" t="n">
        <v>61.8</v>
      </c>
      <c r="K610" s="14" t="str">
        <f>IF(J610="","7. Acima de 2 km",IF(J610&lt;=50,"1. Até 50 m",IF(J610&lt;=100,"2. De 50 a 100 m",IF(J610&lt;=200,"3. De 100 a 200 m",IF(J610&lt;=300,"4. De 200 a 300 m",IF(J610&lt;=500,"5. De 300 a 500 m","6. De 500 m a 2 km"))))))</f>
        <v>2. De 50 a 100 m</v>
      </c>
      <c r="L610" s="26" t="n">
        <v>0</v>
      </c>
      <c r="M610" s="26" t="n">
        <v>1</v>
      </c>
      <c r="N610" s="26" t="n">
        <v>2</v>
      </c>
      <c r="O610" s="26" t="n">
        <v>3</v>
      </c>
      <c r="P610" s="30" t="n">
        <v>-12.5987603</v>
      </c>
      <c r="Q610" s="30" t="n">
        <v>-38.3275046</v>
      </c>
      <c r="R610" s="14" t="inlineStr">
        <is>
          <t>CARTÓRIO DA 186ª ZONA ELEITORAL, RUA PROFESSOR CÉSAR REIS, Nº 156, LESSA RIBEIRO, DIAS D'ÁVILA/BA</t>
        </is>
      </c>
      <c r="S610" s="26">
        <f>IF(A610=A609,0,1)</f>
        <v>0</v>
      </c>
      <c r="T610" s="26">
        <f>IF(COUNTIF($B$4:B610,B610)=1,1,0)</f>
        <v>0</v>
      </c>
    </row>
    <row r="611">
      <c r="A611" s="14" t="inlineStr">
        <is>
          <t>DIAS D'ÁVILA</t>
        </is>
      </c>
      <c r="B611" s="26" t="n">
        <v>186</v>
      </c>
      <c r="C611" s="26" t="n">
        <v>1333</v>
      </c>
      <c r="D611" s="14" t="inlineStr">
        <is>
          <t>ANEXO DA ESCOLA ARACI SANTOS REIS (ESCOLA MARIA DORALICE BARBOSA)</t>
        </is>
      </c>
      <c r="E611" s="14" t="inlineStr">
        <is>
          <t>POVOADO NOVA PANEMA</t>
        </is>
      </c>
      <c r="F611" s="14" t="inlineStr">
        <is>
          <t>ASSENTAMENTO NOVA PANEMA, S/N - ZONA RURAL</t>
        </is>
      </c>
      <c r="G611" s="27" t="inlineStr">
        <is>
          <t>42850-000</t>
        </is>
      </c>
      <c r="H611" s="15" t="n">
        <v>1</v>
      </c>
      <c r="I611" s="28" t="inlineStr">
        <is>
          <t>NÃO</t>
        </is>
      </c>
      <c r="J611" s="29" t="n"/>
      <c r="K611" s="14" t="str">
        <f>IF(J611="","7. Acima de 2 km",IF(J611&lt;=50,"1. Até 50 m",IF(J611&lt;=100,"2. De 50 a 100 m",IF(J611&lt;=200,"3. De 100 a 200 m",IF(J611&lt;=300,"4. De 200 a 300 m",IF(J611&lt;=500,"5. De 300 a 500 m","6. De 500 m a 2 km"))))))</f>
        <v>7. Acima de 2 km</v>
      </c>
      <c r="L611" s="26" t="n">
        <v>0</v>
      </c>
      <c r="M611" s="26" t="n">
        <v>0</v>
      </c>
      <c r="N611" s="26" t="n">
        <v>0</v>
      </c>
      <c r="O611" s="26" t="n">
        <v>0</v>
      </c>
      <c r="P611" s="30" t="n">
        <v>-12.54361</v>
      </c>
      <c r="Q611" s="30" t="n">
        <v>-38.3821489</v>
      </c>
      <c r="R611" s="14" t="inlineStr">
        <is>
          <t>CARTÓRIO DA 186ª ZONA ELEITORAL, RUA PROFESSOR CÉSAR REIS, Nº 156, LESSA RIBEIRO, DIAS D'ÁVILA/BA</t>
        </is>
      </c>
      <c r="S611" s="26">
        <f>IF(A611=A610,0,1)</f>
        <v>0</v>
      </c>
      <c r="T611" s="26">
        <f>IF(COUNTIF($B$4:B611,B611)=1,1,0)</f>
        <v>0</v>
      </c>
    </row>
    <row r="612">
      <c r="A612" s="14" t="inlineStr">
        <is>
          <t>DIAS D'ÁVILA</t>
        </is>
      </c>
      <c r="B612" s="26" t="n">
        <v>186</v>
      </c>
      <c r="C612" s="26" t="n">
        <v>1341</v>
      </c>
      <c r="D612" s="14" t="inlineStr">
        <is>
          <t>ESCOLA MUNICIPAL CÂNDIDA MARQUES COSTA</t>
        </is>
      </c>
      <c r="E612" s="14" t="inlineStr">
        <is>
          <t>SANTA HELENA</t>
        </is>
      </c>
      <c r="F612" s="14" t="inlineStr">
        <is>
          <t>RUA DOS INOCENTES, S/N - ZONA URBANA</t>
        </is>
      </c>
      <c r="G612" s="27" t="inlineStr">
        <is>
          <t>42850-000</t>
        </is>
      </c>
      <c r="H612" s="15" t="n">
        <v>5</v>
      </c>
      <c r="I612" s="28" t="inlineStr">
        <is>
          <t>NÃO</t>
        </is>
      </c>
      <c r="J612" s="29" t="n">
        <v>445</v>
      </c>
      <c r="K612" s="14" t="str">
        <f>IF(J612="","7. Acima de 2 km",IF(J612&lt;=50,"1. Até 50 m",IF(J612&lt;=100,"2. De 50 a 100 m",IF(J612&lt;=200,"3. De 100 a 200 m",IF(J612&lt;=300,"4. De 200 a 300 m",IF(J612&lt;=500,"5. De 300 a 500 m","6. De 500 m a 2 km"))))))</f>
        <v>5. De 300 a 500 m</v>
      </c>
      <c r="L612" s="26" t="n">
        <v>0</v>
      </c>
      <c r="M612" s="26" t="n">
        <v>0</v>
      </c>
      <c r="N612" s="26" t="n">
        <v>0</v>
      </c>
      <c r="O612" s="26" t="n">
        <v>0</v>
      </c>
      <c r="P612" s="30" t="n">
        <v>-12.6009519</v>
      </c>
      <c r="Q612" s="30" t="n">
        <v>-38.3203822</v>
      </c>
      <c r="R612" s="14" t="inlineStr">
        <is>
          <t>CARTÓRIO DA 186ª ZONA ELEITORAL, RUA PROFESSOR CÉSAR REIS, Nº 156, LESSA RIBEIRO, DIAS D'ÁVILA/BA</t>
        </is>
      </c>
      <c r="S612" s="26">
        <f>IF(A612=A611,0,1)</f>
        <v>0</v>
      </c>
      <c r="T612" s="26">
        <f>IF(COUNTIF($B$4:B612,B612)=1,1,0)</f>
        <v>0</v>
      </c>
    </row>
    <row r="613">
      <c r="A613" s="14" t="inlineStr">
        <is>
          <t>DIAS D'ÁVILA</t>
        </is>
      </c>
      <c r="B613" s="26" t="n">
        <v>186</v>
      </c>
      <c r="C613" s="26" t="n">
        <v>1368</v>
      </c>
      <c r="D613" s="14" t="inlineStr">
        <is>
          <t>CETEP - NOVA UNIDADE (CENTRO TERRITORIAL DE EDUCAÇÃO PROFISSIONAL)</t>
        </is>
      </c>
      <c r="E613" s="14" t="inlineStr">
        <is>
          <t>PARQUE DIAS D'ÁVILA</t>
        </is>
      </c>
      <c r="F613" s="14" t="inlineStr">
        <is>
          <t>RUA DA MANGUEIRA, N 499</t>
        </is>
      </c>
      <c r="G613" s="27" t="inlineStr">
        <is>
          <t>42850-000</t>
        </is>
      </c>
      <c r="H613" s="15" t="n">
        <v>13</v>
      </c>
      <c r="I613" s="28" t="inlineStr">
        <is>
          <t>NÃO</t>
        </is>
      </c>
      <c r="J613" s="29" t="n">
        <v>470.9</v>
      </c>
      <c r="K613" s="14" t="str">
        <f>IF(J613="","7. Acima de 2 km",IF(J613&lt;=50,"1. Até 50 m",IF(J613&lt;=100,"2. De 50 a 100 m",IF(J613&lt;=200,"3. De 100 a 200 m",IF(J613&lt;=300,"4. De 200 a 300 m",IF(J613&lt;=500,"5. De 300 a 500 m","6. De 500 m a 2 km"))))))</f>
        <v>5. De 300 a 500 m</v>
      </c>
      <c r="L613" s="26" t="n">
        <v>0</v>
      </c>
      <c r="M613" s="26" t="n">
        <v>0</v>
      </c>
      <c r="N613" s="26" t="n">
        <v>0</v>
      </c>
      <c r="O613" s="26" t="n">
        <v>0</v>
      </c>
      <c r="P613" s="30" t="n">
        <v>-12.6154207</v>
      </c>
      <c r="Q613" s="30" t="n">
        <v>-38.3033896</v>
      </c>
      <c r="R613" s="14" t="inlineStr">
        <is>
          <t>CARTÓRIO DA 186ª ZONA ELEITORAL, RUA PROFESSOR CÉSAR REIS, Nº 156, LESSA RIBEIRO, DIAS D'ÁVILA/BA</t>
        </is>
      </c>
      <c r="S613" s="26">
        <f>IF(A613=A612,0,1)</f>
        <v>0</v>
      </c>
      <c r="T613" s="26">
        <f>IF(COUNTIF($B$4:B613,B613)=1,1,0)</f>
        <v>0</v>
      </c>
    </row>
    <row r="614">
      <c r="A614" s="14" t="inlineStr">
        <is>
          <t>DIAS D'ÁVILA</t>
        </is>
      </c>
      <c r="B614" s="26" t="n">
        <v>186</v>
      </c>
      <c r="C614" s="26" t="n">
        <v>1384</v>
      </c>
      <c r="D614" s="14" t="inlineStr">
        <is>
          <t>FACD'ÁVILA - FACULDADE DIAS D'ÁVILA</t>
        </is>
      </c>
      <c r="E614" s="14" t="inlineStr">
        <is>
          <t>IMBASSAY</t>
        </is>
      </c>
      <c r="F614" s="14" t="inlineStr">
        <is>
          <t>RUA 2 DE JULHO - ANTIGA BIBLIOTECA - NA PRAÇA DO IMBASSAY</t>
        </is>
      </c>
      <c r="G614" s="27" t="inlineStr">
        <is>
          <t>42850-000</t>
        </is>
      </c>
      <c r="H614" s="15" t="n">
        <v>3</v>
      </c>
      <c r="I614" s="28" t="inlineStr">
        <is>
          <t>NÃO</t>
        </is>
      </c>
      <c r="J614" s="29" t="n">
        <v>631.5</v>
      </c>
      <c r="K614" s="14" t="str">
        <f>IF(J614="","7. Acima de 2 km",IF(J614&lt;=50,"1. Até 50 m",IF(J614&lt;=100,"2. De 50 a 100 m",IF(J614&lt;=200,"3. De 100 a 200 m",IF(J614&lt;=300,"4. De 200 a 300 m",IF(J614&lt;=500,"5. De 300 a 500 m","6. De 500 m a 2 km"))))))</f>
        <v>6. De 500 m a 2 km</v>
      </c>
      <c r="L614" s="26" t="n">
        <v>0</v>
      </c>
      <c r="M614" s="26" t="n">
        <v>0</v>
      </c>
      <c r="N614" s="26" t="n">
        <v>0</v>
      </c>
      <c r="O614" s="26" t="n">
        <v>0</v>
      </c>
      <c r="P614" s="30" t="n">
        <v>-12.6163998</v>
      </c>
      <c r="Q614" s="30" t="n">
        <v>-38.3139761</v>
      </c>
      <c r="R614" s="14" t="inlineStr">
        <is>
          <t>CARTÓRIO DA 186ª ZONA ELEITORAL, RUA PROFESSOR CÉSAR REIS, Nº 156, LESSA RIBEIRO, DIAS D'ÁVILA/BA</t>
        </is>
      </c>
      <c r="S614" s="26">
        <f>IF(A614=A613,0,1)</f>
        <v>0</v>
      </c>
      <c r="T614" s="26">
        <f>IF(COUNTIF($B$4:B614,B614)=1,1,0)</f>
        <v>0</v>
      </c>
    </row>
    <row r="615">
      <c r="A615" s="14" t="inlineStr">
        <is>
          <t>DIAS D'ÁVILA</t>
        </is>
      </c>
      <c r="B615" s="26" t="n">
        <v>186</v>
      </c>
      <c r="C615" s="26" t="n">
        <v>1392</v>
      </c>
      <c r="D615" s="14" t="inlineStr">
        <is>
          <t>APAE - ANTIGO FLORÊNCIO BORGES</t>
        </is>
      </c>
      <c r="E615" s="14" t="inlineStr">
        <is>
          <t>IMBASSAY</t>
        </is>
      </c>
      <c r="F615" s="14" t="inlineStr">
        <is>
          <t>RUA BORGES DE BARROS, 344</t>
        </is>
      </c>
      <c r="G615" s="27" t="inlineStr">
        <is>
          <t>42850-000</t>
        </is>
      </c>
      <c r="H615" s="15" t="n">
        <v>4</v>
      </c>
      <c r="I615" s="28" t="inlineStr">
        <is>
          <t>NÃO</t>
        </is>
      </c>
      <c r="J615" s="29" t="n">
        <v>335.7</v>
      </c>
      <c r="K615" s="14" t="str">
        <f>IF(J615="","7. Acima de 2 km",IF(J615&lt;=50,"1. Até 50 m",IF(J615&lt;=100,"2. De 50 a 100 m",IF(J615&lt;=200,"3. De 100 a 200 m",IF(J615&lt;=300,"4. De 200 a 300 m",IF(J615&lt;=500,"5. De 300 a 500 m","6. De 500 m a 2 km"))))))</f>
        <v>5. De 300 a 500 m</v>
      </c>
      <c r="L615" s="26" t="n">
        <v>0</v>
      </c>
      <c r="M615" s="26" t="n">
        <v>0</v>
      </c>
      <c r="N615" s="26" t="n">
        <v>0</v>
      </c>
      <c r="O615" s="26" t="n">
        <v>0</v>
      </c>
      <c r="P615" s="30" t="n">
        <v>-12.6123132</v>
      </c>
      <c r="Q615" s="30" t="n">
        <v>-38.3094886</v>
      </c>
      <c r="R615" s="14" t="inlineStr">
        <is>
          <t>CARTÓRIO DA 186ª ZONA ELEITORAL, RUA PROFESSOR CÉSAR REIS, Nº 156, LESSA RIBEIRO, DIAS D'ÁVILA/BA</t>
        </is>
      </c>
      <c r="S615" s="26">
        <f>IF(A615=A614,0,1)</f>
        <v>0</v>
      </c>
      <c r="T615" s="26">
        <f>IF(COUNTIF($B$4:B615,B615)=1,1,0)</f>
        <v>0</v>
      </c>
    </row>
    <row r="616">
      <c r="A616" s="14" t="inlineStr">
        <is>
          <t>ENTRE RIOS</t>
        </is>
      </c>
      <c r="B616" s="26" t="n">
        <v>144</v>
      </c>
      <c r="C616" s="26" t="n">
        <v>1058</v>
      </c>
      <c r="D616" s="14" t="inlineStr">
        <is>
          <t>ESCOLA MUNICIPAL OLIVEIRA BRITO</t>
        </is>
      </c>
      <c r="E616" s="14" t="inlineStr">
        <is>
          <t>POVOADO FORMOSO</t>
        </is>
      </c>
      <c r="F616" s="14" t="inlineStr">
        <is>
          <t>POVOADO FORMOSO/CINCO ESTRADAS - ZONA RURAL</t>
        </is>
      </c>
      <c r="G616" s="27" t="inlineStr">
        <is>
          <t>48180-000</t>
        </is>
      </c>
      <c r="H616" s="15" t="n">
        <v>3</v>
      </c>
      <c r="I616" s="28" t="inlineStr">
        <is>
          <t>NÃO</t>
        </is>
      </c>
      <c r="J616" s="29" t="n"/>
      <c r="K616" s="14" t="str">
        <f>IF(J616="","7. Acima de 2 km",IF(J616&lt;=50,"1. Até 50 m",IF(J616&lt;=100,"2. De 50 a 100 m",IF(J616&lt;=200,"3. De 100 a 200 m",IF(J616&lt;=300,"4. De 200 a 300 m",IF(J616&lt;=500,"5. De 300 a 500 m","6. De 500 m a 2 km"))))))</f>
        <v>7. Acima de 2 km</v>
      </c>
      <c r="L616" s="26" t="n">
        <v>0</v>
      </c>
      <c r="M616" s="26" t="n">
        <v>0</v>
      </c>
      <c r="N616" s="26" t="n">
        <v>0</v>
      </c>
      <c r="O616" s="26" t="n">
        <v>0</v>
      </c>
      <c r="P616" s="30" t="n">
        <v>-11.8543096</v>
      </c>
      <c r="Q616" s="30" t="n">
        <v>-38.0873812</v>
      </c>
      <c r="R616" s="14" t="inlineStr">
        <is>
          <t>RUA CÔNEGO FÉLIX, 69, CENTRO, ENTRE RIOS/BA</t>
        </is>
      </c>
      <c r="S616" s="26">
        <f>IF(A616=A615,0,1)</f>
        <v>1</v>
      </c>
      <c r="T616" s="26">
        <f>IF(COUNTIF($B$4:B616,B616)=1,1,0)</f>
        <v>1</v>
      </c>
    </row>
    <row r="617">
      <c r="A617" s="14" t="inlineStr">
        <is>
          <t>ENTRE RIOS</t>
        </is>
      </c>
      <c r="B617" s="26" t="n">
        <v>144</v>
      </c>
      <c r="C617" s="26" t="n">
        <v>1074</v>
      </c>
      <c r="D617" s="14" t="inlineStr">
        <is>
          <t>ESCOLA MUNICIPAL JOÃO CARLOS DE SOUZA SILVA</t>
        </is>
      </c>
      <c r="E617" s="14" t="inlineStr">
        <is>
          <t>DISTRITO SUBAUMA</t>
        </is>
      </c>
      <c r="F617" s="14" t="inlineStr">
        <is>
          <t>DISTRITO SUBAUMA - ZONA RURAL</t>
        </is>
      </c>
      <c r="G617" s="27" t="inlineStr">
        <is>
          <t>48180-000</t>
        </is>
      </c>
      <c r="H617" s="15" t="n">
        <v>5</v>
      </c>
      <c r="I617" s="28" t="inlineStr">
        <is>
          <t>NÃO</t>
        </is>
      </c>
      <c r="J617" s="29" t="n"/>
      <c r="K617" s="14" t="str">
        <f>IF(J617="","7. Acima de 2 km",IF(J617&lt;=50,"1. Até 50 m",IF(J617&lt;=100,"2. De 50 a 100 m",IF(J617&lt;=200,"3. De 100 a 200 m",IF(J617&lt;=300,"4. De 200 a 300 m",IF(J617&lt;=500,"5. De 300 a 500 m","6. De 500 m a 2 km"))))))</f>
        <v>7. Acima de 2 km</v>
      </c>
      <c r="L617" s="26" t="n">
        <v>0</v>
      </c>
      <c r="M617" s="26" t="n">
        <v>0</v>
      </c>
      <c r="N617" s="26" t="n">
        <v>0</v>
      </c>
      <c r="O617" s="26" t="n">
        <v>0</v>
      </c>
      <c r="P617" s="30" t="n">
        <v>-12.2350237</v>
      </c>
      <c r="Q617" s="30" t="n">
        <v>-37.775208</v>
      </c>
      <c r="R617" s="14" t="inlineStr">
        <is>
          <t>RUA CÔNEGO FÉLIX, 69, CENTRO, ENTRE RIOS/BA</t>
        </is>
      </c>
      <c r="S617" s="26">
        <f>IF(A617=A616,0,1)</f>
        <v>0</v>
      </c>
      <c r="T617" s="26">
        <f>IF(COUNTIF($B$4:B617,B617)=1,1,0)</f>
        <v>0</v>
      </c>
    </row>
    <row r="618">
      <c r="A618" s="14" t="inlineStr">
        <is>
          <t>ENTRE RIOS</t>
        </is>
      </c>
      <c r="B618" s="26" t="n">
        <v>144</v>
      </c>
      <c r="C618" s="26" t="n">
        <v>1090</v>
      </c>
      <c r="D618" s="14" t="inlineStr">
        <is>
          <t>CENTRO CULTURAL DOMINGOS MACHADO DE ALMEIDA</t>
        </is>
      </c>
      <c r="E618" s="14" t="inlineStr">
        <is>
          <t>CENTRO</t>
        </is>
      </c>
      <c r="F618" s="14" t="inlineStr">
        <is>
          <t>PRAÇA MANUEL DA SILVA REIS</t>
        </is>
      </c>
      <c r="G618" s="27" t="inlineStr">
        <is>
          <t>48180-000</t>
        </is>
      </c>
      <c r="H618" s="15" t="n">
        <v>11</v>
      </c>
      <c r="I618" s="28" t="inlineStr">
        <is>
          <t>SIM</t>
        </is>
      </c>
      <c r="J618" s="29" t="n">
        <v>96.59999999999999</v>
      </c>
      <c r="K618" s="14" t="str">
        <f>IF(J618="","7. Acima de 2 km",IF(J618&lt;=50,"1. Até 50 m",IF(J618&lt;=100,"2. De 50 a 100 m",IF(J618&lt;=200,"3. De 100 a 200 m",IF(J618&lt;=300,"4. De 200 a 300 m",IF(J618&lt;=500,"5. De 300 a 500 m","6. De 500 m a 2 km"))))))</f>
        <v>2. De 50 a 100 m</v>
      </c>
      <c r="L618" s="26" t="n">
        <v>0</v>
      </c>
      <c r="M618" s="26" t="n">
        <v>1</v>
      </c>
      <c r="N618" s="26" t="n">
        <v>2</v>
      </c>
      <c r="O618" s="26" t="n">
        <v>3</v>
      </c>
      <c r="P618" s="30" t="n">
        <v>-11.9430048</v>
      </c>
      <c r="Q618" s="30" t="n">
        <v>-38.0767324</v>
      </c>
      <c r="R618" s="14" t="inlineStr">
        <is>
          <t>RUA CÔNEGO FÉLIX, 69, CENTRO, ENTRE RIOS/BA</t>
        </is>
      </c>
      <c r="S618" s="26">
        <f>IF(A618=A617,0,1)</f>
        <v>0</v>
      </c>
      <c r="T618" s="26">
        <f>IF(COUNTIF($B$4:B618,B618)=1,1,0)</f>
        <v>0</v>
      </c>
    </row>
    <row r="619">
      <c r="A619" s="14" t="inlineStr">
        <is>
          <t>ENTRE RIOS</t>
        </is>
      </c>
      <c r="B619" s="26" t="n">
        <v>144</v>
      </c>
      <c r="C619" s="26" t="n">
        <v>1104</v>
      </c>
      <c r="D619" s="14" t="inlineStr">
        <is>
          <t>COLÉGIO ESTADUAL PORTO DE SAUÍPE</t>
        </is>
      </c>
      <c r="E619" s="14" t="inlineStr">
        <is>
          <t>PORTO DE SAUÍPE</t>
        </is>
      </c>
      <c r="F619" s="14" t="inlineStr">
        <is>
          <t>RUA NOVA BRASÍLIA, S/N, DISTRITO PORTO DE SAUÍPE - ZONA RURAL</t>
        </is>
      </c>
      <c r="G619" s="27" t="inlineStr">
        <is>
          <t>48180-000</t>
        </is>
      </c>
      <c r="H619" s="15" t="n">
        <v>7</v>
      </c>
      <c r="I619" s="28" t="inlineStr">
        <is>
          <t>NÃO</t>
        </is>
      </c>
      <c r="J619" s="29" t="n"/>
      <c r="K619" s="14" t="str">
        <f>IF(J619="","7. Acima de 2 km",IF(J619&lt;=50,"1. Até 50 m",IF(J619&lt;=100,"2. De 50 a 100 m",IF(J619&lt;=200,"3. De 100 a 200 m",IF(J619&lt;=300,"4. De 200 a 300 m",IF(J619&lt;=500,"5. De 300 a 500 m","6. De 500 m a 2 km"))))))</f>
        <v>7. Acima de 2 km</v>
      </c>
      <c r="L619" s="26" t="n">
        <v>0</v>
      </c>
      <c r="M619" s="26" t="n">
        <v>0</v>
      </c>
      <c r="N619" s="26" t="n">
        <v>0</v>
      </c>
      <c r="O619" s="26" t="n">
        <v>0</v>
      </c>
      <c r="P619" s="30" t="n">
        <v>-12.3808601</v>
      </c>
      <c r="Q619" s="30" t="n">
        <v>-37.8839012</v>
      </c>
      <c r="R619" s="14" t="inlineStr">
        <is>
          <t>RUA CÔNEGO FÉLIX, 69, CENTRO, ENTRE RIOS/BA</t>
        </is>
      </c>
      <c r="S619" s="26">
        <f>IF(A619=A618,0,1)</f>
        <v>0</v>
      </c>
      <c r="T619" s="26">
        <f>IF(COUNTIF($B$4:B619,B619)=1,1,0)</f>
        <v>0</v>
      </c>
    </row>
    <row r="620">
      <c r="A620" s="14" t="inlineStr">
        <is>
          <t>ENTRE RIOS</t>
        </is>
      </c>
      <c r="B620" s="26" t="n">
        <v>144</v>
      </c>
      <c r="C620" s="26" t="n">
        <v>1112</v>
      </c>
      <c r="D620" s="14" t="inlineStr">
        <is>
          <t>ESCOLA MUNICIPAL CASTRO ALVES - IBATUÍ</t>
        </is>
      </c>
      <c r="E620" s="14" t="inlineStr">
        <is>
          <t>DISTRITO IBATUÍ</t>
        </is>
      </c>
      <c r="F620" s="14" t="inlineStr">
        <is>
          <t>POVOADO IBATUÍ/SERRARIA - ZONA RURAL</t>
        </is>
      </c>
      <c r="G620" s="27" t="inlineStr">
        <is>
          <t>48180-000</t>
        </is>
      </c>
      <c r="H620" s="15" t="n">
        <v>5</v>
      </c>
      <c r="I620" s="28" t="inlineStr">
        <is>
          <t>NÃO</t>
        </is>
      </c>
      <c r="J620" s="29" t="n"/>
      <c r="K620" s="14" t="str">
        <f>IF(J620="","7. Acima de 2 km",IF(J620&lt;=50,"1. Até 50 m",IF(J620&lt;=100,"2. De 50 a 100 m",IF(J620&lt;=200,"3. De 100 a 200 m",IF(J620&lt;=300,"4. De 200 a 300 m",IF(J620&lt;=500,"5. De 300 a 500 m","6. De 500 m a 2 km"))))))</f>
        <v>7. Acima de 2 km</v>
      </c>
      <c r="L620" s="26" t="n">
        <v>0</v>
      </c>
      <c r="M620" s="26" t="n">
        <v>0</v>
      </c>
      <c r="N620" s="26" t="n">
        <v>0</v>
      </c>
      <c r="O620" s="26" t="n">
        <v>0</v>
      </c>
      <c r="P620" s="30" t="n">
        <v>-11.890481</v>
      </c>
      <c r="Q620" s="30" t="n">
        <v>-38.1605334</v>
      </c>
      <c r="R620" s="14" t="inlineStr">
        <is>
          <t>RUA CÔNEGO FÉLIX, 69, CENTRO, ENTRE RIOS/BA</t>
        </is>
      </c>
      <c r="S620" s="26">
        <f>IF(A620=A619,0,1)</f>
        <v>0</v>
      </c>
      <c r="T620" s="26">
        <f>IF(COUNTIF($B$4:B620,B620)=1,1,0)</f>
        <v>0</v>
      </c>
    </row>
    <row r="621">
      <c r="A621" s="14" t="inlineStr">
        <is>
          <t>ENTRE RIOS</t>
        </is>
      </c>
      <c r="B621" s="26" t="n">
        <v>144</v>
      </c>
      <c r="C621" s="26" t="n">
        <v>1139</v>
      </c>
      <c r="D621" s="14" t="inlineStr">
        <is>
          <t>ESCOLA MUNICIPAL NELSON VIEIRA DE JESUS/LAGOA REDONDA</t>
        </is>
      </c>
      <c r="E621" s="14" t="inlineStr">
        <is>
          <t>POVOADO LAGOA REDONDA</t>
        </is>
      </c>
      <c r="F621" s="14" t="inlineStr">
        <is>
          <t>POVOADO LAGOA REDONDA - ZONA RURAL</t>
        </is>
      </c>
      <c r="G621" s="27" t="inlineStr">
        <is>
          <t>48180-000</t>
        </is>
      </c>
      <c r="H621" s="15" t="n">
        <v>4</v>
      </c>
      <c r="I621" s="28" t="inlineStr">
        <is>
          <t>NÃO</t>
        </is>
      </c>
      <c r="J621" s="29" t="n"/>
      <c r="K621" s="14" t="str">
        <f>IF(J621="","7. Acima de 2 km",IF(J621&lt;=50,"1. Até 50 m",IF(J621&lt;=100,"2. De 50 a 100 m",IF(J621&lt;=200,"3. De 100 a 200 m",IF(J621&lt;=300,"4. De 200 a 300 m",IF(J621&lt;=500,"5. De 300 a 500 m","6. De 500 m a 2 km"))))))</f>
        <v>7. Acima de 2 km</v>
      </c>
      <c r="L621" s="26" t="n">
        <v>0</v>
      </c>
      <c r="M621" s="26" t="n">
        <v>0</v>
      </c>
      <c r="N621" s="26" t="n">
        <v>0</v>
      </c>
      <c r="O621" s="26" t="n">
        <v>0</v>
      </c>
      <c r="P621" s="30" t="n">
        <v>-11.940931</v>
      </c>
      <c r="Q621" s="30" t="n">
        <v>-37.9978846</v>
      </c>
      <c r="R621" s="14" t="inlineStr">
        <is>
          <t>RUA CÔNEGO FÉLIX, 69, CENTRO, ENTRE RIOS/BA</t>
        </is>
      </c>
      <c r="S621" s="26">
        <f>IF(A621=A620,0,1)</f>
        <v>0</v>
      </c>
      <c r="T621" s="26">
        <f>IF(COUNTIF($B$4:B621,B621)=1,1,0)</f>
        <v>0</v>
      </c>
    </row>
    <row r="622">
      <c r="A622" s="14" t="inlineStr">
        <is>
          <t>ENTRE RIOS</t>
        </is>
      </c>
      <c r="B622" s="26" t="n">
        <v>144</v>
      </c>
      <c r="C622" s="26" t="n">
        <v>1155</v>
      </c>
      <c r="D622" s="14" t="inlineStr">
        <is>
          <t>COLÉGIO ESTADUAL DE TEMPO INTEGRAL DUQUE DE CAXIAS</t>
        </is>
      </c>
      <c r="E622" s="14" t="inlineStr">
        <is>
          <t>CENTRO</t>
        </is>
      </c>
      <c r="F622" s="14" t="inlineStr">
        <is>
          <t>RUA EUCLIDES MACHADO DE ALMEIDA</t>
        </is>
      </c>
      <c r="G622" s="27" t="inlineStr">
        <is>
          <t>48180-000</t>
        </is>
      </c>
      <c r="H622" s="15" t="n">
        <v>17</v>
      </c>
      <c r="I622" s="28" t="inlineStr">
        <is>
          <t>SIM</t>
        </is>
      </c>
      <c r="J622" s="29" t="n">
        <v>94.8</v>
      </c>
      <c r="K622" s="14" t="str">
        <f>IF(J622="","7. Acima de 2 km",IF(J622&lt;=50,"1. Até 50 m",IF(J622&lt;=100,"2. De 50 a 100 m",IF(J622&lt;=200,"3. De 100 a 200 m",IF(J622&lt;=300,"4. De 200 a 300 m",IF(J622&lt;=500,"5. De 300 a 500 m","6. De 500 m a 2 km"))))))</f>
        <v>2. De 50 a 100 m</v>
      </c>
      <c r="L622" s="26" t="n">
        <v>0</v>
      </c>
      <c r="M622" s="26" t="n">
        <v>1</v>
      </c>
      <c r="N622" s="26" t="n">
        <v>3</v>
      </c>
      <c r="O622" s="26" t="n">
        <v>3</v>
      </c>
      <c r="P622" s="30" t="n">
        <v>-11.9419315</v>
      </c>
      <c r="Q622" s="30" t="n">
        <v>-38.0814086</v>
      </c>
      <c r="R622" s="14" t="inlineStr">
        <is>
          <t>RUA CÔNEGO FÉLIX, 69, CENTRO, ENTRE RIOS/BA</t>
        </is>
      </c>
      <c r="S622" s="26">
        <f>IF(A622=A621,0,1)</f>
        <v>0</v>
      </c>
      <c r="T622" s="26">
        <f>IF(COUNTIF($B$4:B622,B622)=1,1,0)</f>
        <v>0</v>
      </c>
    </row>
    <row r="623">
      <c r="A623" s="14" t="inlineStr">
        <is>
          <t>ENTRE RIOS</t>
        </is>
      </c>
      <c r="B623" s="26" t="n">
        <v>144</v>
      </c>
      <c r="C623" s="26" t="n">
        <v>1163</v>
      </c>
      <c r="D623" s="14" t="inlineStr">
        <is>
          <t>ESCOLA MUNICIPAL PROFESSORA MARIA ALVES PIMENTA BATISTA</t>
        </is>
      </c>
      <c r="E623" s="14" t="inlineStr">
        <is>
          <t>POVOADO SÍTIO DO MEIO</t>
        </is>
      </c>
      <c r="F623" s="14" t="inlineStr">
        <is>
          <t>POVOADO SÍTIO DO MEIO - ZONA RURAL</t>
        </is>
      </c>
      <c r="G623" s="27" t="inlineStr">
        <is>
          <t>48180-000</t>
        </is>
      </c>
      <c r="H623" s="15" t="n">
        <v>5</v>
      </c>
      <c r="I623" s="28" t="inlineStr">
        <is>
          <t>NÃO</t>
        </is>
      </c>
      <c r="J623" s="29" t="n"/>
      <c r="K623" s="14" t="str">
        <f>IF(J623="","7. Acima de 2 km",IF(J623&lt;=50,"1. Até 50 m",IF(J623&lt;=100,"2. De 50 a 100 m",IF(J623&lt;=200,"3. De 100 a 200 m",IF(J623&lt;=300,"4. De 200 a 300 m",IF(J623&lt;=500,"5. De 300 a 500 m","6. De 500 m a 2 km"))))))</f>
        <v>7. Acima de 2 km</v>
      </c>
      <c r="L623" s="26" t="n">
        <v>0</v>
      </c>
      <c r="M623" s="26" t="n">
        <v>0</v>
      </c>
      <c r="N623" s="26" t="n">
        <v>0</v>
      </c>
      <c r="O623" s="26" t="n">
        <v>0</v>
      </c>
      <c r="P623" s="30" t="n">
        <v>-11.9550689</v>
      </c>
      <c r="Q623" s="30" t="n">
        <v>-38.1740221</v>
      </c>
      <c r="R623" s="14" t="inlineStr">
        <is>
          <t>RUA CÔNEGO FÉLIX, 69, CENTRO, ENTRE RIOS/BA</t>
        </is>
      </c>
      <c r="S623" s="26">
        <f>IF(A623=A622,0,1)</f>
        <v>0</v>
      </c>
      <c r="T623" s="26">
        <f>IF(COUNTIF($B$4:B623,B623)=1,1,0)</f>
        <v>0</v>
      </c>
    </row>
    <row r="624">
      <c r="A624" s="14" t="inlineStr">
        <is>
          <t>ENTRE RIOS</t>
        </is>
      </c>
      <c r="B624" s="26" t="n">
        <v>144</v>
      </c>
      <c r="C624" s="26" t="n">
        <v>1210</v>
      </c>
      <c r="D624" s="14" t="inlineStr">
        <is>
          <t>ESCOLA MUNICIPAL JOÃO DE SOUZA BACELAR</t>
        </is>
      </c>
      <c r="E624" s="14" t="inlineStr">
        <is>
          <t>BELA VISTA</t>
        </is>
      </c>
      <c r="F624" s="14" t="inlineStr">
        <is>
          <t>RUA ISRAEL, S/N, BELA VISTA  - ZONA URBANA</t>
        </is>
      </c>
      <c r="G624" s="27" t="inlineStr">
        <is>
          <t>48180-000</t>
        </is>
      </c>
      <c r="H624" s="15" t="n">
        <v>4</v>
      </c>
      <c r="I624" s="28" t="inlineStr">
        <is>
          <t>NÃO</t>
        </is>
      </c>
      <c r="J624" s="29" t="n">
        <v>458.4</v>
      </c>
      <c r="K624" s="14" t="str">
        <f>IF(J624="","7. Acima de 2 km",IF(J624&lt;=50,"1. Até 50 m",IF(J624&lt;=100,"2. De 50 a 100 m",IF(J624&lt;=200,"3. De 100 a 200 m",IF(J624&lt;=300,"4. De 200 a 300 m",IF(J624&lt;=500,"5. De 300 a 500 m","6. De 500 m a 2 km"))))))</f>
        <v>5. De 300 a 500 m</v>
      </c>
      <c r="L624" s="26" t="n">
        <v>0</v>
      </c>
      <c r="M624" s="26" t="n">
        <v>0</v>
      </c>
      <c r="N624" s="26" t="n">
        <v>0</v>
      </c>
      <c r="O624" s="26" t="n">
        <v>0</v>
      </c>
      <c r="P624" s="30" t="n">
        <v>-11.9368788</v>
      </c>
      <c r="Q624" s="30" t="n">
        <v>-38.0959612</v>
      </c>
      <c r="R624" s="14" t="inlineStr">
        <is>
          <t>RUA CÔNEGO FÉLIX, 69, CENTRO, ENTRE RIOS/BA</t>
        </is>
      </c>
      <c r="S624" s="26">
        <f>IF(A624=A623,0,1)</f>
        <v>0</v>
      </c>
      <c r="T624" s="26">
        <f>IF(COUNTIF($B$4:B624,B624)=1,1,0)</f>
        <v>0</v>
      </c>
    </row>
    <row r="625">
      <c r="A625" s="14" t="inlineStr">
        <is>
          <t>ENTRE RIOS</t>
        </is>
      </c>
      <c r="B625" s="26" t="n">
        <v>144</v>
      </c>
      <c r="C625" s="26" t="n">
        <v>1260</v>
      </c>
      <c r="D625" s="14" t="inlineStr">
        <is>
          <t>COLÉGIO MANOEL DA SILVA REIS</t>
        </is>
      </c>
      <c r="E625" s="14" t="inlineStr">
        <is>
          <t>POVOADO RIO PRETO</t>
        </is>
      </c>
      <c r="F625" s="14" t="inlineStr">
        <is>
          <t>POVOADO RIO PRETO - ZONA RURAL</t>
        </is>
      </c>
      <c r="G625" s="27" t="inlineStr">
        <is>
          <t>48180-000</t>
        </is>
      </c>
      <c r="H625" s="15" t="n">
        <v>2</v>
      </c>
      <c r="I625" s="28" t="inlineStr">
        <is>
          <t>NÃO</t>
        </is>
      </c>
      <c r="J625" s="29" t="n"/>
      <c r="K625" s="14" t="str">
        <f>IF(J625="","7. Acima de 2 km",IF(J625&lt;=50,"1. Até 50 m",IF(J625&lt;=100,"2. De 50 a 100 m",IF(J625&lt;=200,"3. De 100 a 200 m",IF(J625&lt;=300,"4. De 200 a 300 m",IF(J625&lt;=500,"5. De 300 a 500 m","6. De 500 m a 2 km"))))))</f>
        <v>7. Acima de 2 km</v>
      </c>
      <c r="L625" s="26" t="n">
        <v>0</v>
      </c>
      <c r="M625" s="26" t="n">
        <v>0</v>
      </c>
      <c r="N625" s="26" t="n">
        <v>0</v>
      </c>
      <c r="O625" s="26" t="n">
        <v>0</v>
      </c>
      <c r="P625" s="30" t="n">
        <v>-12.0289662</v>
      </c>
      <c r="Q625" s="30" t="n">
        <v>-38.1353561</v>
      </c>
      <c r="R625" s="14" t="inlineStr">
        <is>
          <t>RUA CÔNEGO FÉLIX, 69, CENTRO, ENTRE RIOS/BA</t>
        </is>
      </c>
      <c r="S625" s="26">
        <f>IF(A625=A624,0,1)</f>
        <v>0</v>
      </c>
      <c r="T625" s="26">
        <f>IF(COUNTIF($B$4:B625,B625)=1,1,0)</f>
        <v>0</v>
      </c>
    </row>
    <row r="626">
      <c r="A626" s="14" t="inlineStr">
        <is>
          <t>ENTRE RIOS</t>
        </is>
      </c>
      <c r="B626" s="26" t="n">
        <v>144</v>
      </c>
      <c r="C626" s="26" t="n">
        <v>1309</v>
      </c>
      <c r="D626" s="14" t="inlineStr">
        <is>
          <t>ESCOLINHA LETRAS E NÚMEROS</t>
        </is>
      </c>
      <c r="E626" s="14" t="inlineStr">
        <is>
          <t>POVOADO MASSARANDUPIÓ</t>
        </is>
      </c>
      <c r="F626" s="14" t="inlineStr">
        <is>
          <t>ASSOCIAÇÃO DE MORADORES DE MASSARANDUPIÓ - ZONA RURAL</t>
        </is>
      </c>
      <c r="G626" s="27" t="inlineStr">
        <is>
          <t>48180-000</t>
        </is>
      </c>
      <c r="H626" s="15" t="n">
        <v>2</v>
      </c>
      <c r="I626" s="28" t="inlineStr">
        <is>
          <t>NÃO</t>
        </is>
      </c>
      <c r="J626" s="29" t="n"/>
      <c r="K626" s="14" t="str">
        <f>IF(J626="","7. Acima de 2 km",IF(J626&lt;=50,"1. Até 50 m",IF(J626&lt;=100,"2. De 50 a 100 m",IF(J626&lt;=200,"3. De 100 a 200 m",IF(J626&lt;=300,"4. De 200 a 300 m",IF(J626&lt;=500,"5. De 300 a 500 m","6. De 500 m a 2 km"))))))</f>
        <v>7. Acima de 2 km</v>
      </c>
      <c r="L626" s="26" t="n">
        <v>0</v>
      </c>
      <c r="M626" s="26" t="n">
        <v>0</v>
      </c>
      <c r="N626" s="26" t="n">
        <v>0</v>
      </c>
      <c r="O626" s="26" t="n">
        <v>0</v>
      </c>
      <c r="P626" s="30" t="n">
        <v>-12.3062208</v>
      </c>
      <c r="Q626" s="30" t="n">
        <v>-37.8527103</v>
      </c>
      <c r="R626" s="14" t="inlineStr">
        <is>
          <t>RUA CÔNEGO FÉLIX, 69, CENTRO, ENTRE RIOS/BA</t>
        </is>
      </c>
      <c r="S626" s="26">
        <f>IF(A626=A625,0,1)</f>
        <v>0</v>
      </c>
      <c r="T626" s="26">
        <f>IF(COUNTIF($B$4:B626,B626)=1,1,0)</f>
        <v>0</v>
      </c>
    </row>
    <row r="627">
      <c r="A627" s="14" t="inlineStr">
        <is>
          <t>ENTRE RIOS</t>
        </is>
      </c>
      <c r="B627" s="26" t="n">
        <v>144</v>
      </c>
      <c r="C627" s="26" t="n">
        <v>1317</v>
      </c>
      <c r="D627" s="14" t="inlineStr">
        <is>
          <t>ESCOLA MUNICIPAL VEREADOR JOSÉ RAIMUNDO DE SOUZA</t>
        </is>
      </c>
      <c r="E627" s="14" t="inlineStr">
        <is>
          <t>POVOADO PEDROS</t>
        </is>
      </c>
      <c r="F627" s="14" t="inlineStr">
        <is>
          <t>POVOADO PEDROS - ZONA RURAL</t>
        </is>
      </c>
      <c r="G627" s="27" t="inlineStr">
        <is>
          <t>48180-000</t>
        </is>
      </c>
      <c r="H627" s="15" t="n">
        <v>3</v>
      </c>
      <c r="I627" s="28" t="inlineStr">
        <is>
          <t>NÃO</t>
        </is>
      </c>
      <c r="J627" s="29" t="n"/>
      <c r="K627" s="14" t="str">
        <f>IF(J627="","7. Acima de 2 km",IF(J627&lt;=50,"1. Até 50 m",IF(J627&lt;=100,"2. De 50 a 100 m",IF(J627&lt;=200,"3. De 100 a 200 m",IF(J627&lt;=300,"4. De 200 a 300 m",IF(J627&lt;=500,"5. De 300 a 500 m","6. De 500 m a 2 km"))))))</f>
        <v>7. Acima de 2 km</v>
      </c>
      <c r="L627" s="26" t="n">
        <v>0</v>
      </c>
      <c r="M627" s="26" t="n">
        <v>0</v>
      </c>
      <c r="N627" s="26" t="n">
        <v>0</v>
      </c>
      <c r="O627" s="26" t="n">
        <v>0</v>
      </c>
      <c r="P627" s="30" t="n">
        <v>-11.8161121</v>
      </c>
      <c r="Q627" s="30" t="n">
        <v>-38.143302</v>
      </c>
      <c r="R627" s="14" t="inlineStr">
        <is>
          <t>RUA CÔNEGO FÉLIX, 69, CENTRO, ENTRE RIOS/BA</t>
        </is>
      </c>
      <c r="S627" s="26">
        <f>IF(A627=A626,0,1)</f>
        <v>0</v>
      </c>
      <c r="T627" s="26">
        <f>IF(COUNTIF($B$4:B627,B627)=1,1,0)</f>
        <v>0</v>
      </c>
    </row>
    <row r="628">
      <c r="A628" s="14" t="inlineStr">
        <is>
          <t>ENTRE RIOS</t>
        </is>
      </c>
      <c r="B628" s="26" t="n">
        <v>144</v>
      </c>
      <c r="C628" s="26" t="n">
        <v>1325</v>
      </c>
      <c r="D628" s="14" t="inlineStr">
        <is>
          <t>ESCOLA MUNICIPAL PROFESSORA MARIA DE LOURDES ALMEIDA VELOSO - NÚCLEO</t>
        </is>
      </c>
      <c r="E628" s="14" t="inlineStr">
        <is>
          <t>BELA VISTA</t>
        </is>
      </c>
      <c r="F628" s="14" t="inlineStr">
        <is>
          <t>RUA F, S/N, BELA VISTA, ZONA URBANA</t>
        </is>
      </c>
      <c r="G628" s="27" t="inlineStr">
        <is>
          <t>48180-000</t>
        </is>
      </c>
      <c r="H628" s="15" t="n">
        <v>12</v>
      </c>
      <c r="I628" s="28" t="inlineStr">
        <is>
          <t>SIM</t>
        </is>
      </c>
      <c r="J628" s="29" t="n">
        <v>92.40000000000001</v>
      </c>
      <c r="K628" s="14" t="str">
        <f>IF(J628="","7. Acima de 2 km",IF(J628&lt;=50,"1. Até 50 m",IF(J628&lt;=100,"2. De 50 a 100 m",IF(J628&lt;=200,"3. De 100 a 200 m",IF(J628&lt;=300,"4. De 200 a 300 m",IF(J628&lt;=500,"5. De 300 a 500 m","6. De 500 m a 2 km"))))))</f>
        <v>2. De 50 a 100 m</v>
      </c>
      <c r="L628" s="26" t="n">
        <v>0</v>
      </c>
      <c r="M628" s="26" t="n">
        <v>1</v>
      </c>
      <c r="N628" s="26" t="n">
        <v>2</v>
      </c>
      <c r="O628" s="26" t="n">
        <v>2</v>
      </c>
      <c r="P628" s="30" t="n">
        <v>-11.9382863</v>
      </c>
      <c r="Q628" s="30" t="n">
        <v>-38.0929193</v>
      </c>
      <c r="R628" s="14" t="inlineStr">
        <is>
          <t>RUA CÔNEGO FÉLIX, 69, CENTRO, ENTRE RIOS/BA</t>
        </is>
      </c>
      <c r="S628" s="26">
        <f>IF(A628=A627,0,1)</f>
        <v>0</v>
      </c>
      <c r="T628" s="26">
        <f>IF(COUNTIF($B$4:B628,B628)=1,1,0)</f>
        <v>0</v>
      </c>
    </row>
    <row r="629">
      <c r="A629" s="14" t="inlineStr">
        <is>
          <t>ENTRE RIOS</t>
        </is>
      </c>
      <c r="B629" s="26" t="n">
        <v>144</v>
      </c>
      <c r="C629" s="26" t="n">
        <v>1341</v>
      </c>
      <c r="D629" s="14" t="inlineStr">
        <is>
          <t>ESCOLA MUNICIPAL PARQUE DOS COQUEIROS</t>
        </is>
      </c>
      <c r="E629" s="14" t="inlineStr">
        <is>
          <t>BELA VISTA</t>
        </is>
      </c>
      <c r="F629" s="14" t="inlineStr">
        <is>
          <t>RUA RUY BACELAR, S/N, BELA VISTA - ZONA URBANA</t>
        </is>
      </c>
      <c r="G629" s="27" t="inlineStr">
        <is>
          <t>48180-000</t>
        </is>
      </c>
      <c r="H629" s="15" t="n">
        <v>5</v>
      </c>
      <c r="I629" s="28" t="inlineStr">
        <is>
          <t>NÃO</t>
        </is>
      </c>
      <c r="J629" s="29" t="n">
        <v>399.7</v>
      </c>
      <c r="K629" s="14" t="str">
        <f>IF(J629="","7. Acima de 2 km",IF(J629&lt;=50,"1. Até 50 m",IF(J629&lt;=100,"2. De 50 a 100 m",IF(J629&lt;=200,"3. De 100 a 200 m",IF(J629&lt;=300,"4. De 200 a 300 m",IF(J629&lt;=500,"5. De 300 a 500 m","6. De 500 m a 2 km"))))))</f>
        <v>5. De 300 a 500 m</v>
      </c>
      <c r="L629" s="26" t="n">
        <v>0</v>
      </c>
      <c r="M629" s="26" t="n">
        <v>0</v>
      </c>
      <c r="N629" s="26" t="n">
        <v>0</v>
      </c>
      <c r="O629" s="26" t="n">
        <v>0</v>
      </c>
      <c r="P629" s="30" t="n">
        <v>-11.9380407</v>
      </c>
      <c r="Q629" s="30" t="n">
        <v>-38.0957875</v>
      </c>
      <c r="R629" s="14" t="inlineStr">
        <is>
          <t>RUA CÔNEGO FÉLIX, 69, CENTRO, ENTRE RIOS/BA</t>
        </is>
      </c>
      <c r="S629" s="26">
        <f>IF(A629=A628,0,1)</f>
        <v>0</v>
      </c>
      <c r="T629" s="26">
        <f>IF(COUNTIF($B$4:B629,B629)=1,1,0)</f>
        <v>0</v>
      </c>
    </row>
    <row r="630">
      <c r="A630" s="14" t="inlineStr">
        <is>
          <t>ENTRE RIOS</t>
        </is>
      </c>
      <c r="B630" s="26" t="n">
        <v>144</v>
      </c>
      <c r="C630" s="26" t="n">
        <v>1350</v>
      </c>
      <c r="D630" s="14" t="inlineStr">
        <is>
          <t>ESCOLA MUNICIPAL DE EDUCAÇÃO FUNDAMENTAL PADRE JOSÉ DE ANCHIETA</t>
        </is>
      </c>
      <c r="E630" s="14" t="inlineStr">
        <is>
          <t>CIDADE NOVA</t>
        </is>
      </c>
      <c r="F630" s="14" t="inlineStr">
        <is>
          <t>CIDADE NOVA, ZONA RURAL</t>
        </is>
      </c>
      <c r="G630" s="27" t="inlineStr">
        <is>
          <t>48180-000</t>
        </is>
      </c>
      <c r="H630" s="15" t="n">
        <v>3</v>
      </c>
      <c r="I630" s="28" t="inlineStr">
        <is>
          <t>NÃO</t>
        </is>
      </c>
      <c r="J630" s="29" t="n">
        <v>942.5</v>
      </c>
      <c r="K630" s="14" t="str">
        <f>IF(J630="","7. Acima de 2 km",IF(J630&lt;=50,"1. Até 50 m",IF(J630&lt;=100,"2. De 50 a 100 m",IF(J630&lt;=200,"3. De 100 a 200 m",IF(J630&lt;=300,"4. De 200 a 300 m",IF(J630&lt;=500,"5. De 300 a 500 m","6. De 500 m a 2 km"))))))</f>
        <v>6. De 500 m a 2 km</v>
      </c>
      <c r="L630" s="26" t="n">
        <v>0</v>
      </c>
      <c r="M630" s="26" t="n">
        <v>0</v>
      </c>
      <c r="N630" s="26" t="n">
        <v>0</v>
      </c>
      <c r="O630" s="26" t="n">
        <v>0</v>
      </c>
      <c r="P630" s="30" t="n">
        <v>-11.9531647</v>
      </c>
      <c r="Q630" s="30" t="n">
        <v>-38.0616294</v>
      </c>
      <c r="R630" s="14" t="inlineStr">
        <is>
          <t>RUA CÔNEGO FÉLIX, 69, CENTRO, ENTRE RIOS/BA</t>
        </is>
      </c>
      <c r="S630" s="26">
        <f>IF(A630=A629,0,1)</f>
        <v>0</v>
      </c>
      <c r="T630" s="26">
        <f>IF(COUNTIF($B$4:B630,B630)=1,1,0)</f>
        <v>0</v>
      </c>
    </row>
    <row r="631">
      <c r="A631" s="14" t="inlineStr">
        <is>
          <t>ENTRE RIOS</t>
        </is>
      </c>
      <c r="B631" s="26" t="n">
        <v>144</v>
      </c>
      <c r="C631" s="26" t="n">
        <v>1368</v>
      </c>
      <c r="D631" s="14" t="inlineStr">
        <is>
          <t xml:space="preserve">ESCOLA MUNICIPAL RECANTO INFANTIL </t>
        </is>
      </c>
      <c r="E631" s="14" t="inlineStr">
        <is>
          <t>BELA VISTA</t>
        </is>
      </c>
      <c r="F631" s="14" t="inlineStr">
        <is>
          <t>AV ACM, 499</t>
        </is>
      </c>
      <c r="G631" s="27" t="inlineStr">
        <is>
          <t>48180-000</t>
        </is>
      </c>
      <c r="H631" s="15" t="n">
        <v>8</v>
      </c>
      <c r="I631" s="28" t="inlineStr">
        <is>
          <t>SIM</t>
        </is>
      </c>
      <c r="J631" s="29" t="n">
        <v>51.1</v>
      </c>
      <c r="K631" s="14" t="str">
        <f>IF(J631="","7. Acima de 2 km",IF(J631&lt;=50,"1. Até 50 m",IF(J631&lt;=100,"2. De 50 a 100 m",IF(J631&lt;=200,"3. De 100 a 200 m",IF(J631&lt;=300,"4. De 200 a 300 m",IF(J631&lt;=500,"5. De 300 a 500 m","6. De 500 m a 2 km"))))))</f>
        <v>2. De 50 a 100 m</v>
      </c>
      <c r="L631" s="26" t="n">
        <v>0</v>
      </c>
      <c r="M631" s="26" t="n">
        <v>1</v>
      </c>
      <c r="N631" s="26" t="n">
        <v>2</v>
      </c>
      <c r="O631" s="26" t="n">
        <v>2</v>
      </c>
      <c r="P631" s="30" t="n">
        <v>-11.9382262</v>
      </c>
      <c r="Q631" s="30" t="n">
        <v>-38.092108</v>
      </c>
      <c r="R631" s="14" t="inlineStr">
        <is>
          <t>RUA CÔNEGO FÉLIX, 69, CENTRO, ENTRE RIOS/BA</t>
        </is>
      </c>
      <c r="S631" s="26">
        <f>IF(A631=A630,0,1)</f>
        <v>0</v>
      </c>
      <c r="T631" s="26">
        <f>IF(COUNTIF($B$4:B631,B631)=1,1,0)</f>
        <v>0</v>
      </c>
    </row>
    <row r="632">
      <c r="A632" s="14" t="inlineStr">
        <is>
          <t>ENTRE RIOS</t>
        </is>
      </c>
      <c r="B632" s="26" t="n">
        <v>144</v>
      </c>
      <c r="C632" s="26" t="n">
        <v>1376</v>
      </c>
      <c r="D632" s="14" t="inlineStr">
        <is>
          <t>ESCOLA MUNICIPAL MONTEIRO LOBATO</t>
        </is>
      </c>
      <c r="E632" s="14" t="inlineStr">
        <is>
          <t>PALAME</t>
        </is>
      </c>
      <c r="F632" s="14" t="inlineStr">
        <is>
          <t>RUA DO PARÁ, 106, PALAME - ZONA URBANA</t>
        </is>
      </c>
      <c r="G632" s="27" t="inlineStr">
        <is>
          <t>48180-000</t>
        </is>
      </c>
      <c r="H632" s="15" t="n">
        <v>7</v>
      </c>
      <c r="I632" s="28" t="inlineStr">
        <is>
          <t>NÃO</t>
        </is>
      </c>
      <c r="J632" s="29" t="n">
        <v>281.6</v>
      </c>
      <c r="K632" s="14" t="str">
        <f>IF(J632="","7. Acima de 2 km",IF(J632&lt;=50,"1. Até 50 m",IF(J632&lt;=100,"2. De 50 a 100 m",IF(J632&lt;=200,"3. De 100 a 200 m",IF(J632&lt;=300,"4. De 200 a 300 m",IF(J632&lt;=500,"5. De 300 a 500 m","6. De 500 m a 2 km"))))))</f>
        <v>4. De 200 a 300 m</v>
      </c>
      <c r="L632" s="26" t="n">
        <v>0</v>
      </c>
      <c r="M632" s="26" t="n">
        <v>0</v>
      </c>
      <c r="N632" s="26" t="n">
        <v>0</v>
      </c>
      <c r="O632" s="26" t="n">
        <v>1</v>
      </c>
      <c r="P632" s="30" t="n">
        <v>-11.9472366</v>
      </c>
      <c r="Q632" s="30" t="n">
        <v>-38.0756827</v>
      </c>
      <c r="R632" s="14" t="inlineStr">
        <is>
          <t>RUA CÔNEGO FÉLIX, 69, CENTRO, ENTRE RIOS/BA</t>
        </is>
      </c>
      <c r="S632" s="26">
        <f>IF(A632=A631,0,1)</f>
        <v>0</v>
      </c>
      <c r="T632" s="26">
        <f>IF(COUNTIF($B$4:B632,B632)=1,1,0)</f>
        <v>0</v>
      </c>
    </row>
    <row r="633">
      <c r="A633" s="14" t="inlineStr">
        <is>
          <t>ENTRE RIOS</t>
        </is>
      </c>
      <c r="B633" s="26" t="n">
        <v>144</v>
      </c>
      <c r="C633" s="26" t="n">
        <v>1392</v>
      </c>
      <c r="D633" s="14" t="inlineStr">
        <is>
          <t>COLÉGIO OSVALDO CRUZ</t>
        </is>
      </c>
      <c r="E633" s="14" t="inlineStr">
        <is>
          <t>POVOADO PRATA</t>
        </is>
      </c>
      <c r="F633" s="14" t="inlineStr">
        <is>
          <t>POVOADO PRATA/RODOVIA BR 101 KM 80, S/N - ZONA RURAL</t>
        </is>
      </c>
      <c r="G633" s="27" t="inlineStr">
        <is>
          <t>48180-000</t>
        </is>
      </c>
      <c r="H633" s="15" t="n">
        <v>3</v>
      </c>
      <c r="I633" s="28" t="inlineStr">
        <is>
          <t>NÃO</t>
        </is>
      </c>
      <c r="J633" s="29" t="n"/>
      <c r="K633" s="14" t="str">
        <f>IF(J633="","7. Acima de 2 km",IF(J633&lt;=50,"1. Até 50 m",IF(J633&lt;=100,"2. De 50 a 100 m",IF(J633&lt;=200,"3. De 100 a 200 m",IF(J633&lt;=300,"4. De 200 a 300 m",IF(J633&lt;=500,"5. De 300 a 500 m","6. De 500 m a 2 km"))))))</f>
        <v>7. Acima de 2 km</v>
      </c>
      <c r="L633" s="26" t="n">
        <v>0</v>
      </c>
      <c r="M633" s="26" t="n">
        <v>0</v>
      </c>
      <c r="N633" s="26" t="n">
        <v>0</v>
      </c>
      <c r="O633" s="26" t="n">
        <v>0</v>
      </c>
      <c r="P633" s="30" t="n">
        <v>-11.9973566</v>
      </c>
      <c r="Q633" s="30" t="n">
        <v>-38.2505846</v>
      </c>
      <c r="R633" s="14" t="inlineStr">
        <is>
          <t>RUA CÔNEGO FÉLIX, 69, CENTRO, ENTRE RIOS/BA</t>
        </is>
      </c>
      <c r="S633" s="26">
        <f>IF(A633=A632,0,1)</f>
        <v>0</v>
      </c>
      <c r="T633" s="26">
        <f>IF(COUNTIF($B$4:B633,B633)=1,1,0)</f>
        <v>0</v>
      </c>
    </row>
    <row r="634">
      <c r="A634" s="14" t="inlineStr">
        <is>
          <t>ENTRE RIOS</t>
        </is>
      </c>
      <c r="B634" s="26" t="n">
        <v>144</v>
      </c>
      <c r="C634" s="26" t="n">
        <v>1406</v>
      </c>
      <c r="D634" s="14" t="inlineStr">
        <is>
          <t>ESCOLA MUNICIPAL LUIZ GONZAGA DE LEMOS NETO</t>
        </is>
      </c>
      <c r="E634" s="14" t="inlineStr">
        <is>
          <t>PORTO DE SAUÍPE</t>
        </is>
      </c>
      <c r="F634" s="14" t="inlineStr">
        <is>
          <t>PRAÇA DA MATRIZ, S/N, DISTRITO DE PORTO DE SAUÍPE - ZONA RURAL</t>
        </is>
      </c>
      <c r="G634" s="27" t="inlineStr">
        <is>
          <t>48180-000</t>
        </is>
      </c>
      <c r="H634" s="15" t="n">
        <v>7</v>
      </c>
      <c r="I634" s="28" t="inlineStr">
        <is>
          <t>NÃO</t>
        </is>
      </c>
      <c r="J634" s="29" t="n"/>
      <c r="K634" s="14" t="str">
        <f>IF(J634="","7. Acima de 2 km",IF(J634&lt;=50,"1. Até 50 m",IF(J634&lt;=100,"2. De 50 a 100 m",IF(J634&lt;=200,"3. De 100 a 200 m",IF(J634&lt;=300,"4. De 200 a 300 m",IF(J634&lt;=500,"5. De 300 a 500 m","6. De 500 m a 2 km"))))))</f>
        <v>7. Acima de 2 km</v>
      </c>
      <c r="L634" s="26" t="n">
        <v>0</v>
      </c>
      <c r="M634" s="26" t="n">
        <v>0</v>
      </c>
      <c r="N634" s="26" t="n">
        <v>0</v>
      </c>
      <c r="O634" s="26" t="n">
        <v>0</v>
      </c>
      <c r="P634" s="30" t="n">
        <v>-12.3901493</v>
      </c>
      <c r="Q634" s="30" t="n">
        <v>-37.8818163</v>
      </c>
      <c r="R634" s="14" t="inlineStr">
        <is>
          <t>RUA CÔNEGO FÉLIX, 69, CENTRO, ENTRE RIOS/BA</t>
        </is>
      </c>
      <c r="S634" s="26">
        <f>IF(A634=A633,0,1)</f>
        <v>0</v>
      </c>
      <c r="T634" s="26">
        <f>IF(COUNTIF($B$4:B634,B634)=1,1,0)</f>
        <v>0</v>
      </c>
    </row>
    <row r="635">
      <c r="A635" s="14" t="inlineStr">
        <is>
          <t>ENTRE RIOS</t>
        </is>
      </c>
      <c r="B635" s="26" t="n">
        <v>144</v>
      </c>
      <c r="C635" s="26" t="n">
        <v>1414</v>
      </c>
      <c r="D635" s="14" t="inlineStr">
        <is>
          <t>ESCOLA MUNICIPAL PRINCESA ISABEL</t>
        </is>
      </c>
      <c r="E635" s="14" t="inlineStr">
        <is>
          <t>POVOADO COROCAS</t>
        </is>
      </c>
      <c r="F635" s="14" t="inlineStr">
        <is>
          <t>FAZENDA BARRO BRANCO, POVOADO COROCAS, ZONA RURAL</t>
        </is>
      </c>
      <c r="G635" s="27" t="inlineStr">
        <is>
          <t>48180-000</t>
        </is>
      </c>
      <c r="H635" s="15" t="n">
        <v>2</v>
      </c>
      <c r="I635" s="28" t="inlineStr">
        <is>
          <t>NÃO</t>
        </is>
      </c>
      <c r="J635" s="29" t="n"/>
      <c r="K635" s="14" t="str">
        <f>IF(J635="","7. Acima de 2 km",IF(J635&lt;=50,"1. Até 50 m",IF(J635&lt;=100,"2. De 50 a 100 m",IF(J635&lt;=200,"3. De 100 a 200 m",IF(J635&lt;=300,"4. De 200 a 300 m",IF(J635&lt;=500,"5. De 300 a 500 m","6. De 500 m a 2 km"))))))</f>
        <v>7. Acima de 2 km</v>
      </c>
      <c r="L635" s="26" t="n">
        <v>0</v>
      </c>
      <c r="M635" s="26" t="n">
        <v>0</v>
      </c>
      <c r="N635" s="26" t="n">
        <v>0</v>
      </c>
      <c r="O635" s="26" t="n">
        <v>0</v>
      </c>
      <c r="P635" s="30" t="n">
        <v>-12.1337223</v>
      </c>
      <c r="Q635" s="30" t="n">
        <v>-38.0602958</v>
      </c>
      <c r="R635" s="14" t="inlineStr">
        <is>
          <t>RUA CÔNEGO FÉLIX, 69, CENTRO, ENTRE RIOS/BA</t>
        </is>
      </c>
      <c r="S635" s="26">
        <f>IF(A635=A634,0,1)</f>
        <v>0</v>
      </c>
      <c r="T635" s="26">
        <f>IF(COUNTIF($B$4:B635,B635)=1,1,0)</f>
        <v>0</v>
      </c>
    </row>
    <row r="636">
      <c r="A636" s="14" t="inlineStr">
        <is>
          <t>ÉRICO CARDOSO</t>
        </is>
      </c>
      <c r="B636" s="26" t="n">
        <v>111</v>
      </c>
      <c r="C636" s="26" t="n">
        <v>1015</v>
      </c>
      <c r="D636" s="14" t="inlineStr">
        <is>
          <t>GRUPO ESCOLAR CEL. JOSÉ DE SOUZA SPINOLA</t>
        </is>
      </c>
      <c r="E636" s="14" t="inlineStr">
        <is>
          <t>CENTRO</t>
        </is>
      </c>
      <c r="F636" s="14" t="inlineStr">
        <is>
          <t>PRAÇA DA BÍBLIA, 20 - ZONA URBANA</t>
        </is>
      </c>
      <c r="G636" s="27" t="inlineStr">
        <is>
          <t>46180-000</t>
        </is>
      </c>
      <c r="H636" s="15" t="n">
        <v>2</v>
      </c>
      <c r="I636" s="28" t="inlineStr">
        <is>
          <t>NÃO</t>
        </is>
      </c>
      <c r="J636" s="29" t="n">
        <v>125.3</v>
      </c>
      <c r="K636" s="14" t="str">
        <f>IF(J636="","7. Acima de 2 km",IF(J636&lt;=50,"1. Até 50 m",IF(J636&lt;=100,"2. De 50 a 100 m",IF(J636&lt;=200,"3. De 100 a 200 m",IF(J636&lt;=300,"4. De 200 a 300 m",IF(J636&lt;=500,"5. De 300 a 500 m","6. De 500 m a 2 km"))))))</f>
        <v>3. De 100 a 200 m</v>
      </c>
      <c r="L636" s="26" t="n">
        <v>0</v>
      </c>
      <c r="M636" s="26" t="n">
        <v>0</v>
      </c>
      <c r="N636" s="26" t="n">
        <v>2</v>
      </c>
      <c r="O636" s="26" t="n">
        <v>6</v>
      </c>
      <c r="P636" s="30" t="n">
        <v>-13.4187517</v>
      </c>
      <c r="Q636" s="30" t="n">
        <v>-42.1385416</v>
      </c>
      <c r="R636" s="14" t="inlineStr">
        <is>
          <t>RUA IRMÃ DULCE, 31, CENTRO, PARAMIRIM/BAHIA</t>
        </is>
      </c>
      <c r="S636" s="26">
        <f>IF(A636=A635,0,1)</f>
        <v>1</v>
      </c>
      <c r="T636" s="26">
        <f>IF(COUNTIF($B$4:B636,B636)=1,1,0)</f>
        <v>1</v>
      </c>
    </row>
    <row r="637">
      <c r="A637" s="14" t="inlineStr">
        <is>
          <t>ÉRICO CARDOSO</t>
        </is>
      </c>
      <c r="B637" s="26" t="n">
        <v>111</v>
      </c>
      <c r="C637" s="26" t="n">
        <v>1023</v>
      </c>
      <c r="D637" s="14" t="inlineStr">
        <is>
          <t>COLÉGIO MUNICIPAL CLERISTON ANDRADE</t>
        </is>
      </c>
      <c r="E637" s="14" t="inlineStr">
        <is>
          <t>CENTRO</t>
        </is>
      </c>
      <c r="F637" s="14" t="inlineStr">
        <is>
          <t>RUA ADEMÁRIO VIANA CARDOSO, N 32 - ZONA URBANA</t>
        </is>
      </c>
      <c r="G637" s="27" t="inlineStr">
        <is>
          <t>46180-000</t>
        </is>
      </c>
      <c r="H637" s="15" t="n">
        <v>3</v>
      </c>
      <c r="I637" s="28" t="inlineStr">
        <is>
          <t>NÃO</t>
        </is>
      </c>
      <c r="J637" s="29" t="n">
        <v>152.4</v>
      </c>
      <c r="K637" s="14" t="str">
        <f>IF(J637="","7. Acima de 2 km",IF(J637&lt;=50,"1. Até 50 m",IF(J637&lt;=100,"2. De 50 a 100 m",IF(J637&lt;=200,"3. De 100 a 200 m",IF(J637&lt;=300,"4. De 200 a 300 m",IF(J637&lt;=500,"5. De 300 a 500 m","6. De 500 m a 2 km"))))))</f>
        <v>3. De 100 a 200 m</v>
      </c>
      <c r="L637" s="26" t="n">
        <v>0</v>
      </c>
      <c r="M637" s="26" t="n">
        <v>0</v>
      </c>
      <c r="N637" s="26" t="n">
        <v>5</v>
      </c>
      <c r="O637" s="26" t="n">
        <v>10</v>
      </c>
      <c r="P637" s="30" t="n">
        <v>-13.4188735</v>
      </c>
      <c r="Q637" s="30" t="n">
        <v>-42.1411536</v>
      </c>
      <c r="R637" s="14" t="inlineStr">
        <is>
          <t>RUA IRMÃ DULCE, 31, CENTRO, PARAMIRIM/BAHIA</t>
        </is>
      </c>
      <c r="S637" s="26">
        <f>IF(A637=A636,0,1)</f>
        <v>0</v>
      </c>
      <c r="T637" s="26">
        <f>IF(COUNTIF($B$4:B637,B637)=1,1,0)</f>
        <v>0</v>
      </c>
    </row>
    <row r="638">
      <c r="A638" s="14" t="inlineStr">
        <is>
          <t>ÉRICO CARDOSO</t>
        </is>
      </c>
      <c r="B638" s="26" t="n">
        <v>111</v>
      </c>
      <c r="C638" s="26" t="n">
        <v>1031</v>
      </c>
      <c r="D638" s="14" t="inlineStr">
        <is>
          <t>COLÉGIO ANTÔNIO CARLOS MAGALHÃES</t>
        </is>
      </c>
      <c r="E638" s="14" t="inlineStr">
        <is>
          <t>CENTRO</t>
        </is>
      </c>
      <c r="F638" s="14" t="inlineStr">
        <is>
          <t>AVENIDA ANTÔNIO CARLOS MAGALHÃES - ZONA URBANA</t>
        </is>
      </c>
      <c r="G638" s="27" t="inlineStr">
        <is>
          <t>46180-000</t>
        </is>
      </c>
      <c r="H638" s="15" t="n">
        <v>4</v>
      </c>
      <c r="I638" s="28" t="inlineStr">
        <is>
          <t>SIM</t>
        </is>
      </c>
      <c r="J638" s="29" t="n">
        <v>23.1</v>
      </c>
      <c r="K638" s="14" t="str">
        <f>IF(J638="","7. Acima de 2 km",IF(J638&lt;=50,"1. Até 50 m",IF(J638&lt;=100,"2. De 50 a 100 m",IF(J638&lt;=200,"3. De 100 a 200 m",IF(J638&lt;=300,"4. De 200 a 300 m",IF(J638&lt;=500,"5. De 300 a 500 m","6. De 500 m a 2 km"))))))</f>
        <v>1. Até 50 m</v>
      </c>
      <c r="L638" s="26" t="n">
        <v>1</v>
      </c>
      <c r="M638" s="26" t="n">
        <v>2</v>
      </c>
      <c r="N638" s="26" t="n">
        <v>4</v>
      </c>
      <c r="O638" s="26" t="n">
        <v>6</v>
      </c>
      <c r="P638" s="30" t="n">
        <v>-13.419135</v>
      </c>
      <c r="Q638" s="30" t="n">
        <v>-42.1399783</v>
      </c>
      <c r="R638" s="14" t="inlineStr">
        <is>
          <t>RUA IRMÃ DULCE, 31, CENTRO, PARAMIRIM/BAHIA</t>
        </is>
      </c>
      <c r="S638" s="26">
        <f>IF(A638=A637,0,1)</f>
        <v>0</v>
      </c>
      <c r="T638" s="26">
        <f>IF(COUNTIF($B$4:B638,B638)=1,1,0)</f>
        <v>0</v>
      </c>
    </row>
    <row r="639">
      <c r="A639" s="14" t="inlineStr">
        <is>
          <t>ÉRICO CARDOSO</t>
        </is>
      </c>
      <c r="B639" s="26" t="n">
        <v>111</v>
      </c>
      <c r="C639" s="26" t="n">
        <v>1040</v>
      </c>
      <c r="D639" s="14" t="inlineStr">
        <is>
          <t>ESCOLA MUNICIPAL DO BREJO</t>
        </is>
      </c>
      <c r="E639" s="14" t="inlineStr">
        <is>
          <t>POVOADO BREJO</t>
        </is>
      </c>
      <c r="F639" s="14" t="inlineStr">
        <is>
          <t>POVOADO BREJO - ZONA RURAL</t>
        </is>
      </c>
      <c r="G639" s="27" t="inlineStr">
        <is>
          <t>46180-000</t>
        </is>
      </c>
      <c r="H639" s="15" t="n">
        <v>1</v>
      </c>
      <c r="I639" s="28" t="inlineStr">
        <is>
          <t>NÃO</t>
        </is>
      </c>
      <c r="J639" s="29" t="n"/>
      <c r="K639" s="14" t="str">
        <f>IF(J639="","7. Acima de 2 km",IF(J639&lt;=50,"1. Até 50 m",IF(J639&lt;=100,"2. De 50 a 100 m",IF(J639&lt;=200,"3. De 100 a 200 m",IF(J639&lt;=300,"4. De 200 a 300 m",IF(J639&lt;=500,"5. De 300 a 500 m","6. De 500 m a 2 km"))))))</f>
        <v>7. Acima de 2 km</v>
      </c>
      <c r="L639" s="26" t="n">
        <v>0</v>
      </c>
      <c r="M639" s="26" t="n">
        <v>0</v>
      </c>
      <c r="N639" s="26" t="n">
        <v>0</v>
      </c>
      <c r="O639" s="26" t="n">
        <v>0</v>
      </c>
      <c r="P639" s="30" t="n">
        <v>-13.4752971</v>
      </c>
      <c r="Q639" s="30" t="n">
        <v>-42.0964916</v>
      </c>
      <c r="R639" s="14" t="inlineStr">
        <is>
          <t>RUA IRMÃ DULCE, 31, CENTRO, PARAMIRIM/BAHIA</t>
        </is>
      </c>
      <c r="S639" s="26">
        <f>IF(A639=A638,0,1)</f>
        <v>0</v>
      </c>
      <c r="T639" s="26">
        <f>IF(COUNTIF($B$4:B639,B639)=1,1,0)</f>
        <v>0</v>
      </c>
    </row>
    <row r="640">
      <c r="A640" s="14" t="inlineStr">
        <is>
          <t>ÉRICO CARDOSO</t>
        </is>
      </c>
      <c r="B640" s="26" t="n">
        <v>111</v>
      </c>
      <c r="C640" s="26" t="n">
        <v>1058</v>
      </c>
      <c r="D640" s="14" t="inlineStr">
        <is>
          <t>ESCOLA MUNICIPAL PROFESSOR  EDGAR SANTOS</t>
        </is>
      </c>
      <c r="E640" s="14" t="inlineStr">
        <is>
          <t>POVOADO BARRA DE CIMA</t>
        </is>
      </c>
      <c r="F640" s="14" t="inlineStr">
        <is>
          <t>POVOADO BARRA DE CIMA - ZONA RURAL</t>
        </is>
      </c>
      <c r="G640" s="27" t="inlineStr">
        <is>
          <t>46180-000</t>
        </is>
      </c>
      <c r="H640" s="15" t="n">
        <v>2</v>
      </c>
      <c r="I640" s="28" t="inlineStr">
        <is>
          <t>NÃO</t>
        </is>
      </c>
      <c r="J640" s="29" t="n"/>
      <c r="K640" s="14" t="str">
        <f>IF(J640="","7. Acima de 2 km",IF(J640&lt;=50,"1. Até 50 m",IF(J640&lt;=100,"2. De 50 a 100 m",IF(J640&lt;=200,"3. De 100 a 200 m",IF(J640&lt;=300,"4. De 200 a 300 m",IF(J640&lt;=500,"5. De 300 a 500 m","6. De 500 m a 2 km"))))))</f>
        <v>7. Acima de 2 km</v>
      </c>
      <c r="L640" s="26" t="n">
        <v>0</v>
      </c>
      <c r="M640" s="26" t="n">
        <v>0</v>
      </c>
      <c r="N640" s="26" t="n">
        <v>0</v>
      </c>
      <c r="O640" s="26" t="n">
        <v>0</v>
      </c>
      <c r="P640" s="30" t="n">
        <v>-13.5227884</v>
      </c>
      <c r="Q640" s="30" t="n">
        <v>-42.069943</v>
      </c>
      <c r="R640" s="14" t="inlineStr">
        <is>
          <t>RUA IRMÃ DULCE, 31, CENTRO, PARAMIRIM/BAHIA</t>
        </is>
      </c>
      <c r="S640" s="26">
        <f>IF(A640=A639,0,1)</f>
        <v>0</v>
      </c>
      <c r="T640" s="26">
        <f>IF(COUNTIF($B$4:B640,B640)=1,1,0)</f>
        <v>0</v>
      </c>
    </row>
    <row r="641">
      <c r="A641" s="14" t="inlineStr">
        <is>
          <t>ÉRICO CARDOSO</t>
        </is>
      </c>
      <c r="B641" s="26" t="n">
        <v>111</v>
      </c>
      <c r="C641" s="26" t="n">
        <v>1066</v>
      </c>
      <c r="D641" s="14" t="inlineStr">
        <is>
          <t>COLÉGIO MUNICIPAL DE BARRA</t>
        </is>
      </c>
      <c r="E641" s="14" t="inlineStr">
        <is>
          <t>POVOADO BARRA</t>
        </is>
      </c>
      <c r="F641" s="14" t="inlineStr">
        <is>
          <t>POVOADO BARRA - ZONA RURAL</t>
        </is>
      </c>
      <c r="G641" s="27" t="inlineStr">
        <is>
          <t>46180-000</t>
        </is>
      </c>
      <c r="H641" s="15" t="n">
        <v>2</v>
      </c>
      <c r="I641" s="28" t="inlineStr">
        <is>
          <t>NÃO</t>
        </is>
      </c>
      <c r="J641" s="29" t="n"/>
      <c r="K641" s="14" t="str">
        <f>IF(J641="","7. Acima de 2 km",IF(J641&lt;=50,"1. Até 50 m",IF(J641&lt;=100,"2. De 50 a 100 m",IF(J641&lt;=200,"3. De 100 a 200 m",IF(J641&lt;=300,"4. De 200 a 300 m",IF(J641&lt;=500,"5. De 300 a 500 m","6. De 500 m a 2 km"))))))</f>
        <v>7. Acima de 2 km</v>
      </c>
      <c r="L641" s="26" t="n">
        <v>0</v>
      </c>
      <c r="M641" s="26" t="n">
        <v>0</v>
      </c>
      <c r="N641" s="26" t="n">
        <v>0</v>
      </c>
      <c r="O641" s="26" t="n">
        <v>0</v>
      </c>
      <c r="P641" s="30" t="n">
        <v>-13.5020222</v>
      </c>
      <c r="Q641" s="30" t="n">
        <v>-42.0727739</v>
      </c>
      <c r="R641" s="14" t="inlineStr">
        <is>
          <t>RUA IRMÃ DULCE, 31, CENTRO, PARAMIRIM/BAHIA</t>
        </is>
      </c>
      <c r="S641" s="26">
        <f>IF(A641=A640,0,1)</f>
        <v>0</v>
      </c>
      <c r="T641" s="26">
        <f>IF(COUNTIF($B$4:B641,B641)=1,1,0)</f>
        <v>0</v>
      </c>
    </row>
    <row r="642">
      <c r="A642" s="14" t="inlineStr">
        <is>
          <t>ÉRICO CARDOSO</t>
        </is>
      </c>
      <c r="B642" s="26" t="n">
        <v>111</v>
      </c>
      <c r="C642" s="26" t="n">
        <v>1074</v>
      </c>
      <c r="D642" s="14" t="inlineStr">
        <is>
          <t>ESCOLA MUNICIPAL FIRMINO FERREIRA CRUZ</t>
        </is>
      </c>
      <c r="E642" s="14" t="inlineStr">
        <is>
          <t>POVOADO ENCRUZILHADA</t>
        </is>
      </c>
      <c r="F642" s="14" t="inlineStr">
        <is>
          <t>POVOADO ENCRUZILHADA - ZONA RURAL</t>
        </is>
      </c>
      <c r="G642" s="27" t="inlineStr">
        <is>
          <t>46180-000</t>
        </is>
      </c>
      <c r="H642" s="15" t="n">
        <v>1</v>
      </c>
      <c r="I642" s="28" t="inlineStr">
        <is>
          <t>NÃO</t>
        </is>
      </c>
      <c r="J642" s="29" t="n"/>
      <c r="K642" s="14" t="str">
        <f>IF(J642="","7. Acima de 2 km",IF(J642&lt;=50,"1. Até 50 m",IF(J642&lt;=100,"2. De 50 a 100 m",IF(J642&lt;=200,"3. De 100 a 200 m",IF(J642&lt;=300,"4. De 200 a 300 m",IF(J642&lt;=500,"5. De 300 a 500 m","6. De 500 m a 2 km"))))))</f>
        <v>7. Acima de 2 km</v>
      </c>
      <c r="L642" s="26" t="n">
        <v>0</v>
      </c>
      <c r="M642" s="26" t="n">
        <v>0</v>
      </c>
      <c r="N642" s="26" t="n">
        <v>0</v>
      </c>
      <c r="O642" s="26" t="n">
        <v>0</v>
      </c>
      <c r="P642" s="30" t="n">
        <v>-13.4956705</v>
      </c>
      <c r="Q642" s="30" t="n">
        <v>-42.0814131</v>
      </c>
      <c r="R642" s="14" t="inlineStr">
        <is>
          <t>RUA IRMÃ DULCE, 31, CENTRO, PARAMIRIM/BAHIA</t>
        </is>
      </c>
      <c r="S642" s="26">
        <f>IF(A642=A641,0,1)</f>
        <v>0</v>
      </c>
      <c r="T642" s="26">
        <f>IF(COUNTIF($B$4:B642,B642)=1,1,0)</f>
        <v>0</v>
      </c>
    </row>
    <row r="643">
      <c r="A643" s="14" t="inlineStr">
        <is>
          <t>ÉRICO CARDOSO</t>
        </is>
      </c>
      <c r="B643" s="26" t="n">
        <v>111</v>
      </c>
      <c r="C643" s="26" t="n">
        <v>1082</v>
      </c>
      <c r="D643" s="14" t="inlineStr">
        <is>
          <t>ESCOLA MUNICIPAL DE PARAMIRIM DAS CRIOULAS</t>
        </is>
      </c>
      <c r="E643" s="14" t="inlineStr">
        <is>
          <t>POVOADO PARAMIRIM DAS CREOLAS</t>
        </is>
      </c>
      <c r="F643" s="14" t="inlineStr">
        <is>
          <t>POVOADO PARAMIRIM DAS CRIOULAS - ZONA RURAL</t>
        </is>
      </c>
      <c r="G643" s="27" t="inlineStr">
        <is>
          <t>46180-000</t>
        </is>
      </c>
      <c r="H643" s="15" t="n">
        <v>1</v>
      </c>
      <c r="I643" s="28" t="inlineStr">
        <is>
          <t>NÃO</t>
        </is>
      </c>
      <c r="J643" s="29" t="n"/>
      <c r="K643" s="14" t="str">
        <f>IF(J643="","7. Acima de 2 km",IF(J643&lt;=50,"1. Até 50 m",IF(J643&lt;=100,"2. De 50 a 100 m",IF(J643&lt;=200,"3. De 100 a 200 m",IF(J643&lt;=300,"4. De 200 a 300 m",IF(J643&lt;=500,"5. De 300 a 500 m","6. De 500 m a 2 km"))))))</f>
        <v>7. Acima de 2 km</v>
      </c>
      <c r="L643" s="26" t="n">
        <v>0</v>
      </c>
      <c r="M643" s="26" t="n">
        <v>0</v>
      </c>
      <c r="N643" s="26" t="n">
        <v>0</v>
      </c>
      <c r="O643" s="26" t="n">
        <v>0</v>
      </c>
      <c r="P643" s="30" t="n">
        <v>-13.5728313</v>
      </c>
      <c r="Q643" s="30" t="n">
        <v>-42.0250925</v>
      </c>
      <c r="R643" s="14" t="inlineStr">
        <is>
          <t>RUA IRMÃ DULCE, 31, CENTRO, PARAMIRIM/BAHIA</t>
        </is>
      </c>
      <c r="S643" s="26">
        <f>IF(A643=A642,0,1)</f>
        <v>0</v>
      </c>
      <c r="T643" s="26">
        <f>IF(COUNTIF($B$4:B643,B643)=1,1,0)</f>
        <v>0</v>
      </c>
    </row>
    <row r="644">
      <c r="A644" s="14" t="inlineStr">
        <is>
          <t>ÉRICO CARDOSO</t>
        </is>
      </c>
      <c r="B644" s="26" t="n">
        <v>111</v>
      </c>
      <c r="C644" s="26" t="n">
        <v>1090</v>
      </c>
      <c r="D644" s="14" t="inlineStr">
        <is>
          <t>ESCOLA MUNICIPAL EVANGELINA MAGALHÃES BRASIL</t>
        </is>
      </c>
      <c r="E644" s="14" t="inlineStr">
        <is>
          <t>POVOADO PORTEIRAS</t>
        </is>
      </c>
      <c r="F644" s="14" t="inlineStr">
        <is>
          <t>POVOADO PORTEIRAS - ZONA RURAL</t>
        </is>
      </c>
      <c r="G644" s="27" t="inlineStr">
        <is>
          <t>46180-000</t>
        </is>
      </c>
      <c r="H644" s="15" t="n">
        <v>1</v>
      </c>
      <c r="I644" s="28" t="inlineStr">
        <is>
          <t>NÃO</t>
        </is>
      </c>
      <c r="J644" s="29" t="n"/>
      <c r="K644" s="14" t="str">
        <f>IF(J644="","7. Acima de 2 km",IF(J644&lt;=50,"1. Até 50 m",IF(J644&lt;=100,"2. De 50 a 100 m",IF(J644&lt;=200,"3. De 100 a 200 m",IF(J644&lt;=300,"4. De 200 a 300 m",IF(J644&lt;=500,"5. De 300 a 500 m","6. De 500 m a 2 km"))))))</f>
        <v>7. Acima de 2 km</v>
      </c>
      <c r="L644" s="26" t="n">
        <v>0</v>
      </c>
      <c r="M644" s="26" t="n">
        <v>0</v>
      </c>
      <c r="N644" s="26" t="n">
        <v>0</v>
      </c>
      <c r="O644" s="26" t="n">
        <v>0</v>
      </c>
      <c r="P644" s="30" t="n">
        <v>-13.3048202</v>
      </c>
      <c r="Q644" s="30" t="n">
        <v>-42.1486266</v>
      </c>
      <c r="R644" s="14" t="inlineStr">
        <is>
          <t>RUA IRMÃ DULCE, 31, CENTRO, PARAMIRIM/BAHIA</t>
        </is>
      </c>
      <c r="S644" s="26">
        <f>IF(A644=A643,0,1)</f>
        <v>0</v>
      </c>
      <c r="T644" s="26">
        <f>IF(COUNTIF($B$4:B644,B644)=1,1,0)</f>
        <v>0</v>
      </c>
    </row>
    <row r="645">
      <c r="A645" s="14" t="inlineStr">
        <is>
          <t>ÉRICO CARDOSO</t>
        </is>
      </c>
      <c r="B645" s="26" t="n">
        <v>111</v>
      </c>
      <c r="C645" s="26" t="n">
        <v>1104</v>
      </c>
      <c r="D645" s="14" t="inlineStr">
        <is>
          <t>PRÉDIO ESCOLAR DE RIO DA CAIXA</t>
        </is>
      </c>
      <c r="E645" s="14" t="inlineStr">
        <is>
          <t xml:space="preserve">POVOADO RIO DA CAIXA </t>
        </is>
      </c>
      <c r="F645" s="14" t="inlineStr">
        <is>
          <t>POVOADO RIO DA CAIXA - ZONA RURAL</t>
        </is>
      </c>
      <c r="G645" s="27" t="inlineStr">
        <is>
          <t>46180-000</t>
        </is>
      </c>
      <c r="H645" s="15" t="n">
        <v>4</v>
      </c>
      <c r="I645" s="28" t="inlineStr">
        <is>
          <t>NÃO</t>
        </is>
      </c>
      <c r="J645" s="29" t="n"/>
      <c r="K645" s="14" t="str">
        <f>IF(J645="","7. Acima de 2 km",IF(J645&lt;=50,"1. Até 50 m",IF(J645&lt;=100,"2. De 50 a 100 m",IF(J645&lt;=200,"3. De 100 a 200 m",IF(J645&lt;=300,"4. De 200 a 300 m",IF(J645&lt;=500,"5. De 300 a 500 m","6. De 500 m a 2 km"))))))</f>
        <v>7. Acima de 2 km</v>
      </c>
      <c r="L645" s="26" t="n">
        <v>0</v>
      </c>
      <c r="M645" s="26" t="n">
        <v>0</v>
      </c>
      <c r="N645" s="26" t="n">
        <v>0</v>
      </c>
      <c r="O645" s="26" t="n">
        <v>0</v>
      </c>
      <c r="P645" s="30" t="n">
        <v>-13.3480976</v>
      </c>
      <c r="Q645" s="30" t="n">
        <v>-41.9957306</v>
      </c>
      <c r="R645" s="14" t="inlineStr">
        <is>
          <t>RUA IRMÃ DULCE, 31, CENTRO, PARAMIRIM/BAHIA</t>
        </is>
      </c>
      <c r="S645" s="26">
        <f>IF(A645=A644,0,1)</f>
        <v>0</v>
      </c>
      <c r="T645" s="26">
        <f>IF(COUNTIF($B$4:B645,B645)=1,1,0)</f>
        <v>0</v>
      </c>
    </row>
    <row r="646">
      <c r="A646" s="14" t="inlineStr">
        <is>
          <t>ÉRICO CARDOSO</t>
        </is>
      </c>
      <c r="B646" s="26" t="n">
        <v>111</v>
      </c>
      <c r="C646" s="26" t="n">
        <v>1112</v>
      </c>
      <c r="D646" s="14" t="inlineStr">
        <is>
          <t>ESCOLA MUNICIPAL JOÃO DOMINGUES DE ALMEIDA JOB</t>
        </is>
      </c>
      <c r="E646" s="14" t="inlineStr">
        <is>
          <t>POVOADO UMBUZEIRO CARNUDO</t>
        </is>
      </c>
      <c r="F646" s="14" t="inlineStr">
        <is>
          <t>POVOADO UMBUZEIRO CARNUDO- ZONA RURAL</t>
        </is>
      </c>
      <c r="G646" s="27" t="inlineStr">
        <is>
          <t>46180-000</t>
        </is>
      </c>
      <c r="H646" s="15" t="n">
        <v>1</v>
      </c>
      <c r="I646" s="28" t="inlineStr">
        <is>
          <t>NÃO</t>
        </is>
      </c>
      <c r="J646" s="29" t="n"/>
      <c r="K646" s="14" t="str">
        <f>IF(J646="","7. Acima de 2 km",IF(J646&lt;=50,"1. Até 50 m",IF(J646&lt;=100,"2. De 50 a 100 m",IF(J646&lt;=200,"3. De 100 a 200 m",IF(J646&lt;=300,"4. De 200 a 300 m",IF(J646&lt;=500,"5. De 300 a 500 m","6. De 500 m a 2 km"))))))</f>
        <v>7. Acima de 2 km</v>
      </c>
      <c r="L646" s="26" t="n">
        <v>0</v>
      </c>
      <c r="M646" s="26" t="n">
        <v>0</v>
      </c>
      <c r="N646" s="26" t="n">
        <v>0</v>
      </c>
      <c r="O646" s="26" t="n">
        <v>0</v>
      </c>
      <c r="P646" s="30" t="n">
        <v>-13.3625289</v>
      </c>
      <c r="Q646" s="30" t="n">
        <v>-42.1402108</v>
      </c>
      <c r="R646" s="14" t="inlineStr">
        <is>
          <t>RUA IRMÃ DULCE, 31, CENTRO, PARAMIRIM/BAHIA</t>
        </is>
      </c>
      <c r="S646" s="26">
        <f>IF(A646=A645,0,1)</f>
        <v>0</v>
      </c>
      <c r="T646" s="26">
        <f>IF(COUNTIF($B$4:B646,B646)=1,1,0)</f>
        <v>0</v>
      </c>
    </row>
    <row r="647">
      <c r="A647" s="14" t="inlineStr">
        <is>
          <t>ÉRICO CARDOSO</t>
        </is>
      </c>
      <c r="B647" s="26" t="n">
        <v>111</v>
      </c>
      <c r="C647" s="26" t="n">
        <v>1120</v>
      </c>
      <c r="D647" s="14" t="inlineStr">
        <is>
          <t>PRÉDIO MUNICIPAL DE ABADIA</t>
        </is>
      </c>
      <c r="E647" s="14" t="inlineStr">
        <is>
          <t>POVOADO ABADIA</t>
        </is>
      </c>
      <c r="F647" s="14" t="inlineStr">
        <is>
          <t>POVOADO DE ABADIA - ZONA RURAL</t>
        </is>
      </c>
      <c r="G647" s="27" t="inlineStr">
        <is>
          <t>46180-000</t>
        </is>
      </c>
      <c r="H647" s="15" t="n">
        <v>2</v>
      </c>
      <c r="I647" s="28" t="inlineStr">
        <is>
          <t>NÃO</t>
        </is>
      </c>
      <c r="J647" s="29" t="n"/>
      <c r="K647" s="14" t="str">
        <f>IF(J647="","7. Acima de 2 km",IF(J647&lt;=50,"1. Até 50 m",IF(J647&lt;=100,"2. De 50 a 100 m",IF(J647&lt;=200,"3. De 100 a 200 m",IF(J647&lt;=300,"4. De 200 a 300 m",IF(J647&lt;=500,"5. De 300 a 500 m","6. De 500 m a 2 km"))))))</f>
        <v>7. Acima de 2 km</v>
      </c>
      <c r="L647" s="26" t="n">
        <v>0</v>
      </c>
      <c r="M647" s="26" t="n">
        <v>0</v>
      </c>
      <c r="N647" s="26" t="n">
        <v>0</v>
      </c>
      <c r="O647" s="26" t="n">
        <v>0</v>
      </c>
      <c r="P647" s="30" t="n">
        <v>-13.3527122</v>
      </c>
      <c r="Q647" s="30" t="n">
        <v>-42.1425382</v>
      </c>
      <c r="R647" s="14" t="inlineStr">
        <is>
          <t>RUA IRMÃ DULCE, 31, CENTRO, PARAMIRIM/BAHIA</t>
        </is>
      </c>
      <c r="S647" s="26">
        <f>IF(A647=A646,0,1)</f>
        <v>0</v>
      </c>
      <c r="T647" s="26">
        <f>IF(COUNTIF($B$4:B647,B647)=1,1,0)</f>
        <v>0</v>
      </c>
    </row>
    <row r="648">
      <c r="A648" s="14" t="inlineStr">
        <is>
          <t>ÉRICO CARDOSO</t>
        </is>
      </c>
      <c r="B648" s="26" t="n">
        <v>111</v>
      </c>
      <c r="C648" s="26" t="n">
        <v>1139</v>
      </c>
      <c r="D648" s="14" t="inlineStr">
        <is>
          <t>ESCOLA MUNICIPAL BENEDITO MARCIANO DA SILVA</t>
        </is>
      </c>
      <c r="E648" s="14" t="inlineStr">
        <is>
          <t>POVOADO SANTAREM</t>
        </is>
      </c>
      <c r="F648" s="14" t="inlineStr">
        <is>
          <t>POVOADO SANTARÉM - ZONA RURAL</t>
        </is>
      </c>
      <c r="G648" s="27" t="inlineStr">
        <is>
          <t>46180-000</t>
        </is>
      </c>
      <c r="H648" s="15" t="n">
        <v>2</v>
      </c>
      <c r="I648" s="28" t="inlineStr">
        <is>
          <t>NÃO</t>
        </is>
      </c>
      <c r="J648" s="29" t="n"/>
      <c r="K648" s="14" t="str">
        <f>IF(J648="","7. Acima de 2 km",IF(J648&lt;=50,"1. Até 50 m",IF(J648&lt;=100,"2. De 50 a 100 m",IF(J648&lt;=200,"3. De 100 a 200 m",IF(J648&lt;=300,"4. De 200 a 300 m",IF(J648&lt;=500,"5. De 300 a 500 m","6. De 500 m a 2 km"))))))</f>
        <v>7. Acima de 2 km</v>
      </c>
      <c r="L648" s="26" t="n">
        <v>0</v>
      </c>
      <c r="M648" s="26" t="n">
        <v>0</v>
      </c>
      <c r="N648" s="26" t="n">
        <v>0</v>
      </c>
      <c r="O648" s="26" t="n">
        <v>0</v>
      </c>
      <c r="P648" s="30" t="n">
        <v>-13.2747613</v>
      </c>
      <c r="Q648" s="30" t="n">
        <v>-42.182181</v>
      </c>
      <c r="R648" s="14" t="inlineStr">
        <is>
          <t>RUA IRMÃ DULCE, 31, CENTRO, PARAMIRIM/BAHIA</t>
        </is>
      </c>
      <c r="S648" s="26">
        <f>IF(A648=A647,0,1)</f>
        <v>0</v>
      </c>
      <c r="T648" s="26">
        <f>IF(COUNTIF($B$4:B648,B648)=1,1,0)</f>
        <v>0</v>
      </c>
    </row>
    <row r="649">
      <c r="A649" s="14" t="inlineStr">
        <is>
          <t>ÉRICO CARDOSO</t>
        </is>
      </c>
      <c r="B649" s="26" t="n">
        <v>111</v>
      </c>
      <c r="C649" s="26" t="n">
        <v>1147</v>
      </c>
      <c r="D649" s="14" t="inlineStr">
        <is>
          <t>ESCOLA MUNICIPAL LEONIDIO FRANCISCO DA SILVA</t>
        </is>
      </c>
      <c r="E649" s="14" t="inlineStr">
        <is>
          <t>POVOADO BARAÚNAS</t>
        </is>
      </c>
      <c r="F649" s="14" t="inlineStr">
        <is>
          <t>POVOADO BARAÚNAS - ZONA RURAL</t>
        </is>
      </c>
      <c r="G649" s="27" t="inlineStr">
        <is>
          <t>46180-000</t>
        </is>
      </c>
      <c r="H649" s="15" t="n">
        <v>1</v>
      </c>
      <c r="I649" s="28" t="inlineStr">
        <is>
          <t>NÃO</t>
        </is>
      </c>
      <c r="J649" s="29" t="n"/>
      <c r="K649" s="14" t="str">
        <f>IF(J649="","7. Acima de 2 km",IF(J649&lt;=50,"1. Até 50 m",IF(J649&lt;=100,"2. De 50 a 100 m",IF(J649&lt;=200,"3. De 100 a 200 m",IF(J649&lt;=300,"4. De 200 a 300 m",IF(J649&lt;=500,"5. De 300 a 500 m","6. De 500 m a 2 km"))))))</f>
        <v>7. Acima de 2 km</v>
      </c>
      <c r="L649" s="26" t="n">
        <v>0</v>
      </c>
      <c r="M649" s="26" t="n">
        <v>0</v>
      </c>
      <c r="N649" s="26" t="n">
        <v>0</v>
      </c>
      <c r="O649" s="26" t="n">
        <v>0</v>
      </c>
      <c r="P649" s="30" t="n">
        <v>-13.5963833</v>
      </c>
      <c r="Q649" s="30" t="n">
        <v>-42.0202956</v>
      </c>
      <c r="R649" s="14" t="inlineStr">
        <is>
          <t>RUA IRMÃ DULCE, 31, CENTRO, PARAMIRIM/BAHIA</t>
        </is>
      </c>
      <c r="S649" s="26">
        <f>IF(A649=A648,0,1)</f>
        <v>0</v>
      </c>
      <c r="T649" s="26">
        <f>IF(COUNTIF($B$4:B649,B649)=1,1,0)</f>
        <v>0</v>
      </c>
    </row>
    <row r="650">
      <c r="A650" s="14" t="inlineStr">
        <is>
          <t>ÉRICO CARDOSO</t>
        </is>
      </c>
      <c r="B650" s="26" t="n">
        <v>111</v>
      </c>
      <c r="C650" s="26" t="n">
        <v>1155</v>
      </c>
      <c r="D650" s="14" t="inlineStr">
        <is>
          <t>ESCOLA MUNICIPAL NOSSA SENHORA DO CARMO</t>
        </is>
      </c>
      <c r="E650" s="14" t="inlineStr">
        <is>
          <t>POVOADO MORRO DO FOGO</t>
        </is>
      </c>
      <c r="F650" s="14" t="inlineStr">
        <is>
          <t>POVOADO MORRO DO FOGO - ZONA RURAL</t>
        </is>
      </c>
      <c r="G650" s="27" t="inlineStr">
        <is>
          <t>46180-000</t>
        </is>
      </c>
      <c r="H650" s="15" t="n">
        <v>1</v>
      </c>
      <c r="I650" s="28" t="inlineStr">
        <is>
          <t>NÃO</t>
        </is>
      </c>
      <c r="J650" s="29" t="n"/>
      <c r="K650" s="14" t="str">
        <f>IF(J650="","7. Acima de 2 km",IF(J650&lt;=50,"1. Até 50 m",IF(J650&lt;=100,"2. De 50 a 100 m",IF(J650&lt;=200,"3. De 100 a 200 m",IF(J650&lt;=300,"4. De 200 a 300 m",IF(J650&lt;=500,"5. De 300 a 500 m","6. De 500 m a 2 km"))))))</f>
        <v>7. Acima de 2 km</v>
      </c>
      <c r="L650" s="26" t="n">
        <v>0</v>
      </c>
      <c r="M650" s="26" t="n">
        <v>0</v>
      </c>
      <c r="N650" s="26" t="n">
        <v>0</v>
      </c>
      <c r="O650" s="26" t="n">
        <v>0</v>
      </c>
      <c r="P650" s="30" t="n">
        <v>-13.3634781</v>
      </c>
      <c r="Q650" s="30" t="n">
        <v>-42.0953368</v>
      </c>
      <c r="R650" s="14" t="inlineStr">
        <is>
          <t>RUA IRMÃ DULCE, 31, CENTRO, PARAMIRIM/BAHIA</t>
        </is>
      </c>
      <c r="S650" s="26">
        <f>IF(A650=A649,0,1)</f>
        <v>0</v>
      </c>
      <c r="T650" s="26">
        <f>IF(COUNTIF($B$4:B650,B650)=1,1,0)</f>
        <v>0</v>
      </c>
    </row>
    <row r="651">
      <c r="A651" s="14" t="inlineStr">
        <is>
          <t>ÉRICO CARDOSO</t>
        </is>
      </c>
      <c r="B651" s="26" t="n">
        <v>111</v>
      </c>
      <c r="C651" s="26" t="n">
        <v>1163</v>
      </c>
      <c r="D651" s="14" t="inlineStr">
        <is>
          <t>ESCOLA MUNICIPAL DE VEREDA</t>
        </is>
      </c>
      <c r="E651" s="14" t="inlineStr">
        <is>
          <t>POVOADO VEREDA</t>
        </is>
      </c>
      <c r="F651" s="14" t="inlineStr">
        <is>
          <t>POVOADO VEREDA - ZONA RURAL</t>
        </is>
      </c>
      <c r="G651" s="27" t="inlineStr">
        <is>
          <t>46180-000</t>
        </is>
      </c>
      <c r="H651" s="15" t="n">
        <v>1</v>
      </c>
      <c r="I651" s="28" t="inlineStr">
        <is>
          <t>NÃO</t>
        </is>
      </c>
      <c r="J651" s="29" t="n"/>
      <c r="K651" s="14" t="str">
        <f>IF(J651="","7. Acima de 2 km",IF(J651&lt;=50,"1. Até 50 m",IF(J651&lt;=100,"2. De 50 a 100 m",IF(J651&lt;=200,"3. De 100 a 200 m",IF(J651&lt;=300,"4. De 200 a 300 m",IF(J651&lt;=500,"5. De 300 a 500 m","6. De 500 m a 2 km"))))))</f>
        <v>7. Acima de 2 km</v>
      </c>
      <c r="L651" s="26" t="n">
        <v>0</v>
      </c>
      <c r="M651" s="26" t="n">
        <v>0</v>
      </c>
      <c r="N651" s="26" t="n">
        <v>0</v>
      </c>
      <c r="O651" s="26" t="n">
        <v>0</v>
      </c>
      <c r="P651" s="30" t="n">
        <v>-13.2642302</v>
      </c>
      <c r="Q651" s="30" t="n">
        <v>-42.1180721</v>
      </c>
      <c r="R651" s="14" t="inlineStr">
        <is>
          <t>RUA IRMÃ DULCE, 31, CENTRO, PARAMIRIM/BAHIA</t>
        </is>
      </c>
      <c r="S651" s="26">
        <f>IF(A651=A650,0,1)</f>
        <v>0</v>
      </c>
      <c r="T651" s="26">
        <f>IF(COUNTIF($B$4:B651,B651)=1,1,0)</f>
        <v>0</v>
      </c>
    </row>
    <row r="652">
      <c r="A652" s="14" t="inlineStr">
        <is>
          <t>ÉRICO CARDOSO</t>
        </is>
      </c>
      <c r="B652" s="26" t="n">
        <v>111</v>
      </c>
      <c r="C652" s="26" t="n">
        <v>1171</v>
      </c>
      <c r="D652" s="14" t="inlineStr">
        <is>
          <t>ESCOLA MUNICIPAL DE SANTA ROSA DE BAIXO</t>
        </is>
      </c>
      <c r="E652" s="14" t="inlineStr">
        <is>
          <t>POVOADO SANTA ROSA</t>
        </is>
      </c>
      <c r="F652" s="14" t="inlineStr">
        <is>
          <t>POVOADO SANTA ROSA DE BAIXO - ZONA RURAL</t>
        </is>
      </c>
      <c r="G652" s="27" t="inlineStr">
        <is>
          <t>46180-000</t>
        </is>
      </c>
      <c r="H652" s="15" t="n">
        <v>1</v>
      </c>
      <c r="I652" s="28" t="inlineStr">
        <is>
          <t>NÃO</t>
        </is>
      </c>
      <c r="J652" s="29" t="n"/>
      <c r="K652" s="14" t="str">
        <f>IF(J652="","7. Acima de 2 km",IF(J652&lt;=50,"1. Até 50 m",IF(J652&lt;=100,"2. De 50 a 100 m",IF(J652&lt;=200,"3. De 100 a 200 m",IF(J652&lt;=300,"4. De 200 a 300 m",IF(J652&lt;=500,"5. De 300 a 500 m","6. De 500 m a 2 km"))))))</f>
        <v>7. Acima de 2 km</v>
      </c>
      <c r="L652" s="26" t="n">
        <v>0</v>
      </c>
      <c r="M652" s="26" t="n">
        <v>0</v>
      </c>
      <c r="N652" s="26" t="n">
        <v>0</v>
      </c>
      <c r="O652" s="26" t="n">
        <v>0</v>
      </c>
      <c r="P652" s="30" t="n">
        <v>-13.5727983</v>
      </c>
      <c r="Q652" s="30" t="n">
        <v>-42.0250549</v>
      </c>
      <c r="R652" s="14" t="inlineStr">
        <is>
          <t>RUA IRMÃ DULCE, 31, CENTRO, PARAMIRIM/BAHIA</t>
        </is>
      </c>
      <c r="S652" s="26">
        <f>IF(A652=A651,0,1)</f>
        <v>0</v>
      </c>
      <c r="T652" s="26">
        <f>IF(COUNTIF($B$4:B652,B652)=1,1,0)</f>
        <v>0</v>
      </c>
    </row>
    <row r="653">
      <c r="A653" s="14" t="inlineStr">
        <is>
          <t>ÉRICO CARDOSO</t>
        </is>
      </c>
      <c r="B653" s="26" t="n">
        <v>111</v>
      </c>
      <c r="C653" s="26" t="n">
        <v>1180</v>
      </c>
      <c r="D653" s="14" t="inlineStr">
        <is>
          <t>ESCOLA MUNICIPAL LEOBINO RIBEIRO DE AZEVEDO</t>
        </is>
      </c>
      <c r="E653" s="14" t="inlineStr">
        <is>
          <t>POVOADO ANGICO</t>
        </is>
      </c>
      <c r="F653" s="14" t="inlineStr">
        <is>
          <t>POVOADO ANGICO - ZONA RURAL</t>
        </is>
      </c>
      <c r="G653" s="27" t="inlineStr">
        <is>
          <t>46180-000</t>
        </is>
      </c>
      <c r="H653" s="15" t="n">
        <v>1</v>
      </c>
      <c r="I653" s="28" t="inlineStr">
        <is>
          <t>NÃO</t>
        </is>
      </c>
      <c r="J653" s="29" t="n"/>
      <c r="K653" s="14" t="str">
        <f>IF(J653="","7. Acima de 2 km",IF(J653&lt;=50,"1. Até 50 m",IF(J653&lt;=100,"2. De 50 a 100 m",IF(J653&lt;=200,"3. De 100 a 200 m",IF(J653&lt;=300,"4. De 200 a 300 m",IF(J653&lt;=500,"5. De 300 a 500 m","6. De 500 m a 2 km"))))))</f>
        <v>7. Acima de 2 km</v>
      </c>
      <c r="L653" s="26" t="n">
        <v>0</v>
      </c>
      <c r="M653" s="26" t="n">
        <v>0</v>
      </c>
      <c r="N653" s="26" t="n">
        <v>0</v>
      </c>
      <c r="O653" s="26" t="n">
        <v>0</v>
      </c>
      <c r="P653" s="30" t="n">
        <v>-13.445649</v>
      </c>
      <c r="Q653" s="30" t="n">
        <v>-42.1040388</v>
      </c>
      <c r="R653" s="14" t="inlineStr">
        <is>
          <t>RUA IRMÃ DULCE, 31, CENTRO, PARAMIRIM/BAHIA</t>
        </is>
      </c>
      <c r="S653" s="26">
        <f>IF(A653=A652,0,1)</f>
        <v>0</v>
      </c>
      <c r="T653" s="26">
        <f>IF(COUNTIF($B$4:B653,B653)=1,1,0)</f>
        <v>0</v>
      </c>
    </row>
    <row r="654">
      <c r="A654" s="14" t="inlineStr">
        <is>
          <t>ÉRICO CARDOSO</t>
        </is>
      </c>
      <c r="B654" s="26" t="n">
        <v>111</v>
      </c>
      <c r="C654" s="26" t="n">
        <v>1198</v>
      </c>
      <c r="D654" s="14" t="inlineStr">
        <is>
          <t>PRÉDIO ESCOLAR AVELINO BARBOSA DOS SANTOS</t>
        </is>
      </c>
      <c r="E654" s="14" t="inlineStr">
        <is>
          <t>POVOADO BOMFIM</t>
        </is>
      </c>
      <c r="F654" s="14" t="inlineStr">
        <is>
          <t>POVOADO BOMFIM - ZONA RURAL</t>
        </is>
      </c>
      <c r="G654" s="27" t="inlineStr">
        <is>
          <t>46180-000</t>
        </is>
      </c>
      <c r="H654" s="15" t="n">
        <v>1</v>
      </c>
      <c r="I654" s="28" t="inlineStr">
        <is>
          <t>NÃO</t>
        </is>
      </c>
      <c r="J654" s="29" t="n"/>
      <c r="K654" s="14" t="str">
        <f>IF(J654="","7. Acima de 2 km",IF(J654&lt;=50,"1. Até 50 m",IF(J654&lt;=100,"2. De 50 a 100 m",IF(J654&lt;=200,"3. De 100 a 200 m",IF(J654&lt;=300,"4. De 200 a 300 m",IF(J654&lt;=500,"5. De 300 a 500 m","6. De 500 m a 2 km"))))))</f>
        <v>7. Acima de 2 km</v>
      </c>
      <c r="L654" s="26" t="n">
        <v>0</v>
      </c>
      <c r="M654" s="26" t="n">
        <v>0</v>
      </c>
      <c r="N654" s="26" t="n">
        <v>0</v>
      </c>
      <c r="O654" s="26" t="n">
        <v>0</v>
      </c>
      <c r="P654" s="30" t="n">
        <v>-13.2945042</v>
      </c>
      <c r="Q654" s="30" t="n">
        <v>-42.032749</v>
      </c>
      <c r="R654" s="14" t="inlineStr">
        <is>
          <t>RUA IRMÃ DULCE, 31, CENTRO, PARAMIRIM/BAHIA</t>
        </is>
      </c>
      <c r="S654" s="26">
        <f>IF(A654=A653,0,1)</f>
        <v>0</v>
      </c>
      <c r="T654" s="26">
        <f>IF(COUNTIF($B$4:B654,B654)=1,1,0)</f>
        <v>0</v>
      </c>
    </row>
    <row r="655">
      <c r="A655" s="14" t="inlineStr">
        <is>
          <t>ÉRICO CARDOSO</t>
        </is>
      </c>
      <c r="B655" s="26" t="n">
        <v>111</v>
      </c>
      <c r="C655" s="26" t="n">
        <v>1201</v>
      </c>
      <c r="D655" s="14" t="inlineStr">
        <is>
          <t>ESCOLA MUNICIPAL DE MALHADINHA</t>
        </is>
      </c>
      <c r="E655" s="14" t="inlineStr">
        <is>
          <t>POVOADO MALHADINHA</t>
        </is>
      </c>
      <c r="F655" s="14" t="inlineStr">
        <is>
          <t>POVOADO MALHADINHA - ZONA RURAL</t>
        </is>
      </c>
      <c r="G655" s="27" t="inlineStr">
        <is>
          <t>46180-000</t>
        </is>
      </c>
      <c r="H655" s="15" t="n">
        <v>2</v>
      </c>
      <c r="I655" s="28" t="inlineStr">
        <is>
          <t>NÃO</t>
        </is>
      </c>
      <c r="J655" s="29" t="n"/>
      <c r="K655" s="14" t="str">
        <f>IF(J655="","7. Acima de 2 km",IF(J655&lt;=50,"1. Até 50 m",IF(J655&lt;=100,"2. De 50 a 100 m",IF(J655&lt;=200,"3. De 100 a 200 m",IF(J655&lt;=300,"4. De 200 a 300 m",IF(J655&lt;=500,"5. De 300 a 500 m","6. De 500 m a 2 km"))))))</f>
        <v>7. Acima de 2 km</v>
      </c>
      <c r="L655" s="26" t="n">
        <v>0</v>
      </c>
      <c r="M655" s="26" t="n">
        <v>0</v>
      </c>
      <c r="N655" s="26" t="n">
        <v>0</v>
      </c>
      <c r="O655" s="26" t="n">
        <v>0</v>
      </c>
      <c r="P655" s="30" t="n">
        <v>-13.4139399</v>
      </c>
      <c r="Q655" s="30" t="n">
        <v>-42.1247819</v>
      </c>
      <c r="R655" s="14" t="inlineStr">
        <is>
          <t>RUA IRMÃ DULCE, 31, CENTRO, PARAMIRIM/BAHIA</t>
        </is>
      </c>
      <c r="S655" s="26">
        <f>IF(A655=A654,0,1)</f>
        <v>0</v>
      </c>
      <c r="T655" s="26">
        <f>IF(COUNTIF($B$4:B655,B655)=1,1,0)</f>
        <v>0</v>
      </c>
    </row>
    <row r="656">
      <c r="A656" s="14" t="inlineStr">
        <is>
          <t>ÉRICO CARDOSO</t>
        </is>
      </c>
      <c r="B656" s="26" t="n">
        <v>111</v>
      </c>
      <c r="C656" s="26" t="n">
        <v>1228</v>
      </c>
      <c r="D656" s="14" t="inlineStr">
        <is>
          <t>ESCOLA MUNICIPAL DE SÍTIO</t>
        </is>
      </c>
      <c r="E656" s="14" t="inlineStr">
        <is>
          <t>POVOADO SÍTIO</t>
        </is>
      </c>
      <c r="F656" s="14" t="inlineStr">
        <is>
          <t>POVOADO SÍTIO - ZONA RURAL</t>
        </is>
      </c>
      <c r="G656" s="27" t="inlineStr">
        <is>
          <t>46180-000</t>
        </is>
      </c>
      <c r="H656" s="15" t="n">
        <v>1</v>
      </c>
      <c r="I656" s="28" t="inlineStr">
        <is>
          <t>NÃO</t>
        </is>
      </c>
      <c r="J656" s="29" t="n"/>
      <c r="K656" s="14" t="str">
        <f>IF(J656="","7. Acima de 2 km",IF(J656&lt;=50,"1. Até 50 m",IF(J656&lt;=100,"2. De 50 a 100 m",IF(J656&lt;=200,"3. De 100 a 200 m",IF(J656&lt;=300,"4. De 200 a 300 m",IF(J656&lt;=500,"5. De 300 a 500 m","6. De 500 m a 2 km"))))))</f>
        <v>7. Acima de 2 km</v>
      </c>
      <c r="L656" s="26" t="n">
        <v>0</v>
      </c>
      <c r="M656" s="26" t="n">
        <v>0</v>
      </c>
      <c r="N656" s="26" t="n">
        <v>0</v>
      </c>
      <c r="O656" s="26" t="n">
        <v>0</v>
      </c>
      <c r="P656" s="30" t="n">
        <v>-13.3286711</v>
      </c>
      <c r="Q656" s="30" t="n">
        <v>-42.0022432</v>
      </c>
      <c r="R656" s="14" t="inlineStr">
        <is>
          <t>RUA IRMÃ DULCE, 31, CENTRO, PARAMIRIM/BAHIA</t>
        </is>
      </c>
      <c r="S656" s="26">
        <f>IF(A656=A655,0,1)</f>
        <v>0</v>
      </c>
      <c r="T656" s="26">
        <f>IF(COUNTIF($B$4:B656,B656)=1,1,0)</f>
        <v>0</v>
      </c>
    </row>
    <row r="657">
      <c r="A657" s="14" t="inlineStr">
        <is>
          <t>ÉRICO CARDOSO</t>
        </is>
      </c>
      <c r="B657" s="26" t="n">
        <v>111</v>
      </c>
      <c r="C657" s="26" t="n">
        <v>1236</v>
      </c>
      <c r="D657" s="14" t="inlineStr">
        <is>
          <t>ESCOLA MUNICIPAL DE CACHOEIRINHA</t>
        </is>
      </c>
      <c r="E657" s="14" t="inlineStr">
        <is>
          <t>POVOADO CACHOEIRINHA</t>
        </is>
      </c>
      <c r="F657" s="14" t="inlineStr">
        <is>
          <t>POVOADO CACHOEIRINHA - ZONA RURAL</t>
        </is>
      </c>
      <c r="G657" s="27" t="inlineStr">
        <is>
          <t>46180-000</t>
        </is>
      </c>
      <c r="H657" s="15" t="n">
        <v>1</v>
      </c>
      <c r="I657" s="28" t="inlineStr">
        <is>
          <t>NÃO</t>
        </is>
      </c>
      <c r="J657" s="29" t="n"/>
      <c r="K657" s="14" t="str">
        <f>IF(J657="","7. Acima de 2 km",IF(J657&lt;=50,"1. Até 50 m",IF(J657&lt;=100,"2. De 50 a 100 m",IF(J657&lt;=200,"3. De 100 a 200 m",IF(J657&lt;=300,"4. De 200 a 300 m",IF(J657&lt;=500,"5. De 300 a 500 m","6. De 500 m a 2 km"))))))</f>
        <v>7. Acima de 2 km</v>
      </c>
      <c r="L657" s="26" t="n">
        <v>0</v>
      </c>
      <c r="M657" s="26" t="n">
        <v>0</v>
      </c>
      <c r="N657" s="26" t="n">
        <v>0</v>
      </c>
      <c r="O657" s="26" t="n">
        <v>0</v>
      </c>
      <c r="P657" s="30" t="n">
        <v>-13.4331471</v>
      </c>
      <c r="Q657" s="30" t="n">
        <v>-42.1622733</v>
      </c>
      <c r="R657" s="14" t="inlineStr">
        <is>
          <t>RUA IRMÃ DULCE, 31, CENTRO, PARAMIRIM/BAHIA</t>
        </is>
      </c>
      <c r="S657" s="26">
        <f>IF(A657=A656,0,1)</f>
        <v>0</v>
      </c>
      <c r="T657" s="26">
        <f>IF(COUNTIF($B$4:B657,B657)=1,1,0)</f>
        <v>0</v>
      </c>
    </row>
    <row r="658">
      <c r="A658" s="14" t="inlineStr">
        <is>
          <t>ÉRICO CARDOSO</t>
        </is>
      </c>
      <c r="B658" s="26" t="n">
        <v>111</v>
      </c>
      <c r="C658" s="26" t="n">
        <v>1244</v>
      </c>
      <c r="D658" s="14" t="inlineStr">
        <is>
          <t>ESCOLA MUNICIPAL ELPIDIO FRANCISCO DE SOUZA</t>
        </is>
      </c>
      <c r="E658" s="14" t="inlineStr">
        <is>
          <t>POVOADO MUCHILANA</t>
        </is>
      </c>
      <c r="F658" s="14" t="inlineStr">
        <is>
          <t>POVOADO MUCHILANIA - ZONA RURAL</t>
        </is>
      </c>
      <c r="G658" s="27" t="inlineStr">
        <is>
          <t>46180-000</t>
        </is>
      </c>
      <c r="H658" s="15" t="n">
        <v>1</v>
      </c>
      <c r="I658" s="28" t="inlineStr">
        <is>
          <t>NÃO</t>
        </is>
      </c>
      <c r="J658" s="29" t="n"/>
      <c r="K658" s="14" t="str">
        <f>IF(J658="","7. Acima de 2 km",IF(J658&lt;=50,"1. Até 50 m",IF(J658&lt;=100,"2. De 50 a 100 m",IF(J658&lt;=200,"3. De 100 a 200 m",IF(J658&lt;=300,"4. De 200 a 300 m",IF(J658&lt;=500,"5. De 300 a 500 m","6. De 500 m a 2 km"))))))</f>
        <v>7. Acima de 2 km</v>
      </c>
      <c r="L658" s="26" t="n">
        <v>0</v>
      </c>
      <c r="M658" s="26" t="n">
        <v>0</v>
      </c>
      <c r="N658" s="26" t="n">
        <v>0</v>
      </c>
      <c r="O658" s="26" t="n">
        <v>0</v>
      </c>
      <c r="P658" s="30" t="n">
        <v>-13.380812</v>
      </c>
      <c r="Q658" s="30" t="n">
        <v>-42.1338632</v>
      </c>
      <c r="R658" s="14" t="inlineStr">
        <is>
          <t>RUA IRMÃ DULCE, 31, CENTRO, PARAMIRIM/BAHIA</t>
        </is>
      </c>
      <c r="S658" s="26">
        <f>IF(A658=A657,0,1)</f>
        <v>0</v>
      </c>
      <c r="T658" s="26">
        <f>IF(COUNTIF($B$4:B658,B658)=1,1,0)</f>
        <v>0</v>
      </c>
    </row>
    <row r="659">
      <c r="A659" s="14" t="inlineStr">
        <is>
          <t>ÉRICO CARDOSO</t>
        </is>
      </c>
      <c r="B659" s="26" t="n">
        <v>111</v>
      </c>
      <c r="C659" s="26" t="n">
        <v>1252</v>
      </c>
      <c r="D659" s="14" t="inlineStr">
        <is>
          <t>ESCOLA MUNICIPAL DE CACHOEIRA GRANDE</t>
        </is>
      </c>
      <c r="E659" s="14" t="inlineStr">
        <is>
          <t>POVOADO CACHOEIRA GRANDE</t>
        </is>
      </c>
      <c r="F659" s="14" t="inlineStr">
        <is>
          <t>POVOADO CACHOEIRA GRANDE - ZONA RURAL</t>
        </is>
      </c>
      <c r="G659" s="27" t="inlineStr">
        <is>
          <t>46180-000</t>
        </is>
      </c>
      <c r="H659" s="15" t="n">
        <v>1</v>
      </c>
      <c r="I659" s="28" t="inlineStr">
        <is>
          <t>NÃO</t>
        </is>
      </c>
      <c r="J659" s="29" t="n"/>
      <c r="K659" s="14" t="str">
        <f>IF(J659="","7. Acima de 2 km",IF(J659&lt;=50,"1. Até 50 m",IF(J659&lt;=100,"2. De 50 a 100 m",IF(J659&lt;=200,"3. De 100 a 200 m",IF(J659&lt;=300,"4. De 200 a 300 m",IF(J659&lt;=500,"5. De 300 a 500 m","6. De 500 m a 2 km"))))))</f>
        <v>7. Acima de 2 km</v>
      </c>
      <c r="L659" s="26" t="n">
        <v>0</v>
      </c>
      <c r="M659" s="26" t="n">
        <v>0</v>
      </c>
      <c r="N659" s="26" t="n">
        <v>0</v>
      </c>
      <c r="O659" s="26" t="n">
        <v>0</v>
      </c>
      <c r="P659" s="30" t="n">
        <v>-13.4202596</v>
      </c>
      <c r="Q659" s="30" t="n">
        <v>-42.1683983</v>
      </c>
      <c r="R659" s="14" t="inlineStr">
        <is>
          <t>RUA IRMÃ DULCE, 31, CENTRO, PARAMIRIM/BAHIA</t>
        </is>
      </c>
      <c r="S659" s="26">
        <f>IF(A659=A658,0,1)</f>
        <v>0</v>
      </c>
      <c r="T659" s="26">
        <f>IF(COUNTIF($B$4:B659,B659)=1,1,0)</f>
        <v>0</v>
      </c>
    </row>
    <row r="660">
      <c r="A660" s="14" t="inlineStr">
        <is>
          <t>ESPLANADA</t>
        </is>
      </c>
      <c r="B660" s="26" t="n">
        <v>21</v>
      </c>
      <c r="C660" s="26" t="n">
        <v>1023</v>
      </c>
      <c r="D660" s="14" t="inlineStr">
        <is>
          <t>COLEGIO MUNICIPAL DR. ANTONIO CARLOS MAGALHAES</t>
        </is>
      </c>
      <c r="E660" s="14" t="inlineStr">
        <is>
          <t>CENTRO</t>
        </is>
      </c>
      <c r="F660" s="14" t="inlineStr">
        <is>
          <t>PRACA NOSSA SRA DA POMPEIA, 172 - ZONA URBANA</t>
        </is>
      </c>
      <c r="G660" s="27" t="inlineStr">
        <is>
          <t>48370-000</t>
        </is>
      </c>
      <c r="H660" s="15" t="n">
        <v>8</v>
      </c>
      <c r="I660" s="28" t="inlineStr">
        <is>
          <t>SIM</t>
        </is>
      </c>
      <c r="J660" s="29" t="n">
        <v>99.2</v>
      </c>
      <c r="K660" s="14" t="str">
        <f>IF(J660="","7. Acima de 2 km",IF(J660&lt;=50,"1. Até 50 m",IF(J660&lt;=100,"2. De 50 a 100 m",IF(J660&lt;=200,"3. De 100 a 200 m",IF(J660&lt;=300,"4. De 200 a 300 m",IF(J660&lt;=500,"5. De 300 a 500 m","6. De 500 m a 2 km"))))))</f>
        <v>2. De 50 a 100 m</v>
      </c>
      <c r="L660" s="26" t="n">
        <v>0</v>
      </c>
      <c r="M660" s="26" t="n">
        <v>1</v>
      </c>
      <c r="N660" s="26" t="n">
        <v>1</v>
      </c>
      <c r="O660" s="26" t="n">
        <v>1</v>
      </c>
      <c r="P660" s="30" t="n">
        <v>-11.7932272</v>
      </c>
      <c r="Q660" s="30" t="n">
        <v>-37.9484642</v>
      </c>
      <c r="R660" s="14" t="inlineStr">
        <is>
          <t>CARTÓRIO DA 21ª ZONA ELEITORAL, FÓRUM DE JUSTIÇA DE ESPLANADA/BA, PRAÇA MONSENHOR ZACARIAS LUZ, N° 48, CENTRO, ESPLANADA-BA.</t>
        </is>
      </c>
      <c r="S660" s="26">
        <f>IF(A660=A659,0,1)</f>
        <v>1</v>
      </c>
      <c r="T660" s="26">
        <f>IF(COUNTIF($B$4:B660,B660)=1,1,0)</f>
        <v>1</v>
      </c>
    </row>
    <row r="661">
      <c r="A661" s="14" t="inlineStr">
        <is>
          <t>ESPLANADA</t>
        </is>
      </c>
      <c r="B661" s="26" t="n">
        <v>21</v>
      </c>
      <c r="C661" s="26" t="n">
        <v>1031</v>
      </c>
      <c r="D661" s="14" t="inlineStr">
        <is>
          <t>ESCOLA MUNICIPAL DR. ORLANDO BATISTA LINS</t>
        </is>
      </c>
      <c r="E661" s="14" t="inlineStr">
        <is>
          <t>POVOADO PALMEIRA</t>
        </is>
      </c>
      <c r="F661" s="14" t="inlineStr">
        <is>
          <t>POVOADO PALMEIRA - ZONA RURAL</t>
        </is>
      </c>
      <c r="G661" s="27" t="inlineStr">
        <is>
          <t>48370-000</t>
        </is>
      </c>
      <c r="H661" s="15" t="n">
        <v>1</v>
      </c>
      <c r="I661" s="28" t="inlineStr">
        <is>
          <t>NÃO</t>
        </is>
      </c>
      <c r="J661" s="29" t="n"/>
      <c r="K661" s="14" t="str">
        <f>IF(J661="","7. Acima de 2 km",IF(J661&lt;=50,"1. Até 50 m",IF(J661&lt;=100,"2. De 50 a 100 m",IF(J661&lt;=200,"3. De 100 a 200 m",IF(J661&lt;=300,"4. De 200 a 300 m",IF(J661&lt;=500,"5. De 300 a 500 m","6. De 500 m a 2 km"))))))</f>
        <v>7. Acima de 2 km</v>
      </c>
      <c r="L661" s="26" t="n">
        <v>0</v>
      </c>
      <c r="M661" s="26" t="n">
        <v>0</v>
      </c>
      <c r="N661" s="26" t="n">
        <v>0</v>
      </c>
      <c r="O661" s="26" t="n">
        <v>0</v>
      </c>
      <c r="P661" s="30" t="n">
        <v>-11.7413731</v>
      </c>
      <c r="Q661" s="30" t="n">
        <v>-37.9814055</v>
      </c>
      <c r="R661" s="14" t="inlineStr">
        <is>
          <t>CARTÓRIO DA 21ª ZONA ELEITORAL, FÓRUM DE JUSTIÇA DE ESPLANADA/BA, PRAÇA MONSENHOR ZACARIAS LUZ, N° 48, CENTRO, ESPLANADA-BA.</t>
        </is>
      </c>
      <c r="S661" s="26">
        <f>IF(A661=A660,0,1)</f>
        <v>0</v>
      </c>
      <c r="T661" s="26">
        <f>IF(COUNTIF($B$4:B661,B661)=1,1,0)</f>
        <v>0</v>
      </c>
    </row>
    <row r="662">
      <c r="A662" s="14" t="inlineStr">
        <is>
          <t>ESPLANADA</t>
        </is>
      </c>
      <c r="B662" s="26" t="n">
        <v>21</v>
      </c>
      <c r="C662" s="26" t="n">
        <v>1066</v>
      </c>
      <c r="D662" s="14" t="inlineStr">
        <is>
          <t>COLÉGIO ESTADUAL DE TEMPO INTEGRAL PROFª JOANICE BACELAR BATISTA</t>
        </is>
      </c>
      <c r="E662" s="14" t="inlineStr">
        <is>
          <t>CENTRO</t>
        </is>
      </c>
      <c r="F662" s="14" t="inlineStr">
        <is>
          <t>AVENIDA MÁRIO ANDREAZZA, S/N - ZONA URBANA</t>
        </is>
      </c>
      <c r="G662" s="27" t="inlineStr">
        <is>
          <t>48370-000</t>
        </is>
      </c>
      <c r="H662" s="15" t="n">
        <v>18</v>
      </c>
      <c r="I662" s="28" t="inlineStr">
        <is>
          <t>NÃO</t>
        </is>
      </c>
      <c r="J662" s="29" t="n">
        <v>167.8</v>
      </c>
      <c r="K662" s="14" t="str">
        <f>IF(J662="","7. Acima de 2 km",IF(J662&lt;=50,"1. Até 50 m",IF(J662&lt;=100,"2. De 50 a 100 m",IF(J662&lt;=200,"3. De 100 a 200 m",IF(J662&lt;=300,"4. De 200 a 300 m",IF(J662&lt;=500,"5. De 300 a 500 m","6. De 500 m a 2 km"))))))</f>
        <v>3. De 100 a 200 m</v>
      </c>
      <c r="L662" s="26" t="n">
        <v>0</v>
      </c>
      <c r="M662" s="26" t="n">
        <v>0</v>
      </c>
      <c r="N662" s="26" t="n">
        <v>1</v>
      </c>
      <c r="O662" s="26" t="n">
        <v>1</v>
      </c>
      <c r="P662" s="30" t="n">
        <v>-11.7955376</v>
      </c>
      <c r="Q662" s="30" t="n">
        <v>-37.945363</v>
      </c>
      <c r="R662" s="14" t="inlineStr">
        <is>
          <t>CARTÓRIO DA 21ª ZONA ELEITORAL, FÓRUM DE JUSTIÇA DE ESPLANADA/BA, PRAÇA MONSENHOR ZACARIAS LUZ, N° 48, CENTRO, ESPLANADA-BA.</t>
        </is>
      </c>
      <c r="S662" s="26">
        <f>IF(A662=A661,0,1)</f>
        <v>0</v>
      </c>
      <c r="T662" s="26">
        <f>IF(COUNTIF($B$4:B662,B662)=1,1,0)</f>
        <v>0</v>
      </c>
    </row>
    <row r="663">
      <c r="A663" s="14" t="inlineStr">
        <is>
          <t>ESPLANADA</t>
        </is>
      </c>
      <c r="B663" s="26" t="n">
        <v>21</v>
      </c>
      <c r="C663" s="26" t="n">
        <v>1074</v>
      </c>
      <c r="D663" s="14" t="inlineStr">
        <is>
          <t>COLÉGIO ESTADUAL DO TIMBÓ</t>
        </is>
      </c>
      <c r="E663" s="14" t="inlineStr">
        <is>
          <t>TIMBO</t>
        </is>
      </c>
      <c r="F663" s="14" t="inlineStr">
        <is>
          <t>PRACA SANTO ANTONIO - ZONA URBANA</t>
        </is>
      </c>
      <c r="G663" s="27" t="inlineStr">
        <is>
          <t>48370-000</t>
        </is>
      </c>
      <c r="H663" s="15" t="n">
        <v>4</v>
      </c>
      <c r="I663" s="28" t="inlineStr">
        <is>
          <t>NÃO</t>
        </is>
      </c>
      <c r="J663" s="29" t="n">
        <v>868</v>
      </c>
      <c r="K663" s="14" t="str">
        <f>IF(J663="","7. Acima de 2 km",IF(J663&lt;=50,"1. Até 50 m",IF(J663&lt;=100,"2. De 50 a 100 m",IF(J663&lt;=200,"3. De 100 a 200 m",IF(J663&lt;=300,"4. De 200 a 300 m",IF(J663&lt;=500,"5. De 300 a 500 m","6. De 500 m a 2 km"))))))</f>
        <v>6. De 500 m a 2 km</v>
      </c>
      <c r="L663" s="26" t="n">
        <v>0</v>
      </c>
      <c r="M663" s="26" t="n">
        <v>0</v>
      </c>
      <c r="N663" s="26" t="n">
        <v>0</v>
      </c>
      <c r="O663" s="26" t="n">
        <v>0</v>
      </c>
      <c r="P663" s="30" t="n">
        <v>-11.784205</v>
      </c>
      <c r="Q663" s="30" t="n">
        <v>-37.9577438</v>
      </c>
      <c r="R663" s="14" t="inlineStr">
        <is>
          <t>CARTÓRIO DA 21ª ZONA ELEITORAL, FÓRUM DE JUSTIÇA DE ESPLANADA/BA, PRAÇA MONSENHOR ZACARIAS LUZ, N° 48, CENTRO, ESPLANADA-BA.</t>
        </is>
      </c>
      <c r="S663" s="26">
        <f>IF(A663=A662,0,1)</f>
        <v>0</v>
      </c>
      <c r="T663" s="26">
        <f>IF(COUNTIF($B$4:B663,B663)=1,1,0)</f>
        <v>0</v>
      </c>
    </row>
    <row r="664">
      <c r="A664" s="14" t="inlineStr">
        <is>
          <t>ESPLANADA</t>
        </is>
      </c>
      <c r="B664" s="26" t="n">
        <v>21</v>
      </c>
      <c r="C664" s="26" t="n">
        <v>1082</v>
      </c>
      <c r="D664" s="14" t="inlineStr">
        <is>
          <t>ESCOLA MUNICIPAL AUREA LINS LEMOS</t>
        </is>
      </c>
      <c r="E664" s="14" t="inlineStr">
        <is>
          <t>TIMBO</t>
        </is>
      </c>
      <c r="F664" s="14" t="inlineStr">
        <is>
          <t>PRACA SANTO ANTONIO - ZONA URBANA</t>
        </is>
      </c>
      <c r="G664" s="27" t="inlineStr">
        <is>
          <t>48370-000</t>
        </is>
      </c>
      <c r="H664" s="15" t="n">
        <v>4</v>
      </c>
      <c r="I664" s="28" t="inlineStr">
        <is>
          <t>NÃO</t>
        </is>
      </c>
      <c r="J664" s="29" t="n">
        <v>838.1</v>
      </c>
      <c r="K664" s="14" t="str">
        <f>IF(J664="","7. Acima de 2 km",IF(J664&lt;=50,"1. Até 50 m",IF(J664&lt;=100,"2. De 50 a 100 m",IF(J664&lt;=200,"3. De 100 a 200 m",IF(J664&lt;=300,"4. De 200 a 300 m",IF(J664&lt;=500,"5. De 300 a 500 m","6. De 500 m a 2 km"))))))</f>
        <v>6. De 500 m a 2 km</v>
      </c>
      <c r="L664" s="26" t="n">
        <v>0</v>
      </c>
      <c r="M664" s="26" t="n">
        <v>0</v>
      </c>
      <c r="N664" s="26" t="n">
        <v>0</v>
      </c>
      <c r="O664" s="26" t="n">
        <v>0</v>
      </c>
      <c r="P664" s="30" t="n">
        <v>-11.785157</v>
      </c>
      <c r="Q664" s="30" t="n">
        <v>-37.9578314</v>
      </c>
      <c r="R664" s="14" t="inlineStr">
        <is>
          <t>CARTÓRIO DA 21ª ZONA ELEITORAL, FÓRUM DE JUSTIÇA DE ESPLANADA/BA, PRAÇA MONSENHOR ZACARIAS LUZ, N° 48, CENTRO, ESPLANADA-BA.</t>
        </is>
      </c>
      <c r="S664" s="26">
        <f>IF(A664=A663,0,1)</f>
        <v>0</v>
      </c>
      <c r="T664" s="26">
        <f>IF(COUNTIF($B$4:B664,B664)=1,1,0)</f>
        <v>0</v>
      </c>
    </row>
    <row r="665">
      <c r="A665" s="14" t="inlineStr">
        <is>
          <t>ESPLANADA</t>
        </is>
      </c>
      <c r="B665" s="26" t="n">
        <v>21</v>
      </c>
      <c r="C665" s="26" t="n">
        <v>1112</v>
      </c>
      <c r="D665" s="14" t="inlineStr">
        <is>
          <t>ESCOLA MUNICIPAL OLGA CAMERON SMITH</t>
        </is>
      </c>
      <c r="E665" s="14" t="inlineStr">
        <is>
          <t>PICA-PAU</t>
        </is>
      </c>
      <c r="F665" s="14" t="inlineStr">
        <is>
          <t>POVOADO MATA - ZONA RURAL</t>
        </is>
      </c>
      <c r="G665" s="27" t="inlineStr">
        <is>
          <t>48370-000</t>
        </is>
      </c>
      <c r="H665" s="15" t="n">
        <v>8</v>
      </c>
      <c r="I665" s="28" t="inlineStr">
        <is>
          <t>NÃO</t>
        </is>
      </c>
      <c r="J665" s="29" t="n"/>
      <c r="K665" s="14" t="str">
        <f>IF(J665="","7. Acima de 2 km",IF(J665&lt;=50,"1. Até 50 m",IF(J665&lt;=100,"2. De 50 a 100 m",IF(J665&lt;=200,"3. De 100 a 200 m",IF(J665&lt;=300,"4. De 200 a 300 m",IF(J665&lt;=500,"5. De 300 a 500 m","6. De 500 m a 2 km"))))))</f>
        <v>7. Acima de 2 km</v>
      </c>
      <c r="L665" s="26" t="n">
        <v>0</v>
      </c>
      <c r="M665" s="26" t="n">
        <v>0</v>
      </c>
      <c r="N665" s="26" t="n">
        <v>0</v>
      </c>
      <c r="O665" s="26" t="n">
        <v>0</v>
      </c>
      <c r="P665" s="30" t="n">
        <v>-12.0732057</v>
      </c>
      <c r="Q665" s="30" t="n">
        <v>-37.7131917</v>
      </c>
      <c r="R665" s="14" t="inlineStr">
        <is>
          <t>CARTÓRIO DA 21ª ZONA ELEITORAL, FÓRUM DE JUSTIÇA DE ESPLANADA/BA, PRAÇA MONSENHOR ZACARIAS LUZ, N° 48, CENTRO, ESPLANADA-BA.</t>
        </is>
      </c>
      <c r="S665" s="26">
        <f>IF(A665=A664,0,1)</f>
        <v>0</v>
      </c>
      <c r="T665" s="26">
        <f>IF(COUNTIF($B$4:B665,B665)=1,1,0)</f>
        <v>0</v>
      </c>
    </row>
    <row r="666">
      <c r="A666" s="14" t="inlineStr">
        <is>
          <t>ESPLANADA</t>
        </is>
      </c>
      <c r="B666" s="26" t="n">
        <v>21</v>
      </c>
      <c r="C666" s="26" t="n">
        <v>1120</v>
      </c>
      <c r="D666" s="14" t="inlineStr">
        <is>
          <t>ESCOLA MUNICIPAL PROFª MARIA BEATRIZ DA ROCHA - BAIXIO</t>
        </is>
      </c>
      <c r="E666" s="14" t="inlineStr">
        <is>
          <t>POVOADO BAIXIO</t>
        </is>
      </c>
      <c r="F666" s="14" t="inlineStr">
        <is>
          <t>RUA PRINCIPAL DO BAIXIO - ZONA RURAL</t>
        </is>
      </c>
      <c r="G666" s="27" t="inlineStr">
        <is>
          <t>48370-000</t>
        </is>
      </c>
      <c r="H666" s="15" t="n">
        <v>2</v>
      </c>
      <c r="I666" s="28" t="inlineStr">
        <is>
          <t>NÃO</t>
        </is>
      </c>
      <c r="J666" s="29" t="n"/>
      <c r="K666" s="14" t="str">
        <f>IF(J666="","7. Acima de 2 km",IF(J666&lt;=50,"1. Até 50 m",IF(J666&lt;=100,"2. De 50 a 100 m",IF(J666&lt;=200,"3. De 100 a 200 m",IF(J666&lt;=300,"4. De 200 a 300 m",IF(J666&lt;=500,"5. De 300 a 500 m","6. De 500 m a 2 km"))))))</f>
        <v>7. Acima de 2 km</v>
      </c>
      <c r="L666" s="26" t="n">
        <v>0</v>
      </c>
      <c r="M666" s="26" t="n">
        <v>0</v>
      </c>
      <c r="N666" s="26" t="n">
        <v>0</v>
      </c>
      <c r="O666" s="26" t="n">
        <v>0</v>
      </c>
      <c r="P666" s="30" t="n">
        <v>-12.1035222</v>
      </c>
      <c r="Q666" s="30" t="n">
        <v>-37.6930799</v>
      </c>
      <c r="R666" s="14" t="inlineStr">
        <is>
          <t>CARTÓRIO DA 21ª ZONA ELEITORAL, FÓRUM DE JUSTIÇA DE ESPLANADA/BA, PRAÇA MONSENHOR ZACARIAS LUZ, N° 48, CENTRO, ESPLANADA-BA.</t>
        </is>
      </c>
      <c r="S666" s="26">
        <f>IF(A666=A665,0,1)</f>
        <v>0</v>
      </c>
      <c r="T666" s="26">
        <f>IF(COUNTIF($B$4:B666,B666)=1,1,0)</f>
        <v>0</v>
      </c>
    </row>
    <row r="667">
      <c r="A667" s="14" t="inlineStr">
        <is>
          <t>ESPLANADA</t>
        </is>
      </c>
      <c r="B667" s="26" t="n">
        <v>21</v>
      </c>
      <c r="C667" s="26" t="n">
        <v>1139</v>
      </c>
      <c r="D667" s="14" t="inlineStr">
        <is>
          <t>ESCOLA MUNICIPAL ZÉLIA MACHADO COUTINHO - BOA VISTA</t>
        </is>
      </c>
      <c r="E667" s="14" t="inlineStr">
        <is>
          <t>POVOADO BOA VISTA</t>
        </is>
      </c>
      <c r="F667" s="14" t="inlineStr">
        <is>
          <t>POVOADO BOA VISTA - ZONA RURAL</t>
        </is>
      </c>
      <c r="G667" s="27" t="inlineStr">
        <is>
          <t>48370-000</t>
        </is>
      </c>
      <c r="H667" s="15" t="n">
        <v>2</v>
      </c>
      <c r="I667" s="28" t="inlineStr">
        <is>
          <t>NÃO</t>
        </is>
      </c>
      <c r="J667" s="29" t="n"/>
      <c r="K667" s="14" t="str">
        <f>IF(J667="","7. Acima de 2 km",IF(J667&lt;=50,"1. Até 50 m",IF(J667&lt;=100,"2. De 50 a 100 m",IF(J667&lt;=200,"3. De 100 a 200 m",IF(J667&lt;=300,"4. De 200 a 300 m",IF(J667&lt;=500,"5. De 300 a 500 m","6. De 500 m a 2 km"))))))</f>
        <v>7. Acima de 2 km</v>
      </c>
      <c r="L667" s="26" t="n">
        <v>0</v>
      </c>
      <c r="M667" s="26" t="n">
        <v>0</v>
      </c>
      <c r="N667" s="26" t="n">
        <v>0</v>
      </c>
      <c r="O667" s="26" t="n">
        <v>0</v>
      </c>
      <c r="P667" s="30" t="n">
        <v>-11.9992057</v>
      </c>
      <c r="Q667" s="30" t="n">
        <v>-37.8548628</v>
      </c>
      <c r="R667" s="14" t="inlineStr">
        <is>
          <t>CARTÓRIO DA 21ª ZONA ELEITORAL, FÓRUM DE JUSTIÇA DE ESPLANADA/BA, PRAÇA MONSENHOR ZACARIAS LUZ, N° 48, CENTRO, ESPLANADA-BA.</t>
        </is>
      </c>
      <c r="S667" s="26">
        <f>IF(A667=A666,0,1)</f>
        <v>0</v>
      </c>
      <c r="T667" s="26">
        <f>IF(COUNTIF($B$4:B667,B667)=1,1,0)</f>
        <v>0</v>
      </c>
    </row>
    <row r="668">
      <c r="A668" s="14" t="inlineStr">
        <is>
          <t>ESPLANADA</t>
        </is>
      </c>
      <c r="B668" s="26" t="n">
        <v>21</v>
      </c>
      <c r="C668" s="26" t="n">
        <v>1147</v>
      </c>
      <c r="D668" s="14" t="inlineStr">
        <is>
          <t>ESCOLA MUNICIPAL SÃO SEBASTIÃO - LIMÕES</t>
        </is>
      </c>
      <c r="E668" s="14" t="inlineStr">
        <is>
          <t>POVOADO LIMOES</t>
        </is>
      </c>
      <c r="F668" s="14" t="inlineStr">
        <is>
          <t>POVOADO LIMÕES - ZONA RURAL</t>
        </is>
      </c>
      <c r="G668" s="27" t="inlineStr">
        <is>
          <t>48370-000</t>
        </is>
      </c>
      <c r="H668" s="15" t="n">
        <v>5</v>
      </c>
      <c r="I668" s="28" t="inlineStr">
        <is>
          <t>NÃO</t>
        </is>
      </c>
      <c r="J668" s="29" t="n"/>
      <c r="K668" s="14" t="str">
        <f>IF(J668="","7. Acima de 2 km",IF(J668&lt;=50,"1. Até 50 m",IF(J668&lt;=100,"2. De 50 a 100 m",IF(J668&lt;=200,"3. De 100 a 200 m",IF(J668&lt;=300,"4. De 200 a 300 m",IF(J668&lt;=500,"5. De 300 a 500 m","6. De 500 m a 2 km"))))))</f>
        <v>7. Acima de 2 km</v>
      </c>
      <c r="L668" s="26" t="n">
        <v>0</v>
      </c>
      <c r="M668" s="26" t="n">
        <v>0</v>
      </c>
      <c r="N668" s="26" t="n">
        <v>0</v>
      </c>
      <c r="O668" s="26" t="n">
        <v>0</v>
      </c>
      <c r="P668" s="30" t="n">
        <v>-11.7962509</v>
      </c>
      <c r="Q668" s="30" t="n">
        <v>-38.089097</v>
      </c>
      <c r="R668" s="14" t="inlineStr">
        <is>
          <t>CARTÓRIO DA 21ª ZONA ELEITORAL, FÓRUM DE JUSTIÇA DE ESPLANADA/BA, PRAÇA MONSENHOR ZACARIAS LUZ, N° 48, CENTRO, ESPLANADA-BA.</t>
        </is>
      </c>
      <c r="S668" s="26">
        <f>IF(A668=A667,0,1)</f>
        <v>0</v>
      </c>
      <c r="T668" s="26">
        <f>IF(COUNTIF($B$4:B668,B668)=1,1,0)</f>
        <v>0</v>
      </c>
    </row>
    <row r="669">
      <c r="A669" s="14" t="inlineStr">
        <is>
          <t>ESPLANADA</t>
        </is>
      </c>
      <c r="B669" s="26" t="n">
        <v>21</v>
      </c>
      <c r="C669" s="26" t="n">
        <v>1163</v>
      </c>
      <c r="D669" s="14" t="inlineStr">
        <is>
          <t>ESCOLA PROFª MARIA DE LOURDES DE CARVALHO LEITE</t>
        </is>
      </c>
      <c r="E669" s="14" t="inlineStr">
        <is>
          <t>CENTRO</t>
        </is>
      </c>
      <c r="F669" s="14" t="inlineStr">
        <is>
          <t>RUA TENENTE SIQUEIRA CAMPOS - ZONA URBANA</t>
        </is>
      </c>
      <c r="G669" s="27" t="inlineStr">
        <is>
          <t>48370-000</t>
        </is>
      </c>
      <c r="H669" s="15" t="n">
        <v>6</v>
      </c>
      <c r="I669" s="28" t="inlineStr">
        <is>
          <t>NÃO</t>
        </is>
      </c>
      <c r="J669" s="29" t="n">
        <v>415.7</v>
      </c>
      <c r="K669" s="14" t="str">
        <f>IF(J669="","7. Acima de 2 km",IF(J669&lt;=50,"1. Até 50 m",IF(J669&lt;=100,"2. De 50 a 100 m",IF(J669&lt;=200,"3. De 100 a 200 m",IF(J669&lt;=300,"4. De 200 a 300 m",IF(J669&lt;=500,"5. De 300 a 500 m","6. De 500 m a 2 km"))))))</f>
        <v>5. De 300 a 500 m</v>
      </c>
      <c r="L669" s="26" t="n">
        <v>0</v>
      </c>
      <c r="M669" s="26" t="n">
        <v>0</v>
      </c>
      <c r="N669" s="26" t="n">
        <v>0</v>
      </c>
      <c r="O669" s="26" t="n">
        <v>0</v>
      </c>
      <c r="P669" s="30" t="n">
        <v>-11.8106221</v>
      </c>
      <c r="Q669" s="30" t="n">
        <v>-37.9455231</v>
      </c>
      <c r="R669" s="14" t="inlineStr">
        <is>
          <t>CARTÓRIO DA 21ª ZONA ELEITORAL, FÓRUM DE JUSTIÇA DE ESPLANADA/BA, PRAÇA MONSENHOR ZACARIAS LUZ, N° 48, CENTRO, ESPLANADA-BA.</t>
        </is>
      </c>
      <c r="S669" s="26">
        <f>IF(A669=A668,0,1)</f>
        <v>0</v>
      </c>
      <c r="T669" s="26">
        <f>IF(COUNTIF($B$4:B669,B669)=1,1,0)</f>
        <v>0</v>
      </c>
    </row>
    <row r="670">
      <c r="A670" s="14" t="inlineStr">
        <is>
          <t>ESPLANADA</t>
        </is>
      </c>
      <c r="B670" s="26" t="n">
        <v>21</v>
      </c>
      <c r="C670" s="26" t="n">
        <v>1171</v>
      </c>
      <c r="D670" s="14" t="inlineStr">
        <is>
          <t>ESCOLA MUNICIPAL JOSÉ MOREIRA DE SOUZA</t>
        </is>
      </c>
      <c r="E670" s="14" t="inlineStr">
        <is>
          <t>POVOADO MULUNGU</t>
        </is>
      </c>
      <c r="F670" s="14" t="inlineStr">
        <is>
          <t>POVOADO MULUNGU - ZONA RURAL</t>
        </is>
      </c>
      <c r="G670" s="27" t="inlineStr">
        <is>
          <t>48370-000</t>
        </is>
      </c>
      <c r="H670" s="15" t="n">
        <v>3</v>
      </c>
      <c r="I670" s="28" t="inlineStr">
        <is>
          <t>NÃO</t>
        </is>
      </c>
      <c r="J670" s="29" t="n"/>
      <c r="K670" s="14" t="str">
        <f>IF(J670="","7. Acima de 2 km",IF(J670&lt;=50,"1. Até 50 m",IF(J670&lt;=100,"2. De 50 a 100 m",IF(J670&lt;=200,"3. De 100 a 200 m",IF(J670&lt;=300,"4. De 200 a 300 m",IF(J670&lt;=500,"5. De 300 a 500 m","6. De 500 m a 2 km"))))))</f>
        <v>7. Acima de 2 km</v>
      </c>
      <c r="L670" s="26" t="n">
        <v>0</v>
      </c>
      <c r="M670" s="26" t="n">
        <v>0</v>
      </c>
      <c r="N670" s="26" t="n">
        <v>0</v>
      </c>
      <c r="O670" s="26" t="n">
        <v>0</v>
      </c>
      <c r="P670" s="30" t="n">
        <v>-11.8373124</v>
      </c>
      <c r="Q670" s="30" t="n">
        <v>-38.0112637</v>
      </c>
      <c r="R670" s="14" t="inlineStr">
        <is>
          <t>CARTÓRIO DA 21ª ZONA ELEITORAL, FÓRUM DE JUSTIÇA DE ESPLANADA/BA, PRAÇA MONSENHOR ZACARIAS LUZ, N° 48, CENTRO, ESPLANADA-BA.</t>
        </is>
      </c>
      <c r="S670" s="26">
        <f>IF(A670=A669,0,1)</f>
        <v>0</v>
      </c>
      <c r="T670" s="26">
        <f>IF(COUNTIF($B$4:B670,B670)=1,1,0)</f>
        <v>0</v>
      </c>
    </row>
    <row r="671">
      <c r="A671" s="14" t="inlineStr">
        <is>
          <t>ESPLANADA</t>
        </is>
      </c>
      <c r="B671" s="26" t="n">
        <v>21</v>
      </c>
      <c r="C671" s="26" t="n">
        <v>1180</v>
      </c>
      <c r="D671" s="14" t="inlineStr">
        <is>
          <t>ESCOLA MUNICIPAL SÃO JOSÉ</t>
        </is>
      </c>
      <c r="E671" s="14" t="inlineStr">
        <is>
          <t>POVOADO SAO JOSE</t>
        </is>
      </c>
      <c r="F671" s="14" t="inlineStr">
        <is>
          <t>POVOADO SAO JOSE - ZONA RURAL</t>
        </is>
      </c>
      <c r="G671" s="27" t="inlineStr">
        <is>
          <t>48370-000</t>
        </is>
      </c>
      <c r="H671" s="15" t="n">
        <v>5</v>
      </c>
      <c r="I671" s="28" t="inlineStr">
        <is>
          <t>NÃO</t>
        </is>
      </c>
      <c r="J671" s="29" t="n"/>
      <c r="K671" s="14" t="str">
        <f>IF(J671="","7. Acima de 2 km",IF(J671&lt;=50,"1. Até 50 m",IF(J671&lt;=100,"2. De 50 a 100 m",IF(J671&lt;=200,"3. De 100 a 200 m",IF(J671&lt;=300,"4. De 200 a 300 m",IF(J671&lt;=500,"5. De 300 a 500 m","6. De 500 m a 2 km"))))))</f>
        <v>7. Acima de 2 km</v>
      </c>
      <c r="L671" s="26" t="n">
        <v>0</v>
      </c>
      <c r="M671" s="26" t="n">
        <v>0</v>
      </c>
      <c r="N671" s="26" t="n">
        <v>0</v>
      </c>
      <c r="O671" s="26" t="n">
        <v>0</v>
      </c>
      <c r="P671" s="30" t="n">
        <v>-11.7300828</v>
      </c>
      <c r="Q671" s="30" t="n">
        <v>-38.0821796</v>
      </c>
      <c r="R671" s="14" t="inlineStr">
        <is>
          <t>CARTÓRIO DA 21ª ZONA ELEITORAL, FÓRUM DE JUSTIÇA DE ESPLANADA/BA, PRAÇA MONSENHOR ZACARIAS LUZ, N° 48, CENTRO, ESPLANADA-BA.</t>
        </is>
      </c>
      <c r="S671" s="26">
        <f>IF(A671=A670,0,1)</f>
        <v>0</v>
      </c>
      <c r="T671" s="26">
        <f>IF(COUNTIF($B$4:B671,B671)=1,1,0)</f>
        <v>0</v>
      </c>
    </row>
    <row r="672">
      <c r="A672" s="14" t="inlineStr">
        <is>
          <t>ESPLANADA</t>
        </is>
      </c>
      <c r="B672" s="26" t="n">
        <v>21</v>
      </c>
      <c r="C672" s="26" t="n">
        <v>1210</v>
      </c>
      <c r="D672" s="14" t="inlineStr">
        <is>
          <t>ESCOLA MUNICIPAL DR. AGENOR VELOSO DANTAS</t>
        </is>
      </c>
      <c r="E672" s="14" t="inlineStr">
        <is>
          <t>POVOADO CRUZ DAS ALMAS</t>
        </is>
      </c>
      <c r="F672" s="14" t="inlineStr">
        <is>
          <t>POVOADO CRUZ DAS ALMAS - ZONA RURAL</t>
        </is>
      </c>
      <c r="G672" s="27" t="inlineStr">
        <is>
          <t>48370-000</t>
        </is>
      </c>
      <c r="H672" s="15" t="n">
        <v>1</v>
      </c>
      <c r="I672" s="28" t="inlineStr">
        <is>
          <t>NÃO</t>
        </is>
      </c>
      <c r="J672" s="29" t="n"/>
      <c r="K672" s="14" t="str">
        <f>IF(J672="","7. Acima de 2 km",IF(J672&lt;=50,"1. Até 50 m",IF(J672&lt;=100,"2. De 50 a 100 m",IF(J672&lt;=200,"3. De 100 a 200 m",IF(J672&lt;=300,"4. De 200 a 300 m",IF(J672&lt;=500,"5. De 300 a 500 m","6. De 500 m a 2 km"))))))</f>
        <v>7. Acima de 2 km</v>
      </c>
      <c r="L672" s="26" t="n">
        <v>0</v>
      </c>
      <c r="M672" s="26" t="n">
        <v>0</v>
      </c>
      <c r="N672" s="26" t="n">
        <v>0</v>
      </c>
      <c r="O672" s="26" t="n">
        <v>0</v>
      </c>
      <c r="P672" s="30" t="n">
        <v>-11.80661</v>
      </c>
      <c r="Q672" s="30" t="n">
        <v>-38.0864586</v>
      </c>
      <c r="R672" s="14" t="inlineStr">
        <is>
          <t>CARTÓRIO DA 21ª ZONA ELEITORAL, FÓRUM DE JUSTIÇA DE ESPLANADA/BA, PRAÇA MONSENHOR ZACARIAS LUZ, N° 48, CENTRO, ESPLANADA-BA.</t>
        </is>
      </c>
      <c r="S672" s="26">
        <f>IF(A672=A671,0,1)</f>
        <v>0</v>
      </c>
      <c r="T672" s="26">
        <f>IF(COUNTIF($B$4:B672,B672)=1,1,0)</f>
        <v>0</v>
      </c>
    </row>
    <row r="673">
      <c r="A673" s="14" t="inlineStr">
        <is>
          <t>ESPLANADA</t>
        </is>
      </c>
      <c r="B673" s="26" t="n">
        <v>21</v>
      </c>
      <c r="C673" s="26" t="n">
        <v>1228</v>
      </c>
      <c r="D673" s="14" t="inlineStr">
        <is>
          <t>ESCOLA MUNICIPAL ASSENTAMENTO SÃO FRANCISCO</t>
        </is>
      </c>
      <c r="E673" s="14" t="inlineStr">
        <is>
          <t>POVOADO ASSENTAMENTO SAO FRANCISCO</t>
        </is>
      </c>
      <c r="F673" s="14" t="inlineStr">
        <is>
          <t>ASSENTAMENTO SAO FRANCISCO - ZONA RURAL</t>
        </is>
      </c>
      <c r="G673" s="27" t="inlineStr">
        <is>
          <t>48370-000</t>
        </is>
      </c>
      <c r="H673" s="15" t="n">
        <v>1</v>
      </c>
      <c r="I673" s="28" t="inlineStr">
        <is>
          <t>NÃO</t>
        </is>
      </c>
      <c r="J673" s="29" t="n"/>
      <c r="K673" s="14" t="str">
        <f>IF(J673="","7. Acima de 2 km",IF(J673&lt;=50,"1. Até 50 m",IF(J673&lt;=100,"2. De 50 a 100 m",IF(J673&lt;=200,"3. De 100 a 200 m",IF(J673&lt;=300,"4. De 200 a 300 m",IF(J673&lt;=500,"5. De 300 a 500 m","6. De 500 m a 2 km"))))))</f>
        <v>7. Acima de 2 km</v>
      </c>
      <c r="L673" s="26" t="n">
        <v>0</v>
      </c>
      <c r="M673" s="26" t="n">
        <v>0</v>
      </c>
      <c r="N673" s="26" t="n">
        <v>0</v>
      </c>
      <c r="O673" s="26" t="n">
        <v>0</v>
      </c>
      <c r="P673" s="30" t="n">
        <v>-11.8835628</v>
      </c>
      <c r="Q673" s="30" t="n">
        <v>-37.9228504</v>
      </c>
      <c r="R673" s="14" t="inlineStr">
        <is>
          <t>CARTÓRIO DA 21ª ZONA ELEITORAL, FÓRUM DE JUSTIÇA DE ESPLANADA/BA, PRAÇA MONSENHOR ZACARIAS LUZ, N° 48, CENTRO, ESPLANADA-BA.</t>
        </is>
      </c>
      <c r="S673" s="26">
        <f>IF(A673=A672,0,1)</f>
        <v>0</v>
      </c>
      <c r="T673" s="26">
        <f>IF(COUNTIF($B$4:B673,B673)=1,1,0)</f>
        <v>0</v>
      </c>
    </row>
    <row r="674">
      <c r="A674" s="14" t="inlineStr">
        <is>
          <t>ESPLANADA</t>
        </is>
      </c>
      <c r="B674" s="26" t="n">
        <v>21</v>
      </c>
      <c r="C674" s="26" t="n">
        <v>1236</v>
      </c>
      <c r="D674" s="14" t="inlineStr">
        <is>
          <t>ESCOLA MUNICIPAL ASSENTAMENTO NOVO HORIZONTE</t>
        </is>
      </c>
      <c r="E674" s="14" t="inlineStr">
        <is>
          <t>POVOADO ASSENTAMENTO NOVO HORIZONTE</t>
        </is>
      </c>
      <c r="F674" s="14" t="inlineStr">
        <is>
          <t>ASSENTAMENTO NOVO HORIZONTE - ZONA RURAL</t>
        </is>
      </c>
      <c r="G674" s="27" t="inlineStr">
        <is>
          <t>48370-000</t>
        </is>
      </c>
      <c r="H674" s="15" t="n">
        <v>2</v>
      </c>
      <c r="I674" s="28" t="inlineStr">
        <is>
          <t>NÃO</t>
        </is>
      </c>
      <c r="J674" s="29" t="n"/>
      <c r="K674" s="14" t="str">
        <f>IF(J674="","7. Acima de 2 km",IF(J674&lt;=50,"1. Até 50 m",IF(J674&lt;=100,"2. De 50 a 100 m",IF(J674&lt;=200,"3. De 100 a 200 m",IF(J674&lt;=300,"4. De 200 a 300 m",IF(J674&lt;=500,"5. De 300 a 500 m","6. De 500 m a 2 km"))))))</f>
        <v>7. Acima de 2 km</v>
      </c>
      <c r="L674" s="26" t="n">
        <v>0</v>
      </c>
      <c r="M674" s="26" t="n">
        <v>0</v>
      </c>
      <c r="N674" s="26" t="n">
        <v>0</v>
      </c>
      <c r="O674" s="26" t="n">
        <v>0</v>
      </c>
      <c r="P674" s="30" t="n">
        <v>-11.8618887</v>
      </c>
      <c r="Q674" s="30" t="n">
        <v>-37.7968099</v>
      </c>
      <c r="R674" s="14" t="inlineStr">
        <is>
          <t>CARTÓRIO DA 21ª ZONA ELEITORAL, FÓRUM DE JUSTIÇA DE ESPLANADA/BA, PRAÇA MONSENHOR ZACARIAS LUZ, N° 48, CENTRO, ESPLANADA-BA.</t>
        </is>
      </c>
      <c r="S674" s="26">
        <f>IF(A674=A673,0,1)</f>
        <v>0</v>
      </c>
      <c r="T674" s="26">
        <f>IF(COUNTIF($B$4:B674,B674)=1,1,0)</f>
        <v>0</v>
      </c>
    </row>
    <row r="675">
      <c r="A675" s="14" t="inlineStr">
        <is>
          <t>ESPLANADA</t>
        </is>
      </c>
      <c r="B675" s="26" t="n">
        <v>21</v>
      </c>
      <c r="C675" s="26" t="n">
        <v>1279</v>
      </c>
      <c r="D675" s="14" t="inlineStr">
        <is>
          <t>ESCOLA MUNICIPAL PROFª LUCILIA DE ASSIS SANTOS</t>
        </is>
      </c>
      <c r="E675" s="14" t="inlineStr">
        <is>
          <t>TIMBO</t>
        </is>
      </c>
      <c r="F675" s="14" t="inlineStr">
        <is>
          <t>PRACA SANTO ANTONIO - ZONA URBANA</t>
        </is>
      </c>
      <c r="G675" s="27" t="inlineStr">
        <is>
          <t>48370-000</t>
        </is>
      </c>
      <c r="H675" s="15" t="n">
        <v>7</v>
      </c>
      <c r="I675" s="28" t="inlineStr">
        <is>
          <t>NÃO</t>
        </is>
      </c>
      <c r="J675" s="29" t="n">
        <v>937.6</v>
      </c>
      <c r="K675" s="14" t="str">
        <f>IF(J675="","7. Acima de 2 km",IF(J675&lt;=50,"1. Até 50 m",IF(J675&lt;=100,"2. De 50 a 100 m",IF(J675&lt;=200,"3. De 100 a 200 m",IF(J675&lt;=300,"4. De 200 a 300 m",IF(J675&lt;=500,"5. De 300 a 500 m","6. De 500 m a 2 km"))))))</f>
        <v>6. De 500 m a 2 km</v>
      </c>
      <c r="L675" s="26" t="n">
        <v>0</v>
      </c>
      <c r="M675" s="26" t="n">
        <v>0</v>
      </c>
      <c r="N675" s="26" t="n">
        <v>0</v>
      </c>
      <c r="O675" s="26" t="n">
        <v>0</v>
      </c>
      <c r="P675" s="30" t="n">
        <v>-11.7852482</v>
      </c>
      <c r="Q675" s="30" t="n">
        <v>-37.9588135</v>
      </c>
      <c r="R675" s="14" t="inlineStr">
        <is>
          <t>CARTÓRIO DA 21ª ZONA ELEITORAL, FÓRUM DE JUSTIÇA DE ESPLANADA/BA, PRAÇA MONSENHOR ZACARIAS LUZ, N° 48, CENTRO, ESPLANADA-BA.</t>
        </is>
      </c>
      <c r="S675" s="26">
        <f>IF(A675=A674,0,1)</f>
        <v>0</v>
      </c>
      <c r="T675" s="26">
        <f>IF(COUNTIF($B$4:B675,B675)=1,1,0)</f>
        <v>0</v>
      </c>
    </row>
    <row r="676">
      <c r="A676" s="14" t="inlineStr">
        <is>
          <t>ESPLANADA</t>
        </is>
      </c>
      <c r="B676" s="26" t="n">
        <v>21</v>
      </c>
      <c r="C676" s="26" t="n">
        <v>1287</v>
      </c>
      <c r="D676" s="14" t="inlineStr">
        <is>
          <t>ESCOLA MUNICIPAL ASSENTAMENTO ANTONIO CONSELHEIRO</t>
        </is>
      </c>
      <c r="E676" s="14" t="inlineStr">
        <is>
          <t>POVOADO ANTONIO CONSELHEIRO</t>
        </is>
      </c>
      <c r="F676" s="14" t="inlineStr">
        <is>
          <t>POVOADO ANTONIO CONSELHEIRO - ZONA RURAL</t>
        </is>
      </c>
      <c r="G676" s="27" t="inlineStr">
        <is>
          <t>48370-000</t>
        </is>
      </c>
      <c r="H676" s="15" t="n">
        <v>1</v>
      </c>
      <c r="I676" s="28" t="inlineStr">
        <is>
          <t>NÃO</t>
        </is>
      </c>
      <c r="J676" s="29" t="n"/>
      <c r="K676" s="14" t="str">
        <f>IF(J676="","7. Acima de 2 km",IF(J676&lt;=50,"1. Até 50 m",IF(J676&lt;=100,"2. De 50 a 100 m",IF(J676&lt;=200,"3. De 100 a 200 m",IF(J676&lt;=300,"4. De 200 a 300 m",IF(J676&lt;=500,"5. De 300 a 500 m","6. De 500 m a 2 km"))))))</f>
        <v>7. Acima de 2 km</v>
      </c>
      <c r="L676" s="26" t="n">
        <v>0</v>
      </c>
      <c r="M676" s="26" t="n">
        <v>0</v>
      </c>
      <c r="N676" s="26" t="n">
        <v>0</v>
      </c>
      <c r="O676" s="26" t="n">
        <v>0</v>
      </c>
      <c r="P676" s="30" t="n">
        <v>-11.7935652</v>
      </c>
      <c r="Q676" s="30" t="n">
        <v>-37.8622517</v>
      </c>
      <c r="R676" s="14" t="inlineStr">
        <is>
          <t>CARTÓRIO DA 21ª ZONA ELEITORAL, FÓRUM DE JUSTIÇA DE ESPLANADA/BA, PRAÇA MONSENHOR ZACARIAS LUZ, N° 48, CENTRO, ESPLANADA-BA.</t>
        </is>
      </c>
      <c r="S676" s="26">
        <f>IF(A676=A675,0,1)</f>
        <v>0</v>
      </c>
      <c r="T676" s="26">
        <f>IF(COUNTIF($B$4:B676,B676)=1,1,0)</f>
        <v>0</v>
      </c>
    </row>
    <row r="677">
      <c r="A677" s="14" t="inlineStr">
        <is>
          <t>ESPLANADA</t>
        </is>
      </c>
      <c r="B677" s="26" t="n">
        <v>21</v>
      </c>
      <c r="C677" s="26" t="n">
        <v>1317</v>
      </c>
      <c r="D677" s="14" t="inlineStr">
        <is>
          <t>ESCOLA MUNICIPAL LÍDIA XAVIER DE OLIVEIRA</t>
        </is>
      </c>
      <c r="E677" s="14" t="inlineStr">
        <is>
          <t>POVOADO MORENA</t>
        </is>
      </c>
      <c r="F677" s="14" t="inlineStr">
        <is>
          <t>POVOADO MORENA - ZONA RURAL</t>
        </is>
      </c>
      <c r="G677" s="27" t="inlineStr">
        <is>
          <t>48370-000</t>
        </is>
      </c>
      <c r="H677" s="15" t="n">
        <v>2</v>
      </c>
      <c r="I677" s="28" t="inlineStr">
        <is>
          <t>NÃO</t>
        </is>
      </c>
      <c r="J677" s="29" t="n"/>
      <c r="K677" s="14" t="str">
        <f>IF(J677="","7. Acima de 2 km",IF(J677&lt;=50,"1. Até 50 m",IF(J677&lt;=100,"2. De 50 a 100 m",IF(J677&lt;=200,"3. De 100 a 200 m",IF(J677&lt;=300,"4. De 200 a 300 m",IF(J677&lt;=500,"5. De 300 a 500 m","6. De 500 m a 2 km"))))))</f>
        <v>7. Acima de 2 km</v>
      </c>
      <c r="L677" s="26" t="n">
        <v>0</v>
      </c>
      <c r="M677" s="26" t="n">
        <v>0</v>
      </c>
      <c r="N677" s="26" t="n">
        <v>0</v>
      </c>
      <c r="O677" s="26" t="n">
        <v>0</v>
      </c>
      <c r="P677" s="30" t="n">
        <v>-11.7448546</v>
      </c>
      <c r="Q677" s="30" t="n">
        <v>-38.1144805</v>
      </c>
      <c r="R677" s="14" t="inlineStr">
        <is>
          <t>CARTÓRIO DA 21ª ZONA ELEITORAL, FÓRUM DE JUSTIÇA DE ESPLANADA/BA, PRAÇA MONSENHOR ZACARIAS LUZ, N° 48, CENTRO, ESPLANADA-BA.</t>
        </is>
      </c>
      <c r="S677" s="26">
        <f>IF(A677=A676,0,1)</f>
        <v>0</v>
      </c>
      <c r="T677" s="26">
        <f>IF(COUNTIF($B$4:B677,B677)=1,1,0)</f>
        <v>0</v>
      </c>
    </row>
    <row r="678">
      <c r="A678" s="14" t="inlineStr">
        <is>
          <t>ESPLANADA</t>
        </is>
      </c>
      <c r="B678" s="26" t="n">
        <v>21</v>
      </c>
      <c r="C678" s="26" t="n">
        <v>1325</v>
      </c>
      <c r="D678" s="14" t="inlineStr">
        <is>
          <t>ESCOLA MUNICIPAL ASSENTAMENTO BOA VISTA III</t>
        </is>
      </c>
      <c r="E678" s="14" t="inlineStr">
        <is>
          <t>ASSENTAMENTO BOA VISTA III</t>
        </is>
      </c>
      <c r="F678" s="14" t="inlineStr">
        <is>
          <t>AVENIDA MARAJÁS, S/N - ZONA RURAL</t>
        </is>
      </c>
      <c r="G678" s="27" t="inlineStr">
        <is>
          <t>48370-000</t>
        </is>
      </c>
      <c r="H678" s="15" t="n">
        <v>2</v>
      </c>
      <c r="I678" s="28" t="inlineStr">
        <is>
          <t>NÃO</t>
        </is>
      </c>
      <c r="J678" s="29" t="n"/>
      <c r="K678" s="14" t="str">
        <f>IF(J678="","7. Acima de 2 km",IF(J678&lt;=50,"1. Até 50 m",IF(J678&lt;=100,"2. De 50 a 100 m",IF(J678&lt;=200,"3. De 100 a 200 m",IF(J678&lt;=300,"4. De 200 a 300 m",IF(J678&lt;=500,"5. De 300 a 500 m","6. De 500 m a 2 km"))))))</f>
        <v>7. Acima de 2 km</v>
      </c>
      <c r="L678" s="26" t="n">
        <v>0</v>
      </c>
      <c r="M678" s="26" t="n">
        <v>0</v>
      </c>
      <c r="N678" s="26" t="n">
        <v>0</v>
      </c>
      <c r="O678" s="26" t="n">
        <v>0</v>
      </c>
      <c r="P678" s="30" t="n">
        <v>-11.8517806</v>
      </c>
      <c r="Q678" s="30" t="n">
        <v>-37.8906698</v>
      </c>
      <c r="R678" s="14" t="inlineStr">
        <is>
          <t>CARTÓRIO DA 21ª ZONA ELEITORAL, FÓRUM DE JUSTIÇA DE ESPLANADA/BA, PRAÇA MONSENHOR ZACARIAS LUZ, N° 48, CENTRO, ESPLANADA-BA.</t>
        </is>
      </c>
      <c r="S678" s="26">
        <f>IF(A678=A677,0,1)</f>
        <v>0</v>
      </c>
      <c r="T678" s="26">
        <f>IF(COUNTIF($B$4:B678,B678)=1,1,0)</f>
        <v>0</v>
      </c>
    </row>
    <row r="679">
      <c r="A679" s="14" t="inlineStr">
        <is>
          <t>ESPLANADA</t>
        </is>
      </c>
      <c r="B679" s="26" t="n">
        <v>21</v>
      </c>
      <c r="C679" s="26" t="n">
        <v>1333</v>
      </c>
      <c r="D679" s="14" t="inlineStr">
        <is>
          <t>ESCOLA MUNICIPAL PROFª Mª JOSÉ MARQUES - ITAQUARI</t>
        </is>
      </c>
      <c r="E679" s="14" t="inlineStr">
        <is>
          <t>POVOADO JUERANA</t>
        </is>
      </c>
      <c r="F679" s="14" t="inlineStr">
        <is>
          <t>POVOADO JUERANA - ZONA RURAL</t>
        </is>
      </c>
      <c r="G679" s="27" t="inlineStr">
        <is>
          <t>48370-000</t>
        </is>
      </c>
      <c r="H679" s="15" t="n">
        <v>2</v>
      </c>
      <c r="I679" s="28" t="inlineStr">
        <is>
          <t>NÃO</t>
        </is>
      </c>
      <c r="J679" s="29" t="n"/>
      <c r="K679" s="14" t="str">
        <f>IF(J679="","7. Acima de 2 km",IF(J679&lt;=50,"1. Até 50 m",IF(J679&lt;=100,"2. De 50 a 100 m",IF(J679&lt;=200,"3. De 100 a 200 m",IF(J679&lt;=300,"4. De 200 a 300 m",IF(J679&lt;=500,"5. De 300 a 500 m","6. De 500 m a 2 km"))))))</f>
        <v>7. Acima de 2 km</v>
      </c>
      <c r="L679" s="26" t="n">
        <v>0</v>
      </c>
      <c r="M679" s="26" t="n">
        <v>0</v>
      </c>
      <c r="N679" s="26" t="n">
        <v>0</v>
      </c>
      <c r="O679" s="26" t="n">
        <v>0</v>
      </c>
      <c r="P679" s="30" t="n">
        <v>-12.0749368</v>
      </c>
      <c r="Q679" s="30" t="n">
        <v>-37.7930985</v>
      </c>
      <c r="R679" s="14" t="inlineStr">
        <is>
          <t>CARTÓRIO DA 21ª ZONA ELEITORAL, FÓRUM DE JUSTIÇA DE ESPLANADA/BA, PRAÇA MONSENHOR ZACARIAS LUZ, N° 48, CENTRO, ESPLANADA-BA.</t>
        </is>
      </c>
      <c r="S679" s="26">
        <f>IF(A679=A678,0,1)</f>
        <v>0</v>
      </c>
      <c r="T679" s="26">
        <f>IF(COUNTIF($B$4:B679,B679)=1,1,0)</f>
        <v>0</v>
      </c>
    </row>
    <row r="680">
      <c r="A680" s="14" t="inlineStr">
        <is>
          <t>ESPLANADA</t>
        </is>
      </c>
      <c r="B680" s="26" t="n">
        <v>21</v>
      </c>
      <c r="C680" s="26" t="n">
        <v>1350</v>
      </c>
      <c r="D680" s="14" t="inlineStr">
        <is>
          <t>ESCOLA MUNICIPAL FREI JOSÉ DE MONSANO</t>
        </is>
      </c>
      <c r="E680" s="14" t="inlineStr">
        <is>
          <t>CENTRO</t>
        </is>
      </c>
      <c r="F680" s="14" t="inlineStr">
        <is>
          <t>RUA DO MALOMBE, S/N - ZONA URBANA</t>
        </is>
      </c>
      <c r="G680" s="27" t="inlineStr">
        <is>
          <t>48370-000</t>
        </is>
      </c>
      <c r="H680" s="15" t="n">
        <v>4</v>
      </c>
      <c r="I680" s="28" t="inlineStr">
        <is>
          <t>SIM</t>
        </is>
      </c>
      <c r="J680" s="29" t="n">
        <v>42.6</v>
      </c>
      <c r="K680" s="14" t="str">
        <f>IF(J680="","7. Acima de 2 km",IF(J680&lt;=50,"1. Até 50 m",IF(J680&lt;=100,"2. De 50 a 100 m",IF(J680&lt;=200,"3. De 100 a 200 m",IF(J680&lt;=300,"4. De 200 a 300 m",IF(J680&lt;=500,"5. De 300 a 500 m","6. De 500 m a 2 km"))))))</f>
        <v>1. Até 50 m</v>
      </c>
      <c r="L680" s="26" t="n">
        <v>1</v>
      </c>
      <c r="M680" s="26" t="n">
        <v>1</v>
      </c>
      <c r="N680" s="26" t="n">
        <v>1</v>
      </c>
      <c r="O680" s="26" t="n">
        <v>1</v>
      </c>
      <c r="P680" s="30" t="n">
        <v>-11.7909258</v>
      </c>
      <c r="Q680" s="30" t="n">
        <v>-37.9421865</v>
      </c>
      <c r="R680" s="14" t="inlineStr">
        <is>
          <t>CARTÓRIO DA 21ª ZONA ELEITORAL, FÓRUM DE JUSTIÇA DE ESPLANADA/BA, PRAÇA MONSENHOR ZACARIAS LUZ, N° 48, CENTRO, ESPLANADA-BA.</t>
        </is>
      </c>
      <c r="S680" s="26">
        <f>IF(A680=A679,0,1)</f>
        <v>0</v>
      </c>
      <c r="T680" s="26">
        <f>IF(COUNTIF($B$4:B680,B680)=1,1,0)</f>
        <v>0</v>
      </c>
    </row>
    <row r="681">
      <c r="A681" s="14" t="inlineStr">
        <is>
          <t>EUNÁPOLIS</t>
        </is>
      </c>
      <c r="B681" s="26" t="n">
        <v>188</v>
      </c>
      <c r="C681" s="26" t="n">
        <v>1651</v>
      </c>
      <c r="D681" s="14" t="inlineStr">
        <is>
          <t>ESCOLA MUNICIPAL IRIS LOPES DA SILVA</t>
        </is>
      </c>
      <c r="E681" s="14" t="inlineStr">
        <is>
          <t>ROÇA DO POVO</t>
        </is>
      </c>
      <c r="F681" s="14" t="inlineStr">
        <is>
          <t>ROÇA DO POVO - ZONA RURAL</t>
        </is>
      </c>
      <c r="G681" s="27" t="inlineStr">
        <is>
          <t>45820-000</t>
        </is>
      </c>
      <c r="H681" s="15" t="n">
        <v>2</v>
      </c>
      <c r="I681" s="28" t="inlineStr">
        <is>
          <t>NÃO</t>
        </is>
      </c>
      <c r="J681" s="29" t="n"/>
      <c r="K681" s="14" t="str">
        <f>IF(J681="","7. Acima de 2 km",IF(J681&lt;=50,"1. Até 50 m",IF(J681&lt;=100,"2. De 50 a 100 m",IF(J681&lt;=200,"3. De 100 a 200 m",IF(J681&lt;=300,"4. De 200 a 300 m",IF(J681&lt;=500,"5. De 300 a 500 m","6. De 500 m a 2 km"))))))</f>
        <v>7. Acima de 2 km</v>
      </c>
      <c r="L681" s="26" t="n">
        <v>0</v>
      </c>
      <c r="M681" s="26" t="n">
        <v>0</v>
      </c>
      <c r="N681" s="26" t="n">
        <v>0</v>
      </c>
      <c r="O681" s="26" t="n">
        <v>0</v>
      </c>
      <c r="P681" s="30" t="n">
        <v>-16.3116346</v>
      </c>
      <c r="Q681" s="30" t="n">
        <v>-39.5967797</v>
      </c>
      <c r="R681" s="14" t="inlineStr">
        <is>
          <t>AVENIDA ÁFRICA, Nº 127, BAIRRO DINAH BORGES, CEP 45830-124, EUNAPOLIS/BA</t>
        </is>
      </c>
      <c r="S681" s="26">
        <f>IF(A681=A680,0,1)</f>
        <v>1</v>
      </c>
      <c r="T681" s="26">
        <f>IF(COUNTIF($B$4:B681,B681)=1,1,0)</f>
        <v>1</v>
      </c>
    </row>
    <row r="682">
      <c r="A682" s="14" t="inlineStr">
        <is>
          <t>EUNÁPOLIS</t>
        </is>
      </c>
      <c r="B682" s="26" t="n">
        <v>188</v>
      </c>
      <c r="C682" s="26" t="n">
        <v>1660</v>
      </c>
      <c r="D682" s="14" t="inlineStr">
        <is>
          <t>ESCOLA NICOLAU COELHO</t>
        </is>
      </c>
      <c r="E682" s="14" t="inlineStr">
        <is>
          <t>SAPUCAEIRA</t>
        </is>
      </c>
      <c r="F682" s="14" t="inlineStr">
        <is>
          <t>TRAVESSA DO RECREIO, 20 - ZONA URBANA</t>
        </is>
      </c>
      <c r="G682" s="27" t="inlineStr">
        <is>
          <t>45820-000</t>
        </is>
      </c>
      <c r="H682" s="15" t="n">
        <v>3</v>
      </c>
      <c r="I682" s="28" t="inlineStr">
        <is>
          <t>NÃO</t>
        </is>
      </c>
      <c r="J682" s="29" t="n">
        <v>814.7</v>
      </c>
      <c r="K682" s="14" t="str">
        <f>IF(J682="","7. Acima de 2 km",IF(J682&lt;=50,"1. Até 50 m",IF(J682&lt;=100,"2. De 50 a 100 m",IF(J682&lt;=200,"3. De 100 a 200 m",IF(J682&lt;=300,"4. De 200 a 300 m",IF(J682&lt;=500,"5. De 300 a 500 m","6. De 500 m a 2 km"))))))</f>
        <v>6. De 500 m a 2 km</v>
      </c>
      <c r="L682" s="26" t="n">
        <v>0</v>
      </c>
      <c r="M682" s="26" t="n">
        <v>0</v>
      </c>
      <c r="N682" s="26" t="n">
        <v>0</v>
      </c>
      <c r="O682" s="26" t="n">
        <v>0</v>
      </c>
      <c r="P682" s="30" t="n">
        <v>-16.3312287</v>
      </c>
      <c r="Q682" s="30" t="n">
        <v>-39.575246</v>
      </c>
      <c r="R682" s="14" t="inlineStr">
        <is>
          <t>AVENIDA ÁFRICA, Nº 127, BAIRRO DINAH BORGES, CEP 45830-124, EUNAPOLIS/BA</t>
        </is>
      </c>
      <c r="S682" s="26">
        <f>IF(A682=A681,0,1)</f>
        <v>0</v>
      </c>
      <c r="T682" s="26">
        <f>IF(COUNTIF($B$4:B682,B682)=1,1,0)</f>
        <v>0</v>
      </c>
    </row>
    <row r="683">
      <c r="A683" s="14" t="inlineStr">
        <is>
          <t>EUNÁPOLIS</t>
        </is>
      </c>
      <c r="B683" s="26" t="n">
        <v>188</v>
      </c>
      <c r="C683" s="26" t="n">
        <v>1678</v>
      </c>
      <c r="D683" s="14" t="inlineStr">
        <is>
          <t>ESCOLA MUNICIPAL GIUSEPPE IACOVIELL0</t>
        </is>
      </c>
      <c r="E683" s="14" t="inlineStr">
        <is>
          <t>ALECRIM II</t>
        </is>
      </c>
      <c r="F683" s="14" t="inlineStr">
        <is>
          <t>RUA SABIA, 10 - ZONA URBANA</t>
        </is>
      </c>
      <c r="G683" s="27" t="inlineStr">
        <is>
          <t>45826-485</t>
        </is>
      </c>
      <c r="H683" s="15" t="n">
        <v>10</v>
      </c>
      <c r="I683" s="28" t="inlineStr">
        <is>
          <t>NÃO</t>
        </is>
      </c>
      <c r="J683" s="29" t="n"/>
      <c r="K683" s="14" t="str">
        <f>IF(J683="","7. Acima de 2 km",IF(J683&lt;=50,"1. Até 50 m",IF(J683&lt;=100,"2. De 50 a 100 m",IF(J683&lt;=200,"3. De 100 a 200 m",IF(J683&lt;=300,"4. De 200 a 300 m",IF(J683&lt;=500,"5. De 300 a 500 m","6. De 500 m a 2 km"))))))</f>
        <v>7. Acima de 2 km</v>
      </c>
      <c r="L683" s="26" t="n">
        <v>0</v>
      </c>
      <c r="M683" s="26" t="n">
        <v>0</v>
      </c>
      <c r="N683" s="26" t="n">
        <v>0</v>
      </c>
      <c r="O683" s="26" t="n">
        <v>0</v>
      </c>
      <c r="P683" s="30" t="n">
        <v>-16.3594153</v>
      </c>
      <c r="Q683" s="30" t="n">
        <v>-39.5630257</v>
      </c>
      <c r="R683" s="14" t="inlineStr">
        <is>
          <t>AVENIDA ÁFRICA, Nº 127, BAIRRO DINAH BORGES, CEP 45830-124, EUNAPOLIS/BA</t>
        </is>
      </c>
      <c r="S683" s="26">
        <f>IF(A683=A682,0,1)</f>
        <v>0</v>
      </c>
      <c r="T683" s="26">
        <f>IF(COUNTIF($B$4:B683,B683)=1,1,0)</f>
        <v>0</v>
      </c>
    </row>
    <row r="684">
      <c r="A684" s="14" t="inlineStr">
        <is>
          <t>EUNÁPOLIS</t>
        </is>
      </c>
      <c r="B684" s="26" t="n">
        <v>188</v>
      </c>
      <c r="C684" s="26" t="n">
        <v>1686</v>
      </c>
      <c r="D684" s="14" t="inlineStr">
        <is>
          <t>ESCOLA MUNICIPAL DE GABIARRA</t>
        </is>
      </c>
      <c r="E684" s="14" t="inlineStr">
        <is>
          <t>DISTRITO GABIARRA</t>
        </is>
      </c>
      <c r="F684" s="14" t="inlineStr">
        <is>
          <t>PRACA DEPUTADO BRITO, S/N - ZONA RURAL</t>
        </is>
      </c>
      <c r="G684" s="27" t="inlineStr">
        <is>
          <t>45831-000</t>
        </is>
      </c>
      <c r="H684" s="15" t="n">
        <v>4</v>
      </c>
      <c r="I684" s="28" t="inlineStr">
        <is>
          <t>NÃO</t>
        </is>
      </c>
      <c r="J684" s="29" t="n"/>
      <c r="K684" s="14" t="str">
        <f>IF(J684="","7. Acima de 2 km",IF(J684&lt;=50,"1. Até 50 m",IF(J684&lt;=100,"2. De 50 a 100 m",IF(J684&lt;=200,"3. De 100 a 200 m",IF(J684&lt;=300,"4. De 200 a 300 m",IF(J684&lt;=500,"5. De 300 a 500 m","6. De 500 m a 2 km"))))))</f>
        <v>7. Acima de 2 km</v>
      </c>
      <c r="L684" s="26" t="n">
        <v>0</v>
      </c>
      <c r="M684" s="26" t="n">
        <v>0</v>
      </c>
      <c r="N684" s="26" t="n">
        <v>0</v>
      </c>
      <c r="O684" s="26" t="n">
        <v>0</v>
      </c>
      <c r="P684" s="30" t="n">
        <v>-16.2306464</v>
      </c>
      <c r="Q684" s="30" t="n">
        <v>-39.6988924</v>
      </c>
      <c r="R684" s="14" t="inlineStr">
        <is>
          <t>AVENIDA ÁFRICA, Nº 127, BAIRRO DINAH BORGES, CEP 45830-124, EUNAPOLIS/BA</t>
        </is>
      </c>
      <c r="S684" s="26">
        <f>IF(A684=A683,0,1)</f>
        <v>0</v>
      </c>
      <c r="T684" s="26">
        <f>IF(COUNTIF($B$4:B684,B684)=1,1,0)</f>
        <v>0</v>
      </c>
    </row>
    <row r="685">
      <c r="A685" s="14" t="inlineStr">
        <is>
          <t>EUNÁPOLIS</t>
        </is>
      </c>
      <c r="B685" s="26" t="n">
        <v>188</v>
      </c>
      <c r="C685" s="26" t="n">
        <v>1694</v>
      </c>
      <c r="D685" s="14" t="inlineStr">
        <is>
          <t>ESCOLA MODELO MUNICIPAL ANTÔNIO BATISTA</t>
        </is>
      </c>
      <c r="E685" s="14" t="inlineStr">
        <is>
          <t>JUCA ROSA</t>
        </is>
      </c>
      <c r="F685" s="14" t="inlineStr">
        <is>
          <t>RUA AEROPORTO, S/N - ZONA URBANA</t>
        </is>
      </c>
      <c r="G685" s="27" t="inlineStr">
        <is>
          <t>45820-000</t>
        </is>
      </c>
      <c r="H685" s="15" t="n">
        <v>20</v>
      </c>
      <c r="I685" s="28" t="inlineStr">
        <is>
          <t>NÃO</t>
        </is>
      </c>
      <c r="J685" s="29" t="n">
        <v>511.6</v>
      </c>
      <c r="K685" s="14" t="str">
        <f>IF(J685="","7. Acima de 2 km",IF(J685&lt;=50,"1. Até 50 m",IF(J685&lt;=100,"2. De 50 a 100 m",IF(J685&lt;=200,"3. De 100 a 200 m",IF(J685&lt;=300,"4. De 200 a 300 m",IF(J685&lt;=500,"5. De 300 a 500 m","6. De 500 m a 2 km"))))))</f>
        <v>6. De 500 m a 2 km</v>
      </c>
      <c r="L685" s="26" t="n">
        <v>0</v>
      </c>
      <c r="M685" s="26" t="n">
        <v>0</v>
      </c>
      <c r="N685" s="26" t="n">
        <v>0</v>
      </c>
      <c r="O685" s="26" t="n">
        <v>0</v>
      </c>
      <c r="P685" s="30" t="n">
        <v>-16.3367543</v>
      </c>
      <c r="Q685" s="30" t="n">
        <v>-39.5766348</v>
      </c>
      <c r="R685" s="14" t="inlineStr">
        <is>
          <t>AVENIDA ÁFRICA, Nº 127, BAIRRO DINAH BORGES, CEP 45830-124, EUNAPOLIS/BA</t>
        </is>
      </c>
      <c r="S685" s="26">
        <f>IF(A685=A684,0,1)</f>
        <v>0</v>
      </c>
      <c r="T685" s="26">
        <f>IF(COUNTIF($B$4:B685,B685)=1,1,0)</f>
        <v>0</v>
      </c>
    </row>
    <row r="686">
      <c r="A686" s="14" t="inlineStr">
        <is>
          <t>EUNÁPOLIS</t>
        </is>
      </c>
      <c r="B686" s="26" t="n">
        <v>188</v>
      </c>
      <c r="C686" s="26" t="n">
        <v>1716</v>
      </c>
      <c r="D686" s="14" t="inlineStr">
        <is>
          <t>INSTITUTO FEDERAL DE EDUCAÇÃO,CIÊNCIA E TECNOLOGIA DA BAHIA-IFBA</t>
        </is>
      </c>
      <c r="E686" s="14" t="inlineStr">
        <is>
          <t>ROSA NETO</t>
        </is>
      </c>
      <c r="F686" s="14" t="inlineStr">
        <is>
          <t>AV DAVI JONAS FADINI, S/N, BR 101, KM 715 - ZONA URBANA</t>
        </is>
      </c>
      <c r="G686" s="27" t="inlineStr">
        <is>
          <t>45823-035</t>
        </is>
      </c>
      <c r="H686" s="15" t="n">
        <v>12</v>
      </c>
      <c r="I686" s="28" t="inlineStr">
        <is>
          <t>NÃO</t>
        </is>
      </c>
      <c r="J686" s="29" t="n">
        <v>1523.3</v>
      </c>
      <c r="K686" s="14" t="str">
        <f>IF(J686="","7. Acima de 2 km",IF(J686&lt;=50,"1. Até 50 m",IF(J686&lt;=100,"2. De 50 a 100 m",IF(J686&lt;=200,"3. De 100 a 200 m",IF(J686&lt;=300,"4. De 200 a 300 m",IF(J686&lt;=500,"5. De 300 a 500 m","6. De 500 m a 2 km"))))))</f>
        <v>6. De 500 m a 2 km</v>
      </c>
      <c r="L686" s="26" t="n">
        <v>0</v>
      </c>
      <c r="M686" s="26" t="n">
        <v>0</v>
      </c>
      <c r="N686" s="26" t="n">
        <v>0</v>
      </c>
      <c r="O686" s="26" t="n">
        <v>0</v>
      </c>
      <c r="P686" s="30" t="n">
        <v>-16.3493008</v>
      </c>
      <c r="Q686" s="30" t="n">
        <v>-39.5777078</v>
      </c>
      <c r="R686" s="14" t="inlineStr">
        <is>
          <t>AVENIDA ÁFRICA, Nº 127, BAIRRO DINAH BORGES, CEP 45830-124, EUNAPOLIS/BA</t>
        </is>
      </c>
      <c r="S686" s="26">
        <f>IF(A686=A685,0,1)</f>
        <v>0</v>
      </c>
      <c r="T686" s="26">
        <f>IF(COUNTIF($B$4:B686,B686)=1,1,0)</f>
        <v>0</v>
      </c>
    </row>
    <row r="687">
      <c r="A687" s="14" t="inlineStr">
        <is>
          <t>EUNÁPOLIS</t>
        </is>
      </c>
      <c r="B687" s="26" t="n">
        <v>188</v>
      </c>
      <c r="C687" s="26" t="n">
        <v>1724</v>
      </c>
      <c r="D687" s="14" t="inlineStr">
        <is>
          <t>ESCOLA ALMERINDO ALVES DOS SANTOS</t>
        </is>
      </c>
      <c r="E687" s="14" t="inlineStr">
        <is>
          <t>STELA REIS</t>
        </is>
      </c>
      <c r="F687" s="14" t="inlineStr">
        <is>
          <t>RUA DO FORNO, S/N - ZONA URBANA</t>
        </is>
      </c>
      <c r="G687" s="27" t="inlineStr">
        <is>
          <t>45823-020</t>
        </is>
      </c>
      <c r="H687" s="15" t="n">
        <v>3</v>
      </c>
      <c r="I687" s="28" t="inlineStr">
        <is>
          <t>NÃO</t>
        </is>
      </c>
      <c r="J687" s="29" t="n">
        <v>730.2</v>
      </c>
      <c r="K687" s="14" t="str">
        <f>IF(J687="","7. Acima de 2 km",IF(J687&lt;=50,"1. Até 50 m",IF(J687&lt;=100,"2. De 50 a 100 m",IF(J687&lt;=200,"3. De 100 a 200 m",IF(J687&lt;=300,"4. De 200 a 300 m",IF(J687&lt;=500,"5. De 300 a 500 m","6. De 500 m a 2 km"))))))</f>
        <v>6. De 500 m a 2 km</v>
      </c>
      <c r="L687" s="26" t="n">
        <v>0</v>
      </c>
      <c r="M687" s="26" t="n">
        <v>0</v>
      </c>
      <c r="N687" s="26" t="n">
        <v>0</v>
      </c>
      <c r="O687" s="26" t="n">
        <v>0</v>
      </c>
      <c r="P687" s="30" t="n">
        <v>-16.358994</v>
      </c>
      <c r="Q687" s="30" t="n">
        <v>-39.5766915</v>
      </c>
      <c r="R687" s="14" t="inlineStr">
        <is>
          <t>AVENIDA ÁFRICA, Nº 127, BAIRRO DINAH BORGES, CEP 45830-124, EUNAPOLIS/BA</t>
        </is>
      </c>
      <c r="S687" s="26">
        <f>IF(A687=A686,0,1)</f>
        <v>0</v>
      </c>
      <c r="T687" s="26">
        <f>IF(COUNTIF($B$4:B687,B687)=1,1,0)</f>
        <v>0</v>
      </c>
    </row>
    <row r="688">
      <c r="A688" s="14" t="inlineStr">
        <is>
          <t>EUNÁPOLIS</t>
        </is>
      </c>
      <c r="B688" s="26" t="n">
        <v>188</v>
      </c>
      <c r="C688" s="26" t="n">
        <v>1732</v>
      </c>
      <c r="D688" s="14" t="inlineStr">
        <is>
          <t>ESCOLA MUNICIPAL ALDENI PEREIRA DA SILVA</t>
        </is>
      </c>
      <c r="E688" s="14" t="inlineStr">
        <is>
          <t>DISTRITO MUNDO NOVO</t>
        </is>
      </c>
      <c r="F688" s="14" t="inlineStr">
        <is>
          <t>RUA DO CAMPO, S/N - ZONA RURAL</t>
        </is>
      </c>
      <c r="G688" s="27" t="inlineStr">
        <is>
          <t>45820-000</t>
        </is>
      </c>
      <c r="H688" s="15" t="n">
        <v>3</v>
      </c>
      <c r="I688" s="28" t="inlineStr">
        <is>
          <t>NÃO</t>
        </is>
      </c>
      <c r="J688" s="29" t="n"/>
      <c r="K688" s="14" t="str">
        <f>IF(J688="","7. Acima de 2 km",IF(J688&lt;=50,"1. Até 50 m",IF(J688&lt;=100,"2. De 50 a 100 m",IF(J688&lt;=200,"3. De 100 a 200 m",IF(J688&lt;=300,"4. De 200 a 300 m",IF(J688&lt;=500,"5. De 300 a 500 m","6. De 500 m a 2 km"))))))</f>
        <v>7. Acima de 2 km</v>
      </c>
      <c r="L688" s="26" t="n">
        <v>0</v>
      </c>
      <c r="M688" s="26" t="n">
        <v>0</v>
      </c>
      <c r="N688" s="26" t="n">
        <v>0</v>
      </c>
      <c r="O688" s="26" t="n">
        <v>0</v>
      </c>
      <c r="P688" s="30" t="n">
        <v>-16.2640599</v>
      </c>
      <c r="Q688" s="30" t="n">
        <v>-39.5835125</v>
      </c>
      <c r="R688" s="14" t="inlineStr">
        <is>
          <t>AVENIDA ÁFRICA, Nº 127, BAIRRO DINAH BORGES, CEP 45830-124, EUNAPOLIS/BA</t>
        </is>
      </c>
      <c r="S688" s="26">
        <f>IF(A688=A687,0,1)</f>
        <v>0</v>
      </c>
      <c r="T688" s="26">
        <f>IF(COUNTIF($B$4:B688,B688)=1,1,0)</f>
        <v>0</v>
      </c>
    </row>
    <row r="689">
      <c r="A689" s="14" t="inlineStr">
        <is>
          <t>EUNÁPOLIS</t>
        </is>
      </c>
      <c r="B689" s="26" t="n">
        <v>188</v>
      </c>
      <c r="C689" s="26" t="n">
        <v>1740</v>
      </c>
      <c r="D689" s="14" t="inlineStr">
        <is>
          <t>ESCOLA MUNICIPAL MARLENE BORGES DOS SANTOS QUEIROZ</t>
        </is>
      </c>
      <c r="E689" s="14" t="inlineStr">
        <is>
          <t>DISTRITO PROJETO MARAVILHA</t>
        </is>
      </c>
      <c r="F689" s="14" t="inlineStr">
        <is>
          <t>RODOVIA EUNÁPOLIS/BELMONTE KM 27- S/N- ZONA RURAL</t>
        </is>
      </c>
      <c r="G689" s="27" t="inlineStr">
        <is>
          <t>45820-970</t>
        </is>
      </c>
      <c r="H689" s="15" t="n">
        <v>3</v>
      </c>
      <c r="I689" s="28" t="inlineStr">
        <is>
          <t>NÃO</t>
        </is>
      </c>
      <c r="J689" s="29" t="n"/>
      <c r="K689" s="14" t="str">
        <f>IF(J689="","7. Acima de 2 km",IF(J689&lt;=50,"1. Até 50 m",IF(J689&lt;=100,"2. De 50 a 100 m",IF(J689&lt;=200,"3. De 100 a 200 m",IF(J689&lt;=300,"4. De 200 a 300 m",IF(J689&lt;=500,"5. De 300 a 500 m","6. De 500 m a 2 km"))))))</f>
        <v>7. Acima de 2 km</v>
      </c>
      <c r="L689" s="26" t="n">
        <v>0</v>
      </c>
      <c r="M689" s="26" t="n">
        <v>0</v>
      </c>
      <c r="N689" s="26" t="n">
        <v>0</v>
      </c>
      <c r="O689" s="26" t="n">
        <v>0</v>
      </c>
      <c r="P689" s="30" t="n">
        <v>-16.2506914</v>
      </c>
      <c r="Q689" s="30" t="n">
        <v>-39.4466693</v>
      </c>
      <c r="R689" s="14" t="inlineStr">
        <is>
          <t>AVENIDA ÁFRICA, Nº 127, BAIRRO DINAH BORGES, CEP 45830-124, EUNAPOLIS/BA</t>
        </is>
      </c>
      <c r="S689" s="26">
        <f>IF(A689=A688,0,1)</f>
        <v>0</v>
      </c>
      <c r="T689" s="26">
        <f>IF(COUNTIF($B$4:B689,B689)=1,1,0)</f>
        <v>0</v>
      </c>
    </row>
    <row r="690">
      <c r="A690" s="14" t="inlineStr">
        <is>
          <t>EUNÁPOLIS</t>
        </is>
      </c>
      <c r="B690" s="26" t="n">
        <v>188</v>
      </c>
      <c r="C690" s="26" t="n">
        <v>1759</v>
      </c>
      <c r="D690" s="14" t="inlineStr">
        <is>
          <t>ESCOLA ESTADUAL ELOYNA BARRADAS</t>
        </is>
      </c>
      <c r="E690" s="14" t="inlineStr">
        <is>
          <t>JUCA ROSA</t>
        </is>
      </c>
      <c r="F690" s="14" t="inlineStr">
        <is>
          <t>RUA MISS MARILEIA SN - ZONA URBANA</t>
        </is>
      </c>
      <c r="G690" s="27" t="inlineStr">
        <is>
          <t>45820-000</t>
        </is>
      </c>
      <c r="H690" s="15" t="n">
        <v>6</v>
      </c>
      <c r="I690" s="28" t="inlineStr">
        <is>
          <t>NÃO</t>
        </is>
      </c>
      <c r="J690" s="29" t="n">
        <v>552.1</v>
      </c>
      <c r="K690" s="14" t="str">
        <f>IF(J690="","7. Acima de 2 km",IF(J690&lt;=50,"1. Até 50 m",IF(J690&lt;=100,"2. De 50 a 100 m",IF(J690&lt;=200,"3. De 100 a 200 m",IF(J690&lt;=300,"4. De 200 a 300 m",IF(J690&lt;=500,"5. De 300 a 500 m","6. De 500 m a 2 km"))))))</f>
        <v>6. De 500 m a 2 km</v>
      </c>
      <c r="L690" s="26" t="n">
        <v>0</v>
      </c>
      <c r="M690" s="26" t="n">
        <v>0</v>
      </c>
      <c r="N690" s="26" t="n">
        <v>0</v>
      </c>
      <c r="O690" s="26" t="n">
        <v>0</v>
      </c>
      <c r="P690" s="30" t="n">
        <v>-16.3386231</v>
      </c>
      <c r="Q690" s="30" t="n">
        <v>-39.5769426</v>
      </c>
      <c r="R690" s="14" t="inlineStr">
        <is>
          <t>AVENIDA ÁFRICA, Nº 127, BAIRRO DINAH BORGES, CEP 45830-124, EUNAPOLIS/BA</t>
        </is>
      </c>
      <c r="S690" s="26">
        <f>IF(A690=A689,0,1)</f>
        <v>0</v>
      </c>
      <c r="T690" s="26">
        <f>IF(COUNTIF($B$4:B690,B690)=1,1,0)</f>
        <v>0</v>
      </c>
    </row>
    <row r="691">
      <c r="A691" s="14" t="inlineStr">
        <is>
          <t>EUNÁPOLIS</t>
        </is>
      </c>
      <c r="B691" s="26" t="n">
        <v>188</v>
      </c>
      <c r="C691" s="26" t="n">
        <v>1767</v>
      </c>
      <c r="D691" s="14" t="inlineStr">
        <is>
          <t>COLEGIO BADEN POWELL</t>
        </is>
      </c>
      <c r="E691" s="14" t="inlineStr">
        <is>
          <t>MOISES REIS</t>
        </is>
      </c>
      <c r="F691" s="14" t="inlineStr">
        <is>
          <t>RUA PINHEIROS, S/N - ZONA URBANA</t>
        </is>
      </c>
      <c r="G691" s="27" t="inlineStr">
        <is>
          <t>45820-970</t>
        </is>
      </c>
      <c r="H691" s="15" t="n">
        <v>9</v>
      </c>
      <c r="I691" s="28" t="inlineStr">
        <is>
          <t>NÃO</t>
        </is>
      </c>
      <c r="J691" s="29" t="n">
        <v>390.6</v>
      </c>
      <c r="K691" s="14" t="str">
        <f>IF(J691="","7. Acima de 2 km",IF(J691&lt;=50,"1. Até 50 m",IF(J691&lt;=100,"2. De 50 a 100 m",IF(J691&lt;=200,"3. De 100 a 200 m",IF(J691&lt;=300,"4. De 200 a 300 m",IF(J691&lt;=500,"5. De 300 a 500 m","6. De 500 m a 2 km"))))))</f>
        <v>5. De 300 a 500 m</v>
      </c>
      <c r="L691" s="26" t="n">
        <v>0</v>
      </c>
      <c r="M691" s="26" t="n">
        <v>0</v>
      </c>
      <c r="N691" s="26" t="n">
        <v>0</v>
      </c>
      <c r="O691" s="26" t="n">
        <v>0</v>
      </c>
      <c r="P691" s="30" t="n">
        <v>-16.3623721</v>
      </c>
      <c r="Q691" s="30" t="n">
        <v>-39.5777513</v>
      </c>
      <c r="R691" s="14" t="inlineStr">
        <is>
          <t>AVENIDA ÁFRICA, Nº 127, BAIRRO DINAH BORGES, CEP 45830-124, EUNAPOLIS/BA</t>
        </is>
      </c>
      <c r="S691" s="26">
        <f>IF(A691=A690,0,1)</f>
        <v>0</v>
      </c>
      <c r="T691" s="26">
        <f>IF(COUNTIF($B$4:B691,B691)=1,1,0)</f>
        <v>0</v>
      </c>
    </row>
    <row r="692">
      <c r="A692" s="14" t="inlineStr">
        <is>
          <t>EUNÁPOLIS</t>
        </is>
      </c>
      <c r="B692" s="26" t="n">
        <v>188</v>
      </c>
      <c r="C692" s="26" t="n">
        <v>1775</v>
      </c>
      <c r="D692" s="14" t="inlineStr">
        <is>
          <t>ESCOLA MUNICIPAL JOSÉ DE ARAUJO SANTANA</t>
        </is>
      </c>
      <c r="E692" s="14" t="inlineStr">
        <is>
          <t>ROSA NETO</t>
        </is>
      </c>
      <c r="F692" s="14" t="inlineStr">
        <is>
          <t>RUA OSVALDO BONFIM SN - ZONA URBANA</t>
        </is>
      </c>
      <c r="G692" s="27" t="inlineStr">
        <is>
          <t>45820-970</t>
        </is>
      </c>
      <c r="H692" s="15" t="n">
        <v>3</v>
      </c>
      <c r="I692" s="28" t="inlineStr">
        <is>
          <t>NÃO</t>
        </is>
      </c>
      <c r="J692" s="29" t="n">
        <v>1348</v>
      </c>
      <c r="K692" s="14" t="str">
        <f>IF(J692="","7. Acima de 2 km",IF(J692&lt;=50,"1. Até 50 m",IF(J692&lt;=100,"2. De 50 a 100 m",IF(J692&lt;=200,"3. De 100 a 200 m",IF(J692&lt;=300,"4. De 200 a 300 m",IF(J692&lt;=500,"5. De 300 a 500 m","6. De 500 m a 2 km"))))))</f>
        <v>6. De 500 m a 2 km</v>
      </c>
      <c r="L692" s="26" t="n">
        <v>0</v>
      </c>
      <c r="M692" s="26" t="n">
        <v>0</v>
      </c>
      <c r="N692" s="26" t="n">
        <v>0</v>
      </c>
      <c r="O692" s="26" t="n">
        <v>0</v>
      </c>
      <c r="P692" s="30" t="n">
        <v>-16.3474991</v>
      </c>
      <c r="Q692" s="30" t="n">
        <v>-39.5771893</v>
      </c>
      <c r="R692" s="14" t="inlineStr">
        <is>
          <t>AVENIDA ÁFRICA, Nº 127, BAIRRO DINAH BORGES, CEP 45830-124, EUNAPOLIS/BA</t>
        </is>
      </c>
      <c r="S692" s="26">
        <f>IF(A692=A691,0,1)</f>
        <v>0</v>
      </c>
      <c r="T692" s="26">
        <f>IF(COUNTIF($B$4:B692,B692)=1,1,0)</f>
        <v>0</v>
      </c>
    </row>
    <row r="693">
      <c r="A693" s="14" t="inlineStr">
        <is>
          <t>EUNÁPOLIS</t>
        </is>
      </c>
      <c r="B693" s="26" t="n">
        <v>188</v>
      </c>
      <c r="C693" s="26" t="n">
        <v>1813</v>
      </c>
      <c r="D693" s="14" t="inlineStr">
        <is>
          <t>PRISIONAL - CONJUNTO PENAL DE EUNÁPOLIS</t>
        </is>
      </c>
      <c r="E693" s="14" t="inlineStr">
        <is>
          <t>JUCA ROSA</t>
        </is>
      </c>
      <c r="F693" s="14" t="inlineStr">
        <is>
          <t>FAZENDA MARIA MARIA, S/N - ZONA URBANA</t>
        </is>
      </c>
      <c r="G693" s="27" t="inlineStr">
        <is>
          <t>45820-000</t>
        </is>
      </c>
      <c r="H693" s="15" t="n">
        <v>1</v>
      </c>
      <c r="I693" s="28" t="inlineStr">
        <is>
          <t>SIM</t>
        </is>
      </c>
      <c r="J693" s="29" t="n">
        <v>21.5</v>
      </c>
      <c r="K693" s="14" t="str">
        <f>IF(J693="","7. Acima de 2 km",IF(J693&lt;=50,"1. Até 50 m",IF(J693&lt;=100,"2. De 50 a 100 m",IF(J693&lt;=200,"3. De 100 a 200 m",IF(J693&lt;=300,"4. De 200 a 300 m",IF(J693&lt;=500,"5. De 300 a 500 m","6. De 500 m a 2 km"))))))</f>
        <v>1. Até 50 m</v>
      </c>
      <c r="L693" s="26" t="n">
        <v>2</v>
      </c>
      <c r="M693" s="26" t="n">
        <v>2</v>
      </c>
      <c r="N693" s="26" t="n">
        <v>2</v>
      </c>
      <c r="O693" s="26" t="n">
        <v>2</v>
      </c>
      <c r="P693" s="30" t="n">
        <v>-16.3365524</v>
      </c>
      <c r="Q693" s="30" t="n">
        <v>-39.5607106</v>
      </c>
      <c r="R693" s="14" t="inlineStr">
        <is>
          <t>AVENIDA ÁFRICA, Nº 127, BAIRRO DINAH BORGES, CEP 45830-124, EUNAPOLIS/BA</t>
        </is>
      </c>
      <c r="S693" s="26">
        <f>IF(A693=A692,0,1)</f>
        <v>0</v>
      </c>
      <c r="T693" s="26">
        <f>IF(COUNTIF($B$4:B693,B693)=1,1,0)</f>
        <v>0</v>
      </c>
    </row>
    <row r="694">
      <c r="A694" s="14" t="inlineStr">
        <is>
          <t>EUNÁPOLIS</t>
        </is>
      </c>
      <c r="B694" s="26" t="n">
        <v>188</v>
      </c>
      <c r="C694" s="26" t="n">
        <v>1848</v>
      </c>
      <c r="D694" s="14" t="inlineStr">
        <is>
          <t>ESCOLA MUNICIPAL PAULO FREIRE</t>
        </is>
      </c>
      <c r="E694" s="14" t="inlineStr">
        <is>
          <t>THIAGO DE MELLO I</t>
        </is>
      </c>
      <c r="F694" s="14" t="inlineStr">
        <is>
          <t>AVENIDA PAULO AFONSO, S/N  - ZONA URBANA</t>
        </is>
      </c>
      <c r="G694" s="27" t="inlineStr">
        <is>
          <t>45826-368</t>
        </is>
      </c>
      <c r="H694" s="15" t="n">
        <v>4</v>
      </c>
      <c r="I694" s="28" t="inlineStr">
        <is>
          <t>NÃO</t>
        </is>
      </c>
      <c r="J694" s="29" t="n">
        <v>1384.6</v>
      </c>
      <c r="K694" s="14" t="str">
        <f>IF(J694="","7. Acima de 2 km",IF(J694&lt;=50,"1. Até 50 m",IF(J694&lt;=100,"2. De 50 a 100 m",IF(J694&lt;=200,"3. De 100 a 200 m",IF(J694&lt;=300,"4. De 200 a 300 m",IF(J694&lt;=500,"5. De 300 a 500 m","6. De 500 m a 2 km"))))))</f>
        <v>6. De 500 m a 2 km</v>
      </c>
      <c r="L694" s="26" t="n">
        <v>0</v>
      </c>
      <c r="M694" s="26" t="n">
        <v>0</v>
      </c>
      <c r="N694" s="26" t="n">
        <v>0</v>
      </c>
      <c r="O694" s="26" t="n">
        <v>0</v>
      </c>
      <c r="P694" s="30" t="n">
        <v>-16.3488735</v>
      </c>
      <c r="Q694" s="30" t="n">
        <v>-39.5635024</v>
      </c>
      <c r="R694" s="14" t="inlineStr">
        <is>
          <t>AVENIDA ÁFRICA, Nº 127, BAIRRO DINAH BORGES, CEP 45830-124, EUNAPOLIS/BA</t>
        </is>
      </c>
      <c r="S694" s="26">
        <f>IF(A694=A693,0,1)</f>
        <v>0</v>
      </c>
      <c r="T694" s="26">
        <f>IF(COUNTIF($B$4:B694,B694)=1,1,0)</f>
        <v>0</v>
      </c>
    </row>
    <row r="695">
      <c r="A695" s="14" t="inlineStr">
        <is>
          <t>EUNÁPOLIS</t>
        </is>
      </c>
      <c r="B695" s="26" t="n">
        <v>188</v>
      </c>
      <c r="C695" s="26" t="n">
        <v>1856</v>
      </c>
      <c r="D695" s="14" t="inlineStr">
        <is>
          <t>ESCOLA MODELO MUNICIPAL EUNICE REIS</t>
        </is>
      </c>
      <c r="E695" s="14" t="inlineStr">
        <is>
          <t>MOISES REIS</t>
        </is>
      </c>
      <c r="F695" s="14" t="inlineStr">
        <is>
          <t>RUA PARAÍSO 153 - ZONA URBANA</t>
        </is>
      </c>
      <c r="G695" s="27" t="inlineStr">
        <is>
          <t>45826-021</t>
        </is>
      </c>
      <c r="H695" s="15" t="n">
        <v>9</v>
      </c>
      <c r="I695" s="28" t="inlineStr">
        <is>
          <t>NÃO</t>
        </is>
      </c>
      <c r="J695" s="29" t="n">
        <v>317.1</v>
      </c>
      <c r="K695" s="14" t="str">
        <f>IF(J695="","7. Acima de 2 km",IF(J695&lt;=50,"1. Até 50 m",IF(J695&lt;=100,"2. De 50 a 100 m",IF(J695&lt;=200,"3. De 100 a 200 m",IF(J695&lt;=300,"4. De 200 a 300 m",IF(J695&lt;=500,"5. De 300 a 500 m","6. De 500 m a 2 km"))))))</f>
        <v>5. De 300 a 500 m</v>
      </c>
      <c r="L695" s="26" t="n">
        <v>0</v>
      </c>
      <c r="M695" s="26" t="n">
        <v>0</v>
      </c>
      <c r="N695" s="26" t="n">
        <v>0</v>
      </c>
      <c r="O695" s="26" t="n">
        <v>0</v>
      </c>
      <c r="P695" s="30" t="n">
        <v>-16.3623425</v>
      </c>
      <c r="Q695" s="30" t="n">
        <v>-39.5786165</v>
      </c>
      <c r="R695" s="14" t="inlineStr">
        <is>
          <t>AVENIDA ÁFRICA, Nº 127, BAIRRO DINAH BORGES, CEP 45830-124, EUNAPOLIS/BA</t>
        </is>
      </c>
      <c r="S695" s="26">
        <f>IF(A695=A694,0,1)</f>
        <v>0</v>
      </c>
      <c r="T695" s="26">
        <f>IF(COUNTIF($B$4:B695,B695)=1,1,0)</f>
        <v>0</v>
      </c>
    </row>
    <row r="696">
      <c r="A696" s="14" t="inlineStr">
        <is>
          <t>EUNÁPOLIS</t>
        </is>
      </c>
      <c r="B696" s="26" t="n">
        <v>203</v>
      </c>
      <c r="C696" s="26" t="n">
        <v>1015</v>
      </c>
      <c r="D696" s="14" t="inlineStr">
        <is>
          <t>ESCOLA MUNICIPAL NILZA BARBOSA DE OLIVEIRA</t>
        </is>
      </c>
      <c r="E696" s="14" t="inlineStr">
        <is>
          <t>PEQUI</t>
        </is>
      </c>
      <c r="F696" s="14" t="inlineStr">
        <is>
          <t>RUA BELMONTE, S/N - ZONA URBANA</t>
        </is>
      </c>
      <c r="G696" s="27" t="inlineStr">
        <is>
          <t>45824-040</t>
        </is>
      </c>
      <c r="H696" s="15" t="n">
        <v>18</v>
      </c>
      <c r="I696" s="28" t="inlineStr">
        <is>
          <t>NÃO</t>
        </is>
      </c>
      <c r="J696" s="29" t="n">
        <v>290.3</v>
      </c>
      <c r="K696" s="14" t="str">
        <f>IF(J696="","7. Acima de 2 km",IF(J696&lt;=50,"1. Até 50 m",IF(J696&lt;=100,"2. De 50 a 100 m",IF(J696&lt;=200,"3. De 100 a 200 m",IF(J696&lt;=300,"4. De 200 a 300 m",IF(J696&lt;=500,"5. De 300 a 500 m","6. De 500 m a 2 km"))))))</f>
        <v>4. De 200 a 300 m</v>
      </c>
      <c r="L696" s="26" t="n">
        <v>0</v>
      </c>
      <c r="M696" s="26" t="n">
        <v>0</v>
      </c>
      <c r="N696" s="26" t="n">
        <v>0</v>
      </c>
      <c r="O696" s="26" t="n">
        <v>1</v>
      </c>
      <c r="P696" s="30" t="n">
        <v>-16.3680961</v>
      </c>
      <c r="Q696" s="30" t="n">
        <v>-39.5793433</v>
      </c>
      <c r="R696" s="14" t="inlineStr">
        <is>
          <t>AVENIDA ÁFRICA, Nº 127, BAIRRO DINAH BORGES, CEP 45830-124</t>
        </is>
      </c>
      <c r="S696" s="26">
        <f>IF(A696=A695,0,1)</f>
        <v>0</v>
      </c>
      <c r="T696" s="26">
        <f>IF(COUNTIF($B$4:B696,B696)=1,1,0)</f>
        <v>1</v>
      </c>
    </row>
    <row r="697">
      <c r="A697" s="14" t="inlineStr">
        <is>
          <t>EUNÁPOLIS</t>
        </is>
      </c>
      <c r="B697" s="26" t="n">
        <v>203</v>
      </c>
      <c r="C697" s="26" t="n">
        <v>1031</v>
      </c>
      <c r="D697" s="14" t="inlineStr">
        <is>
          <t>ESCOLA MUNICIPAL JOSE VICTOR</t>
        </is>
      </c>
      <c r="E697" s="14" t="inlineStr">
        <is>
          <t>MINAS GERAIS</t>
        </is>
      </c>
      <c r="F697" s="14" t="inlineStr">
        <is>
          <t>PRACA DO MINAS GERAIS, S/N - ZONA URBANA</t>
        </is>
      </c>
      <c r="G697" s="27" t="inlineStr">
        <is>
          <t>45820-970</t>
        </is>
      </c>
      <c r="H697" s="15" t="n">
        <v>7</v>
      </c>
      <c r="I697" s="28" t="inlineStr">
        <is>
          <t>SIM</t>
        </is>
      </c>
      <c r="J697" s="29" t="n">
        <v>39.6</v>
      </c>
      <c r="K697" s="14" t="str">
        <f>IF(J697="","7. Acima de 2 km",IF(J697&lt;=50,"1. Até 50 m",IF(J697&lt;=100,"2. De 50 a 100 m",IF(J697&lt;=200,"3. De 100 a 200 m",IF(J697&lt;=300,"4. De 200 a 300 m",IF(J697&lt;=500,"5. De 300 a 500 m","6. De 500 m a 2 km"))))))</f>
        <v>1. Até 50 m</v>
      </c>
      <c r="L697" s="26" t="n">
        <v>1</v>
      </c>
      <c r="M697" s="26" t="n">
        <v>1</v>
      </c>
      <c r="N697" s="26" t="n">
        <v>1</v>
      </c>
      <c r="O697" s="26" t="n">
        <v>1</v>
      </c>
      <c r="P697" s="30" t="n">
        <v>-16.3790558</v>
      </c>
      <c r="Q697" s="30" t="n">
        <v>-39.5834933</v>
      </c>
      <c r="R697" s="14" t="inlineStr">
        <is>
          <t>AVENIDA ÁFRICA, Nº 127, BAIRRO DINAH BORGES, CEP 45830-124</t>
        </is>
      </c>
      <c r="S697" s="26">
        <f>IF(A697=A696,0,1)</f>
        <v>0</v>
      </c>
      <c r="T697" s="26">
        <f>IF(COUNTIF($B$4:B697,B697)=1,1,0)</f>
        <v>0</v>
      </c>
    </row>
    <row r="698">
      <c r="A698" s="14" t="inlineStr">
        <is>
          <t>EUNÁPOLIS</t>
        </is>
      </c>
      <c r="B698" s="26" t="n">
        <v>203</v>
      </c>
      <c r="C698" s="26" t="n">
        <v>1040</v>
      </c>
      <c r="D698" s="14" t="inlineStr">
        <is>
          <t>ESCOLA RODRIGO BONFIM</t>
        </is>
      </c>
      <c r="E698" s="14" t="inlineStr">
        <is>
          <t>PEQUI</t>
        </is>
      </c>
      <c r="F698" s="14" t="inlineStr">
        <is>
          <t>RUA SANTA RITA DE CÁSSIA S/N - ZONA URBANA</t>
        </is>
      </c>
      <c r="G698" s="27" t="inlineStr">
        <is>
          <t>45820-000</t>
        </is>
      </c>
      <c r="H698" s="15" t="n">
        <v>5</v>
      </c>
      <c r="I698" s="28" t="inlineStr">
        <is>
          <t>NÃO</t>
        </is>
      </c>
      <c r="J698" s="29" t="n">
        <v>549.7</v>
      </c>
      <c r="K698" s="14" t="str">
        <f>IF(J698="","7. Acima de 2 km",IF(J698&lt;=50,"1. Até 50 m",IF(J698&lt;=100,"2. De 50 a 100 m",IF(J698&lt;=200,"3. De 100 a 200 m",IF(J698&lt;=300,"4. De 200 a 300 m",IF(J698&lt;=500,"5. De 300 a 500 m","6. De 500 m a 2 km"))))))</f>
        <v>6. De 500 m a 2 km</v>
      </c>
      <c r="L698" s="26" t="n">
        <v>0</v>
      </c>
      <c r="M698" s="26" t="n">
        <v>0</v>
      </c>
      <c r="N698" s="26" t="n">
        <v>0</v>
      </c>
      <c r="O698" s="26" t="n">
        <v>0</v>
      </c>
      <c r="P698" s="30" t="n">
        <v>-16.3685365</v>
      </c>
      <c r="Q698" s="30" t="n">
        <v>-39.5667965</v>
      </c>
      <c r="R698" s="14" t="inlineStr">
        <is>
          <t>AVENIDA ÁFRICA, Nº 127, BAIRRO DINAH BORGES, CEP 45830-124</t>
        </is>
      </c>
      <c r="S698" s="26">
        <f>IF(A698=A697,0,1)</f>
        <v>0</v>
      </c>
      <c r="T698" s="26">
        <f>IF(COUNTIF($B$4:B698,B698)=1,1,0)</f>
        <v>0</v>
      </c>
    </row>
    <row r="699">
      <c r="A699" s="14" t="inlineStr">
        <is>
          <t>EUNÁPOLIS</t>
        </is>
      </c>
      <c r="B699" s="26" t="n">
        <v>203</v>
      </c>
      <c r="C699" s="26" t="n">
        <v>1147</v>
      </c>
      <c r="D699" s="14" t="inlineStr">
        <is>
          <t>ESCOLA LUIZ LÁZARO ZAMENHOF</t>
        </is>
      </c>
      <c r="E699" s="14" t="inlineStr">
        <is>
          <t>PEQUI</t>
        </is>
      </c>
      <c r="F699" s="14" t="inlineStr">
        <is>
          <t>RUA NOSSA SENHORA DE FÁTIMA, S/N - ZONA URBANA</t>
        </is>
      </c>
      <c r="G699" s="27" t="inlineStr">
        <is>
          <t>45824-234</t>
        </is>
      </c>
      <c r="H699" s="15" t="n">
        <v>8</v>
      </c>
      <c r="I699" s="28" t="inlineStr">
        <is>
          <t>SIM</t>
        </is>
      </c>
      <c r="J699" s="29" t="n">
        <v>38.8</v>
      </c>
      <c r="K699" s="14" t="str">
        <f>IF(J699="","7. Acima de 2 km",IF(J699&lt;=50,"1. Até 50 m",IF(J699&lt;=100,"2. De 50 a 100 m",IF(J699&lt;=200,"3. De 100 a 200 m",IF(J699&lt;=300,"4. De 200 a 300 m",IF(J699&lt;=500,"5. De 300 a 500 m","6. De 500 m a 2 km"))))))</f>
        <v>1. Até 50 m</v>
      </c>
      <c r="L699" s="26" t="n">
        <v>1</v>
      </c>
      <c r="M699" s="26" t="n">
        <v>1</v>
      </c>
      <c r="N699" s="26" t="n">
        <v>1</v>
      </c>
      <c r="O699" s="26" t="n">
        <v>1</v>
      </c>
      <c r="P699" s="30" t="n">
        <v>-16.3790673</v>
      </c>
      <c r="Q699" s="30" t="n">
        <v>-39.5834807</v>
      </c>
      <c r="R699" s="14" t="inlineStr">
        <is>
          <t>AVENIDA ÁFRICA, Nº 127, BAIRRO DINAH BORGES, CEP 45830-124</t>
        </is>
      </c>
      <c r="S699" s="26">
        <f>IF(A699=A698,0,1)</f>
        <v>0</v>
      </c>
      <c r="T699" s="26">
        <f>IF(COUNTIF($B$4:B699,B699)=1,1,0)</f>
        <v>0</v>
      </c>
    </row>
    <row r="700">
      <c r="A700" s="14" t="inlineStr">
        <is>
          <t>EUNÁPOLIS</t>
        </is>
      </c>
      <c r="B700" s="26" t="n">
        <v>203</v>
      </c>
      <c r="C700" s="26" t="n">
        <v>1210</v>
      </c>
      <c r="D700" s="14" t="inlineStr">
        <is>
          <t>ESCOLA ISABEL ARAÚJO</t>
        </is>
      </c>
      <c r="E700" s="14" t="inlineStr">
        <is>
          <t>SANTA ISABEL</t>
        </is>
      </c>
      <c r="F700" s="14" t="inlineStr">
        <is>
          <t>RUA 8, S/N - PARQUE RESIDENCIAL SANTA ISABEL - ZONA URBANA</t>
        </is>
      </c>
      <c r="G700" s="27" t="inlineStr">
        <is>
          <t>45820-000</t>
        </is>
      </c>
      <c r="H700" s="15" t="n">
        <v>4</v>
      </c>
      <c r="I700" s="28" t="inlineStr">
        <is>
          <t>NÃO</t>
        </is>
      </c>
      <c r="J700" s="29" t="n">
        <v>839.4</v>
      </c>
      <c r="K700" s="14" t="str">
        <f>IF(J700="","7. Acima de 2 km",IF(J700&lt;=50,"1. Até 50 m",IF(J700&lt;=100,"2. De 50 a 100 m",IF(J700&lt;=200,"3. De 100 a 200 m",IF(J700&lt;=300,"4. De 200 a 300 m",IF(J700&lt;=500,"5. De 300 a 500 m","6. De 500 m a 2 km"))))))</f>
        <v>6. De 500 m a 2 km</v>
      </c>
      <c r="L700" s="26" t="n">
        <v>0</v>
      </c>
      <c r="M700" s="26" t="n">
        <v>0</v>
      </c>
      <c r="N700" s="26" t="n">
        <v>0</v>
      </c>
      <c r="O700" s="26" t="n">
        <v>0</v>
      </c>
      <c r="P700" s="30" t="n">
        <v>-16.3645623</v>
      </c>
      <c r="Q700" s="30" t="n">
        <v>-39.5559907</v>
      </c>
      <c r="R700" s="14" t="inlineStr">
        <is>
          <t>AVENIDA ÁFRICA, Nº 127, BAIRRO DINAH BORGES, CEP 45830-124</t>
        </is>
      </c>
      <c r="S700" s="26">
        <f>IF(A700=A699,0,1)</f>
        <v>0</v>
      </c>
      <c r="T700" s="26">
        <f>IF(COUNTIF($B$4:B700,B700)=1,1,0)</f>
        <v>0</v>
      </c>
    </row>
    <row r="701">
      <c r="A701" s="14" t="inlineStr">
        <is>
          <t>EUNÁPOLIS</t>
        </is>
      </c>
      <c r="B701" s="26" t="n">
        <v>203</v>
      </c>
      <c r="C701" s="26" t="n">
        <v>1236</v>
      </c>
      <c r="D701" s="14" t="inlineStr">
        <is>
          <t>ESCOLA ANÍSIO TEIXEIRA</t>
        </is>
      </c>
      <c r="E701" s="14" t="inlineStr">
        <is>
          <t>CENTRO</t>
        </is>
      </c>
      <c r="F701" s="14" t="inlineStr">
        <is>
          <t>RUA ROBERTO SANTOS, S/N - ZONA URBANA</t>
        </is>
      </c>
      <c r="G701" s="27" t="inlineStr">
        <is>
          <t>45820-510</t>
        </is>
      </c>
      <c r="H701" s="15" t="n">
        <v>9</v>
      </c>
      <c r="I701" s="28" t="inlineStr">
        <is>
          <t>NÃO</t>
        </is>
      </c>
      <c r="J701" s="29" t="n">
        <v>356.4</v>
      </c>
      <c r="K701" s="14" t="str">
        <f>IF(J701="","7. Acima de 2 km",IF(J701&lt;=50,"1. Até 50 m",IF(J701&lt;=100,"2. De 50 a 100 m",IF(J701&lt;=200,"3. De 100 a 200 m",IF(J701&lt;=300,"4. De 200 a 300 m",IF(J701&lt;=500,"5. De 300 a 500 m","6. De 500 m a 2 km"))))))</f>
        <v>5. De 300 a 500 m</v>
      </c>
      <c r="L701" s="26" t="n">
        <v>0</v>
      </c>
      <c r="M701" s="26" t="n">
        <v>0</v>
      </c>
      <c r="N701" s="26" t="n">
        <v>0</v>
      </c>
      <c r="O701" s="26" t="n">
        <v>0</v>
      </c>
      <c r="P701" s="30" t="n">
        <v>-16.3838559</v>
      </c>
      <c r="Q701" s="30" t="n">
        <v>-39.5878636</v>
      </c>
      <c r="R701" s="14" t="inlineStr">
        <is>
          <t>AVENIDA ÁFRICA, Nº 127, BAIRRO DINAH BORGES, CEP 45830-124</t>
        </is>
      </c>
      <c r="S701" s="26">
        <f>IF(A701=A700,0,1)</f>
        <v>0</v>
      </c>
      <c r="T701" s="26">
        <f>IF(COUNTIF($B$4:B701,B701)=1,1,0)</f>
        <v>0</v>
      </c>
    </row>
    <row r="702">
      <c r="A702" s="14" t="inlineStr">
        <is>
          <t>EUNÁPOLIS</t>
        </is>
      </c>
      <c r="B702" s="26" t="n">
        <v>203</v>
      </c>
      <c r="C702" s="26" t="n">
        <v>1244</v>
      </c>
      <c r="D702" s="14" t="inlineStr">
        <is>
          <t>COLEGIO COEDUC</t>
        </is>
      </c>
      <c r="E702" s="14" t="inlineStr">
        <is>
          <t>CENTAURO</t>
        </is>
      </c>
      <c r="F702" s="14" t="inlineStr">
        <is>
          <t>AV IPIRANGA, S/N - ZONA URBANA</t>
        </is>
      </c>
      <c r="G702" s="27" t="inlineStr">
        <is>
          <t>45822-180</t>
        </is>
      </c>
      <c r="H702" s="15" t="n">
        <v>12</v>
      </c>
      <c r="I702" s="28" t="inlineStr">
        <is>
          <t>NÃO</t>
        </is>
      </c>
      <c r="J702" s="29" t="n">
        <v>605.2</v>
      </c>
      <c r="K702" s="14" t="str">
        <f>IF(J702="","7. Acima de 2 km",IF(J702&lt;=50,"1. Até 50 m",IF(J702&lt;=100,"2. De 50 a 100 m",IF(J702&lt;=200,"3. De 100 a 200 m",IF(J702&lt;=300,"4. De 200 a 300 m",IF(J702&lt;=500,"5. De 300 a 500 m","6. De 500 m a 2 km"))))))</f>
        <v>6. De 500 m a 2 km</v>
      </c>
      <c r="L702" s="26" t="n">
        <v>0</v>
      </c>
      <c r="M702" s="26" t="n">
        <v>0</v>
      </c>
      <c r="N702" s="26" t="n">
        <v>0</v>
      </c>
      <c r="O702" s="26" t="n">
        <v>0</v>
      </c>
      <c r="P702" s="30" t="n">
        <v>-16.3646079</v>
      </c>
      <c r="Q702" s="30" t="n">
        <v>-39.591406</v>
      </c>
      <c r="R702" s="14" t="inlineStr">
        <is>
          <t>AVENIDA ÁFRICA, Nº 127, BAIRRO DINAH BORGES, CEP 45830-124</t>
        </is>
      </c>
      <c r="S702" s="26">
        <f>IF(A702=A701,0,1)</f>
        <v>0</v>
      </c>
      <c r="T702" s="26">
        <f>IF(COUNTIF($B$4:B702,B702)=1,1,0)</f>
        <v>0</v>
      </c>
    </row>
    <row r="703">
      <c r="A703" s="14" t="inlineStr">
        <is>
          <t>EUNÁPOLIS</t>
        </is>
      </c>
      <c r="B703" s="26" t="n">
        <v>203</v>
      </c>
      <c r="C703" s="26" t="n">
        <v>1252</v>
      </c>
      <c r="D703" s="14" t="inlineStr">
        <is>
          <t>ESCOLA GABRIEL JOSÉ PEREIRA</t>
        </is>
      </c>
      <c r="E703" s="14" t="inlineStr">
        <is>
          <t>CENTAURO</t>
        </is>
      </c>
      <c r="F703" s="14" t="inlineStr">
        <is>
          <t>RUA G, 127 - ZONA URBANA</t>
        </is>
      </c>
      <c r="G703" s="27" t="inlineStr">
        <is>
          <t>45820-000</t>
        </is>
      </c>
      <c r="H703" s="15" t="n">
        <v>10</v>
      </c>
      <c r="I703" s="28" t="inlineStr">
        <is>
          <t>NÃO</t>
        </is>
      </c>
      <c r="J703" s="29" t="n">
        <v>618.2</v>
      </c>
      <c r="K703" s="14" t="str">
        <f>IF(J703="","7. Acima de 2 km",IF(J703&lt;=50,"1. Até 50 m",IF(J703&lt;=100,"2. De 50 a 100 m",IF(J703&lt;=200,"3. De 100 a 200 m",IF(J703&lt;=300,"4. De 200 a 300 m",IF(J703&lt;=500,"5. De 300 a 500 m","6. De 500 m a 2 km"))))))</f>
        <v>6. De 500 m a 2 km</v>
      </c>
      <c r="L703" s="26" t="n">
        <v>0</v>
      </c>
      <c r="M703" s="26" t="n">
        <v>0</v>
      </c>
      <c r="N703" s="26" t="n">
        <v>0</v>
      </c>
      <c r="O703" s="26" t="n">
        <v>0</v>
      </c>
      <c r="P703" s="30" t="n">
        <v>-16.3666616</v>
      </c>
      <c r="Q703" s="30" t="n">
        <v>-39.5911685</v>
      </c>
      <c r="R703" s="14" t="inlineStr">
        <is>
          <t>AVENIDA ÁFRICA, Nº 127, BAIRRO DINAH BORGES, CEP 45830-124</t>
        </is>
      </c>
      <c r="S703" s="26">
        <f>IF(A703=A702,0,1)</f>
        <v>0</v>
      </c>
      <c r="T703" s="26">
        <f>IF(COUNTIF($B$4:B703,B703)=1,1,0)</f>
        <v>0</v>
      </c>
    </row>
    <row r="704">
      <c r="A704" s="14" t="inlineStr">
        <is>
          <t>EUNÁPOLIS</t>
        </is>
      </c>
      <c r="B704" s="26" t="n">
        <v>203</v>
      </c>
      <c r="C704" s="26" t="n">
        <v>1279</v>
      </c>
      <c r="D704" s="14" t="inlineStr">
        <is>
          <t>CETEPES II - COLÉGIO MODELO LUÍS EDUARDO MAGALHÃES</t>
        </is>
      </c>
      <c r="E704" s="14" t="inlineStr">
        <is>
          <t>DINAH BORGES</t>
        </is>
      </c>
      <c r="F704" s="14" t="inlineStr">
        <is>
          <t>AV. ALEXANDRIA S/N - ZONA URBANA</t>
        </is>
      </c>
      <c r="G704" s="27" t="inlineStr">
        <is>
          <t>45820-970</t>
        </is>
      </c>
      <c r="H704" s="15" t="n">
        <v>14</v>
      </c>
      <c r="I704" s="28" t="inlineStr">
        <is>
          <t>SIM</t>
        </is>
      </c>
      <c r="J704" s="29" t="n">
        <v>17.9</v>
      </c>
      <c r="K704" s="14" t="str">
        <f>IF(J704="","7. Acima de 2 km",IF(J704&lt;=50,"1. Até 50 m",IF(J704&lt;=100,"2. De 50 a 100 m",IF(J704&lt;=200,"3. De 100 a 200 m",IF(J704&lt;=300,"4. De 200 a 300 m",IF(J704&lt;=500,"5. De 300 a 500 m","6. De 500 m a 2 km"))))))</f>
        <v>1. Até 50 m</v>
      </c>
      <c r="L704" s="26" t="n">
        <v>1</v>
      </c>
      <c r="M704" s="26" t="n">
        <v>1</v>
      </c>
      <c r="N704" s="26" t="n">
        <v>2</v>
      </c>
      <c r="O704" s="26" t="n">
        <v>7</v>
      </c>
      <c r="P704" s="30" t="n">
        <v>-16.3727988</v>
      </c>
      <c r="Q704" s="30" t="n">
        <v>-39.5832963</v>
      </c>
      <c r="R704" s="14" t="inlineStr">
        <is>
          <t>AVENIDA ÁFRICA, Nº 127, BAIRRO DINAH BORGES, CEP 45830-124</t>
        </is>
      </c>
      <c r="S704" s="26">
        <f>IF(A704=A703,0,1)</f>
        <v>0</v>
      </c>
      <c r="T704" s="26">
        <f>IF(COUNTIF($B$4:B704,B704)=1,1,0)</f>
        <v>0</v>
      </c>
    </row>
    <row r="705">
      <c r="A705" s="14" t="inlineStr">
        <is>
          <t>EUNÁPOLIS</t>
        </is>
      </c>
      <c r="B705" s="26" t="n">
        <v>203</v>
      </c>
      <c r="C705" s="26" t="n">
        <v>1295</v>
      </c>
      <c r="D705" s="14" t="inlineStr">
        <is>
          <t>ESCOLINHA KENNEDY</t>
        </is>
      </c>
      <c r="E705" s="14" t="inlineStr">
        <is>
          <t>GUSMAO</t>
        </is>
      </c>
      <c r="F705" s="14" t="inlineStr">
        <is>
          <t>RUA GUARANI, S/N - ZONA URBANA</t>
        </is>
      </c>
      <c r="G705" s="27" t="inlineStr">
        <is>
          <t>45821-500</t>
        </is>
      </c>
      <c r="H705" s="15" t="n">
        <v>6</v>
      </c>
      <c r="I705" s="28" t="inlineStr">
        <is>
          <t>NÃO</t>
        </is>
      </c>
      <c r="J705" s="29" t="n">
        <v>169.3</v>
      </c>
      <c r="K705" s="14" t="str">
        <f>IF(J705="","7. Acima de 2 km",IF(J705&lt;=50,"1. Até 50 m",IF(J705&lt;=100,"2. De 50 a 100 m",IF(J705&lt;=200,"3. De 100 a 200 m",IF(J705&lt;=300,"4. De 200 a 300 m",IF(J705&lt;=500,"5. De 300 a 500 m","6. De 500 m a 2 km"))))))</f>
        <v>3. De 100 a 200 m</v>
      </c>
      <c r="L705" s="26" t="n">
        <v>0</v>
      </c>
      <c r="M705" s="26" t="n">
        <v>0</v>
      </c>
      <c r="N705" s="26" t="n">
        <v>1</v>
      </c>
      <c r="O705" s="26" t="n">
        <v>1</v>
      </c>
      <c r="P705" s="30" t="n">
        <v>-16.3660875</v>
      </c>
      <c r="Q705" s="30" t="n">
        <v>-39.5864544</v>
      </c>
      <c r="R705" s="14" t="inlineStr">
        <is>
          <t>AVENIDA ÁFRICA, Nº 127, BAIRRO DINAH BORGES, CEP 45830-124</t>
        </is>
      </c>
      <c r="S705" s="26">
        <f>IF(A705=A704,0,1)</f>
        <v>0</v>
      </c>
      <c r="T705" s="26">
        <f>IF(COUNTIF($B$4:B705,B705)=1,1,0)</f>
        <v>0</v>
      </c>
    </row>
    <row r="706">
      <c r="A706" s="14" t="inlineStr">
        <is>
          <t>EUNÁPOLIS</t>
        </is>
      </c>
      <c r="B706" s="26" t="n">
        <v>203</v>
      </c>
      <c r="C706" s="26" t="n">
        <v>1309</v>
      </c>
      <c r="D706" s="14" t="inlineStr">
        <is>
          <t>ESCOLA MUNICIPAL BRANDÃO VILELA</t>
        </is>
      </c>
      <c r="E706" s="14" t="inlineStr">
        <is>
          <t>SANTA LUCIA</t>
        </is>
      </c>
      <c r="F706" s="14" t="inlineStr">
        <is>
          <t>RUA SÃO BARTOLOMEU, S/N - ZONA URBANA</t>
        </is>
      </c>
      <c r="G706" s="27" t="inlineStr">
        <is>
          <t>45822-000</t>
        </is>
      </c>
      <c r="H706" s="15" t="n">
        <v>8</v>
      </c>
      <c r="I706" s="28" t="inlineStr">
        <is>
          <t>NÃO</t>
        </is>
      </c>
      <c r="J706" s="29" t="n">
        <v>670.8</v>
      </c>
      <c r="K706" s="14" t="str">
        <f>IF(J706="","7. Acima de 2 km",IF(J706&lt;=50,"1. Até 50 m",IF(J706&lt;=100,"2. De 50 a 100 m",IF(J706&lt;=200,"3. De 100 a 200 m",IF(J706&lt;=300,"4. De 200 a 300 m",IF(J706&lt;=500,"5. De 300 a 500 m","6. De 500 m a 2 km"))))))</f>
        <v>6. De 500 m a 2 km</v>
      </c>
      <c r="L706" s="26" t="n">
        <v>0</v>
      </c>
      <c r="M706" s="26" t="n">
        <v>0</v>
      </c>
      <c r="N706" s="26" t="n">
        <v>0</v>
      </c>
      <c r="O706" s="26" t="n">
        <v>0</v>
      </c>
      <c r="P706" s="30" t="n">
        <v>-16.3594306</v>
      </c>
      <c r="Q706" s="30" t="n">
        <v>-39.5887383</v>
      </c>
      <c r="R706" s="14" t="inlineStr">
        <is>
          <t>AVENIDA ÁFRICA, Nº 127, BAIRRO DINAH BORGES, CEP 45830-124</t>
        </is>
      </c>
      <c r="S706" s="26">
        <f>IF(A706=A705,0,1)</f>
        <v>0</v>
      </c>
      <c r="T706" s="26">
        <f>IF(COUNTIF($B$4:B706,B706)=1,1,0)</f>
        <v>0</v>
      </c>
    </row>
    <row r="707">
      <c r="A707" s="14" t="inlineStr">
        <is>
          <t>EUNÁPOLIS</t>
        </is>
      </c>
      <c r="B707" s="26" t="n">
        <v>203</v>
      </c>
      <c r="C707" s="26" t="n">
        <v>1333</v>
      </c>
      <c r="D707" s="14" t="inlineStr">
        <is>
          <t>COLÉGIO ESTADUAL HORÁCIO DE MATOS</t>
        </is>
      </c>
      <c r="E707" s="14" t="inlineStr">
        <is>
          <t>CENTRO</t>
        </is>
      </c>
      <c r="F707" s="14" t="inlineStr">
        <is>
          <t>RUA DOIS DE JULHO, S/N - ZONA URBANA</t>
        </is>
      </c>
      <c r="G707" s="27" t="inlineStr">
        <is>
          <t>45820-300</t>
        </is>
      </c>
      <c r="H707" s="15" t="n">
        <v>6</v>
      </c>
      <c r="I707" s="28" t="inlineStr">
        <is>
          <t>NÃO</t>
        </is>
      </c>
      <c r="J707" s="29" t="n">
        <v>176.7</v>
      </c>
      <c r="K707" s="14" t="str">
        <f>IF(J707="","7. Acima de 2 km",IF(J707&lt;=50,"1. Até 50 m",IF(J707&lt;=100,"2. De 50 a 100 m",IF(J707&lt;=200,"3. De 100 a 200 m",IF(J707&lt;=300,"4. De 200 a 300 m",IF(J707&lt;=500,"5. De 300 a 500 m","6. De 500 m a 2 km"))))))</f>
        <v>3. De 100 a 200 m</v>
      </c>
      <c r="L707" s="26" t="n">
        <v>0</v>
      </c>
      <c r="M707" s="26" t="n">
        <v>0</v>
      </c>
      <c r="N707" s="26" t="n">
        <v>1</v>
      </c>
      <c r="O707" s="26" t="n">
        <v>1</v>
      </c>
      <c r="P707" s="30" t="n">
        <v>-16.3711392</v>
      </c>
      <c r="Q707" s="30" t="n">
        <v>-39.582855</v>
      </c>
      <c r="R707" s="14" t="inlineStr">
        <is>
          <t>AVENIDA ÁFRICA, Nº 127, BAIRRO DINAH BORGES, CEP 45830-124</t>
        </is>
      </c>
      <c r="S707" s="26">
        <f>IF(A707=A706,0,1)</f>
        <v>0</v>
      </c>
      <c r="T707" s="26">
        <f>IF(COUNTIF($B$4:B707,B707)=1,1,0)</f>
        <v>0</v>
      </c>
    </row>
    <row r="708">
      <c r="A708" s="14" t="inlineStr">
        <is>
          <t>EUNÁPOLIS</t>
        </is>
      </c>
      <c r="B708" s="26" t="n">
        <v>203</v>
      </c>
      <c r="C708" s="26" t="n">
        <v>1368</v>
      </c>
      <c r="D708" s="14" t="inlineStr">
        <is>
          <t>ESCOLA IASC</t>
        </is>
      </c>
      <c r="E708" s="14" t="inlineStr">
        <is>
          <t>CENTRO</t>
        </is>
      </c>
      <c r="F708" s="14" t="inlineStr">
        <is>
          <t>RUA EDGAR TRANCOSO JR, S/N - ZONA URBANA</t>
        </is>
      </c>
      <c r="G708" s="27" t="inlineStr">
        <is>
          <t>45820-580</t>
        </is>
      </c>
      <c r="H708" s="15" t="n">
        <v>14</v>
      </c>
      <c r="I708" s="28" t="inlineStr">
        <is>
          <t>SIM</t>
        </is>
      </c>
      <c r="J708" s="29" t="n">
        <v>12.3</v>
      </c>
      <c r="K708" s="14" t="str">
        <f>IF(J708="","7. Acima de 2 km",IF(J708&lt;=50,"1. Até 50 m",IF(J708&lt;=100,"2. De 50 a 100 m",IF(J708&lt;=200,"3. De 100 a 200 m",IF(J708&lt;=300,"4. De 200 a 300 m",IF(J708&lt;=500,"5. De 300 a 500 m","6. De 500 m a 2 km"))))))</f>
        <v>1. Até 50 m</v>
      </c>
      <c r="L708" s="26" t="n">
        <v>1</v>
      </c>
      <c r="M708" s="26" t="n">
        <v>1</v>
      </c>
      <c r="N708" s="26" t="n">
        <v>2</v>
      </c>
      <c r="O708" s="26" t="n">
        <v>4</v>
      </c>
      <c r="P708" s="30" t="n">
        <v>-16.3725406</v>
      </c>
      <c r="Q708" s="30" t="n">
        <v>-39.5833661</v>
      </c>
      <c r="R708" s="14" t="inlineStr">
        <is>
          <t>AVENIDA ÁFRICA, Nº 127, BAIRRO DINAH BORGES, CEP 45830-124</t>
        </is>
      </c>
      <c r="S708" s="26">
        <f>IF(A708=A707,0,1)</f>
        <v>0</v>
      </c>
      <c r="T708" s="26">
        <f>IF(COUNTIF($B$4:B708,B708)=1,1,0)</f>
        <v>0</v>
      </c>
    </row>
    <row r="709">
      <c r="A709" s="14" t="inlineStr">
        <is>
          <t>EUNÁPOLIS</t>
        </is>
      </c>
      <c r="B709" s="26" t="n">
        <v>203</v>
      </c>
      <c r="C709" s="26" t="n">
        <v>1376</v>
      </c>
      <c r="D709" s="14" t="inlineStr">
        <is>
          <t>ESCOLA MUNICIPAL PADRE JOSÉ DE ANCHIETA</t>
        </is>
      </c>
      <c r="E709" s="14" t="inlineStr">
        <is>
          <t>DISTRITO COLONIA</t>
        </is>
      </c>
      <c r="F709" s="14" t="inlineStr">
        <is>
          <t>RUA PRINCIPAL, S/N - ZONA RURAL</t>
        </is>
      </c>
      <c r="G709" s="27" t="inlineStr">
        <is>
          <t>45832-000</t>
        </is>
      </c>
      <c r="H709" s="15" t="n">
        <v>7</v>
      </c>
      <c r="I709" s="28" t="inlineStr">
        <is>
          <t>SIM</t>
        </is>
      </c>
      <c r="J709" s="29" t="n">
        <v>7.4</v>
      </c>
      <c r="K709" s="14" t="str">
        <f>IF(J709="","7. Acima de 2 km",IF(J709&lt;=50,"1. Até 50 m",IF(J709&lt;=100,"2. De 50 a 100 m",IF(J709&lt;=200,"3. De 100 a 200 m",IF(J709&lt;=300,"4. De 200 a 300 m",IF(J709&lt;=500,"5. De 300 a 500 m","6. De 500 m a 2 km"))))))</f>
        <v>1. Até 50 m</v>
      </c>
      <c r="L709" s="26" t="n">
        <v>1</v>
      </c>
      <c r="M709" s="26" t="n">
        <v>1</v>
      </c>
      <c r="N709" s="26" t="n">
        <v>2</v>
      </c>
      <c r="O709" s="26" t="n">
        <v>6</v>
      </c>
      <c r="P709" s="30" t="n">
        <v>-16.3726498</v>
      </c>
      <c r="Q709" s="30" t="n">
        <v>-39.583432</v>
      </c>
      <c r="R709" s="14" t="inlineStr">
        <is>
          <t>AVENIDA ÁFRICA, Nº 127, BAIRRO DINAH BORGES, CEP 45830-124</t>
        </is>
      </c>
      <c r="S709" s="26">
        <f>IF(A709=A708,0,1)</f>
        <v>0</v>
      </c>
      <c r="T709" s="26">
        <f>IF(COUNTIF($B$4:B709,B709)=1,1,0)</f>
        <v>0</v>
      </c>
    </row>
    <row r="710">
      <c r="A710" s="14" t="inlineStr">
        <is>
          <t>EUNÁPOLIS</t>
        </is>
      </c>
      <c r="B710" s="26" t="n">
        <v>203</v>
      </c>
      <c r="C710" s="26" t="n">
        <v>1384</v>
      </c>
      <c r="D710" s="14" t="inlineStr">
        <is>
          <t>ESCOLA PROFESSORA MARIA DAS MERCÊS FREITAS</t>
        </is>
      </c>
      <c r="E710" s="14" t="inlineStr">
        <is>
          <t>ITAPOAN</t>
        </is>
      </c>
      <c r="F710" s="14" t="inlineStr">
        <is>
          <t>AV. NOSSA SENHORA DOS NAVEGANTES, 167 - ZONA URBANA</t>
        </is>
      </c>
      <c r="G710" s="27" t="inlineStr">
        <is>
          <t>45822-340</t>
        </is>
      </c>
      <c r="H710" s="15" t="n">
        <v>5</v>
      </c>
      <c r="I710" s="28" t="inlineStr">
        <is>
          <t>NÃO</t>
        </is>
      </c>
      <c r="J710" s="29" t="n">
        <v>1123.3</v>
      </c>
      <c r="K710" s="14" t="str">
        <f>IF(J710="","7. Acima de 2 km",IF(J710&lt;=50,"1. Até 50 m",IF(J710&lt;=100,"2. De 50 a 100 m",IF(J710&lt;=200,"3. De 100 a 200 m",IF(J710&lt;=300,"4. De 200 a 300 m",IF(J710&lt;=500,"5. De 300 a 500 m","6. De 500 m a 2 km"))))))</f>
        <v>6. De 500 m a 2 km</v>
      </c>
      <c r="L710" s="26" t="n">
        <v>0</v>
      </c>
      <c r="M710" s="26" t="n">
        <v>0</v>
      </c>
      <c r="N710" s="26" t="n">
        <v>0</v>
      </c>
      <c r="O710" s="26" t="n">
        <v>0</v>
      </c>
      <c r="P710" s="30" t="n">
        <v>-16.3546872</v>
      </c>
      <c r="Q710" s="30" t="n">
        <v>-39.5868626</v>
      </c>
      <c r="R710" s="14" t="inlineStr">
        <is>
          <t>AVENIDA ÁFRICA, Nº 127, BAIRRO DINAH BORGES, CEP 45830-124</t>
        </is>
      </c>
      <c r="S710" s="26">
        <f>IF(A710=A709,0,1)</f>
        <v>0</v>
      </c>
      <c r="T710" s="26">
        <f>IF(COUNTIF($B$4:B710,B710)=1,1,0)</f>
        <v>0</v>
      </c>
    </row>
    <row r="711">
      <c r="A711" s="14" t="inlineStr">
        <is>
          <t>EUNÁPOLIS</t>
        </is>
      </c>
      <c r="B711" s="26" t="n">
        <v>203</v>
      </c>
      <c r="C711" s="26" t="n">
        <v>1392</v>
      </c>
      <c r="D711" s="14" t="inlineStr">
        <is>
          <t>ESCOLA MUNICIPAL EDELZUITO SOARES</t>
        </is>
      </c>
      <c r="E711" s="14" t="inlineStr">
        <is>
          <t>DINAH BORGES</t>
        </is>
      </c>
      <c r="F711" s="14" t="inlineStr">
        <is>
          <t>RUA ÁSIA SN - ZONA URBANA</t>
        </is>
      </c>
      <c r="G711" s="27" t="inlineStr">
        <is>
          <t>45820-970</t>
        </is>
      </c>
      <c r="H711" s="15" t="n">
        <v>7</v>
      </c>
      <c r="I711" s="28" t="inlineStr">
        <is>
          <t>NÃO</t>
        </is>
      </c>
      <c r="J711" s="29" t="n">
        <v>452.3</v>
      </c>
      <c r="K711" s="14" t="str">
        <f>IF(J711="","7. Acima de 2 km",IF(J711&lt;=50,"1. Até 50 m",IF(J711&lt;=100,"2. De 50 a 100 m",IF(J711&lt;=200,"3. De 100 a 200 m",IF(J711&lt;=300,"4. De 200 a 300 m",IF(J711&lt;=500,"5. De 300 a 500 m","6. De 500 m a 2 km"))))))</f>
        <v>5. De 300 a 500 m</v>
      </c>
      <c r="L711" s="26" t="n">
        <v>0</v>
      </c>
      <c r="M711" s="26" t="n">
        <v>0</v>
      </c>
      <c r="N711" s="26" t="n">
        <v>0</v>
      </c>
      <c r="O711" s="26" t="n">
        <v>0</v>
      </c>
      <c r="P711" s="30" t="n">
        <v>-16.3809233</v>
      </c>
      <c r="Q711" s="30" t="n">
        <v>-39.5709341</v>
      </c>
      <c r="R711" s="14" t="inlineStr">
        <is>
          <t>AVENIDA ÁFRICA, Nº 127, BAIRRO DINAH BORGES, CEP 45830-124</t>
        </is>
      </c>
      <c r="S711" s="26">
        <f>IF(A711=A710,0,1)</f>
        <v>0</v>
      </c>
      <c r="T711" s="26">
        <f>IF(COUNTIF($B$4:B711,B711)=1,1,0)</f>
        <v>0</v>
      </c>
    </row>
    <row r="712">
      <c r="A712" s="14" t="inlineStr">
        <is>
          <t>EUNÁPOLIS</t>
        </is>
      </c>
      <c r="B712" s="26" t="n">
        <v>203</v>
      </c>
      <c r="C712" s="26" t="n">
        <v>1406</v>
      </c>
      <c r="D712" s="14" t="inlineStr">
        <is>
          <t>ESCOLA MUNICIPAL HUMBERTO DE CAMPOS</t>
        </is>
      </c>
      <c r="E712" s="14" t="inlineStr">
        <is>
          <t>GUSMAO</t>
        </is>
      </c>
      <c r="F712" s="14" t="inlineStr">
        <is>
          <t>RUA TAMOIOS, S/N - ZONA URBANA</t>
        </is>
      </c>
      <c r="G712" s="27" t="inlineStr">
        <is>
          <t>45821-560</t>
        </is>
      </c>
      <c r="H712" s="15" t="n">
        <v>8</v>
      </c>
      <c r="I712" s="28" t="inlineStr">
        <is>
          <t>NÃO</t>
        </is>
      </c>
      <c r="J712" s="29" t="n">
        <v>206.4</v>
      </c>
      <c r="K712" s="14" t="str">
        <f>IF(J712="","7. Acima de 2 km",IF(J712&lt;=50,"1. Até 50 m",IF(J712&lt;=100,"2. De 50 a 100 m",IF(J712&lt;=200,"3. De 100 a 200 m",IF(J712&lt;=300,"4. De 200 a 300 m",IF(J712&lt;=500,"5. De 300 a 500 m","6. De 500 m a 2 km"))))))</f>
        <v>4. De 200 a 300 m</v>
      </c>
      <c r="L712" s="26" t="n">
        <v>0</v>
      </c>
      <c r="M712" s="26" t="n">
        <v>0</v>
      </c>
      <c r="N712" s="26" t="n">
        <v>0</v>
      </c>
      <c r="O712" s="26" t="n">
        <v>1</v>
      </c>
      <c r="P712" s="30" t="n">
        <v>-16.3665635</v>
      </c>
      <c r="Q712" s="30" t="n">
        <v>-39.5854262</v>
      </c>
      <c r="R712" s="14" t="inlineStr">
        <is>
          <t>AVENIDA ÁFRICA, Nº 127, BAIRRO DINAH BORGES, CEP 45830-124</t>
        </is>
      </c>
      <c r="S712" s="26">
        <f>IF(A712=A711,0,1)</f>
        <v>0</v>
      </c>
      <c r="T712" s="26">
        <f>IF(COUNTIF($B$4:B712,B712)=1,1,0)</f>
        <v>0</v>
      </c>
    </row>
    <row r="713">
      <c r="A713" s="14" t="inlineStr">
        <is>
          <t>EUNÁPOLIS</t>
        </is>
      </c>
      <c r="B713" s="26" t="n">
        <v>203</v>
      </c>
      <c r="C713" s="26" t="n">
        <v>1414</v>
      </c>
      <c r="D713" s="14" t="inlineStr">
        <is>
          <t>COLEGIO ESTADUAL FERNANDO ALBAN</t>
        </is>
      </c>
      <c r="E713" s="14" t="inlineStr">
        <is>
          <t>URBIS I</t>
        </is>
      </c>
      <c r="F713" s="14" t="inlineStr">
        <is>
          <t>RUA W, S/N - ZONA URBANA</t>
        </is>
      </c>
      <c r="G713" s="27" t="inlineStr">
        <is>
          <t>45826-000</t>
        </is>
      </c>
      <c r="H713" s="15" t="n">
        <v>7</v>
      </c>
      <c r="I713" s="28" t="inlineStr">
        <is>
          <t>SIM</t>
        </is>
      </c>
      <c r="J713" s="29" t="n">
        <v>51.8</v>
      </c>
      <c r="K713" s="14" t="str">
        <f>IF(J713="","7. Acima de 2 km",IF(J713&lt;=50,"1. Até 50 m",IF(J713&lt;=100,"2. De 50 a 100 m",IF(J713&lt;=200,"3. De 100 a 200 m",IF(J713&lt;=300,"4. De 200 a 300 m",IF(J713&lt;=500,"5. De 300 a 500 m","6. De 500 m a 2 km"))))))</f>
        <v>2. De 50 a 100 m</v>
      </c>
      <c r="L713" s="26" t="n">
        <v>0</v>
      </c>
      <c r="M713" s="26" t="n">
        <v>1</v>
      </c>
      <c r="N713" s="26" t="n">
        <v>1</v>
      </c>
      <c r="O713" s="26" t="n">
        <v>1</v>
      </c>
      <c r="P713" s="30" t="n">
        <v>-16.386566</v>
      </c>
      <c r="Q713" s="30" t="n">
        <v>-39.5857092</v>
      </c>
      <c r="R713" s="14" t="inlineStr">
        <is>
          <t>AVENIDA ÁFRICA, Nº 127, BAIRRO DINAH BORGES, CEP 45830-124</t>
        </is>
      </c>
      <c r="S713" s="26">
        <f>IF(A713=A712,0,1)</f>
        <v>0</v>
      </c>
      <c r="T713" s="26">
        <f>IF(COUNTIF($B$4:B713,B713)=1,1,0)</f>
        <v>0</v>
      </c>
    </row>
    <row r="714">
      <c r="A714" s="14" t="inlineStr">
        <is>
          <t>EUNÁPOLIS</t>
        </is>
      </c>
      <c r="B714" s="26" t="n">
        <v>203</v>
      </c>
      <c r="C714" s="26" t="n">
        <v>1422</v>
      </c>
      <c r="D714" s="14" t="inlineStr">
        <is>
          <t>CAPL CONSULTORIA PEDAGÓGICA - UNOPAR</t>
        </is>
      </c>
      <c r="E714" s="14" t="inlineStr">
        <is>
          <t>CENTAURO</t>
        </is>
      </c>
      <c r="F714" s="14" t="inlineStr">
        <is>
          <t>RUA DONA COTINHA, 379 - ZONA URBANA</t>
        </is>
      </c>
      <c r="G714" s="27" t="inlineStr">
        <is>
          <t>45821-170</t>
        </is>
      </c>
      <c r="H714" s="15" t="n">
        <v>6</v>
      </c>
      <c r="I714" s="28" t="inlineStr">
        <is>
          <t>NÃO</t>
        </is>
      </c>
      <c r="J714" s="29" t="n">
        <v>144.1</v>
      </c>
      <c r="K714" s="14" t="str">
        <f>IF(J714="","7. Acima de 2 km",IF(J714&lt;=50,"1. Até 50 m",IF(J714&lt;=100,"2. De 50 a 100 m",IF(J714&lt;=200,"3. De 100 a 200 m",IF(J714&lt;=300,"4. De 200 a 300 m",IF(J714&lt;=500,"5. De 300 a 500 m","6. De 500 m a 2 km"))))))</f>
        <v>3. De 100 a 200 m</v>
      </c>
      <c r="L714" s="26" t="n">
        <v>0</v>
      </c>
      <c r="M714" s="26" t="n">
        <v>0</v>
      </c>
      <c r="N714" s="26" t="n">
        <v>2</v>
      </c>
      <c r="O714" s="26" t="n">
        <v>7</v>
      </c>
      <c r="P714" s="30" t="n">
        <v>-16.3720336</v>
      </c>
      <c r="Q714" s="30" t="n">
        <v>-39.5845504</v>
      </c>
      <c r="R714" s="14" t="inlineStr">
        <is>
          <t>AVENIDA ÁFRICA, Nº 127, BAIRRO DINAH BORGES, CEP 45830-124</t>
        </is>
      </c>
      <c r="S714" s="26">
        <f>IF(A714=A713,0,1)</f>
        <v>0</v>
      </c>
      <c r="T714" s="26">
        <f>IF(COUNTIF($B$4:B714,B714)=1,1,0)</f>
        <v>0</v>
      </c>
    </row>
    <row r="715">
      <c r="A715" s="14" t="inlineStr">
        <is>
          <t>EUNÁPOLIS</t>
        </is>
      </c>
      <c r="B715" s="26" t="n">
        <v>203</v>
      </c>
      <c r="C715" s="26" t="n">
        <v>1430</v>
      </c>
      <c r="D715" s="14" t="inlineStr">
        <is>
          <t>ESCOLA MUNICIPAL ANÉSIA GUIMARÃES</t>
        </is>
      </c>
      <c r="E715" s="14" t="inlineStr">
        <is>
          <t>PEQUI</t>
        </is>
      </c>
      <c r="F715" s="14" t="inlineStr">
        <is>
          <t>RUA BELA VISTA, SN - ZONA URBANA</t>
        </is>
      </c>
      <c r="G715" s="27" t="inlineStr">
        <is>
          <t>45820-000</t>
        </is>
      </c>
      <c r="H715" s="15" t="n">
        <v>13</v>
      </c>
      <c r="I715" s="28" t="inlineStr">
        <is>
          <t>NÃO</t>
        </is>
      </c>
      <c r="J715" s="29" t="n">
        <v>224.8</v>
      </c>
      <c r="K715" s="14" t="str">
        <f>IF(J715="","7. Acima de 2 km",IF(J715&lt;=50,"1. Até 50 m",IF(J715&lt;=100,"2. De 50 a 100 m",IF(J715&lt;=200,"3. De 100 a 200 m",IF(J715&lt;=300,"4. De 200 a 300 m",IF(J715&lt;=500,"5. De 300 a 500 m","6. De 500 m a 2 km"))))))</f>
        <v>4. De 200 a 300 m</v>
      </c>
      <c r="L715" s="26" t="n">
        <v>0</v>
      </c>
      <c r="M715" s="26" t="n">
        <v>0</v>
      </c>
      <c r="N715" s="26" t="n">
        <v>0</v>
      </c>
      <c r="O715" s="26" t="n">
        <v>1</v>
      </c>
      <c r="P715" s="30" t="n">
        <v>-16.3688377</v>
      </c>
      <c r="Q715" s="30" t="n">
        <v>-39.5763853</v>
      </c>
      <c r="R715" s="14" t="inlineStr">
        <is>
          <t>AVENIDA ÁFRICA, Nº 127, BAIRRO DINAH BORGES, CEP 45830-124</t>
        </is>
      </c>
      <c r="S715" s="26">
        <f>IF(A715=A714,0,1)</f>
        <v>0</v>
      </c>
      <c r="T715" s="26">
        <f>IF(COUNTIF($B$4:B715,B715)=1,1,0)</f>
        <v>0</v>
      </c>
    </row>
    <row r="716">
      <c r="A716" s="14" t="inlineStr">
        <is>
          <t>EUNÁPOLIS</t>
        </is>
      </c>
      <c r="B716" s="26" t="n">
        <v>203</v>
      </c>
      <c r="C716" s="26" t="n">
        <v>1457</v>
      </c>
      <c r="D716" s="14" t="inlineStr">
        <is>
          <t>FACULDADE PITÁGORAS</t>
        </is>
      </c>
      <c r="E716" s="14" t="inlineStr">
        <is>
          <t>CENTRO</t>
        </is>
      </c>
      <c r="F716" s="14" t="inlineStr">
        <is>
          <t>RUA SUEKICHI SEGUCHI, 80 - ZONA URBANA</t>
        </is>
      </c>
      <c r="G716" s="27" t="inlineStr">
        <is>
          <t>45820-062</t>
        </is>
      </c>
      <c r="H716" s="15" t="n">
        <v>4</v>
      </c>
      <c r="I716" s="28" t="inlineStr">
        <is>
          <t>SIM</t>
        </is>
      </c>
      <c r="J716" s="29" t="n">
        <v>6.1</v>
      </c>
      <c r="K716" s="14" t="str">
        <f>IF(J716="","7. Acima de 2 km",IF(J716&lt;=50,"1. Até 50 m",IF(J716&lt;=100,"2. De 50 a 100 m",IF(J716&lt;=200,"3. De 100 a 200 m",IF(J716&lt;=300,"4. De 200 a 300 m",IF(J716&lt;=500,"5. De 300 a 500 m","6. De 500 m a 2 km"))))))</f>
        <v>1. Até 50 m</v>
      </c>
      <c r="L716" s="26" t="n">
        <v>1</v>
      </c>
      <c r="M716" s="26" t="n">
        <v>1</v>
      </c>
      <c r="N716" s="26" t="n">
        <v>2</v>
      </c>
      <c r="O716" s="26" t="n">
        <v>4</v>
      </c>
      <c r="P716" s="30" t="n">
        <v>-16.372601</v>
      </c>
      <c r="Q716" s="30" t="n">
        <v>-39.5833851</v>
      </c>
      <c r="R716" s="14" t="inlineStr">
        <is>
          <t>AVENIDA ÁFRICA, Nº 127, BAIRRO DINAH BORGES, CEP 45830-124</t>
        </is>
      </c>
      <c r="S716" s="26">
        <f>IF(A716=A715,0,1)</f>
        <v>0</v>
      </c>
      <c r="T716" s="26">
        <f>IF(COUNTIF($B$4:B716,B716)=1,1,0)</f>
        <v>0</v>
      </c>
    </row>
    <row r="717">
      <c r="A717" s="14" t="inlineStr">
        <is>
          <t>FEIRA DE SANTANA</t>
        </is>
      </c>
      <c r="B717" s="26" t="n">
        <v>154</v>
      </c>
      <c r="C717" s="26" t="n">
        <v>1015</v>
      </c>
      <c r="D717" s="14" t="inlineStr">
        <is>
          <t>CIEM PROFESSOR JOSELITO FALCÃO DE AMORIM</t>
        </is>
      </c>
      <c r="E717" s="14" t="inlineStr">
        <is>
          <t>CENTRO</t>
        </is>
      </c>
      <c r="F717" s="14" t="inlineStr">
        <is>
          <t>RUA CORONEL ÁLVARO SIMÕES, S/N - ZONA URBANA</t>
        </is>
      </c>
      <c r="G717" s="27" t="inlineStr">
        <is>
          <t>44001-104</t>
        </is>
      </c>
      <c r="H717" s="15" t="n">
        <v>26</v>
      </c>
      <c r="I717" s="28" t="inlineStr">
        <is>
          <t>NÃO</t>
        </is>
      </c>
      <c r="J717" s="29" t="n">
        <v>347</v>
      </c>
      <c r="K717" s="14" t="str">
        <f>IF(J717="","7. Acima de 2 km",IF(J717&lt;=50,"1. Até 50 m",IF(J717&lt;=100,"2. De 50 a 100 m",IF(J717&lt;=200,"3. De 100 a 200 m",IF(J717&lt;=300,"4. De 200 a 300 m",IF(J717&lt;=500,"5. De 300 a 500 m","6. De 500 m a 2 km"))))))</f>
        <v>5. De 300 a 500 m</v>
      </c>
      <c r="L717" s="26" t="n">
        <v>0</v>
      </c>
      <c r="M717" s="26" t="n">
        <v>0</v>
      </c>
      <c r="N717" s="26" t="n">
        <v>0</v>
      </c>
      <c r="O717" s="26" t="n">
        <v>0</v>
      </c>
      <c r="P717" s="30" t="n">
        <v>-12.249563</v>
      </c>
      <c r="Q717" s="30" t="n">
        <v>-38.9615056</v>
      </c>
      <c r="R717" s="14" t="inlineStr">
        <is>
          <t>FÓRUM ELEITORAL DE FEIRA DE SANTANA - AVENIDA JOSÉ FALCÃO DA SILVA, S/N, QUEIMADINHA, FEIRA DE SANTANA/BA</t>
        </is>
      </c>
      <c r="S717" s="26">
        <f>IF(A717=A716,0,1)</f>
        <v>1</v>
      </c>
      <c r="T717" s="26">
        <f>IF(COUNTIF($B$4:B717,B717)=1,1,0)</f>
        <v>1</v>
      </c>
    </row>
    <row r="718">
      <c r="A718" s="14" t="inlineStr">
        <is>
          <t>FEIRA DE SANTANA</t>
        </is>
      </c>
      <c r="B718" s="26" t="n">
        <v>154</v>
      </c>
      <c r="C718" s="26" t="n">
        <v>1031</v>
      </c>
      <c r="D718" s="14" t="inlineStr">
        <is>
          <t>ESCOLA MUNICIPAL DOUTOR CÍCERO CARVALHO</t>
        </is>
      </c>
      <c r="E718" s="14" t="inlineStr">
        <is>
          <t>CRUZEIRO</t>
        </is>
      </c>
      <c r="F718" s="14" t="inlineStr">
        <is>
          <t>RUA PEROLINA ANGÉLICA DA SILVA, 164 - ZONA URBANA</t>
        </is>
      </c>
      <c r="G718" s="27" t="inlineStr">
        <is>
          <t>44022-032</t>
        </is>
      </c>
      <c r="H718" s="15" t="n">
        <v>6</v>
      </c>
      <c r="I718" s="28" t="inlineStr">
        <is>
          <t>NÃO</t>
        </is>
      </c>
      <c r="J718" s="29" t="n">
        <v>415.9</v>
      </c>
      <c r="K718" s="14" t="str">
        <f>IF(J718="","7. Acima de 2 km",IF(J718&lt;=50,"1. Até 50 m",IF(J718&lt;=100,"2. De 50 a 100 m",IF(J718&lt;=200,"3. De 100 a 200 m",IF(J718&lt;=300,"4. De 200 a 300 m",IF(J718&lt;=500,"5. De 300 a 500 m","6. De 500 m a 2 km"))))))</f>
        <v>5. De 300 a 500 m</v>
      </c>
      <c r="L718" s="26" t="n">
        <v>0</v>
      </c>
      <c r="M718" s="26" t="n">
        <v>0</v>
      </c>
      <c r="N718" s="26" t="n">
        <v>0</v>
      </c>
      <c r="O718" s="26" t="n">
        <v>0</v>
      </c>
      <c r="P718" s="30" t="n">
        <v>-12.2457715</v>
      </c>
      <c r="Q718" s="30" t="n">
        <v>-38.974116</v>
      </c>
      <c r="R718" s="14" t="inlineStr">
        <is>
          <t>FÓRUM ELEITORAL DE FEIRA DE SANTANA - AVENIDA JOSÉ FALCÃO DA SILVA, S/N, QUEIMADINHA, FEIRA DE SANTANA/BA</t>
        </is>
      </c>
      <c r="S718" s="26">
        <f>IF(A718=A717,0,1)</f>
        <v>0</v>
      </c>
      <c r="T718" s="26">
        <f>IF(COUNTIF($B$4:B718,B718)=1,1,0)</f>
        <v>0</v>
      </c>
    </row>
    <row r="719">
      <c r="A719" s="14" t="inlineStr">
        <is>
          <t>FEIRA DE SANTANA</t>
        </is>
      </c>
      <c r="B719" s="26" t="n">
        <v>154</v>
      </c>
      <c r="C719" s="26" t="n">
        <v>1040</v>
      </c>
      <c r="D719" s="14" t="inlineStr">
        <is>
          <t>CENTRO INTEGRADO ASSIS CHATEUBRIAND</t>
        </is>
      </c>
      <c r="E719" s="14" t="inlineStr">
        <is>
          <t>SOBRADINHO</t>
        </is>
      </c>
      <c r="F719" s="14" t="inlineStr">
        <is>
          <t>RUA ARIVALDO DE CARVALHO, S/N - ZONA URBANA</t>
        </is>
      </c>
      <c r="G719" s="27" t="inlineStr">
        <is>
          <t>44021-225</t>
        </is>
      </c>
      <c r="H719" s="15" t="n">
        <v>39</v>
      </c>
      <c r="I719" s="28" t="inlineStr">
        <is>
          <t>NÃO</t>
        </is>
      </c>
      <c r="J719" s="29" t="n">
        <v>201.5</v>
      </c>
      <c r="K719" s="14" t="str">
        <f>IF(J719="","7. Acima de 2 km",IF(J719&lt;=50,"1. Até 50 m",IF(J719&lt;=100,"2. De 50 a 100 m",IF(J719&lt;=200,"3. De 100 a 200 m",IF(J719&lt;=300,"4. De 200 a 300 m",IF(J719&lt;=500,"5. De 300 a 500 m","6. De 500 m a 2 km"))))))</f>
        <v>4. De 200 a 300 m</v>
      </c>
      <c r="L719" s="26" t="n">
        <v>0</v>
      </c>
      <c r="M719" s="26" t="n">
        <v>0</v>
      </c>
      <c r="N719" s="26" t="n">
        <v>0</v>
      </c>
      <c r="O719" s="26" t="n">
        <v>1</v>
      </c>
      <c r="P719" s="30" t="n">
        <v>-12.2358536</v>
      </c>
      <c r="Q719" s="30" t="n">
        <v>-38.9760058</v>
      </c>
      <c r="R719" s="14" t="inlineStr">
        <is>
          <t>FÓRUM ELEITORAL DE FEIRA DE SANTANA - AVENIDA JOSÉ FALCÃO DA SILVA, S/N, QUEIMADINHA, FEIRA DE SANTANA/BA</t>
        </is>
      </c>
      <c r="S719" s="26">
        <f>IF(A719=A718,0,1)</f>
        <v>0</v>
      </c>
      <c r="T719" s="26">
        <f>IF(COUNTIF($B$4:B719,B719)=1,1,0)</f>
        <v>0</v>
      </c>
    </row>
    <row r="720">
      <c r="A720" s="14" t="inlineStr">
        <is>
          <t>FEIRA DE SANTANA</t>
        </is>
      </c>
      <c r="B720" s="26" t="n">
        <v>154</v>
      </c>
      <c r="C720" s="26" t="n">
        <v>1058</v>
      </c>
      <c r="D720" s="14" t="inlineStr">
        <is>
          <t>ESCOLA MUNICIPAL ELISABETH JOHNSON</t>
        </is>
      </c>
      <c r="E720" s="14" t="inlineStr">
        <is>
          <t>BARAÚNA</t>
        </is>
      </c>
      <c r="F720" s="14" t="inlineStr">
        <is>
          <t>RUA DA LIBERDADE, SN - ZONA URBANA</t>
        </is>
      </c>
      <c r="G720" s="27" t="inlineStr">
        <is>
          <t>44091-100</t>
        </is>
      </c>
      <c r="H720" s="15" t="n">
        <v>12</v>
      </c>
      <c r="I720" s="28" t="inlineStr">
        <is>
          <t>NÃO</t>
        </is>
      </c>
      <c r="J720" s="29" t="n">
        <v>495.3</v>
      </c>
      <c r="K720" s="14" t="str">
        <f>IF(J720="","7. Acima de 2 km",IF(J720&lt;=50,"1. Até 50 m",IF(J720&lt;=100,"2. De 50 a 100 m",IF(J720&lt;=200,"3. De 100 a 200 m",IF(J720&lt;=300,"4. De 200 a 300 m",IF(J720&lt;=500,"5. De 300 a 500 m","6. De 500 m a 2 km"))))))</f>
        <v>5. De 300 a 500 m</v>
      </c>
      <c r="L720" s="26" t="n">
        <v>0</v>
      </c>
      <c r="M720" s="26" t="n">
        <v>0</v>
      </c>
      <c r="N720" s="26" t="n">
        <v>0</v>
      </c>
      <c r="O720" s="26" t="n">
        <v>0</v>
      </c>
      <c r="P720" s="30" t="n">
        <v>-12.2402263</v>
      </c>
      <c r="Q720" s="30" t="n">
        <v>-38.968453</v>
      </c>
      <c r="R720" s="14" t="inlineStr">
        <is>
          <t>FÓRUM ELEITORAL DE FEIRA DE SANTANA - AVENIDA JOSÉ FALCÃO DA SILVA, S/N, QUEIMADINHA, FEIRA DE SANTANA/BA</t>
        </is>
      </c>
      <c r="S720" s="26">
        <f>IF(A720=A719,0,1)</f>
        <v>0</v>
      </c>
      <c r="T720" s="26">
        <f>IF(COUNTIF($B$4:B720,B720)=1,1,0)</f>
        <v>0</v>
      </c>
    </row>
    <row r="721">
      <c r="A721" s="14" t="inlineStr">
        <is>
          <t>FEIRA DE SANTANA</t>
        </is>
      </c>
      <c r="B721" s="26" t="n">
        <v>154</v>
      </c>
      <c r="C721" s="26" t="n">
        <v>1074</v>
      </c>
      <c r="D721" s="14" t="inlineStr">
        <is>
          <t>COLÉGIO ESTADUAL YEDA BARRADAS CARNEIRO</t>
        </is>
      </c>
      <c r="E721" s="14" t="inlineStr">
        <is>
          <t>QUEIMADINHA</t>
        </is>
      </c>
      <c r="F721" s="14" t="inlineStr">
        <is>
          <t>PRAÇA DO CONJUNTO CENTENARIO, S/N - ZONA URBANA</t>
        </is>
      </c>
      <c r="G721" s="27" t="inlineStr">
        <is>
          <t>44050-632</t>
        </is>
      </c>
      <c r="H721" s="15" t="n">
        <v>8</v>
      </c>
      <c r="I721" s="28" t="inlineStr">
        <is>
          <t>NÃO</t>
        </is>
      </c>
      <c r="J721" s="29" t="n">
        <v>333.5</v>
      </c>
      <c r="K721" s="14" t="str">
        <f>IF(J721="","7. Acima de 2 km",IF(J721&lt;=50,"1. Até 50 m",IF(J721&lt;=100,"2. De 50 a 100 m",IF(J721&lt;=200,"3. De 100 a 200 m",IF(J721&lt;=300,"4. De 200 a 300 m",IF(J721&lt;=500,"5. De 300 a 500 m","6. De 500 m a 2 km"))))))</f>
        <v>5. De 300 a 500 m</v>
      </c>
      <c r="L721" s="26" t="n">
        <v>0</v>
      </c>
      <c r="M721" s="26" t="n">
        <v>0</v>
      </c>
      <c r="N721" s="26" t="n">
        <v>0</v>
      </c>
      <c r="O721" s="26" t="n">
        <v>0</v>
      </c>
      <c r="P721" s="30" t="n">
        <v>-12.2327338</v>
      </c>
      <c r="Q721" s="30" t="n">
        <v>-38.9621763</v>
      </c>
      <c r="R721" s="14" t="inlineStr">
        <is>
          <t>FÓRUM ELEITORAL DE FEIRA DE SANTANA - AVENIDA JOSÉ FALCÃO DA SILVA, S/N, QUEIMADINHA, FEIRA DE SANTANA/BA</t>
        </is>
      </c>
      <c r="S721" s="26">
        <f>IF(A721=A720,0,1)</f>
        <v>0</v>
      </c>
      <c r="T721" s="26">
        <f>IF(COUNTIF($B$4:B721,B721)=1,1,0)</f>
        <v>0</v>
      </c>
    </row>
    <row r="722">
      <c r="A722" s="14" t="inlineStr">
        <is>
          <t>FEIRA DE SANTANA</t>
        </is>
      </c>
      <c r="B722" s="26" t="n">
        <v>154</v>
      </c>
      <c r="C722" s="26" t="n">
        <v>1082</v>
      </c>
      <c r="D722" s="14" t="inlineStr">
        <is>
          <t>ESCOLA MUNICIPAL DOUTOR CLOVIS RAMOS LIMA</t>
        </is>
      </c>
      <c r="E722" s="14" t="inlineStr">
        <is>
          <t>PARQUE IPÊ</t>
        </is>
      </c>
      <c r="F722" s="14" t="inlineStr">
        <is>
          <t>RUA ARCO VERDE, S/N - ZONA URBANA</t>
        </is>
      </c>
      <c r="G722" s="27" t="inlineStr">
        <is>
          <t>44054-560</t>
        </is>
      </c>
      <c r="H722" s="15" t="n">
        <v>9</v>
      </c>
      <c r="I722" s="28" t="inlineStr">
        <is>
          <t>NÃO</t>
        </is>
      </c>
      <c r="J722" s="29" t="n">
        <v>667.4</v>
      </c>
      <c r="K722" s="14" t="str">
        <f>IF(J722="","7. Acima de 2 km",IF(J722&lt;=50,"1. Até 50 m",IF(J722&lt;=100,"2. De 50 a 100 m",IF(J722&lt;=200,"3. De 100 a 200 m",IF(J722&lt;=300,"4. De 200 a 300 m",IF(J722&lt;=500,"5. De 300 a 500 m","6. De 500 m a 2 km"))))))</f>
        <v>6. De 500 m a 2 km</v>
      </c>
      <c r="L722" s="26" t="n">
        <v>0</v>
      </c>
      <c r="M722" s="26" t="n">
        <v>0</v>
      </c>
      <c r="N722" s="26" t="n">
        <v>0</v>
      </c>
      <c r="O722" s="26" t="n">
        <v>0</v>
      </c>
      <c r="P722" s="30" t="n">
        <v>-12.2181952</v>
      </c>
      <c r="Q722" s="30" t="n">
        <v>-38.9603735</v>
      </c>
      <c r="R722" s="14" t="inlineStr">
        <is>
          <t>FÓRUM ELEITORAL DE FEIRA DE SANTANA - AVENIDA JOSÉ FALCÃO DA SILVA, S/N, QUEIMADINHA, FEIRA DE SANTANA/BA</t>
        </is>
      </c>
      <c r="S722" s="26">
        <f>IF(A722=A721,0,1)</f>
        <v>0</v>
      </c>
      <c r="T722" s="26">
        <f>IF(COUNTIF($B$4:B722,B722)=1,1,0)</f>
        <v>0</v>
      </c>
    </row>
    <row r="723">
      <c r="A723" s="14" t="inlineStr">
        <is>
          <t>FEIRA DE SANTANA</t>
        </is>
      </c>
      <c r="B723" s="26" t="n">
        <v>154</v>
      </c>
      <c r="C723" s="26" t="n">
        <v>1090</v>
      </c>
      <c r="D723" s="14" t="inlineStr">
        <is>
          <t>COLÉGIO ESTADUAL GOVERNADOR LUIZ VIANA FILHO</t>
        </is>
      </c>
      <c r="E723" s="14" t="inlineStr">
        <is>
          <t>CIDADE NOVA</t>
        </is>
      </c>
      <c r="F723" s="14" t="inlineStr">
        <is>
          <t>RUA DOIS, S/N - ZONA URBANA</t>
        </is>
      </c>
      <c r="G723" s="27" t="inlineStr">
        <is>
          <t>44053-768</t>
        </is>
      </c>
      <c r="H723" s="15" t="n">
        <v>21</v>
      </c>
      <c r="I723" s="28" t="inlineStr">
        <is>
          <t>NÃO</t>
        </is>
      </c>
      <c r="J723" s="29" t="n">
        <v>243.9</v>
      </c>
      <c r="K723" s="14" t="str">
        <f>IF(J723="","7. Acima de 2 km",IF(J723&lt;=50,"1. Até 50 m",IF(J723&lt;=100,"2. De 50 a 100 m",IF(J723&lt;=200,"3. De 100 a 200 m",IF(J723&lt;=300,"4. De 200 a 300 m",IF(J723&lt;=500,"5. De 300 a 500 m","6. De 500 m a 2 km"))))))</f>
        <v>4. De 200 a 300 m</v>
      </c>
      <c r="L723" s="26" t="n">
        <v>0</v>
      </c>
      <c r="M723" s="26" t="n">
        <v>0</v>
      </c>
      <c r="N723" s="26" t="n">
        <v>0</v>
      </c>
      <c r="O723" s="26" t="n">
        <v>1</v>
      </c>
      <c r="P723" s="30" t="n">
        <v>-12.2239316</v>
      </c>
      <c r="Q723" s="30" t="n">
        <v>-38.9609177</v>
      </c>
      <c r="R723" s="14" t="inlineStr">
        <is>
          <t>FÓRUM ELEITORAL DE FEIRA DE SANTANA - AVENIDA JOSÉ FALCÃO DA SILVA, S/N, QUEIMADINHA, FEIRA DE SANTANA/BA</t>
        </is>
      </c>
      <c r="S723" s="26">
        <f>IF(A723=A722,0,1)</f>
        <v>0</v>
      </c>
      <c r="T723" s="26">
        <f>IF(COUNTIF($B$4:B723,B723)=1,1,0)</f>
        <v>0</v>
      </c>
    </row>
    <row r="724">
      <c r="A724" s="14" t="inlineStr">
        <is>
          <t>FEIRA DE SANTANA</t>
        </is>
      </c>
      <c r="B724" s="26" t="n">
        <v>154</v>
      </c>
      <c r="C724" s="26" t="n">
        <v>1104</v>
      </c>
      <c r="D724" s="14" t="inlineStr">
        <is>
          <t>ESCOLA MUNICIPAL DOUTOR DEMÓSTHENES ÁLVARO DE BRITO</t>
        </is>
      </c>
      <c r="E724" s="14" t="inlineStr">
        <is>
          <t>MANGABEIRA</t>
        </is>
      </c>
      <c r="F724" s="14" t="inlineStr">
        <is>
          <t>RUA IBIAPINA, S/N - ZONA URBANA</t>
        </is>
      </c>
      <c r="G724" s="27" t="inlineStr">
        <is>
          <t>44057-530</t>
        </is>
      </c>
      <c r="H724" s="15" t="n">
        <v>7</v>
      </c>
      <c r="I724" s="28" t="inlineStr">
        <is>
          <t>NÃO</t>
        </is>
      </c>
      <c r="J724" s="29" t="n">
        <v>580.6</v>
      </c>
      <c r="K724" s="14" t="str">
        <f>IF(J724="","7. Acima de 2 km",IF(J724&lt;=50,"1. Até 50 m",IF(J724&lt;=100,"2. De 50 a 100 m",IF(J724&lt;=200,"3. De 100 a 200 m",IF(J724&lt;=300,"4. De 200 a 300 m",IF(J724&lt;=500,"5. De 300 a 500 m","6. De 500 m a 2 km"))))))</f>
        <v>6. De 500 m a 2 km</v>
      </c>
      <c r="L724" s="26" t="n">
        <v>0</v>
      </c>
      <c r="M724" s="26" t="n">
        <v>0</v>
      </c>
      <c r="N724" s="26" t="n">
        <v>0</v>
      </c>
      <c r="O724" s="26" t="n">
        <v>0</v>
      </c>
      <c r="P724" s="30" t="n">
        <v>-12.2164186</v>
      </c>
      <c r="Q724" s="30" t="n">
        <v>-38.9382433</v>
      </c>
      <c r="R724" s="14" t="inlineStr">
        <is>
          <t>FÓRUM ELEITORAL DE FEIRA DE SANTANA - AVENIDA JOSÉ FALCÃO DA SILVA, S/N, QUEIMADINHA, FEIRA DE SANTANA/BA</t>
        </is>
      </c>
      <c r="S724" s="26">
        <f>IF(A724=A723,0,1)</f>
        <v>0</v>
      </c>
      <c r="T724" s="26">
        <f>IF(COUNTIF($B$4:B724,B724)=1,1,0)</f>
        <v>0</v>
      </c>
    </row>
    <row r="725">
      <c r="A725" s="14" t="inlineStr">
        <is>
          <t>FEIRA DE SANTANA</t>
        </is>
      </c>
      <c r="B725" s="26" t="n">
        <v>154</v>
      </c>
      <c r="C725" s="26" t="n">
        <v>1112</v>
      </c>
      <c r="D725" s="14" t="inlineStr">
        <is>
          <t>ESCOLA MUNICIPAL MONSENHOR MÁRIO PESSOA</t>
        </is>
      </c>
      <c r="E725" s="14" t="inlineStr">
        <is>
          <t>CIDADE NOVA</t>
        </is>
      </c>
      <c r="F725" s="14" t="inlineStr">
        <is>
          <t>RUA BRITO, 100 - ZONA URBANA</t>
        </is>
      </c>
      <c r="G725" s="27" t="inlineStr">
        <is>
          <t>44053-334</t>
        </is>
      </c>
      <c r="H725" s="15" t="n">
        <v>8</v>
      </c>
      <c r="I725" s="28" t="inlineStr">
        <is>
          <t>NÃO</t>
        </is>
      </c>
      <c r="J725" s="29" t="n">
        <v>452.8</v>
      </c>
      <c r="K725" s="14" t="str">
        <f>IF(J725="","7. Acima de 2 km",IF(J725&lt;=50,"1. Até 50 m",IF(J725&lt;=100,"2. De 50 a 100 m",IF(J725&lt;=200,"3. De 100 a 200 m",IF(J725&lt;=300,"4. De 200 a 300 m",IF(J725&lt;=500,"5. De 300 a 500 m","6. De 500 m a 2 km"))))))</f>
        <v>5. De 300 a 500 m</v>
      </c>
      <c r="L725" s="26" t="n">
        <v>0</v>
      </c>
      <c r="M725" s="26" t="n">
        <v>0</v>
      </c>
      <c r="N725" s="26" t="n">
        <v>0</v>
      </c>
      <c r="O725" s="26" t="n">
        <v>0</v>
      </c>
      <c r="P725" s="30" t="n">
        <v>-12.2301114</v>
      </c>
      <c r="Q725" s="30" t="n">
        <v>-38.9615729</v>
      </c>
      <c r="R725" s="14" t="inlineStr">
        <is>
          <t>FÓRUM ELEITORAL DE FEIRA DE SANTANA - AVENIDA JOSÉ FALCÃO DA SILVA, S/N, QUEIMADINHA, FEIRA DE SANTANA/BA</t>
        </is>
      </c>
      <c r="S725" s="26">
        <f>IF(A725=A724,0,1)</f>
        <v>0</v>
      </c>
      <c r="T725" s="26">
        <f>IF(COUNTIF($B$4:B725,B725)=1,1,0)</f>
        <v>0</v>
      </c>
    </row>
    <row r="726">
      <c r="A726" s="14" t="inlineStr">
        <is>
          <t>FEIRA DE SANTANA</t>
        </is>
      </c>
      <c r="B726" s="26" t="n">
        <v>154</v>
      </c>
      <c r="C726" s="26" t="n">
        <v>1139</v>
      </c>
      <c r="D726" s="14" t="inlineStr">
        <is>
          <t>ESCOLA EDELVIRA D'OLIVEIRA</t>
        </is>
      </c>
      <c r="E726" s="14" t="inlineStr">
        <is>
          <t>QUEIMADINHA</t>
        </is>
      </c>
      <c r="F726" s="14" t="inlineStr">
        <is>
          <t>RUA RIO GRANDE DO NORTE, 76 - ZONA URBANA</t>
        </is>
      </c>
      <c r="G726" s="27" t="inlineStr">
        <is>
          <t>44050-422</t>
        </is>
      </c>
      <c r="H726" s="15" t="n">
        <v>11</v>
      </c>
      <c r="I726" s="28" t="inlineStr">
        <is>
          <t>SIM</t>
        </is>
      </c>
      <c r="J726" s="29" t="n">
        <v>32.2</v>
      </c>
      <c r="K726" s="14" t="str">
        <f>IF(J726="","7. Acima de 2 km",IF(J726&lt;=50,"1. Até 50 m",IF(J726&lt;=100,"2. De 50 a 100 m",IF(J726&lt;=200,"3. De 100 a 200 m",IF(J726&lt;=300,"4. De 200 a 300 m",IF(J726&lt;=500,"5. De 300 a 500 m","6. De 500 m a 2 km"))))))</f>
        <v>1. Até 50 m</v>
      </c>
      <c r="L726" s="26" t="n">
        <v>1</v>
      </c>
      <c r="M726" s="26" t="n">
        <v>1</v>
      </c>
      <c r="N726" s="26" t="n">
        <v>1</v>
      </c>
      <c r="O726" s="26" t="n">
        <v>1</v>
      </c>
      <c r="P726" s="30" t="n">
        <v>-12.2404372</v>
      </c>
      <c r="Q726" s="30" t="n">
        <v>-38.9572558</v>
      </c>
      <c r="R726" s="14" t="inlineStr">
        <is>
          <t>FÓRUM ELEITORAL DE FEIRA DE SANTANA - AVENIDA JOSÉ FALCÃO DA SILVA, S/N, QUEIMADINHA, FEIRA DE SANTANA/BA</t>
        </is>
      </c>
      <c r="S726" s="26">
        <f>IF(A726=A725,0,1)</f>
        <v>0</v>
      </c>
      <c r="T726" s="26">
        <f>IF(COUNTIF($B$4:B726,B726)=1,1,0)</f>
        <v>0</v>
      </c>
    </row>
    <row r="727">
      <c r="A727" s="14" t="inlineStr">
        <is>
          <t>FEIRA DE SANTANA</t>
        </is>
      </c>
      <c r="B727" s="26" t="n">
        <v>154</v>
      </c>
      <c r="C727" s="26" t="n">
        <v>1147</v>
      </c>
      <c r="D727" s="14" t="inlineStr">
        <is>
          <t>ESCOLA MUNICIPAL ESTER DA SILVA SANTANA</t>
        </is>
      </c>
      <c r="E727" s="14" t="inlineStr">
        <is>
          <t>MANGABEIRA</t>
        </is>
      </c>
      <c r="F727" s="14" t="inlineStr">
        <is>
          <t>RUA TUPINAMBÁS, S/N - ZONA URBANA</t>
        </is>
      </c>
      <c r="G727" s="27" t="inlineStr">
        <is>
          <t>44056-080</t>
        </is>
      </c>
      <c r="H727" s="15" t="n">
        <v>6</v>
      </c>
      <c r="I727" s="28" t="inlineStr">
        <is>
          <t>NÃO</t>
        </is>
      </c>
      <c r="J727" s="29" t="n">
        <v>477.1</v>
      </c>
      <c r="K727" s="14" t="str">
        <f>IF(J727="","7. Acima de 2 km",IF(J727&lt;=50,"1. Até 50 m",IF(J727&lt;=100,"2. De 50 a 100 m",IF(J727&lt;=200,"3. De 100 a 200 m",IF(J727&lt;=300,"4. De 200 a 300 m",IF(J727&lt;=500,"5. De 300 a 500 m","6. De 500 m a 2 km"))))))</f>
        <v>5. De 300 a 500 m</v>
      </c>
      <c r="L727" s="26" t="n">
        <v>0</v>
      </c>
      <c r="M727" s="26" t="n">
        <v>0</v>
      </c>
      <c r="N727" s="26" t="n">
        <v>0</v>
      </c>
      <c r="O727" s="26" t="n">
        <v>0</v>
      </c>
      <c r="P727" s="30" t="n">
        <v>-12.2239343</v>
      </c>
      <c r="Q727" s="30" t="n">
        <v>-38.9441515</v>
      </c>
      <c r="R727" s="14" t="inlineStr">
        <is>
          <t>FÓRUM ELEITORAL DE FEIRA DE SANTANA - AVENIDA JOSÉ FALCÃO DA SILVA, S/N, QUEIMADINHA, FEIRA DE SANTANA/BA</t>
        </is>
      </c>
      <c r="S727" s="26">
        <f>IF(A727=A726,0,1)</f>
        <v>0</v>
      </c>
      <c r="T727" s="26">
        <f>IF(COUNTIF($B$4:B727,B727)=1,1,0)</f>
        <v>0</v>
      </c>
    </row>
    <row r="728">
      <c r="A728" s="14" t="inlineStr">
        <is>
          <t>FEIRA DE SANTANA</t>
        </is>
      </c>
      <c r="B728" s="26" t="n">
        <v>154</v>
      </c>
      <c r="C728" s="26" t="n">
        <v>1155</v>
      </c>
      <c r="D728" s="14" t="inlineStr">
        <is>
          <t>COLÉGIO ESTADUAL HILDA CARNEIRO</t>
        </is>
      </c>
      <c r="E728" s="14" t="inlineStr">
        <is>
          <t>MANGABEIRA</t>
        </is>
      </c>
      <c r="F728" s="14" t="inlineStr">
        <is>
          <t>RUA D, S/N ,  CONJUNTO FEIRA V - ZONA URBANA</t>
        </is>
      </c>
      <c r="G728" s="27" t="inlineStr">
        <is>
          <t>44056-194</t>
        </is>
      </c>
      <c r="H728" s="15" t="n">
        <v>6</v>
      </c>
      <c r="I728" s="28" t="inlineStr">
        <is>
          <t>NÃO</t>
        </is>
      </c>
      <c r="J728" s="29" t="n">
        <v>384.2</v>
      </c>
      <c r="K728" s="14" t="str">
        <f>IF(J728="","7. Acima de 2 km",IF(J728&lt;=50,"1. Até 50 m",IF(J728&lt;=100,"2. De 50 a 100 m",IF(J728&lt;=200,"3. De 100 a 200 m",IF(J728&lt;=300,"4. De 200 a 300 m",IF(J728&lt;=500,"5. De 300 a 500 m","6. De 500 m a 2 km"))))))</f>
        <v>5. De 300 a 500 m</v>
      </c>
      <c r="L728" s="26" t="n">
        <v>0</v>
      </c>
      <c r="M728" s="26" t="n">
        <v>0</v>
      </c>
      <c r="N728" s="26" t="n">
        <v>0</v>
      </c>
      <c r="O728" s="26" t="n">
        <v>0</v>
      </c>
      <c r="P728" s="30" t="n">
        <v>-12.2295788</v>
      </c>
      <c r="Q728" s="30" t="n">
        <v>-38.9505573</v>
      </c>
      <c r="R728" s="14" t="inlineStr">
        <is>
          <t>FÓRUM ELEITORAL DE FEIRA DE SANTANA - AVENIDA JOSÉ FALCÃO DA SILVA, S/N, QUEIMADINHA, FEIRA DE SANTANA/BA</t>
        </is>
      </c>
      <c r="S728" s="26">
        <f>IF(A728=A727,0,1)</f>
        <v>0</v>
      </c>
      <c r="T728" s="26">
        <f>IF(COUNTIF($B$4:B728,B728)=1,1,0)</f>
        <v>0</v>
      </c>
    </row>
    <row r="729">
      <c r="A729" s="14" t="inlineStr">
        <is>
          <t>FEIRA DE SANTANA</t>
        </is>
      </c>
      <c r="B729" s="26" t="n">
        <v>154</v>
      </c>
      <c r="C729" s="26" t="n">
        <v>1163</v>
      </c>
      <c r="D729" s="14" t="inlineStr">
        <is>
          <t>COLÉGIO ESTADUAL IMACULADA CONCEIÇÃO</t>
        </is>
      </c>
      <c r="E729" s="14" t="inlineStr">
        <is>
          <t>CONCEIÇÃO</t>
        </is>
      </c>
      <c r="F729" s="14" t="inlineStr">
        <is>
          <t>RUA CALAMAR, S/N - ZONA URBANA</t>
        </is>
      </c>
      <c r="G729" s="27" t="inlineStr">
        <is>
          <t>44065-104</t>
        </is>
      </c>
      <c r="H729" s="15" t="n">
        <v>10</v>
      </c>
      <c r="I729" s="28" t="inlineStr">
        <is>
          <t>NÃO</t>
        </is>
      </c>
      <c r="J729" s="29" t="n">
        <v>532.5</v>
      </c>
      <c r="K729" s="14" t="str">
        <f>IF(J729="","7. Acima de 2 km",IF(J729&lt;=50,"1. Até 50 m",IF(J729&lt;=100,"2. De 50 a 100 m",IF(J729&lt;=200,"3. De 100 a 200 m",IF(J729&lt;=300,"4. De 200 a 300 m",IF(J729&lt;=500,"5. De 300 a 500 m","6. De 500 m a 2 km"))))))</f>
        <v>6. De 500 m a 2 km</v>
      </c>
      <c r="L729" s="26" t="n">
        <v>0</v>
      </c>
      <c r="M729" s="26" t="n">
        <v>0</v>
      </c>
      <c r="N729" s="26" t="n">
        <v>0</v>
      </c>
      <c r="O729" s="26" t="n">
        <v>0</v>
      </c>
      <c r="P729" s="30" t="n">
        <v>-12.2338881</v>
      </c>
      <c r="Q729" s="30" t="n">
        <v>-38.9384684</v>
      </c>
      <c r="R729" s="14" t="inlineStr">
        <is>
          <t>FÓRUM ELEITORAL DE FEIRA DE SANTANA - AVENIDA JOSÉ FALCÃO DA SILVA, S/N, QUEIMADINHA, FEIRA DE SANTANA/BA</t>
        </is>
      </c>
      <c r="S729" s="26">
        <f>IF(A729=A728,0,1)</f>
        <v>0</v>
      </c>
      <c r="T729" s="26">
        <f>IF(COUNTIF($B$4:B729,B729)=1,1,0)</f>
        <v>0</v>
      </c>
    </row>
    <row r="730">
      <c r="A730" s="14" t="inlineStr">
        <is>
          <t>FEIRA DE SANTANA</t>
        </is>
      </c>
      <c r="B730" s="26" t="n">
        <v>154</v>
      </c>
      <c r="C730" s="26" t="n">
        <v>1210</v>
      </c>
      <c r="D730" s="14" t="inlineStr">
        <is>
          <t>ESCOLA MUNICIPAL DIVA MATOS PORTELA</t>
        </is>
      </c>
      <c r="E730" s="14" t="inlineStr">
        <is>
          <t>JARDIM CRUZEIRO</t>
        </is>
      </c>
      <c r="F730" s="14" t="inlineStr">
        <is>
          <t>RUA ESPLANADA - ZONA URBANA</t>
        </is>
      </c>
      <c r="G730" s="27" t="inlineStr">
        <is>
          <t>44024-138</t>
        </is>
      </c>
      <c r="H730" s="15" t="n">
        <v>9</v>
      </c>
      <c r="I730" s="28" t="inlineStr">
        <is>
          <t>NÃO</t>
        </is>
      </c>
      <c r="J730" s="29" t="n">
        <v>339.8</v>
      </c>
      <c r="K730" s="14" t="str">
        <f>IF(J730="","7. Acima de 2 km",IF(J730&lt;=50,"1. Até 50 m",IF(J730&lt;=100,"2. De 50 a 100 m",IF(J730&lt;=200,"3. De 100 a 200 m",IF(J730&lt;=300,"4. De 200 a 300 m",IF(J730&lt;=500,"5. De 300 a 500 m","6. De 500 m a 2 km"))))))</f>
        <v>5. De 300 a 500 m</v>
      </c>
      <c r="L730" s="26" t="n">
        <v>0</v>
      </c>
      <c r="M730" s="26" t="n">
        <v>0</v>
      </c>
      <c r="N730" s="26" t="n">
        <v>0</v>
      </c>
      <c r="O730" s="26" t="n">
        <v>0</v>
      </c>
      <c r="P730" s="30" t="n">
        <v>-12.2460953</v>
      </c>
      <c r="Q730" s="30" t="n">
        <v>-38.981765</v>
      </c>
      <c r="R730" s="14" t="inlineStr">
        <is>
          <t>FÓRUM ELEITORAL DE FEIRA DE SANTANA - AVENIDA JOSÉ FALCÃO DA SILVA, S/N, QUEIMADINHA, FEIRA DE SANTANA/BA</t>
        </is>
      </c>
      <c r="S730" s="26">
        <f>IF(A730=A729,0,1)</f>
        <v>0</v>
      </c>
      <c r="T730" s="26">
        <f>IF(COUNTIF($B$4:B730,B730)=1,1,0)</f>
        <v>0</v>
      </c>
    </row>
    <row r="731">
      <c r="A731" s="14" t="inlineStr">
        <is>
          <t>FEIRA DE SANTANA</t>
        </is>
      </c>
      <c r="B731" s="26" t="n">
        <v>154</v>
      </c>
      <c r="C731" s="26" t="n">
        <v>1228</v>
      </c>
      <c r="D731" s="14" t="inlineStr">
        <is>
          <t>ESCOLA ESTADUAL TEOTÔNIO VILELA</t>
        </is>
      </c>
      <c r="E731" s="14" t="inlineStr">
        <is>
          <t>MANGABEIRA</t>
        </is>
      </c>
      <c r="F731" s="14" t="inlineStr">
        <is>
          <t>RUA O, CJ JOÃO PAULO II, S/N - ZONA URBANA</t>
        </is>
      </c>
      <c r="G731" s="27" t="inlineStr">
        <is>
          <t>44056-568</t>
        </is>
      </c>
      <c r="H731" s="15" t="n">
        <v>17</v>
      </c>
      <c r="I731" s="28" t="inlineStr">
        <is>
          <t>NÃO</t>
        </is>
      </c>
      <c r="J731" s="29" t="n">
        <v>303.1</v>
      </c>
      <c r="K731" s="14" t="str">
        <f>IF(J731="","7. Acima de 2 km",IF(J731&lt;=50,"1. Até 50 m",IF(J731&lt;=100,"2. De 50 a 100 m",IF(J731&lt;=200,"3. De 100 a 200 m",IF(J731&lt;=300,"4. De 200 a 300 m",IF(J731&lt;=500,"5. De 300 a 500 m","6. De 500 m a 2 km"))))))</f>
        <v>5. De 300 a 500 m</v>
      </c>
      <c r="L731" s="26" t="n">
        <v>0</v>
      </c>
      <c r="M731" s="26" t="n">
        <v>0</v>
      </c>
      <c r="N731" s="26" t="n">
        <v>0</v>
      </c>
      <c r="O731" s="26" t="n">
        <v>0</v>
      </c>
      <c r="P731" s="30" t="n">
        <v>-12.2171883</v>
      </c>
      <c r="Q731" s="30" t="n">
        <v>-38.9499841</v>
      </c>
      <c r="R731" s="14" t="inlineStr">
        <is>
          <t>FÓRUM ELEITORAL DE FEIRA DE SANTANA - AVENIDA JOSÉ FALCÃO DA SILVA, S/N, QUEIMADINHA, FEIRA DE SANTANA/BA</t>
        </is>
      </c>
      <c r="S731" s="26">
        <f>IF(A731=A730,0,1)</f>
        <v>0</v>
      </c>
      <c r="T731" s="26">
        <f>IF(COUNTIF($B$4:B731,B731)=1,1,0)</f>
        <v>0</v>
      </c>
    </row>
    <row r="732">
      <c r="A732" s="14" t="inlineStr">
        <is>
          <t>FEIRA DE SANTANA</t>
        </is>
      </c>
      <c r="B732" s="26" t="n">
        <v>154</v>
      </c>
      <c r="C732" s="26" t="n">
        <v>1244</v>
      </c>
      <c r="D732" s="14" t="inlineStr">
        <is>
          <t>ESCOLA MUNICIPAL PADRE GIOVANNI CIRESOLA</t>
        </is>
      </c>
      <c r="E732" s="14" t="inlineStr">
        <is>
          <t>CIDADE NOVA</t>
        </is>
      </c>
      <c r="F732" s="14" t="inlineStr">
        <is>
          <t>RUA CARLOS ALBERTO, 514 - ZONA URBANA</t>
        </is>
      </c>
      <c r="G732" s="27" t="inlineStr">
        <is>
          <t>44053-274</t>
        </is>
      </c>
      <c r="H732" s="15" t="n">
        <v>10</v>
      </c>
      <c r="I732" s="28" t="inlineStr">
        <is>
          <t>NÃO</t>
        </is>
      </c>
      <c r="J732" s="29" t="n">
        <v>629.4</v>
      </c>
      <c r="K732" s="14" t="str">
        <f>IF(J732="","7. Acima de 2 km",IF(J732&lt;=50,"1. Até 50 m",IF(J732&lt;=100,"2. De 50 a 100 m",IF(J732&lt;=200,"3. De 100 a 200 m",IF(J732&lt;=300,"4. De 200 a 300 m",IF(J732&lt;=500,"5. De 300 a 500 m","6. De 500 m a 2 km"))))))</f>
        <v>6. De 500 m a 2 km</v>
      </c>
      <c r="L732" s="26" t="n">
        <v>0</v>
      </c>
      <c r="M732" s="26" t="n">
        <v>0</v>
      </c>
      <c r="N732" s="26" t="n">
        <v>0</v>
      </c>
      <c r="O732" s="26" t="n">
        <v>0</v>
      </c>
      <c r="P732" s="30" t="n">
        <v>-12.2214241</v>
      </c>
      <c r="Q732" s="30" t="n">
        <v>-38.9575163</v>
      </c>
      <c r="R732" s="14" t="inlineStr">
        <is>
          <t>FÓRUM ELEITORAL DE FEIRA DE SANTANA - AVENIDA JOSÉ FALCÃO DA SILVA, S/N, QUEIMADINHA, FEIRA DE SANTANA/BA</t>
        </is>
      </c>
      <c r="S732" s="26">
        <f>IF(A732=A731,0,1)</f>
        <v>0</v>
      </c>
      <c r="T732" s="26">
        <f>IF(COUNTIF($B$4:B732,B732)=1,1,0)</f>
        <v>0</v>
      </c>
    </row>
    <row r="733">
      <c r="A733" s="14" t="inlineStr">
        <is>
          <t>FEIRA DE SANTANA</t>
        </is>
      </c>
      <c r="B733" s="26" t="n">
        <v>154</v>
      </c>
      <c r="C733" s="26" t="n">
        <v>1252</v>
      </c>
      <c r="D733" s="14" t="inlineStr">
        <is>
          <t>ESCOLA MUNICIPAL COMENDADOR JONATHAS TELLES DE CARVALHO</t>
        </is>
      </c>
      <c r="E733" s="14" t="inlineStr">
        <is>
          <t>CONCEIÇÃO</t>
        </is>
      </c>
      <c r="F733" s="14" t="inlineStr">
        <is>
          <t>RUA DA PENHA, S/N - ZONA URBANA</t>
        </is>
      </c>
      <c r="G733" s="27" t="inlineStr">
        <is>
          <t>44066-126</t>
        </is>
      </c>
      <c r="H733" s="15" t="n">
        <v>12</v>
      </c>
      <c r="I733" s="28" t="inlineStr">
        <is>
          <t>NÃO</t>
        </is>
      </c>
      <c r="J733" s="29" t="n">
        <v>443</v>
      </c>
      <c r="K733" s="14" t="str">
        <f>IF(J733="","7. Acima de 2 km",IF(J733&lt;=50,"1. Até 50 m",IF(J733&lt;=100,"2. De 50 a 100 m",IF(J733&lt;=200,"3. De 100 a 200 m",IF(J733&lt;=300,"4. De 200 a 300 m",IF(J733&lt;=500,"5. De 300 a 500 m","6. De 500 m a 2 km"))))))</f>
        <v>5. De 300 a 500 m</v>
      </c>
      <c r="L733" s="26" t="n">
        <v>0</v>
      </c>
      <c r="M733" s="26" t="n">
        <v>0</v>
      </c>
      <c r="N733" s="26" t="n">
        <v>0</v>
      </c>
      <c r="O733" s="26" t="n">
        <v>0</v>
      </c>
      <c r="P733" s="30" t="n">
        <v>-12.2283361</v>
      </c>
      <c r="Q733" s="30" t="n">
        <v>-38.9340893</v>
      </c>
      <c r="R733" s="14" t="inlineStr">
        <is>
          <t>FÓRUM ELEITORAL DE FEIRA DE SANTANA - AVENIDA JOSÉ FALCÃO DA SILVA, S/N, QUEIMADINHA, FEIRA DE SANTANA/BA</t>
        </is>
      </c>
      <c r="S733" s="26">
        <f>IF(A733=A732,0,1)</f>
        <v>0</v>
      </c>
      <c r="T733" s="26">
        <f>IF(COUNTIF($B$4:B733,B733)=1,1,0)</f>
        <v>0</v>
      </c>
    </row>
    <row r="734">
      <c r="A734" s="14" t="inlineStr">
        <is>
          <t>FEIRA DE SANTANA</t>
        </is>
      </c>
      <c r="B734" s="26" t="n">
        <v>154</v>
      </c>
      <c r="C734" s="26" t="n">
        <v>1295</v>
      </c>
      <c r="D734" s="14" t="inlineStr">
        <is>
          <t>ESCOLA MUNICIPAL PROFESSORA JULIETA FRUTUOSO DE ARAÚJO</t>
        </is>
      </c>
      <c r="E734" s="14" t="inlineStr">
        <is>
          <t>DISTRITO DE TIQUARUÇU</t>
        </is>
      </c>
      <c r="F734" s="14" t="inlineStr">
        <is>
          <t>TRAVESSA LUCIO CERQUEIRA, S/N, SEDE - ZONA RURAL</t>
        </is>
      </c>
      <c r="G734" s="27" t="inlineStr">
        <is>
          <t>44140-000</t>
        </is>
      </c>
      <c r="H734" s="15" t="n">
        <v>7</v>
      </c>
      <c r="I734" s="28" t="inlineStr">
        <is>
          <t>NÃO</t>
        </is>
      </c>
      <c r="J734" s="29" t="n">
        <v>308.3</v>
      </c>
      <c r="K734" s="14" t="str">
        <f>IF(J734="","7. Acima de 2 km",IF(J734&lt;=50,"1. Até 50 m",IF(J734&lt;=100,"2. De 50 a 100 m",IF(J734&lt;=200,"3. De 100 a 200 m",IF(J734&lt;=300,"4. De 200 a 300 m",IF(J734&lt;=500,"5. De 300 a 500 m","6. De 500 m a 2 km"))))))</f>
        <v>5. De 300 a 500 m</v>
      </c>
      <c r="L734" s="26" t="n">
        <v>0</v>
      </c>
      <c r="M734" s="26" t="n">
        <v>0</v>
      </c>
      <c r="N734" s="26" t="n">
        <v>0</v>
      </c>
      <c r="O734" s="26" t="n">
        <v>0</v>
      </c>
      <c r="P734" s="30" t="n">
        <v>-12.0786386</v>
      </c>
      <c r="Q734" s="30" t="n">
        <v>-38.9036522</v>
      </c>
      <c r="R734" s="14" t="inlineStr">
        <is>
          <t>FÓRUM ELEITORAL DE FEIRA DE SANTANA - AVENIDA JOSÉ FALCÃO DA SILVA, S/N, QUEIMADINHA, FEIRA DE SANTANA/BA</t>
        </is>
      </c>
      <c r="S734" s="26">
        <f>IF(A734=A733,0,1)</f>
        <v>0</v>
      </c>
      <c r="T734" s="26">
        <f>IF(COUNTIF($B$4:B734,B734)=1,1,0)</f>
        <v>0</v>
      </c>
    </row>
    <row r="735">
      <c r="A735" s="14" t="inlineStr">
        <is>
          <t>FEIRA DE SANTANA</t>
        </is>
      </c>
      <c r="B735" s="26" t="n">
        <v>154</v>
      </c>
      <c r="C735" s="26" t="n">
        <v>1309</v>
      </c>
      <c r="D735" s="14" t="inlineStr">
        <is>
          <t>ESCOLA SÃO JOÃO DA ESCÓCIA</t>
        </is>
      </c>
      <c r="E735" s="14" t="inlineStr">
        <is>
          <t>QUEIMADINHA</t>
        </is>
      </c>
      <c r="F735" s="14" t="inlineStr">
        <is>
          <t>AVENIDA MARIA QUITÉRIA , 2836 - ZONA URBANA</t>
        </is>
      </c>
      <c r="G735" s="27" t="inlineStr">
        <is>
          <t>44050-368</t>
        </is>
      </c>
      <c r="H735" s="15" t="n">
        <v>11</v>
      </c>
      <c r="I735" s="28" t="inlineStr">
        <is>
          <t>NÃO</t>
        </is>
      </c>
      <c r="J735" s="29" t="n">
        <v>415.8</v>
      </c>
      <c r="K735" s="14" t="str">
        <f>IF(J735="","7. Acima de 2 km",IF(J735&lt;=50,"1. Até 50 m",IF(J735&lt;=100,"2. De 50 a 100 m",IF(J735&lt;=200,"3. De 100 a 200 m",IF(J735&lt;=300,"4. De 200 a 300 m",IF(J735&lt;=500,"5. De 300 a 500 m","6. De 500 m a 2 km"))))))</f>
        <v>5. De 300 a 500 m</v>
      </c>
      <c r="L735" s="26" t="n">
        <v>0</v>
      </c>
      <c r="M735" s="26" t="n">
        <v>0</v>
      </c>
      <c r="N735" s="26" t="n">
        <v>0</v>
      </c>
      <c r="O735" s="26" t="n">
        <v>0</v>
      </c>
      <c r="P735" s="30" t="n">
        <v>-12.243128</v>
      </c>
      <c r="Q735" s="30" t="n">
        <v>-38.9542273</v>
      </c>
      <c r="R735" s="14" t="inlineStr">
        <is>
          <t>FÓRUM ELEITORAL DE FEIRA DE SANTANA - AVENIDA JOSÉ FALCÃO DA SILVA, S/N, QUEIMADINHA, FEIRA DE SANTANA/BA</t>
        </is>
      </c>
      <c r="S735" s="26">
        <f>IF(A735=A734,0,1)</f>
        <v>0</v>
      </c>
      <c r="T735" s="26">
        <f>IF(COUNTIF($B$4:B735,B735)=1,1,0)</f>
        <v>0</v>
      </c>
    </row>
    <row r="736">
      <c r="A736" s="14" t="inlineStr">
        <is>
          <t>FEIRA DE SANTANA</t>
        </is>
      </c>
      <c r="B736" s="26" t="n">
        <v>154</v>
      </c>
      <c r="C736" s="26" t="n">
        <v>1317</v>
      </c>
      <c r="D736" s="14" t="inlineStr">
        <is>
          <t>ESCOLA MUNICIPAL ANDRÉ CUSTÓDIO FERREIRA</t>
        </is>
      </c>
      <c r="E736" s="14" t="inlineStr">
        <is>
          <t>DISTRITO DE TIQUARUÇU</t>
        </is>
      </c>
      <c r="F736" s="14" t="inlineStr">
        <is>
          <t>PRAÇA DO POVOADO SOCORRO - ZONA RURAL</t>
        </is>
      </c>
      <c r="G736" s="27" t="inlineStr">
        <is>
          <t>44140-000</t>
        </is>
      </c>
      <c r="H736" s="15" t="n">
        <v>2</v>
      </c>
      <c r="I736" s="28" t="inlineStr">
        <is>
          <t>NÃO</t>
        </is>
      </c>
      <c r="J736" s="29" t="n"/>
      <c r="K736" s="14" t="str">
        <f>IF(J736="","7. Acima de 2 km",IF(J736&lt;=50,"1. Até 50 m",IF(J736&lt;=100,"2. De 50 a 100 m",IF(J736&lt;=200,"3. De 100 a 200 m",IF(J736&lt;=300,"4. De 200 a 300 m",IF(J736&lt;=500,"5. De 300 a 500 m","6. De 500 m a 2 km"))))))</f>
        <v>7. Acima de 2 km</v>
      </c>
      <c r="L736" s="26" t="n">
        <v>0</v>
      </c>
      <c r="M736" s="26" t="n">
        <v>0</v>
      </c>
      <c r="N736" s="26" t="n">
        <v>0</v>
      </c>
      <c r="O736" s="26" t="n">
        <v>0</v>
      </c>
      <c r="P736" s="30" t="n">
        <v>-12.0640509</v>
      </c>
      <c r="Q736" s="30" t="n">
        <v>-38.9220226</v>
      </c>
      <c r="R736" s="14" t="inlineStr">
        <is>
          <t>FÓRUM ELEITORAL DE FEIRA DE SANTANA - AVENIDA JOSÉ FALCÃO DA SILVA, S/N, QUEIMADINHA, FEIRA DE SANTANA/BA</t>
        </is>
      </c>
      <c r="S736" s="26">
        <f>IF(A736=A735,0,1)</f>
        <v>0</v>
      </c>
      <c r="T736" s="26">
        <f>IF(COUNTIF($B$4:B736,B736)=1,1,0)</f>
        <v>0</v>
      </c>
    </row>
    <row r="737">
      <c r="A737" s="14" t="inlineStr">
        <is>
          <t>FEIRA DE SANTANA</t>
        </is>
      </c>
      <c r="B737" s="26" t="n">
        <v>154</v>
      </c>
      <c r="C737" s="26" t="n">
        <v>1333</v>
      </c>
      <c r="D737" s="14" t="inlineStr">
        <is>
          <t>ESCOLA MUNICIPAL GODOFREDO COUTINHO PEREIRA</t>
        </is>
      </c>
      <c r="E737" s="14" t="inlineStr">
        <is>
          <t>DISTRITO DE TIQUARUÇU</t>
        </is>
      </c>
      <c r="F737" s="14" t="inlineStr">
        <is>
          <t>BR 116 NORTE, S/N - POVOADO SÃO CRISTÓVÃO - ZONA RURAL</t>
        </is>
      </c>
      <c r="G737" s="27" t="inlineStr">
        <is>
          <t>44140-000</t>
        </is>
      </c>
      <c r="H737" s="15" t="n">
        <v>4</v>
      </c>
      <c r="I737" s="28" t="inlineStr">
        <is>
          <t>NÃO</t>
        </is>
      </c>
      <c r="J737" s="29" t="n"/>
      <c r="K737" s="14" t="str">
        <f>IF(J737="","7. Acima de 2 km",IF(J737&lt;=50,"1. Até 50 m",IF(J737&lt;=100,"2. De 50 a 100 m",IF(J737&lt;=200,"3. De 100 a 200 m",IF(J737&lt;=300,"4. De 200 a 300 m",IF(J737&lt;=500,"5. De 300 a 500 m","6. De 500 m a 2 km"))))))</f>
        <v>7. Acima de 2 km</v>
      </c>
      <c r="L737" s="26" t="n">
        <v>0</v>
      </c>
      <c r="M737" s="26" t="n">
        <v>0</v>
      </c>
      <c r="N737" s="26" t="n">
        <v>0</v>
      </c>
      <c r="O737" s="26" t="n">
        <v>0</v>
      </c>
      <c r="P737" s="30" t="n">
        <v>-12.0856736</v>
      </c>
      <c r="Q737" s="30" t="n">
        <v>-38.9629365</v>
      </c>
      <c r="R737" s="14" t="inlineStr">
        <is>
          <t>FÓRUM ELEITORAL DE FEIRA DE SANTANA - AVENIDA JOSÉ FALCÃO DA SILVA, S/N, QUEIMADINHA, FEIRA DE SANTANA/BA</t>
        </is>
      </c>
      <c r="S737" s="26">
        <f>IF(A737=A736,0,1)</f>
        <v>0</v>
      </c>
      <c r="T737" s="26">
        <f>IF(COUNTIF($B$4:B737,B737)=1,1,0)</f>
        <v>0</v>
      </c>
    </row>
    <row r="738">
      <c r="A738" s="14" t="inlineStr">
        <is>
          <t>FEIRA DE SANTANA</t>
        </is>
      </c>
      <c r="B738" s="26" t="n">
        <v>154</v>
      </c>
      <c r="C738" s="26" t="n">
        <v>1341</v>
      </c>
      <c r="D738" s="14" t="inlineStr">
        <is>
          <t>ESCOLA MUNICIPAL MARIA AMÁLIA MARTINS DALTRO COELHO</t>
        </is>
      </c>
      <c r="E738" s="14" t="inlineStr">
        <is>
          <t>DISTRITO DE JAÍBA</t>
        </is>
      </c>
      <c r="F738" s="14" t="inlineStr">
        <is>
          <t>POVOADO MANTIBA - ZONA RURAL</t>
        </is>
      </c>
      <c r="G738" s="27" t="inlineStr">
        <is>
          <t>44115-000</t>
        </is>
      </c>
      <c r="H738" s="15" t="n">
        <v>3</v>
      </c>
      <c r="I738" s="28" t="inlineStr">
        <is>
          <t>NÃO</t>
        </is>
      </c>
      <c r="J738" s="29" t="n">
        <v>310.7</v>
      </c>
      <c r="K738" s="14" t="str">
        <f>IF(J738="","7. Acima de 2 km",IF(J738&lt;=50,"1. Até 50 m",IF(J738&lt;=100,"2. De 50 a 100 m",IF(J738&lt;=200,"3. De 100 a 200 m",IF(J738&lt;=300,"4. De 200 a 300 m",IF(J738&lt;=500,"5. De 300 a 500 m","6. De 500 m a 2 km"))))))</f>
        <v>5. De 300 a 500 m</v>
      </c>
      <c r="L738" s="26" t="n">
        <v>0</v>
      </c>
      <c r="M738" s="26" t="n">
        <v>0</v>
      </c>
      <c r="N738" s="26" t="n">
        <v>0</v>
      </c>
      <c r="O738" s="26" t="n">
        <v>0</v>
      </c>
      <c r="P738" s="30" t="n">
        <v>-12.2380858</v>
      </c>
      <c r="Q738" s="30" t="n">
        <v>-38.9629079</v>
      </c>
      <c r="R738" s="14" t="inlineStr">
        <is>
          <t>FÓRUM ELEITORAL DE FEIRA DE SANTANA - AVENIDA JOSÉ FALCÃO DA SILVA, S/N, QUEIMADINHA, FEIRA DE SANTANA/BA</t>
        </is>
      </c>
      <c r="S738" s="26">
        <f>IF(A738=A737,0,1)</f>
        <v>0</v>
      </c>
      <c r="T738" s="26">
        <f>IF(COUNTIF($B$4:B738,B738)=1,1,0)</f>
        <v>0</v>
      </c>
    </row>
    <row r="739">
      <c r="A739" s="14" t="inlineStr">
        <is>
          <t>FEIRA DE SANTANA</t>
        </is>
      </c>
      <c r="B739" s="26" t="n">
        <v>154</v>
      </c>
      <c r="C739" s="26" t="n">
        <v>1350</v>
      </c>
      <c r="D739" s="14" t="inlineStr">
        <is>
          <t>ESCOLA MUNICIPAL ANÍZIO PEREIRA BERNARDES</t>
        </is>
      </c>
      <c r="E739" s="14" t="inlineStr">
        <is>
          <t>DISTRITO DE MATINHA</t>
        </is>
      </c>
      <c r="F739" s="14" t="inlineStr">
        <is>
          <t>AVENIDA ANÍZIO PEREIRA BERNARDES, S/N - ZONA RURAL</t>
        </is>
      </c>
      <c r="G739" s="27" t="inlineStr">
        <is>
          <t>44110-000</t>
        </is>
      </c>
      <c r="H739" s="15" t="n">
        <v>5</v>
      </c>
      <c r="I739" s="28" t="inlineStr">
        <is>
          <t>SIM</t>
        </is>
      </c>
      <c r="J739" s="29" t="n">
        <v>36.4</v>
      </c>
      <c r="K739" s="14" t="str">
        <f>IF(J739="","7. Acima de 2 km",IF(J739&lt;=50,"1. Até 50 m",IF(J739&lt;=100,"2. De 50 a 100 m",IF(J739&lt;=200,"3. De 100 a 200 m",IF(J739&lt;=300,"4. De 200 a 300 m",IF(J739&lt;=500,"5. De 300 a 500 m","6. De 500 m a 2 km"))))))</f>
        <v>1. Até 50 m</v>
      </c>
      <c r="L739" s="26" t="n">
        <v>1</v>
      </c>
      <c r="M739" s="26" t="n">
        <v>2</v>
      </c>
      <c r="N739" s="26" t="n">
        <v>2</v>
      </c>
      <c r="O739" s="26" t="n">
        <v>2</v>
      </c>
      <c r="P739" s="30" t="n">
        <v>-12.1460136</v>
      </c>
      <c r="Q739" s="30" t="n">
        <v>-38.9286776</v>
      </c>
      <c r="R739" s="14" t="inlineStr">
        <is>
          <t>FÓRUM ELEITORAL DE FEIRA DE SANTANA - AVENIDA JOSÉ FALCÃO DA SILVA, S/N, QUEIMADINHA, FEIRA DE SANTANA/BA</t>
        </is>
      </c>
      <c r="S739" s="26">
        <f>IF(A739=A738,0,1)</f>
        <v>0</v>
      </c>
      <c r="T739" s="26">
        <f>IF(COUNTIF($B$4:B739,B739)=1,1,0)</f>
        <v>0</v>
      </c>
    </row>
    <row r="740">
      <c r="A740" s="14" t="inlineStr">
        <is>
          <t>FEIRA DE SANTANA</t>
        </is>
      </c>
      <c r="B740" s="26" t="n">
        <v>154</v>
      </c>
      <c r="C740" s="26" t="n">
        <v>1368</v>
      </c>
      <c r="D740" s="14" t="inlineStr">
        <is>
          <t>ESCOLA MUNICIPAL JOAQUIM PEREIRA DOS SANTOS</t>
        </is>
      </c>
      <c r="E740" s="14" t="inlineStr">
        <is>
          <t>DISTRITO DE MATINHA</t>
        </is>
      </c>
      <c r="F740" s="14" t="inlineStr">
        <is>
          <t>POVOADO CANDEAL II, S/N - ZONA RURAL</t>
        </is>
      </c>
      <c r="G740" s="27" t="inlineStr">
        <is>
          <t>44110-000</t>
        </is>
      </c>
      <c r="H740" s="15" t="n">
        <v>3</v>
      </c>
      <c r="I740" s="28" t="inlineStr">
        <is>
          <t>NÃO</t>
        </is>
      </c>
      <c r="J740" s="29" t="n"/>
      <c r="K740" s="14" t="str">
        <f>IF(J740="","7. Acima de 2 km",IF(J740&lt;=50,"1. Até 50 m",IF(J740&lt;=100,"2. De 50 a 100 m",IF(J740&lt;=200,"3. De 100 a 200 m",IF(J740&lt;=300,"4. De 200 a 300 m",IF(J740&lt;=500,"5. De 300 a 500 m","6. De 500 m a 2 km"))))))</f>
        <v>7. Acima de 2 km</v>
      </c>
      <c r="L740" s="26" t="n">
        <v>0</v>
      </c>
      <c r="M740" s="26" t="n">
        <v>0</v>
      </c>
      <c r="N740" s="26" t="n">
        <v>0</v>
      </c>
      <c r="O740" s="26" t="n">
        <v>0</v>
      </c>
      <c r="P740" s="30" t="n">
        <v>-12.1616888</v>
      </c>
      <c r="Q740" s="30" t="n">
        <v>-38.9228196</v>
      </c>
      <c r="R740" s="14" t="inlineStr">
        <is>
          <t>FÓRUM ELEITORAL DE FEIRA DE SANTANA - AVENIDA JOSÉ FALCÃO DA SILVA, S/N, QUEIMADINHA, FEIRA DE SANTANA/BA</t>
        </is>
      </c>
      <c r="S740" s="26">
        <f>IF(A740=A739,0,1)</f>
        <v>0</v>
      </c>
      <c r="T740" s="26">
        <f>IF(COUNTIF($B$4:B740,B740)=1,1,0)</f>
        <v>0</v>
      </c>
    </row>
    <row r="741">
      <c r="A741" s="14" t="inlineStr">
        <is>
          <t>FEIRA DE SANTANA</t>
        </is>
      </c>
      <c r="B741" s="26" t="n">
        <v>154</v>
      </c>
      <c r="C741" s="26" t="n">
        <v>1376</v>
      </c>
      <c r="D741" s="14" t="inlineStr">
        <is>
          <t>ESCOLA MUNICIPAL CRISPINIANO FERREIRA DA SILVA</t>
        </is>
      </c>
      <c r="E741" s="14" t="inlineStr">
        <is>
          <t>DISTRITO DE MATINHA</t>
        </is>
      </c>
      <c r="F741" s="14" t="inlineStr">
        <is>
          <t>POVOADO OLHOS D'ÁGUA DAS MOÇAS - ZONA RURAL</t>
        </is>
      </c>
      <c r="G741" s="27" t="inlineStr">
        <is>
          <t>44110-000</t>
        </is>
      </c>
      <c r="H741" s="15" t="n">
        <v>4</v>
      </c>
      <c r="I741" s="28" t="inlineStr">
        <is>
          <t>NÃO</t>
        </is>
      </c>
      <c r="J741" s="29" t="n"/>
      <c r="K741" s="14" t="str">
        <f>IF(J741="","7. Acima de 2 km",IF(J741&lt;=50,"1. Até 50 m",IF(J741&lt;=100,"2. De 50 a 100 m",IF(J741&lt;=200,"3. De 100 a 200 m",IF(J741&lt;=300,"4. De 200 a 300 m",IF(J741&lt;=500,"5. De 300 a 500 m","6. De 500 m a 2 km"))))))</f>
        <v>7. Acima de 2 km</v>
      </c>
      <c r="L741" s="26" t="n">
        <v>0</v>
      </c>
      <c r="M741" s="26" t="n">
        <v>0</v>
      </c>
      <c r="N741" s="26" t="n">
        <v>0</v>
      </c>
      <c r="O741" s="26" t="n">
        <v>0</v>
      </c>
      <c r="P741" s="30" t="n">
        <v>-12.1397163</v>
      </c>
      <c r="Q741" s="30" t="n">
        <v>-38.94292</v>
      </c>
      <c r="R741" s="14" t="inlineStr">
        <is>
          <t>FÓRUM ELEITORAL DE FEIRA DE SANTANA - AVENIDA JOSÉ FALCÃO DA SILVA, S/N, QUEIMADINHA, FEIRA DE SANTANA/BA</t>
        </is>
      </c>
      <c r="S741" s="26">
        <f>IF(A741=A740,0,1)</f>
        <v>0</v>
      </c>
      <c r="T741" s="26">
        <f>IF(COUNTIF($B$4:B741,B741)=1,1,0)</f>
        <v>0</v>
      </c>
    </row>
    <row r="742">
      <c r="A742" s="14" t="inlineStr">
        <is>
          <t>FEIRA DE SANTANA</t>
        </is>
      </c>
      <c r="B742" s="26" t="n">
        <v>154</v>
      </c>
      <c r="C742" s="26" t="n">
        <v>1384</v>
      </c>
      <c r="D742" s="14" t="inlineStr">
        <is>
          <t>ESCOLA MUNICIPAL ROSA MARIA ESPERIDIÃO LEITE</t>
        </is>
      </c>
      <c r="E742" s="14" t="inlineStr">
        <is>
          <t>DISTRITO DE MATINHA</t>
        </is>
      </c>
      <c r="F742" s="14" t="inlineStr">
        <is>
          <t>AVENIDA ANÍZIO PEREIRA BERNARDES, S/N - ZONA RURAL</t>
        </is>
      </c>
      <c r="G742" s="27" t="inlineStr">
        <is>
          <t>44110-000</t>
        </is>
      </c>
      <c r="H742" s="15" t="n">
        <v>9</v>
      </c>
      <c r="I742" s="28" t="inlineStr">
        <is>
          <t>NÃO</t>
        </is>
      </c>
      <c r="J742" s="29" t="n">
        <v>106.3</v>
      </c>
      <c r="K742" s="14" t="str">
        <f>IF(J742="","7. Acima de 2 km",IF(J742&lt;=50,"1. Até 50 m",IF(J742&lt;=100,"2. De 50 a 100 m",IF(J742&lt;=200,"3. De 100 a 200 m",IF(J742&lt;=300,"4. De 200 a 300 m",IF(J742&lt;=500,"5. De 300 a 500 m","6. De 500 m a 2 km"))))))</f>
        <v>3. De 100 a 200 m</v>
      </c>
      <c r="L742" s="26" t="n">
        <v>0</v>
      </c>
      <c r="M742" s="26" t="n">
        <v>0</v>
      </c>
      <c r="N742" s="26" t="n">
        <v>2</v>
      </c>
      <c r="O742" s="26" t="n">
        <v>2</v>
      </c>
      <c r="P742" s="30" t="n">
        <v>-12.1462802</v>
      </c>
      <c r="Q742" s="30" t="n">
        <v>-38.9292906</v>
      </c>
      <c r="R742" s="14" t="inlineStr">
        <is>
          <t>FÓRUM ELEITORAL DE FEIRA DE SANTANA - AVENIDA JOSÉ FALCÃO DA SILVA, S/N, QUEIMADINHA, FEIRA DE SANTANA/BA</t>
        </is>
      </c>
      <c r="S742" s="26">
        <f>IF(A742=A741,0,1)</f>
        <v>0</v>
      </c>
      <c r="T742" s="26">
        <f>IF(COUNTIF($B$4:B742,B742)=1,1,0)</f>
        <v>0</v>
      </c>
    </row>
    <row r="743">
      <c r="A743" s="14" t="inlineStr">
        <is>
          <t>FEIRA DE SANTANA</t>
        </is>
      </c>
      <c r="B743" s="26" t="n">
        <v>154</v>
      </c>
      <c r="C743" s="26" t="n">
        <v>1392</v>
      </c>
      <c r="D743" s="14" t="inlineStr">
        <is>
          <t>ESCOLA MUNICIPAL ANTÔNIO GONÇALVES DA SILVA</t>
        </is>
      </c>
      <c r="E743" s="14" t="inlineStr">
        <is>
          <t>PARQUE IPÊ</t>
        </is>
      </c>
      <c r="F743" s="14" t="inlineStr">
        <is>
          <t>RUA TIJUCA, 1355 - ZONA URBANA</t>
        </is>
      </c>
      <c r="G743" s="27" t="inlineStr">
        <is>
          <t>44054-394</t>
        </is>
      </c>
      <c r="H743" s="15" t="n">
        <v>8</v>
      </c>
      <c r="I743" s="28" t="inlineStr">
        <is>
          <t>NÃO</t>
        </is>
      </c>
      <c r="J743" s="29" t="n">
        <v>428.1</v>
      </c>
      <c r="K743" s="14" t="str">
        <f>IF(J743="","7. Acima de 2 km",IF(J743&lt;=50,"1. Até 50 m",IF(J743&lt;=100,"2. De 50 a 100 m",IF(J743&lt;=200,"3. De 100 a 200 m",IF(J743&lt;=300,"4. De 200 a 300 m",IF(J743&lt;=500,"5. De 300 a 500 m","6. De 500 m a 2 km"))))))</f>
        <v>5. De 300 a 500 m</v>
      </c>
      <c r="L743" s="26" t="n">
        <v>0</v>
      </c>
      <c r="M743" s="26" t="n">
        <v>0</v>
      </c>
      <c r="N743" s="26" t="n">
        <v>0</v>
      </c>
      <c r="O743" s="26" t="n">
        <v>0</v>
      </c>
      <c r="P743" s="30" t="n">
        <v>-12.2155375</v>
      </c>
      <c r="Q743" s="30" t="n">
        <v>-38.9526401</v>
      </c>
      <c r="R743" s="14" t="inlineStr">
        <is>
          <t>FÓRUM ELEITORAL DE FEIRA DE SANTANA - AVENIDA JOSÉ FALCÃO DA SILVA, S/N, QUEIMADINHA, FEIRA DE SANTANA/BA</t>
        </is>
      </c>
      <c r="S743" s="26">
        <f>IF(A743=A742,0,1)</f>
        <v>0</v>
      </c>
      <c r="T743" s="26">
        <f>IF(COUNTIF($B$4:B743,B743)=1,1,0)</f>
        <v>0</v>
      </c>
    </row>
    <row r="744">
      <c r="A744" s="14" t="inlineStr">
        <is>
          <t>FEIRA DE SANTANA</t>
        </is>
      </c>
      <c r="B744" s="26" t="n">
        <v>154</v>
      </c>
      <c r="C744" s="26" t="n">
        <v>1406</v>
      </c>
      <c r="D744" s="14" t="inlineStr">
        <is>
          <t>ESCOLA MUNICIPAL THEÓDULO BASTOS DE CARVALHO JUNIOR</t>
        </is>
      </c>
      <c r="E744" s="14" t="inlineStr">
        <is>
          <t>MANGABEIRA</t>
        </is>
      </c>
      <c r="F744" s="14" t="inlineStr">
        <is>
          <t>RUA JOSÉ SANDOVAL DO CARMO, SN - ZONA URBANA</t>
        </is>
      </c>
      <c r="G744" s="27" t="inlineStr">
        <is>
          <t>44057-128</t>
        </is>
      </c>
      <c r="H744" s="15" t="n">
        <v>10</v>
      </c>
      <c r="I744" s="28" t="inlineStr">
        <is>
          <t>SIM</t>
        </is>
      </c>
      <c r="J744" s="29" t="n">
        <v>32.9</v>
      </c>
      <c r="K744" s="14" t="str">
        <f>IF(J744="","7. Acima de 2 km",IF(J744&lt;=50,"1. Até 50 m",IF(J744&lt;=100,"2. De 50 a 100 m",IF(J744&lt;=200,"3. De 100 a 200 m",IF(J744&lt;=300,"4. De 200 a 300 m",IF(J744&lt;=500,"5. De 300 a 500 m","6. De 500 m a 2 km"))))))</f>
        <v>1. Até 50 m</v>
      </c>
      <c r="L744" s="26" t="n">
        <v>1</v>
      </c>
      <c r="M744" s="26" t="n">
        <v>2</v>
      </c>
      <c r="N744" s="26" t="n">
        <v>2</v>
      </c>
      <c r="O744" s="26" t="n">
        <v>2</v>
      </c>
      <c r="P744" s="30" t="n">
        <v>-12.22251</v>
      </c>
      <c r="Q744" s="30" t="n">
        <v>-38.9361424</v>
      </c>
      <c r="R744" s="14" t="inlineStr">
        <is>
          <t>FÓRUM ELEITORAL DE FEIRA DE SANTANA - AVENIDA JOSÉ FALCÃO DA SILVA, S/N, QUEIMADINHA, FEIRA DE SANTANA/BA</t>
        </is>
      </c>
      <c r="S744" s="26">
        <f>IF(A744=A743,0,1)</f>
        <v>0</v>
      </c>
      <c r="T744" s="26">
        <f>IF(COUNTIF($B$4:B744,B744)=1,1,0)</f>
        <v>0</v>
      </c>
    </row>
    <row r="745">
      <c r="A745" s="14" t="inlineStr">
        <is>
          <t>FEIRA DE SANTANA</t>
        </is>
      </c>
      <c r="B745" s="26" t="n">
        <v>154</v>
      </c>
      <c r="C745" s="26" t="n">
        <v>1422</v>
      </c>
      <c r="D745" s="14" t="inlineStr">
        <is>
          <t>ESCOLA MUNICIPAL DOUTOR CELSO RIBEIRO DALTRO</t>
        </is>
      </c>
      <c r="E745" s="14" t="inlineStr">
        <is>
          <t>QUEIMADINHA</t>
        </is>
      </c>
      <c r="F745" s="14" t="inlineStr">
        <is>
          <t>PRAÇA CATARINO BRITO DOS SANTOS, SN - ZONA URBANA</t>
        </is>
      </c>
      <c r="G745" s="27" t="inlineStr">
        <is>
          <t>44050-732</t>
        </is>
      </c>
      <c r="H745" s="15" t="n">
        <v>9</v>
      </c>
      <c r="I745" s="28" t="inlineStr">
        <is>
          <t>NÃO</t>
        </is>
      </c>
      <c r="J745" s="29" t="n">
        <v>215.5</v>
      </c>
      <c r="K745" s="14" t="str">
        <f>IF(J745="","7. Acima de 2 km",IF(J745&lt;=50,"1. Até 50 m",IF(J745&lt;=100,"2. De 50 a 100 m",IF(J745&lt;=200,"3. De 100 a 200 m",IF(J745&lt;=300,"4. De 200 a 300 m",IF(J745&lt;=500,"5. De 300 a 500 m","6. De 500 m a 2 km"))))))</f>
        <v>4. De 200 a 300 m</v>
      </c>
      <c r="L745" s="26" t="n">
        <v>0</v>
      </c>
      <c r="M745" s="26" t="n">
        <v>0</v>
      </c>
      <c r="N745" s="26" t="n">
        <v>0</v>
      </c>
      <c r="O745" s="26" t="n">
        <v>2</v>
      </c>
      <c r="P745" s="30" t="n">
        <v>-12.238098</v>
      </c>
      <c r="Q745" s="30" t="n">
        <v>-38.9568928</v>
      </c>
      <c r="R745" s="14" t="inlineStr">
        <is>
          <t>FÓRUM ELEITORAL DE FEIRA DE SANTANA - AVENIDA JOSÉ FALCÃO DA SILVA, S/N, QUEIMADINHA, FEIRA DE SANTANA/BA</t>
        </is>
      </c>
      <c r="S745" s="26">
        <f>IF(A745=A744,0,1)</f>
        <v>0</v>
      </c>
      <c r="T745" s="26">
        <f>IF(COUNTIF($B$4:B745,B745)=1,1,0)</f>
        <v>0</v>
      </c>
    </row>
    <row r="746">
      <c r="A746" s="14" t="inlineStr">
        <is>
          <t>FEIRA DE SANTANA</t>
        </is>
      </c>
      <c r="B746" s="26" t="n">
        <v>154</v>
      </c>
      <c r="C746" s="26" t="n">
        <v>1430</v>
      </c>
      <c r="D746" s="14" t="inlineStr">
        <is>
          <t>ESCOLA MUNICIPAL EMILIANA SOUZA OLIVEIRA</t>
        </is>
      </c>
      <c r="E746" s="14" t="inlineStr">
        <is>
          <t>CONCEIÇÃO</t>
        </is>
      </c>
      <c r="F746" s="14" t="inlineStr">
        <is>
          <t>RUA MANTENÓPOLIS, S/N - ZONA URBANA</t>
        </is>
      </c>
      <c r="G746" s="27" t="inlineStr">
        <is>
          <t>44065-578</t>
        </is>
      </c>
      <c r="H746" s="15" t="n">
        <v>9</v>
      </c>
      <c r="I746" s="28" t="inlineStr">
        <is>
          <t>NÃO</t>
        </is>
      </c>
      <c r="J746" s="29" t="n">
        <v>328.9</v>
      </c>
      <c r="K746" s="14" t="str">
        <f>IF(J746="","7. Acima de 2 km",IF(J746&lt;=50,"1. Até 50 m",IF(J746&lt;=100,"2. De 50 a 100 m",IF(J746&lt;=200,"3. De 100 a 200 m",IF(J746&lt;=300,"4. De 200 a 300 m",IF(J746&lt;=500,"5. De 300 a 500 m","6. De 500 m a 2 km"))))))</f>
        <v>5. De 300 a 500 m</v>
      </c>
      <c r="L746" s="26" t="n">
        <v>0</v>
      </c>
      <c r="M746" s="26" t="n">
        <v>0</v>
      </c>
      <c r="N746" s="26" t="n">
        <v>0</v>
      </c>
      <c r="O746" s="26" t="n">
        <v>0</v>
      </c>
      <c r="P746" s="30" t="n">
        <v>-12.2399973</v>
      </c>
      <c r="Q746" s="30" t="n">
        <v>-38.935562</v>
      </c>
      <c r="R746" s="14" t="inlineStr">
        <is>
          <t>FÓRUM ELEITORAL DE FEIRA DE SANTANA - AVENIDA JOSÉ FALCÃO DA SILVA, S/N, QUEIMADINHA, FEIRA DE SANTANA/BA</t>
        </is>
      </c>
      <c r="S746" s="26">
        <f>IF(A746=A745,0,1)</f>
        <v>0</v>
      </c>
      <c r="T746" s="26">
        <f>IF(COUNTIF($B$4:B746,B746)=1,1,0)</f>
        <v>0</v>
      </c>
    </row>
    <row r="747">
      <c r="A747" s="14" t="inlineStr">
        <is>
          <t>FEIRA DE SANTANA</t>
        </is>
      </c>
      <c r="B747" s="26" t="n">
        <v>154</v>
      </c>
      <c r="C747" s="26" t="n">
        <v>1449</v>
      </c>
      <c r="D747" s="14" t="inlineStr">
        <is>
          <t>CSU - CENTRO DE EDUCAÇÃO BÁSICA DA UEFS</t>
        </is>
      </c>
      <c r="E747" s="14" t="inlineStr">
        <is>
          <t>CIDADE NOVA</t>
        </is>
      </c>
      <c r="F747" s="14" t="inlineStr">
        <is>
          <t>RUA TOSTÃO, S/N - ZONA URBANA</t>
        </is>
      </c>
      <c r="G747" s="27" t="inlineStr">
        <is>
          <t>44036-900</t>
        </is>
      </c>
      <c r="H747" s="15" t="n">
        <v>7</v>
      </c>
      <c r="I747" s="28" t="inlineStr">
        <is>
          <t>NÃO</t>
        </is>
      </c>
      <c r="J747" s="29" t="n">
        <v>148.4</v>
      </c>
      <c r="K747" s="14" t="str">
        <f>IF(J747="","7. Acima de 2 km",IF(J747&lt;=50,"1. Até 50 m",IF(J747&lt;=100,"2. De 50 a 100 m",IF(J747&lt;=200,"3. De 100 a 200 m",IF(J747&lt;=300,"4. De 200 a 300 m",IF(J747&lt;=500,"5. De 300 a 500 m","6. De 500 m a 2 km"))))))</f>
        <v>3. De 100 a 200 m</v>
      </c>
      <c r="L747" s="26" t="n">
        <v>0</v>
      </c>
      <c r="M747" s="26" t="n">
        <v>0</v>
      </c>
      <c r="N747" s="26" t="n">
        <v>1</v>
      </c>
      <c r="O747" s="26" t="n">
        <v>3</v>
      </c>
      <c r="P747" s="30" t="n">
        <v>-12.2253546</v>
      </c>
      <c r="Q747" s="30" t="n">
        <v>-38.9638984</v>
      </c>
      <c r="R747" s="14" t="inlineStr">
        <is>
          <t>FÓRUM ELEITORAL DE FEIRA DE SANTANA - AVENIDA JOSÉ FALCÃO DA SILVA, S/N, QUEIMADINHA, FEIRA DE SANTANA/BA</t>
        </is>
      </c>
      <c r="S747" s="26">
        <f>IF(A747=A746,0,1)</f>
        <v>0</v>
      </c>
      <c r="T747" s="26">
        <f>IF(COUNTIF($B$4:B747,B747)=1,1,0)</f>
        <v>0</v>
      </c>
    </row>
    <row r="748">
      <c r="A748" s="14" t="inlineStr">
        <is>
          <t>FEIRA DE SANTANA</t>
        </is>
      </c>
      <c r="B748" s="26" t="n">
        <v>154</v>
      </c>
      <c r="C748" s="26" t="n">
        <v>1473</v>
      </c>
      <c r="D748" s="14" t="inlineStr">
        <is>
          <t>FACULDADE CATÓLICA DE FEIRA DE SANTANA</t>
        </is>
      </c>
      <c r="E748" s="14" t="inlineStr">
        <is>
          <t>PAPAGAIO</t>
        </is>
      </c>
      <c r="F748" s="14" t="inlineStr">
        <is>
          <t>AVENIDA DOM JACKSON BERENGUER PRADO, S/N - ZONA URBANA</t>
        </is>
      </c>
      <c r="G748" s="27" t="inlineStr">
        <is>
          <t>44059-850</t>
        </is>
      </c>
      <c r="H748" s="15" t="n">
        <v>5</v>
      </c>
      <c r="I748" s="28" t="inlineStr">
        <is>
          <t>NÃO</t>
        </is>
      </c>
      <c r="J748" s="29" t="n">
        <v>239.9</v>
      </c>
      <c r="K748" s="14" t="str">
        <f>IF(J748="","7. Acima de 2 km",IF(J748&lt;=50,"1. Até 50 m",IF(J748&lt;=100,"2. De 50 a 100 m",IF(J748&lt;=200,"3. De 100 a 200 m",IF(J748&lt;=300,"4. De 200 a 300 m",IF(J748&lt;=500,"5. De 300 a 500 m","6. De 500 m a 2 km"))))))</f>
        <v>4. De 200 a 300 m</v>
      </c>
      <c r="L748" s="26" t="n">
        <v>0</v>
      </c>
      <c r="M748" s="26" t="n">
        <v>0</v>
      </c>
      <c r="N748" s="26" t="n">
        <v>0</v>
      </c>
      <c r="O748" s="26" t="n">
        <v>1</v>
      </c>
      <c r="P748" s="30" t="n">
        <v>-12.200267</v>
      </c>
      <c r="Q748" s="30" t="n">
        <v>-38.936557</v>
      </c>
      <c r="R748" s="14" t="inlineStr">
        <is>
          <t>FÓRUM ELEITORAL DE FEIRA DE SANTANA - AVENIDA JOSÉ FALCÃO DA SILVA, S/N, QUEIMADINHA, FEIRA DE SANTANA/BA</t>
        </is>
      </c>
      <c r="S748" s="26">
        <f>IF(A748=A747,0,1)</f>
        <v>0</v>
      </c>
      <c r="T748" s="26">
        <f>IF(COUNTIF($B$4:B748,B748)=1,1,0)</f>
        <v>0</v>
      </c>
    </row>
    <row r="749">
      <c r="A749" s="14" t="inlineStr">
        <is>
          <t>FEIRA DE SANTANA</t>
        </is>
      </c>
      <c r="B749" s="26" t="n">
        <v>154</v>
      </c>
      <c r="C749" s="26" t="n">
        <v>1481</v>
      </c>
      <c r="D749" s="14" t="inlineStr">
        <is>
          <t>ESCOLA MUNICIPAL EURIDES FRANCO DE LACERDA</t>
        </is>
      </c>
      <c r="E749" s="14" t="inlineStr">
        <is>
          <t>CONCEIÇÃO</t>
        </is>
      </c>
      <c r="F749" s="14" t="inlineStr">
        <is>
          <t>RUA FREI JOAQUIM, S/N</t>
        </is>
      </c>
      <c r="G749" s="27" t="inlineStr">
        <is>
          <t>44065-738</t>
        </is>
      </c>
      <c r="H749" s="15" t="n">
        <v>3</v>
      </c>
      <c r="I749" s="28" t="inlineStr">
        <is>
          <t>NÃO</t>
        </is>
      </c>
      <c r="J749" s="29" t="n">
        <v>500.4</v>
      </c>
      <c r="K749" s="14" t="str">
        <f>IF(J749="","7. Acima de 2 km",IF(J749&lt;=50,"1. Até 50 m",IF(J749&lt;=100,"2. De 50 a 100 m",IF(J749&lt;=200,"3. De 100 a 200 m",IF(J749&lt;=300,"4. De 200 a 300 m",IF(J749&lt;=500,"5. De 300 a 500 m","6. De 500 m a 2 km"))))))</f>
        <v>6. De 500 m a 2 km</v>
      </c>
      <c r="L749" s="26" t="n">
        <v>0</v>
      </c>
      <c r="M749" s="26" t="n">
        <v>0</v>
      </c>
      <c r="N749" s="26" t="n">
        <v>0</v>
      </c>
      <c r="O749" s="26" t="n">
        <v>0</v>
      </c>
      <c r="P749" s="30" t="n">
        <v>-12.2325509</v>
      </c>
      <c r="Q749" s="30" t="n">
        <v>-38.93728</v>
      </c>
      <c r="R749" s="14" t="inlineStr">
        <is>
          <t>FÓRUM ELEITORAL DE FEIRA DE SANTANA - AVENIDA JOSÉ FALCÃO DA SILVA, S/N, QUEIMADINHA, FEIRA DE SANTANA/BA</t>
        </is>
      </c>
      <c r="S749" s="26">
        <f>IF(A749=A748,0,1)</f>
        <v>0</v>
      </c>
      <c r="T749" s="26">
        <f>IF(COUNTIF($B$4:B749,B749)=1,1,0)</f>
        <v>0</v>
      </c>
    </row>
    <row r="750">
      <c r="A750" s="14" t="inlineStr">
        <is>
          <t>FEIRA DE SANTANA</t>
        </is>
      </c>
      <c r="B750" s="26" t="n">
        <v>155</v>
      </c>
      <c r="C750" s="26" t="n">
        <v>1015</v>
      </c>
      <c r="D750" s="14" t="inlineStr">
        <is>
          <t>ESCOLA MUNICIPAL JOÃO DURVAL CARNEIRO</t>
        </is>
      </c>
      <c r="E750" s="14" t="inlineStr">
        <is>
          <t>CASEB</t>
        </is>
      </c>
      <c r="F750" s="14" t="inlineStr">
        <is>
          <t>AVENIDA JOAO DURVAL CARNEIRO SN - ZONA URBANA</t>
        </is>
      </c>
      <c r="G750" s="27" t="inlineStr">
        <is>
          <t>44037-000</t>
        </is>
      </c>
      <c r="H750" s="15" t="n">
        <v>13</v>
      </c>
      <c r="I750" s="28" t="inlineStr">
        <is>
          <t>NÃO</t>
        </is>
      </c>
      <c r="J750" s="29" t="n">
        <v>737.6</v>
      </c>
      <c r="K750" s="14" t="str">
        <f>IF(J750="","7. Acima de 2 km",IF(J750&lt;=50,"1. Até 50 m",IF(J750&lt;=100,"2. De 50 a 100 m",IF(J750&lt;=200,"3. De 100 a 200 m",IF(J750&lt;=300,"4. De 200 a 300 m",IF(J750&lt;=500,"5. De 300 a 500 m","6. De 500 m a 2 km"))))))</f>
        <v>6. De 500 m a 2 km</v>
      </c>
      <c r="L750" s="26" t="n">
        <v>0</v>
      </c>
      <c r="M750" s="26" t="n">
        <v>0</v>
      </c>
      <c r="N750" s="26" t="n">
        <v>0</v>
      </c>
      <c r="O750" s="26" t="n">
        <v>0</v>
      </c>
      <c r="P750" s="30" t="n">
        <v>-12.2354391</v>
      </c>
      <c r="Q750" s="30" t="n">
        <v>-38.9450518</v>
      </c>
      <c r="R750" s="14" t="inlineStr">
        <is>
          <t>FÓRUM ELEITORAL. AV JOSÉ FALCÃO DA SILVA, S/Nº, QUEIMADINHA, FEIRA DE SANTANA/BA</t>
        </is>
      </c>
      <c r="S750" s="26">
        <f>IF(A750=A749,0,1)</f>
        <v>0</v>
      </c>
      <c r="T750" s="26">
        <f>IF(COUNTIF($B$4:B750,B750)=1,1,0)</f>
        <v>1</v>
      </c>
    </row>
    <row r="751">
      <c r="A751" s="14" t="inlineStr">
        <is>
          <t>FEIRA DE SANTANA</t>
        </is>
      </c>
      <c r="B751" s="26" t="n">
        <v>155</v>
      </c>
      <c r="C751" s="26" t="n">
        <v>1023</v>
      </c>
      <c r="D751" s="14" t="inlineStr">
        <is>
          <t>COLEGIO ESTADUAL JUIZ JORGE FARIAS GOES</t>
        </is>
      </c>
      <c r="E751" s="14" t="inlineStr">
        <is>
          <t>CAMPO DO GADO VELHO</t>
        </is>
      </c>
      <c r="F751" s="14" t="inlineStr">
        <is>
          <t>RUA MOGI DAS CRUZES S/N - ZONA URBANA</t>
        </is>
      </c>
      <c r="G751" s="27" t="inlineStr">
        <is>
          <t>44038-290</t>
        </is>
      </c>
      <c r="H751" s="15" t="n">
        <v>13</v>
      </c>
      <c r="I751" s="28" t="inlineStr">
        <is>
          <t>NÃO</t>
        </is>
      </c>
      <c r="J751" s="29" t="n">
        <v>177.8</v>
      </c>
      <c r="K751" s="14" t="str">
        <f>IF(J751="","7. Acima de 2 km",IF(J751&lt;=50,"1. Até 50 m",IF(J751&lt;=100,"2. De 50 a 100 m",IF(J751&lt;=200,"3. De 100 a 200 m",IF(J751&lt;=300,"4. De 200 a 300 m",IF(J751&lt;=500,"5. De 300 a 500 m","6. De 500 m a 2 km"))))))</f>
        <v>3. De 100 a 200 m</v>
      </c>
      <c r="L751" s="26" t="n">
        <v>0</v>
      </c>
      <c r="M751" s="26" t="n">
        <v>0</v>
      </c>
      <c r="N751" s="26" t="n">
        <v>1</v>
      </c>
      <c r="O751" s="26" t="n">
        <v>2</v>
      </c>
      <c r="P751" s="30" t="n">
        <v>-12.2371078</v>
      </c>
      <c r="Q751" s="30" t="n">
        <v>-38.951951</v>
      </c>
      <c r="R751" s="14" t="inlineStr">
        <is>
          <t>FÓRUM ELEITORAL. AV JOSÉ FALCÃO DA SILVA, S/Nº, QUEIMADINHA, FEIRA DE SANTANA/BA</t>
        </is>
      </c>
      <c r="S751" s="26">
        <f>IF(A751=A750,0,1)</f>
        <v>0</v>
      </c>
      <c r="T751" s="26">
        <f>IF(COUNTIF($B$4:B751,B751)=1,1,0)</f>
        <v>0</v>
      </c>
    </row>
    <row r="752">
      <c r="A752" s="14" t="inlineStr">
        <is>
          <t>FEIRA DE SANTANA</t>
        </is>
      </c>
      <c r="B752" s="26" t="n">
        <v>155</v>
      </c>
      <c r="C752" s="26" t="n">
        <v>1066</v>
      </c>
      <c r="D752" s="14" t="inlineStr">
        <is>
          <t>ESCOLA MUNICIPAL DOUTOR NILTON BELLAS VIEIRA</t>
        </is>
      </c>
      <c r="E752" s="14" t="inlineStr">
        <is>
          <t>PARQUE GETÚLIO VARGAS</t>
        </is>
      </c>
      <c r="F752" s="14" t="inlineStr">
        <is>
          <t>RUA VIRGINOPOLIS S/N - ZONA URBANA</t>
        </is>
      </c>
      <c r="G752" s="27" t="inlineStr">
        <is>
          <t>44042-230</t>
        </is>
      </c>
      <c r="H752" s="15" t="n">
        <v>6</v>
      </c>
      <c r="I752" s="28" t="inlineStr">
        <is>
          <t>NÃO</t>
        </is>
      </c>
      <c r="J752" s="29" t="n">
        <v>430.2</v>
      </c>
      <c r="K752" s="14" t="str">
        <f>IF(J752="","7. Acima de 2 km",IF(J752&lt;=50,"1. Até 50 m",IF(J752&lt;=100,"2. De 50 a 100 m",IF(J752&lt;=200,"3. De 100 a 200 m",IF(J752&lt;=300,"4. De 200 a 300 m",IF(J752&lt;=500,"5. De 300 a 500 m","6. De 500 m a 2 km"))))))</f>
        <v>5. De 300 a 500 m</v>
      </c>
      <c r="L752" s="26" t="n">
        <v>0</v>
      </c>
      <c r="M752" s="26" t="n">
        <v>0</v>
      </c>
      <c r="N752" s="26" t="n">
        <v>0</v>
      </c>
      <c r="O752" s="26" t="n">
        <v>0</v>
      </c>
      <c r="P752" s="30" t="n">
        <v>-12.2523475</v>
      </c>
      <c r="Q752" s="30" t="n">
        <v>-38.9348743</v>
      </c>
      <c r="R752" s="14" t="inlineStr">
        <is>
          <t>FÓRUM ELEITORAL. AV JOSÉ FALCÃO DA SILVA, S/Nº, QUEIMADINHA, FEIRA DE SANTANA/BA</t>
        </is>
      </c>
      <c r="S752" s="26">
        <f>IF(A752=A751,0,1)</f>
        <v>0</v>
      </c>
      <c r="T752" s="26">
        <f>IF(COUNTIF($B$4:B752,B752)=1,1,0)</f>
        <v>0</v>
      </c>
    </row>
    <row r="753">
      <c r="A753" s="14" t="inlineStr">
        <is>
          <t>FEIRA DE SANTANA</t>
        </is>
      </c>
      <c r="B753" s="26" t="n">
        <v>155</v>
      </c>
      <c r="C753" s="26" t="n">
        <v>1074</v>
      </c>
      <c r="D753" s="14" t="inlineStr">
        <is>
          <t>COLÉGIO ESTADUAL ODORICO TAVARES</t>
        </is>
      </c>
      <c r="E753" s="14" t="inlineStr">
        <is>
          <t>CASEB</t>
        </is>
      </c>
      <c r="F753" s="14" t="inlineStr">
        <is>
          <t>RUA JAPAO, S/N - ZONA URBANA</t>
        </is>
      </c>
      <c r="G753" s="27" t="inlineStr">
        <is>
          <t>44026-000</t>
        </is>
      </c>
      <c r="H753" s="15" t="n">
        <v>12</v>
      </c>
      <c r="I753" s="28" t="inlineStr">
        <is>
          <t>NÃO</t>
        </is>
      </c>
      <c r="J753" s="29" t="n">
        <v>329.6</v>
      </c>
      <c r="K753" s="14" t="str">
        <f>IF(J753="","7. Acima de 2 km",IF(J753&lt;=50,"1. Até 50 m",IF(J753&lt;=100,"2. De 50 a 100 m",IF(J753&lt;=200,"3. De 100 a 200 m",IF(J753&lt;=300,"4. De 200 a 300 m",IF(J753&lt;=500,"5. De 300 a 500 m","6. De 500 m a 2 km"))))))</f>
        <v>5. De 300 a 500 m</v>
      </c>
      <c r="L753" s="26" t="n">
        <v>0</v>
      </c>
      <c r="M753" s="26" t="n">
        <v>0</v>
      </c>
      <c r="N753" s="26" t="n">
        <v>0</v>
      </c>
      <c r="O753" s="26" t="n">
        <v>0</v>
      </c>
      <c r="P753" s="30" t="n">
        <v>-12.2456903</v>
      </c>
      <c r="Q753" s="30" t="n">
        <v>-38.9477271</v>
      </c>
      <c r="R753" s="14" t="inlineStr">
        <is>
          <t>FÓRUM ELEITORAL. AV JOSÉ FALCÃO DA SILVA, S/Nº, QUEIMADINHA, FEIRA DE SANTANA/BA</t>
        </is>
      </c>
      <c r="S753" s="26">
        <f>IF(A753=A752,0,1)</f>
        <v>0</v>
      </c>
      <c r="T753" s="26">
        <f>IF(COUNTIF($B$4:B753,B753)=1,1,0)</f>
        <v>0</v>
      </c>
    </row>
    <row r="754">
      <c r="A754" s="14" t="inlineStr">
        <is>
          <t>FEIRA DE SANTANA</t>
        </is>
      </c>
      <c r="B754" s="26" t="n">
        <v>155</v>
      </c>
      <c r="C754" s="26" t="n">
        <v>1082</v>
      </c>
      <c r="D754" s="14" t="inlineStr">
        <is>
          <t>ESCOLA MUNICIPAL HORÁCIO SILVA BASTOS</t>
        </is>
      </c>
      <c r="E754" s="14" t="inlineStr">
        <is>
          <t>CASEB</t>
        </is>
      </c>
      <c r="F754" s="14" t="inlineStr">
        <is>
          <t>RUA PIRACICABA, S/N - ZONA URBANA</t>
        </is>
      </c>
      <c r="G754" s="27" t="inlineStr">
        <is>
          <t>44001-001</t>
        </is>
      </c>
      <c r="H754" s="15" t="n">
        <v>7</v>
      </c>
      <c r="I754" s="28" t="inlineStr">
        <is>
          <t>NÃO</t>
        </is>
      </c>
      <c r="J754" s="29" t="n">
        <v>499.4</v>
      </c>
      <c r="K754" s="14" t="str">
        <f>IF(J754="","7. Acima de 2 km",IF(J754&lt;=50,"1. Até 50 m",IF(J754&lt;=100,"2. De 50 a 100 m",IF(J754&lt;=200,"3. De 100 a 200 m",IF(J754&lt;=300,"4. De 200 a 300 m",IF(J754&lt;=500,"5. De 300 a 500 m","6. De 500 m a 2 km"))))))</f>
        <v>5. De 300 a 500 m</v>
      </c>
      <c r="L754" s="26" t="n">
        <v>0</v>
      </c>
      <c r="M754" s="26" t="n">
        <v>0</v>
      </c>
      <c r="N754" s="26" t="n">
        <v>0</v>
      </c>
      <c r="O754" s="26" t="n">
        <v>0</v>
      </c>
      <c r="P754" s="30" t="n">
        <v>-12.2399871</v>
      </c>
      <c r="Q754" s="30" t="n">
        <v>-38.9435539</v>
      </c>
      <c r="R754" s="14" t="inlineStr">
        <is>
          <t>FÓRUM ELEITORAL. AV JOSÉ FALCÃO DA SILVA, S/Nº, QUEIMADINHA, FEIRA DE SANTANA/BA</t>
        </is>
      </c>
      <c r="S754" s="26">
        <f>IF(A754=A753,0,1)</f>
        <v>0</v>
      </c>
      <c r="T754" s="26">
        <f>IF(COUNTIF($B$4:B754,B754)=1,1,0)</f>
        <v>0</v>
      </c>
    </row>
    <row r="755">
      <c r="A755" s="14" t="inlineStr">
        <is>
          <t>FEIRA DE SANTANA</t>
        </is>
      </c>
      <c r="B755" s="26" t="n">
        <v>155</v>
      </c>
      <c r="C755" s="26" t="n">
        <v>1090</v>
      </c>
      <c r="D755" s="14" t="inlineStr">
        <is>
          <t>COLÉGIO ESTADUAL PROFESSORA TECLA MELLO</t>
        </is>
      </c>
      <c r="E755" s="14" t="inlineStr">
        <is>
          <t>SIM</t>
        </is>
      </c>
      <c r="F755" s="14" t="inlineStr">
        <is>
          <t>AVENIDA CENTENARIO, 697 - ZONA URBANA</t>
        </is>
      </c>
      <c r="G755" s="27" t="inlineStr">
        <is>
          <t>44085-132</t>
        </is>
      </c>
      <c r="H755" s="15" t="n">
        <v>7</v>
      </c>
      <c r="I755" s="28" t="inlineStr">
        <is>
          <t>NÃO</t>
        </is>
      </c>
      <c r="J755" s="29" t="n">
        <v>880.5</v>
      </c>
      <c r="K755" s="14" t="str">
        <f>IF(J755="","7. Acima de 2 km",IF(J755&lt;=50,"1. Até 50 m",IF(J755&lt;=100,"2. De 50 a 100 m",IF(J755&lt;=200,"3. De 100 a 200 m",IF(J755&lt;=300,"4. De 200 a 300 m",IF(J755&lt;=500,"5. De 300 a 500 m","6. De 500 m a 2 km"))))))</f>
        <v>6. De 500 m a 2 km</v>
      </c>
      <c r="L755" s="26" t="n">
        <v>0</v>
      </c>
      <c r="M755" s="26" t="n">
        <v>0</v>
      </c>
      <c r="N755" s="26" t="n">
        <v>0</v>
      </c>
      <c r="O755" s="26" t="n">
        <v>0</v>
      </c>
      <c r="P755" s="30" t="n">
        <v>-12.2549654</v>
      </c>
      <c r="Q755" s="30" t="n">
        <v>-38.9253119</v>
      </c>
      <c r="R755" s="14" t="inlineStr">
        <is>
          <t>FÓRUM ELEITORAL. AV JOSÉ FALCÃO DA SILVA, S/Nº, QUEIMADINHA, FEIRA DE SANTANA/BA</t>
        </is>
      </c>
      <c r="S755" s="26">
        <f>IF(A755=A754,0,1)</f>
        <v>0</v>
      </c>
      <c r="T755" s="26">
        <f>IF(COUNTIF($B$4:B755,B755)=1,1,0)</f>
        <v>0</v>
      </c>
    </row>
    <row r="756">
      <c r="A756" s="14" t="inlineStr">
        <is>
          <t>FEIRA DE SANTANA</t>
        </is>
      </c>
      <c r="B756" s="26" t="n">
        <v>155</v>
      </c>
      <c r="C756" s="26" t="n">
        <v>1104</v>
      </c>
      <c r="D756" s="14" t="inlineStr">
        <is>
          <t>CEEP - CENTRO  ESTADUAL DE EDUCAÇÃO PROFISSIONAL ÁUREO DE O. FILHO</t>
        </is>
      </c>
      <c r="E756" s="14" t="inlineStr">
        <is>
          <t>SANTA MONICA</t>
        </is>
      </c>
      <c r="F756" s="14" t="inlineStr">
        <is>
          <t>RUA BRUXELAS S/N - ZONA URBANA</t>
        </is>
      </c>
      <c r="G756" s="27" t="inlineStr">
        <is>
          <t>44077-790</t>
        </is>
      </c>
      <c r="H756" s="15" t="n">
        <v>12</v>
      </c>
      <c r="I756" s="28" t="inlineStr">
        <is>
          <t>NÃO</t>
        </is>
      </c>
      <c r="J756" s="29" t="n">
        <v>334.6</v>
      </c>
      <c r="K756" s="14" t="str">
        <f>IF(J756="","7. Acima de 2 km",IF(J756&lt;=50,"1. Até 50 m",IF(J756&lt;=100,"2. De 50 a 100 m",IF(J756&lt;=200,"3. De 100 a 200 m",IF(J756&lt;=300,"4. De 200 a 300 m",IF(J756&lt;=500,"5. De 300 a 500 m","6. De 500 m a 2 km"))))))</f>
        <v>5. De 300 a 500 m</v>
      </c>
      <c r="L756" s="26" t="n">
        <v>0</v>
      </c>
      <c r="M756" s="26" t="n">
        <v>0</v>
      </c>
      <c r="N756" s="26" t="n">
        <v>0</v>
      </c>
      <c r="O756" s="26" t="n">
        <v>0</v>
      </c>
      <c r="P756" s="30" t="n">
        <v>-12.263088</v>
      </c>
      <c r="Q756" s="30" t="n">
        <v>-38.9365527</v>
      </c>
      <c r="R756" s="14" t="inlineStr">
        <is>
          <t>FÓRUM ELEITORAL. AV JOSÉ FALCÃO DA SILVA, S/Nº, QUEIMADINHA, FEIRA DE SANTANA/BA</t>
        </is>
      </c>
      <c r="S756" s="26">
        <f>IF(A756=A755,0,1)</f>
        <v>0</v>
      </c>
      <c r="T756" s="26">
        <f>IF(COUNTIF($B$4:B756,B756)=1,1,0)</f>
        <v>0</v>
      </c>
    </row>
    <row r="757">
      <c r="A757" s="14" t="inlineStr">
        <is>
          <t>FEIRA DE SANTANA</t>
        </is>
      </c>
      <c r="B757" s="26" t="n">
        <v>155</v>
      </c>
      <c r="C757" s="26" t="n">
        <v>1112</v>
      </c>
      <c r="D757" s="14" t="inlineStr">
        <is>
          <t>ESCOLA MUNICIPAL MONTEIRO LOBATO</t>
        </is>
      </c>
      <c r="E757" s="14" t="inlineStr">
        <is>
          <t>CAPUCHINHOS</t>
        </is>
      </c>
      <c r="F757" s="14" t="inlineStr">
        <is>
          <t>RUA JOSÉ PEREIRA MASCARENHAS - ZONA URBANA</t>
        </is>
      </c>
      <c r="G757" s="27" t="inlineStr">
        <is>
          <t>44058-970</t>
        </is>
      </c>
      <c r="H757" s="15" t="n">
        <v>12</v>
      </c>
      <c r="I757" s="28" t="inlineStr">
        <is>
          <t>NÃO</t>
        </is>
      </c>
      <c r="J757" s="29" t="n">
        <v>285.1</v>
      </c>
      <c r="K757" s="14" t="str">
        <f>IF(J757="","7. Acima de 2 km",IF(J757&lt;=50,"1. Até 50 m",IF(J757&lt;=100,"2. De 50 a 100 m",IF(J757&lt;=200,"3. De 100 a 200 m",IF(J757&lt;=300,"4. De 200 a 300 m",IF(J757&lt;=500,"5. De 300 a 500 m","6. De 500 m a 2 km"))))))</f>
        <v>4. De 200 a 300 m</v>
      </c>
      <c r="L757" s="26" t="n">
        <v>0</v>
      </c>
      <c r="M757" s="26" t="n">
        <v>0</v>
      </c>
      <c r="N757" s="26" t="n">
        <v>0</v>
      </c>
      <c r="O757" s="26" t="n">
        <v>1</v>
      </c>
      <c r="P757" s="30" t="n">
        <v>-12.2583807</v>
      </c>
      <c r="Q757" s="30" t="n">
        <v>-38.9468086</v>
      </c>
      <c r="R757" s="14" t="inlineStr">
        <is>
          <t>FÓRUM ELEITORAL. AV JOSÉ FALCÃO DA SILVA, S/Nº, QUEIMADINHA, FEIRA DE SANTANA/BA</t>
        </is>
      </c>
      <c r="S757" s="26">
        <f>IF(A757=A756,0,1)</f>
        <v>0</v>
      </c>
      <c r="T757" s="26">
        <f>IF(COUNTIF($B$4:B757,B757)=1,1,0)</f>
        <v>0</v>
      </c>
    </row>
    <row r="758">
      <c r="A758" s="14" t="inlineStr">
        <is>
          <t>FEIRA DE SANTANA</t>
        </is>
      </c>
      <c r="B758" s="26" t="n">
        <v>155</v>
      </c>
      <c r="C758" s="26" t="n">
        <v>1120</v>
      </c>
      <c r="D758" s="14" t="inlineStr">
        <is>
          <t>UNEF - UNIDADE DE ENSINO SUPERIOR DE FEIRA DE SANTANA</t>
        </is>
      </c>
      <c r="E758" s="14" t="inlineStr">
        <is>
          <t>SUBAÉ</t>
        </is>
      </c>
      <c r="F758" s="14" t="inlineStr">
        <is>
          <t>AVENIDA LUIS EDUARDO MAGALHÃES, S/N</t>
        </is>
      </c>
      <c r="G758" s="27" t="inlineStr">
        <is>
          <t>44079-002</t>
        </is>
      </c>
      <c r="H758" s="15" t="n">
        <v>20</v>
      </c>
      <c r="I758" s="28" t="inlineStr">
        <is>
          <t>NÃO</t>
        </is>
      </c>
      <c r="J758" s="29" t="n">
        <v>310.6</v>
      </c>
      <c r="K758" s="14" t="str">
        <f>IF(J758="","7. Acima de 2 km",IF(J758&lt;=50,"1. Até 50 m",IF(J758&lt;=100,"2. De 50 a 100 m",IF(J758&lt;=200,"3. De 100 a 200 m",IF(J758&lt;=300,"4. De 200 a 300 m",IF(J758&lt;=500,"5. De 300 a 500 m","6. De 500 m a 2 km"))))))</f>
        <v>5. De 300 a 500 m</v>
      </c>
      <c r="L758" s="26" t="n">
        <v>0</v>
      </c>
      <c r="M758" s="26" t="n">
        <v>0</v>
      </c>
      <c r="N758" s="26" t="n">
        <v>0</v>
      </c>
      <c r="O758" s="26" t="n">
        <v>0</v>
      </c>
      <c r="P758" s="30" t="n">
        <v>-12.2750475</v>
      </c>
      <c r="Q758" s="30" t="n">
        <v>-38.9339365</v>
      </c>
      <c r="R758" s="14" t="inlineStr">
        <is>
          <t>FÓRUM ELEITORAL. AV JOSÉ FALCÃO DA SILVA, S/Nº, QUEIMADINHA, FEIRA DE SANTANA/BA</t>
        </is>
      </c>
      <c r="S758" s="26">
        <f>IF(A758=A757,0,1)</f>
        <v>0</v>
      </c>
      <c r="T758" s="26">
        <f>IF(COUNTIF($B$4:B758,B758)=1,1,0)</f>
        <v>0</v>
      </c>
    </row>
    <row r="759">
      <c r="A759" s="14" t="inlineStr">
        <is>
          <t>FEIRA DE SANTANA</t>
        </is>
      </c>
      <c r="B759" s="26" t="n">
        <v>155</v>
      </c>
      <c r="C759" s="26" t="n">
        <v>1139</v>
      </c>
      <c r="D759" s="14" t="inlineStr">
        <is>
          <t>COLÉGIO ESTADUAL SANTO ANTÔNIO</t>
        </is>
      </c>
      <c r="E759" s="14" t="inlineStr">
        <is>
          <t>BRASÍLIA</t>
        </is>
      </c>
      <c r="F759" s="14" t="inlineStr">
        <is>
          <t>RUA CONEGO CUPERTINO LACERDA S/N - ZONA URBANA</t>
        </is>
      </c>
      <c r="G759" s="27" t="inlineStr">
        <is>
          <t>44001-001</t>
        </is>
      </c>
      <c r="H759" s="15" t="n">
        <v>14</v>
      </c>
      <c r="I759" s="28" t="inlineStr">
        <is>
          <t>NÃO</t>
        </is>
      </c>
      <c r="J759" s="29" t="n">
        <v>379.1</v>
      </c>
      <c r="K759" s="14" t="str">
        <f>IF(J759="","7. Acima de 2 km",IF(J759&lt;=50,"1. Até 50 m",IF(J759&lt;=100,"2. De 50 a 100 m",IF(J759&lt;=200,"3. De 100 a 200 m",IF(J759&lt;=300,"4. De 200 a 300 m",IF(J759&lt;=500,"5. De 300 a 500 m","6. De 500 m a 2 km"))))))</f>
        <v>5. De 300 a 500 m</v>
      </c>
      <c r="L759" s="26" t="n">
        <v>0</v>
      </c>
      <c r="M759" s="26" t="n">
        <v>0</v>
      </c>
      <c r="N759" s="26" t="n">
        <v>0</v>
      </c>
      <c r="O759" s="26" t="n">
        <v>0</v>
      </c>
      <c r="P759" s="30" t="n">
        <v>-12.2663796</v>
      </c>
      <c r="Q759" s="30" t="n">
        <v>-38.9487148</v>
      </c>
      <c r="R759" s="14" t="inlineStr">
        <is>
          <t>FÓRUM ELEITORAL. AV JOSÉ FALCÃO DA SILVA, S/Nº, QUEIMADINHA, FEIRA DE SANTANA/BA</t>
        </is>
      </c>
      <c r="S759" s="26">
        <f>IF(A759=A758,0,1)</f>
        <v>0</v>
      </c>
      <c r="T759" s="26">
        <f>IF(COUNTIF($B$4:B759,B759)=1,1,0)</f>
        <v>0</v>
      </c>
    </row>
    <row r="760">
      <c r="A760" s="14" t="inlineStr">
        <is>
          <t>FEIRA DE SANTANA</t>
        </is>
      </c>
      <c r="B760" s="26" t="n">
        <v>155</v>
      </c>
      <c r="C760" s="26" t="n">
        <v>1155</v>
      </c>
      <c r="D760" s="14" t="inlineStr">
        <is>
          <t>ESCOLA MUNICIPAL PROFA ECILDA RAMOS DE SOUZA</t>
        </is>
      </c>
      <c r="E760" s="14" t="inlineStr">
        <is>
          <t>BRASÍLIA</t>
        </is>
      </c>
      <c r="F760" s="14" t="inlineStr">
        <is>
          <t>RUA ADENIL FALCAO S/N - ZONA URBANA</t>
        </is>
      </c>
      <c r="G760" s="27" t="inlineStr">
        <is>
          <t>44075-970</t>
        </is>
      </c>
      <c r="H760" s="15" t="n">
        <v>7</v>
      </c>
      <c r="I760" s="28" t="inlineStr">
        <is>
          <t>NÃO</t>
        </is>
      </c>
      <c r="J760" s="29" t="n">
        <v>468</v>
      </c>
      <c r="K760" s="14" t="str">
        <f>IF(J760="","7. Acima de 2 km",IF(J760&lt;=50,"1. Até 50 m",IF(J760&lt;=100,"2. De 50 a 100 m",IF(J760&lt;=200,"3. De 100 a 200 m",IF(J760&lt;=300,"4. De 200 a 300 m",IF(J760&lt;=500,"5. De 300 a 500 m","6. De 500 m a 2 km"))))))</f>
        <v>5. De 300 a 500 m</v>
      </c>
      <c r="L760" s="26" t="n">
        <v>0</v>
      </c>
      <c r="M760" s="26" t="n">
        <v>0</v>
      </c>
      <c r="N760" s="26" t="n">
        <v>0</v>
      </c>
      <c r="O760" s="26" t="n">
        <v>0</v>
      </c>
      <c r="P760" s="30" t="n">
        <v>-12.2714505</v>
      </c>
      <c r="Q760" s="30" t="n">
        <v>-38.9511256</v>
      </c>
      <c r="R760" s="14" t="inlineStr">
        <is>
          <t>FÓRUM ELEITORAL. AV JOSÉ FALCÃO DA SILVA, S/Nº, QUEIMADINHA, FEIRA DE SANTANA/BA</t>
        </is>
      </c>
      <c r="S760" s="26">
        <f>IF(A760=A759,0,1)</f>
        <v>0</v>
      </c>
      <c r="T760" s="26">
        <f>IF(COUNTIF($B$4:B760,B760)=1,1,0)</f>
        <v>0</v>
      </c>
    </row>
    <row r="761">
      <c r="A761" s="14" t="inlineStr">
        <is>
          <t>FEIRA DE SANTANA</t>
        </is>
      </c>
      <c r="B761" s="26" t="n">
        <v>155</v>
      </c>
      <c r="C761" s="26" t="n">
        <v>1171</v>
      </c>
      <c r="D761" s="14" t="inlineStr">
        <is>
          <t>ESCOLA MUNICIPAL REITOR EDGAR SANTOS</t>
        </is>
      </c>
      <c r="E761" s="14" t="inlineStr">
        <is>
          <t>JOMAFA</t>
        </is>
      </c>
      <c r="F761" s="14" t="inlineStr">
        <is>
          <t>CONJUNTO JOAO MARINHO FALCAO - ZONA URBANA</t>
        </is>
      </c>
      <c r="G761" s="27" t="inlineStr">
        <is>
          <t>44075-970</t>
        </is>
      </c>
      <c r="H761" s="15" t="n">
        <v>11</v>
      </c>
      <c r="I761" s="28" t="inlineStr">
        <is>
          <t>NÃO</t>
        </is>
      </c>
      <c r="J761" s="29" t="n">
        <v>546.4</v>
      </c>
      <c r="K761" s="14" t="str">
        <f>IF(J761="","7. Acima de 2 km",IF(J761&lt;=50,"1. Até 50 m",IF(J761&lt;=100,"2. De 50 a 100 m",IF(J761&lt;=200,"3. De 100 a 200 m",IF(J761&lt;=300,"4. De 200 a 300 m",IF(J761&lt;=500,"5. De 300 a 500 m","6. De 500 m a 2 km"))))))</f>
        <v>6. De 500 m a 2 km</v>
      </c>
      <c r="L761" s="26" t="n">
        <v>0</v>
      </c>
      <c r="M761" s="26" t="n">
        <v>0</v>
      </c>
      <c r="N761" s="26" t="n">
        <v>0</v>
      </c>
      <c r="O761" s="26" t="n">
        <v>0</v>
      </c>
      <c r="P761" s="30" t="n">
        <v>-12.2789304</v>
      </c>
      <c r="Q761" s="30" t="n">
        <v>-38.9486586</v>
      </c>
      <c r="R761" s="14" t="inlineStr">
        <is>
          <t>FÓRUM ELEITORAL. AV JOSÉ FALCÃO DA SILVA, S/Nº, QUEIMADINHA, FEIRA DE SANTANA/BA</t>
        </is>
      </c>
      <c r="S761" s="26">
        <f>IF(A761=A760,0,1)</f>
        <v>0</v>
      </c>
      <c r="T761" s="26">
        <f>IF(COUNTIF($B$4:B761,B761)=1,1,0)</f>
        <v>0</v>
      </c>
    </row>
    <row r="762">
      <c r="A762" s="14" t="inlineStr">
        <is>
          <t>FEIRA DE SANTANA</t>
        </is>
      </c>
      <c r="B762" s="26" t="n">
        <v>155</v>
      </c>
      <c r="C762" s="26" t="n">
        <v>1198</v>
      </c>
      <c r="D762" s="14" t="inlineStr">
        <is>
          <t>COLÉGIO ESTADUAL DE TEMPO INTEGRAL PROFA CÉLIA SANTOS ANDRADE</t>
        </is>
      </c>
      <c r="E762" s="14" t="inlineStr">
        <is>
          <t>35 BI</t>
        </is>
      </c>
      <c r="F762" s="14" t="inlineStr">
        <is>
          <t>AVENIDA DOUOTOR EDUARDO FROES DA MOTA  S/N - ZONA URBANA</t>
        </is>
      </c>
      <c r="G762" s="27" t="inlineStr">
        <is>
          <t>44065-240</t>
        </is>
      </c>
      <c r="H762" s="15" t="n">
        <v>14</v>
      </c>
      <c r="I762" s="28" t="inlineStr">
        <is>
          <t>NÃO</t>
        </is>
      </c>
      <c r="J762" s="29" t="n">
        <v>112.9</v>
      </c>
      <c r="K762" s="14" t="str">
        <f>IF(J762="","7. Acima de 2 km",IF(J762&lt;=50,"1. Até 50 m",IF(J762&lt;=100,"2. De 50 a 100 m",IF(J762&lt;=200,"3. De 100 a 200 m",IF(J762&lt;=300,"4. De 200 a 300 m",IF(J762&lt;=500,"5. De 300 a 500 m","6. De 500 m a 2 km"))))))</f>
        <v>3. De 100 a 200 m</v>
      </c>
      <c r="L762" s="26" t="n">
        <v>0</v>
      </c>
      <c r="M762" s="26" t="n">
        <v>0</v>
      </c>
      <c r="N762" s="26" t="n">
        <v>1</v>
      </c>
      <c r="O762" s="26" t="n">
        <v>1</v>
      </c>
      <c r="P762" s="30" t="n">
        <v>-12.2783539</v>
      </c>
      <c r="Q762" s="30" t="n">
        <v>-38.9413039</v>
      </c>
      <c r="R762" s="14" t="inlineStr">
        <is>
          <t>FÓRUM ELEITORAL. AV JOSÉ FALCÃO DA SILVA, S/Nº, QUEIMADINHA, FEIRA DE SANTANA/BA</t>
        </is>
      </c>
      <c r="S762" s="26">
        <f>IF(A762=A761,0,1)</f>
        <v>0</v>
      </c>
      <c r="T762" s="26">
        <f>IF(COUNTIF($B$4:B762,B762)=1,1,0)</f>
        <v>0</v>
      </c>
    </row>
    <row r="763">
      <c r="A763" s="14" t="inlineStr">
        <is>
          <t>FEIRA DE SANTANA</t>
        </is>
      </c>
      <c r="B763" s="26" t="n">
        <v>155</v>
      </c>
      <c r="C763" s="26" t="n">
        <v>1210</v>
      </c>
      <c r="D763" s="14" t="inlineStr">
        <is>
          <t>ESCOLA MUNICIPAL HELENA ASSIS SUZART</t>
        </is>
      </c>
      <c r="E763" s="14" t="inlineStr">
        <is>
          <t>ESTAÇÃO NOVA</t>
        </is>
      </c>
      <c r="F763" s="14" t="inlineStr">
        <is>
          <t>RUA VISCONDE DE MAUA, N 439 - ZONA URBANA</t>
        </is>
      </c>
      <c r="G763" s="27" t="inlineStr">
        <is>
          <t>44045-330</t>
        </is>
      </c>
      <c r="H763" s="15" t="n">
        <v>4</v>
      </c>
      <c r="I763" s="28" t="inlineStr">
        <is>
          <t>NÃO</t>
        </is>
      </c>
      <c r="J763" s="29" t="n">
        <v>264.8</v>
      </c>
      <c r="K763" s="14" t="str">
        <f>IF(J763="","7. Acima de 2 km",IF(J763&lt;=50,"1. Até 50 m",IF(J763&lt;=100,"2. De 50 a 100 m",IF(J763&lt;=200,"3. De 100 a 200 m",IF(J763&lt;=300,"4. De 200 a 300 m",IF(J763&lt;=500,"5. De 300 a 500 m","6. De 500 m a 2 km"))))))</f>
        <v>4. De 200 a 300 m</v>
      </c>
      <c r="L763" s="26" t="n">
        <v>0</v>
      </c>
      <c r="M763" s="26" t="n">
        <v>0</v>
      </c>
      <c r="N763" s="26" t="n">
        <v>0</v>
      </c>
      <c r="O763" s="26" t="n">
        <v>1</v>
      </c>
      <c r="P763" s="30" t="n">
        <v>-12.246533</v>
      </c>
      <c r="Q763" s="30" t="n">
        <v>-38.9446735</v>
      </c>
      <c r="R763" s="14" t="inlineStr">
        <is>
          <t>FÓRUM ELEITORAL. AV JOSÉ FALCÃO DA SILVA, S/Nº, QUEIMADINHA, FEIRA DE SANTANA/BA</t>
        </is>
      </c>
      <c r="S763" s="26">
        <f>IF(A763=A762,0,1)</f>
        <v>0</v>
      </c>
      <c r="T763" s="26">
        <f>IF(COUNTIF($B$4:B763,B763)=1,1,0)</f>
        <v>0</v>
      </c>
    </row>
    <row r="764">
      <c r="A764" s="14" t="inlineStr">
        <is>
          <t>FEIRA DE SANTANA</t>
        </is>
      </c>
      <c r="B764" s="26" t="n">
        <v>155</v>
      </c>
      <c r="C764" s="26" t="n">
        <v>1228</v>
      </c>
      <c r="D764" s="14" t="inlineStr">
        <is>
          <t>ESCOLA MUNICIPAL PROFESSORA MARIA JOSÉ DANTAS CARNEIRO</t>
        </is>
      </c>
      <c r="E764" s="14" t="inlineStr">
        <is>
          <t>CASEB</t>
        </is>
      </c>
      <c r="F764" s="14" t="inlineStr">
        <is>
          <t>RUA SAO VALENTIM, N 41 - ZONA URBANA</t>
        </is>
      </c>
      <c r="G764" s="27" t="inlineStr">
        <is>
          <t>44040-700</t>
        </is>
      </c>
      <c r="H764" s="15" t="n">
        <v>5</v>
      </c>
      <c r="I764" s="28" t="inlineStr">
        <is>
          <t>NÃO</t>
        </is>
      </c>
      <c r="J764" s="29" t="n">
        <v>211.1</v>
      </c>
      <c r="K764" s="14" t="str">
        <f>IF(J764="","7. Acima de 2 km",IF(J764&lt;=50,"1. Até 50 m",IF(J764&lt;=100,"2. De 50 a 100 m",IF(J764&lt;=200,"3. De 100 a 200 m",IF(J764&lt;=300,"4. De 200 a 300 m",IF(J764&lt;=500,"5. De 300 a 500 m","6. De 500 m a 2 km"))))))</f>
        <v>4. De 200 a 300 m</v>
      </c>
      <c r="L764" s="26" t="n">
        <v>0</v>
      </c>
      <c r="M764" s="26" t="n">
        <v>0</v>
      </c>
      <c r="N764" s="26" t="n">
        <v>0</v>
      </c>
      <c r="O764" s="26" t="n">
        <v>1</v>
      </c>
      <c r="P764" s="30" t="n">
        <v>-12.2426089</v>
      </c>
      <c r="Q764" s="30" t="n">
        <v>-38.9430952</v>
      </c>
      <c r="R764" s="14" t="inlineStr">
        <is>
          <t>FÓRUM ELEITORAL. AV JOSÉ FALCÃO DA SILVA, S/Nº, QUEIMADINHA, FEIRA DE SANTANA/BA</t>
        </is>
      </c>
      <c r="S764" s="26">
        <f>IF(A764=A763,0,1)</f>
        <v>0</v>
      </c>
      <c r="T764" s="26">
        <f>IF(COUNTIF($B$4:B764,B764)=1,1,0)</f>
        <v>0</v>
      </c>
    </row>
    <row r="765">
      <c r="A765" s="14" t="inlineStr">
        <is>
          <t>FEIRA DE SANTANA</t>
        </is>
      </c>
      <c r="B765" s="26" t="n">
        <v>155</v>
      </c>
      <c r="C765" s="26" t="n">
        <v>1252</v>
      </c>
      <c r="D765" s="14" t="inlineStr">
        <is>
          <t>COLÉGIO ESTADUAL ROTARY DE FEIRA DE SANTANA</t>
        </is>
      </c>
      <c r="E765" s="14" t="inlineStr">
        <is>
          <t>CAPUCHINHOS</t>
        </is>
      </c>
      <c r="F765" s="14" t="inlineStr">
        <is>
          <t>RUA JOÃO SAMPAIO MACHADO, N 235 - ZONA URBANA</t>
        </is>
      </c>
      <c r="G765" s="27" t="inlineStr">
        <is>
          <t>44052-200</t>
        </is>
      </c>
      <c r="H765" s="15" t="n">
        <v>7</v>
      </c>
      <c r="I765" s="28" t="inlineStr">
        <is>
          <t>NÃO</t>
        </is>
      </c>
      <c r="J765" s="29" t="n">
        <v>238</v>
      </c>
      <c r="K765" s="14" t="str">
        <f>IF(J765="","7. Acima de 2 km",IF(J765&lt;=50,"1. Até 50 m",IF(J765&lt;=100,"2. De 50 a 100 m",IF(J765&lt;=200,"3. De 100 a 200 m",IF(J765&lt;=300,"4. De 200 a 300 m",IF(J765&lt;=500,"5. De 300 a 500 m","6. De 500 m a 2 km"))))))</f>
        <v>4. De 200 a 300 m</v>
      </c>
      <c r="L765" s="26" t="n">
        <v>0</v>
      </c>
      <c r="M765" s="26" t="n">
        <v>0</v>
      </c>
      <c r="N765" s="26" t="n">
        <v>0</v>
      </c>
      <c r="O765" s="26" t="n">
        <v>1</v>
      </c>
      <c r="P765" s="30" t="n">
        <v>-12.2595411</v>
      </c>
      <c r="Q765" s="30" t="n">
        <v>-38.9487136</v>
      </c>
      <c r="R765" s="14" t="inlineStr">
        <is>
          <t>FÓRUM ELEITORAL. AV JOSÉ FALCÃO DA SILVA, S/Nº, QUEIMADINHA, FEIRA DE SANTANA/BA</t>
        </is>
      </c>
      <c r="S765" s="26">
        <f>IF(A765=A764,0,1)</f>
        <v>0</v>
      </c>
      <c r="T765" s="26">
        <f>IF(COUNTIF($B$4:B765,B765)=1,1,0)</f>
        <v>0</v>
      </c>
    </row>
    <row r="766">
      <c r="A766" s="14" t="inlineStr">
        <is>
          <t>FEIRA DE SANTANA</t>
        </is>
      </c>
      <c r="B766" s="26" t="n">
        <v>155</v>
      </c>
      <c r="C766" s="26" t="n">
        <v>1260</v>
      </c>
      <c r="D766" s="14" t="inlineStr">
        <is>
          <t>CASE ZILDA ARNS</t>
        </is>
      </c>
      <c r="E766" s="14" t="inlineStr">
        <is>
          <t>SIM</t>
        </is>
      </c>
      <c r="F766" s="14" t="inlineStr">
        <is>
          <t>RUA JOSÉ DOMINGOS SERVO, S/N - ZONA URBANA</t>
        </is>
      </c>
      <c r="G766" s="27" t="inlineStr">
        <is>
          <t>44085-380</t>
        </is>
      </c>
      <c r="H766" s="15" t="n">
        <v>1</v>
      </c>
      <c r="I766" s="28" t="inlineStr">
        <is>
          <t>NÃO</t>
        </is>
      </c>
      <c r="J766" s="29" t="n">
        <v>277.6</v>
      </c>
      <c r="K766" s="14" t="str">
        <f>IF(J766="","7. Acima de 2 km",IF(J766&lt;=50,"1. Até 50 m",IF(J766&lt;=100,"2. De 50 a 100 m",IF(J766&lt;=200,"3. De 100 a 200 m",IF(J766&lt;=300,"4. De 200 a 300 m",IF(J766&lt;=500,"5. De 300 a 500 m","6. De 500 m a 2 km"))))))</f>
        <v>4. De 200 a 300 m</v>
      </c>
      <c r="L766" s="26" t="n">
        <v>0</v>
      </c>
      <c r="M766" s="26" t="n">
        <v>0</v>
      </c>
      <c r="N766" s="26" t="n">
        <v>0</v>
      </c>
      <c r="O766" s="26" t="n">
        <v>1</v>
      </c>
      <c r="P766" s="30" t="n">
        <v>-12.2474882</v>
      </c>
      <c r="Q766" s="30" t="n">
        <v>-38.921875</v>
      </c>
      <c r="R766" s="14" t="inlineStr">
        <is>
          <t>FÓRUM ELEITORAL. AV JOSÉ FALCÃO DA SILVA, S/Nº, QUEIMADINHA, FEIRA DE SANTANA/BA</t>
        </is>
      </c>
      <c r="S766" s="26">
        <f>IF(A766=A765,0,1)</f>
        <v>0</v>
      </c>
      <c r="T766" s="26">
        <f>IF(COUNTIF($B$4:B766,B766)=1,1,0)</f>
        <v>0</v>
      </c>
    </row>
    <row r="767">
      <c r="A767" s="14" t="inlineStr">
        <is>
          <t>FEIRA DE SANTANA</t>
        </is>
      </c>
      <c r="B767" s="26" t="n">
        <v>155</v>
      </c>
      <c r="C767" s="26" t="n">
        <v>1287</v>
      </c>
      <c r="D767" s="14" t="inlineStr">
        <is>
          <t>COLÉGIO ESTADUAL DE TEMPO INTEGRAL PROFA CARMINDA MASCARENHAS VIEIRA</t>
        </is>
      </c>
      <c r="E767" s="14" t="inlineStr">
        <is>
          <t>SERRARIA BRASIL</t>
        </is>
      </c>
      <c r="F767" s="14" t="inlineStr">
        <is>
          <t>RUA CASTRO ALVES, S/N - ZONA URBANA</t>
        </is>
      </c>
      <c r="G767" s="27" t="inlineStr">
        <is>
          <t>44003-198</t>
        </is>
      </c>
      <c r="H767" s="15" t="n">
        <v>14</v>
      </c>
      <c r="I767" s="28" t="inlineStr">
        <is>
          <t>NÃO</t>
        </is>
      </c>
      <c r="J767" s="29" t="n">
        <v>539.8</v>
      </c>
      <c r="K767" s="14" t="str">
        <f>IF(J767="","7. Acima de 2 km",IF(J767&lt;=50,"1. Até 50 m",IF(J767&lt;=100,"2. De 50 a 100 m",IF(J767&lt;=200,"3. De 100 a 200 m",IF(J767&lt;=300,"4. De 200 a 300 m",IF(J767&lt;=500,"5. De 300 a 500 m","6. De 500 m a 2 km"))))))</f>
        <v>6. De 500 m a 2 km</v>
      </c>
      <c r="L767" s="26" t="n">
        <v>0</v>
      </c>
      <c r="M767" s="26" t="n">
        <v>0</v>
      </c>
      <c r="N767" s="26" t="n">
        <v>0</v>
      </c>
      <c r="O767" s="26" t="n">
        <v>0</v>
      </c>
      <c r="P767" s="30" t="n">
        <v>-12.2636183</v>
      </c>
      <c r="Q767" s="30" t="n">
        <v>-38.9620939</v>
      </c>
      <c r="R767" s="14" t="inlineStr">
        <is>
          <t>FÓRUM ELEITORAL. AV JOSÉ FALCÃO DA SILVA, S/Nº, QUEIMADINHA, FEIRA DE SANTANA/BA</t>
        </is>
      </c>
      <c r="S767" s="26">
        <f>IF(A767=A766,0,1)</f>
        <v>0</v>
      </c>
      <c r="T767" s="26">
        <f>IF(COUNTIF($B$4:B767,B767)=1,1,0)</f>
        <v>0</v>
      </c>
    </row>
    <row r="768">
      <c r="A768" s="14" t="inlineStr">
        <is>
          <t>FEIRA DE SANTANA</t>
        </is>
      </c>
      <c r="B768" s="26" t="n">
        <v>155</v>
      </c>
      <c r="C768" s="26" t="n">
        <v>1295</v>
      </c>
      <c r="D768" s="14" t="inlineStr">
        <is>
          <t>COLÉGIO ESTADUAL DURVALINA CARNEIRO</t>
        </is>
      </c>
      <c r="E768" s="14" t="inlineStr">
        <is>
          <t>SANTO ANTÔNIO DOS PRAZERES</t>
        </is>
      </c>
      <c r="F768" s="14" t="inlineStr">
        <is>
          <t>RUA VALENTIM ALVES CERQUEIRA, S/N - ZONA URBANA</t>
        </is>
      </c>
      <c r="G768" s="27" t="inlineStr">
        <is>
          <t>44026-000</t>
        </is>
      </c>
      <c r="H768" s="15" t="n">
        <v>11</v>
      </c>
      <c r="I768" s="28" t="inlineStr">
        <is>
          <t>NÃO</t>
        </is>
      </c>
      <c r="J768" s="29" t="n">
        <v>239.2</v>
      </c>
      <c r="K768" s="14" t="str">
        <f>IF(J768="","7. Acima de 2 km",IF(J768&lt;=50,"1. Até 50 m",IF(J768&lt;=100,"2. De 50 a 100 m",IF(J768&lt;=200,"3. De 100 a 200 m",IF(J768&lt;=300,"4. De 200 a 300 m",IF(J768&lt;=500,"5. De 300 a 500 m","6. De 500 m a 2 km"))))))</f>
        <v>4. De 200 a 300 m</v>
      </c>
      <c r="L768" s="26" t="n">
        <v>0</v>
      </c>
      <c r="M768" s="26" t="n">
        <v>0</v>
      </c>
      <c r="N768" s="26" t="n">
        <v>0</v>
      </c>
      <c r="O768" s="26" t="n">
        <v>1</v>
      </c>
      <c r="P768" s="30" t="n">
        <v>-12.2445095</v>
      </c>
      <c r="Q768" s="30" t="n">
        <v>-38.9331837</v>
      </c>
      <c r="R768" s="14" t="inlineStr">
        <is>
          <t>FÓRUM ELEITORAL. AV JOSÉ FALCÃO DA SILVA, S/Nº, QUEIMADINHA, FEIRA DE SANTANA/BA</t>
        </is>
      </c>
      <c r="S768" s="26">
        <f>IF(A768=A767,0,1)</f>
        <v>0</v>
      </c>
      <c r="T768" s="26">
        <f>IF(COUNTIF($B$4:B768,B768)=1,1,0)</f>
        <v>0</v>
      </c>
    </row>
    <row r="769">
      <c r="A769" s="14" t="inlineStr">
        <is>
          <t>FEIRA DE SANTANA</t>
        </is>
      </c>
      <c r="B769" s="26" t="n">
        <v>155</v>
      </c>
      <c r="C769" s="26" t="n">
        <v>1309</v>
      </c>
      <c r="D769" s="14" t="inlineStr">
        <is>
          <t>ESCOLA MUNICIPAL SÃO FRANCISCO DE ASSIS</t>
        </is>
      </c>
      <c r="E769" s="14" t="inlineStr">
        <is>
          <t>REGISTRO</t>
        </is>
      </c>
      <c r="F769" s="14" t="inlineStr">
        <is>
          <t>FAZENDA REGISTRO</t>
        </is>
      </c>
      <c r="G769" s="27" t="inlineStr">
        <is>
          <t>44115-000</t>
        </is>
      </c>
      <c r="H769" s="15" t="n">
        <v>2</v>
      </c>
      <c r="I769" s="28" t="inlineStr">
        <is>
          <t>NÃO</t>
        </is>
      </c>
      <c r="J769" s="29" t="n"/>
      <c r="K769" s="14" t="str">
        <f>IF(J769="","7. Acima de 2 km",IF(J769&lt;=50,"1. Até 50 m",IF(J769&lt;=100,"2. De 50 a 100 m",IF(J769&lt;=200,"3. De 100 a 200 m",IF(J769&lt;=300,"4. De 200 a 300 m",IF(J769&lt;=500,"5. De 300 a 500 m","6. De 500 m a 2 km"))))))</f>
        <v>7. Acima de 2 km</v>
      </c>
      <c r="L769" s="26" t="n">
        <v>0</v>
      </c>
      <c r="M769" s="26" t="n">
        <v>0</v>
      </c>
      <c r="N769" s="26" t="n">
        <v>0</v>
      </c>
      <c r="O769" s="26" t="n">
        <v>0</v>
      </c>
      <c r="P769" s="30" t="n">
        <v>-12.2426743</v>
      </c>
      <c r="Q769" s="30" t="n">
        <v>-38.8815957</v>
      </c>
      <c r="R769" s="14" t="inlineStr">
        <is>
          <t>FÓRUM ELEITORAL. AV JOSÉ FALCÃO DA SILVA, S/Nº, QUEIMADINHA, FEIRA DE SANTANA/BA</t>
        </is>
      </c>
      <c r="S769" s="26">
        <f>IF(A769=A768,0,1)</f>
        <v>0</v>
      </c>
      <c r="T769" s="26">
        <f>IF(COUNTIF($B$4:B769,B769)=1,1,0)</f>
        <v>0</v>
      </c>
    </row>
    <row r="770">
      <c r="A770" s="14" t="inlineStr">
        <is>
          <t>FEIRA DE SANTANA</t>
        </is>
      </c>
      <c r="B770" s="26" t="n">
        <v>155</v>
      </c>
      <c r="C770" s="26" t="n">
        <v>1325</v>
      </c>
      <c r="D770" s="14" t="inlineStr">
        <is>
          <t>ESCOLA MUNICIPAL AMBRÓSIO BISPO</t>
        </is>
      </c>
      <c r="E770" s="14" t="inlineStr">
        <is>
          <t>DISTRITO DE JAÍBA</t>
        </is>
      </c>
      <c r="F770" s="14" t="inlineStr">
        <is>
          <t>FAZENDA RETIRO - ZONA RURAL</t>
        </is>
      </c>
      <c r="G770" s="27" t="inlineStr">
        <is>
          <t>44115-000</t>
        </is>
      </c>
      <c r="H770" s="15" t="n">
        <v>3</v>
      </c>
      <c r="I770" s="28" t="inlineStr">
        <is>
          <t>NÃO</t>
        </is>
      </c>
      <c r="J770" s="29" t="n"/>
      <c r="K770" s="14" t="str">
        <f>IF(J770="","7. Acima de 2 km",IF(J770&lt;=50,"1. Até 50 m",IF(J770&lt;=100,"2. De 50 a 100 m",IF(J770&lt;=200,"3. De 100 a 200 m",IF(J770&lt;=300,"4. De 200 a 300 m",IF(J770&lt;=500,"5. De 300 a 500 m","6. De 500 m a 2 km"))))))</f>
        <v>7. Acima de 2 km</v>
      </c>
      <c r="L770" s="26" t="n">
        <v>0</v>
      </c>
      <c r="M770" s="26" t="n">
        <v>0</v>
      </c>
      <c r="N770" s="26" t="n">
        <v>0</v>
      </c>
      <c r="O770" s="26" t="n">
        <v>0</v>
      </c>
      <c r="P770" s="30" t="n">
        <v>-12.2077635</v>
      </c>
      <c r="Q770" s="30" t="n">
        <v>-38.8912279</v>
      </c>
      <c r="R770" s="14" t="inlineStr">
        <is>
          <t>FÓRUM ELEITORAL. AV JOSÉ FALCÃO DA SILVA, S/Nº, QUEIMADINHA, FEIRA DE SANTANA/BA</t>
        </is>
      </c>
      <c r="S770" s="26">
        <f>IF(A770=A769,0,1)</f>
        <v>0</v>
      </c>
      <c r="T770" s="26">
        <f>IF(COUNTIF($B$4:B770,B770)=1,1,0)</f>
        <v>0</v>
      </c>
    </row>
    <row r="771">
      <c r="A771" s="14" t="inlineStr">
        <is>
          <t>FEIRA DE SANTANA</t>
        </is>
      </c>
      <c r="B771" s="26" t="n">
        <v>155</v>
      </c>
      <c r="C771" s="26" t="n">
        <v>1333</v>
      </c>
      <c r="D771" s="14" t="inlineStr">
        <is>
          <t>ESCOLA CIVICO-MILITAR MUNICIPAL QUINZE DE NOVEMBRO</t>
        </is>
      </c>
      <c r="E771" s="14" t="inlineStr">
        <is>
          <t>DISTRITO DE JAÍBA</t>
        </is>
      </c>
      <c r="F771" s="14" t="inlineStr">
        <is>
          <t>RUA MARTINIANO FREIRA, S/N, SEDE - ZONA RURAL</t>
        </is>
      </c>
      <c r="G771" s="27" t="inlineStr">
        <is>
          <t>44115-000</t>
        </is>
      </c>
      <c r="H771" s="15" t="n">
        <v>13</v>
      </c>
      <c r="I771" s="28" t="inlineStr">
        <is>
          <t>SIM</t>
        </is>
      </c>
      <c r="J771" s="29" t="n">
        <v>63.8</v>
      </c>
      <c r="K771" s="14" t="str">
        <f>IF(J771="","7. Acima de 2 km",IF(J771&lt;=50,"1. Até 50 m",IF(J771&lt;=100,"2. De 50 a 100 m",IF(J771&lt;=200,"3. De 100 a 200 m",IF(J771&lt;=300,"4. De 200 a 300 m",IF(J771&lt;=500,"5. De 300 a 500 m","6. De 500 m a 2 km"))))))</f>
        <v>2. De 50 a 100 m</v>
      </c>
      <c r="L771" s="26" t="n">
        <v>0</v>
      </c>
      <c r="M771" s="26" t="n">
        <v>1</v>
      </c>
      <c r="N771" s="26" t="n">
        <v>2</v>
      </c>
      <c r="O771" s="26" t="n">
        <v>3</v>
      </c>
      <c r="P771" s="30" t="n">
        <v>-12.2066077</v>
      </c>
      <c r="Q771" s="30" t="n">
        <v>-38.8688701</v>
      </c>
      <c r="R771" s="14" t="inlineStr">
        <is>
          <t>FÓRUM ELEITORAL. AV JOSÉ FALCÃO DA SILVA, S/Nº, QUEIMADINHA, FEIRA DE SANTANA/BA</t>
        </is>
      </c>
      <c r="S771" s="26">
        <f>IF(A771=A770,0,1)</f>
        <v>0</v>
      </c>
      <c r="T771" s="26">
        <f>IF(COUNTIF($B$4:B771,B771)=1,1,0)</f>
        <v>0</v>
      </c>
    </row>
    <row r="772">
      <c r="A772" s="14" t="inlineStr">
        <is>
          <t>FEIRA DE SANTANA</t>
        </is>
      </c>
      <c r="B772" s="26" t="n">
        <v>155</v>
      </c>
      <c r="C772" s="26" t="n">
        <v>1341</v>
      </c>
      <c r="D772" s="14" t="inlineStr">
        <is>
          <t>COLÉGIO ESTADUAL TEMPO INTEGRAL PROFA ANA ALICE FIGUEREDO DOS SANTOS</t>
        </is>
      </c>
      <c r="E772" s="14" t="inlineStr">
        <is>
          <t>BRASÍLIA</t>
        </is>
      </c>
      <c r="F772" s="14" t="inlineStr">
        <is>
          <t>AV. JOÃO DURVAL CARNEIRO, S/N - ZONA URBANA</t>
        </is>
      </c>
      <c r="G772" s="27" t="inlineStr">
        <is>
          <t>44088-126</t>
        </is>
      </c>
      <c r="H772" s="15" t="n">
        <v>17</v>
      </c>
      <c r="I772" s="28" t="inlineStr">
        <is>
          <t>NÃO</t>
        </is>
      </c>
      <c r="J772" s="29" t="n">
        <v>188.3</v>
      </c>
      <c r="K772" s="14" t="str">
        <f>IF(J772="","7. Acima de 2 km",IF(J772&lt;=50,"1. Até 50 m",IF(J772&lt;=100,"2. De 50 a 100 m",IF(J772&lt;=200,"3. De 100 a 200 m",IF(J772&lt;=300,"4. De 200 a 300 m",IF(J772&lt;=500,"5. De 300 a 500 m","6. De 500 m a 2 km"))))))</f>
        <v>3. De 100 a 200 m</v>
      </c>
      <c r="L772" s="26" t="n">
        <v>0</v>
      </c>
      <c r="M772" s="26" t="n">
        <v>0</v>
      </c>
      <c r="N772" s="26" t="n">
        <v>1</v>
      </c>
      <c r="O772" s="26" t="n">
        <v>1</v>
      </c>
      <c r="P772" s="30" t="n">
        <v>-12.2709007</v>
      </c>
      <c r="Q772" s="30" t="n">
        <v>-38.9543752</v>
      </c>
      <c r="R772" s="14" t="inlineStr">
        <is>
          <t>FÓRUM ELEITORAL. AV JOSÉ FALCÃO DA SILVA, S/Nº, QUEIMADINHA, FEIRA DE SANTANA/BA</t>
        </is>
      </c>
      <c r="S772" s="26">
        <f>IF(A772=A771,0,1)</f>
        <v>0</v>
      </c>
      <c r="T772" s="26">
        <f>IF(COUNTIF($B$4:B772,B772)=1,1,0)</f>
        <v>0</v>
      </c>
    </row>
    <row r="773">
      <c r="A773" s="14" t="inlineStr">
        <is>
          <t>FEIRA DE SANTANA</t>
        </is>
      </c>
      <c r="B773" s="26" t="n">
        <v>155</v>
      </c>
      <c r="C773" s="26" t="n">
        <v>1350</v>
      </c>
      <c r="D773" s="14" t="inlineStr">
        <is>
          <t>ESCOLA MUNICIPAL DA AMIZADE</t>
        </is>
      </c>
      <c r="E773" s="14" t="inlineStr">
        <is>
          <t>DISTRITO DE HUMILDES</t>
        </is>
      </c>
      <c r="F773" s="14" t="inlineStr">
        <is>
          <t>BR 324, KM 100, PQ. DE EXPOSIÇÕES - POVO TANQUINHO - ZONA RURAL</t>
        </is>
      </c>
      <c r="G773" s="27" t="inlineStr">
        <is>
          <t>44135-000</t>
        </is>
      </c>
      <c r="H773" s="15" t="n">
        <v>4</v>
      </c>
      <c r="I773" s="28" t="inlineStr">
        <is>
          <t>NÃO</t>
        </is>
      </c>
      <c r="J773" s="29" t="n">
        <v>1647.7</v>
      </c>
      <c r="K773" s="14" t="str">
        <f>IF(J773="","7. Acima de 2 km",IF(J773&lt;=50,"1. Até 50 m",IF(J773&lt;=100,"2. De 50 a 100 m",IF(J773&lt;=200,"3. De 100 a 200 m",IF(J773&lt;=300,"4. De 200 a 300 m",IF(J773&lt;=500,"5. De 300 a 500 m","6. De 500 m a 2 km"))))))</f>
        <v>6. De 500 m a 2 km</v>
      </c>
      <c r="L773" s="26" t="n">
        <v>0</v>
      </c>
      <c r="M773" s="26" t="n">
        <v>0</v>
      </c>
      <c r="N773" s="26" t="n">
        <v>0</v>
      </c>
      <c r="O773" s="26" t="n">
        <v>0</v>
      </c>
      <c r="P773" s="30" t="n">
        <v>-12.2952426</v>
      </c>
      <c r="Q773" s="30" t="n">
        <v>-38.899726</v>
      </c>
      <c r="R773" s="14" t="inlineStr">
        <is>
          <t>FÓRUM ELEITORAL. AV JOSÉ FALCÃO DA SILVA, S/Nº, QUEIMADINHA, FEIRA DE SANTANA/BA</t>
        </is>
      </c>
      <c r="S773" s="26">
        <f>IF(A773=A772,0,1)</f>
        <v>0</v>
      </c>
      <c r="T773" s="26">
        <f>IF(COUNTIF($B$4:B773,B773)=1,1,0)</f>
        <v>0</v>
      </c>
    </row>
    <row r="774">
      <c r="A774" s="14" t="inlineStr">
        <is>
          <t>FEIRA DE SANTANA</t>
        </is>
      </c>
      <c r="B774" s="26" t="n">
        <v>155</v>
      </c>
      <c r="C774" s="26" t="n">
        <v>1376</v>
      </c>
      <c r="D774" s="14" t="inlineStr">
        <is>
          <t>ESCOLA MUNICIPAL MARIA ANTONIA DA COSTA</t>
        </is>
      </c>
      <c r="E774" s="14" t="inlineStr">
        <is>
          <t>SANTA MONICA</t>
        </is>
      </c>
      <c r="F774" s="14" t="inlineStr">
        <is>
          <t>RUA RIO MADEIRA, 171 - ZONA URBANA</t>
        </is>
      </c>
      <c r="G774" s="27" t="inlineStr">
        <is>
          <t>44077-828</t>
        </is>
      </c>
      <c r="H774" s="15" t="n">
        <v>7</v>
      </c>
      <c r="I774" s="28" t="inlineStr">
        <is>
          <t>NÃO</t>
        </is>
      </c>
      <c r="J774" s="29" t="n">
        <v>245.4</v>
      </c>
      <c r="K774" s="14" t="str">
        <f>IF(J774="","7. Acima de 2 km",IF(J774&lt;=50,"1. Até 50 m",IF(J774&lt;=100,"2. De 50 a 100 m",IF(J774&lt;=200,"3. De 100 a 200 m",IF(J774&lt;=300,"4. De 200 a 300 m",IF(J774&lt;=500,"5. De 300 a 500 m","6. De 500 m a 2 km"))))))</f>
        <v>4. De 200 a 300 m</v>
      </c>
      <c r="L774" s="26" t="n">
        <v>0</v>
      </c>
      <c r="M774" s="26" t="n">
        <v>0</v>
      </c>
      <c r="N774" s="26" t="n">
        <v>0</v>
      </c>
      <c r="O774" s="26" t="n">
        <v>1</v>
      </c>
      <c r="P774" s="30" t="n">
        <v>-12.2670778</v>
      </c>
      <c r="Q774" s="30" t="n">
        <v>-38.9360517</v>
      </c>
      <c r="R774" s="14" t="inlineStr">
        <is>
          <t>FÓRUM ELEITORAL. AV JOSÉ FALCÃO DA SILVA, S/Nº, QUEIMADINHA, FEIRA DE SANTANA/BA</t>
        </is>
      </c>
      <c r="S774" s="26">
        <f>IF(A774=A773,0,1)</f>
        <v>0</v>
      </c>
      <c r="T774" s="26">
        <f>IF(COUNTIF($B$4:B774,B774)=1,1,0)</f>
        <v>0</v>
      </c>
    </row>
    <row r="775">
      <c r="A775" s="14" t="inlineStr">
        <is>
          <t>FEIRA DE SANTANA</t>
        </is>
      </c>
      <c r="B775" s="26" t="n">
        <v>155</v>
      </c>
      <c r="C775" s="26" t="n">
        <v>1392</v>
      </c>
      <c r="D775" s="14" t="inlineStr">
        <is>
          <t>PRÉ-ESCOLA MUNICIPAL ALDA MARQUES</t>
        </is>
      </c>
      <c r="E775" s="14" t="inlineStr">
        <is>
          <t>SANTA MONICA</t>
        </is>
      </c>
      <c r="F775" s="14" t="inlineStr">
        <is>
          <t>RUA BRUXELAS - ZONA URBANA</t>
        </is>
      </c>
      <c r="G775" s="27" t="inlineStr">
        <is>
          <t>44055-470</t>
        </is>
      </c>
      <c r="H775" s="15" t="n">
        <v>2</v>
      </c>
      <c r="I775" s="28" t="inlineStr">
        <is>
          <t>NÃO</t>
        </is>
      </c>
      <c r="J775" s="29" t="n">
        <v>244.8</v>
      </c>
      <c r="K775" s="14" t="str">
        <f>IF(J775="","7. Acima de 2 km",IF(J775&lt;=50,"1. Até 50 m",IF(J775&lt;=100,"2. De 50 a 100 m",IF(J775&lt;=200,"3. De 100 a 200 m",IF(J775&lt;=300,"4. De 200 a 300 m",IF(J775&lt;=500,"5. De 300 a 500 m","6. De 500 m a 2 km"))))))</f>
        <v>4. De 200 a 300 m</v>
      </c>
      <c r="L775" s="26" t="n">
        <v>0</v>
      </c>
      <c r="M775" s="26" t="n">
        <v>0</v>
      </c>
      <c r="N775" s="26" t="n">
        <v>0</v>
      </c>
      <c r="O775" s="26" t="n">
        <v>1</v>
      </c>
      <c r="P775" s="30" t="n">
        <v>-12.2636377</v>
      </c>
      <c r="Q775" s="30" t="n">
        <v>-38.9359312</v>
      </c>
      <c r="R775" s="14" t="inlineStr">
        <is>
          <t>FÓRUM ELEITORAL. AV JOSÉ FALCÃO DA SILVA, S/Nº, QUEIMADINHA, FEIRA DE SANTANA/BA</t>
        </is>
      </c>
      <c r="S775" s="26">
        <f>IF(A775=A774,0,1)</f>
        <v>0</v>
      </c>
      <c r="T775" s="26">
        <f>IF(COUNTIF($B$4:B775,B775)=1,1,0)</f>
        <v>0</v>
      </c>
    </row>
    <row r="776">
      <c r="A776" s="14" t="inlineStr">
        <is>
          <t>FEIRA DE SANTANA</t>
        </is>
      </c>
      <c r="B776" s="26" t="n">
        <v>155</v>
      </c>
      <c r="C776" s="26" t="n">
        <v>1406</v>
      </c>
      <c r="D776" s="14" t="inlineStr">
        <is>
          <t>FAT - FACULDADE ANÍSIO TEIXEIRA</t>
        </is>
      </c>
      <c r="E776" s="14" t="inlineStr">
        <is>
          <t>CAPUCHINHOS</t>
        </is>
      </c>
      <c r="F776" s="14" t="inlineStr">
        <is>
          <t>RUA BRIGADEIRO EDUARDO GOMES, 359- PONTO CENTRAL - ZONA URBANA</t>
        </is>
      </c>
      <c r="G776" s="27" t="inlineStr">
        <is>
          <t>44075-525</t>
        </is>
      </c>
      <c r="H776" s="15" t="n">
        <v>19</v>
      </c>
      <c r="I776" s="28" t="inlineStr">
        <is>
          <t>SIM</t>
        </is>
      </c>
      <c r="J776" s="29" t="n">
        <v>32.4</v>
      </c>
      <c r="K776" s="14" t="str">
        <f>IF(J776="","7. Acima de 2 km",IF(J776&lt;=50,"1. Até 50 m",IF(J776&lt;=100,"2. De 50 a 100 m",IF(J776&lt;=200,"3. De 100 a 200 m",IF(J776&lt;=300,"4. De 200 a 300 m",IF(J776&lt;=500,"5. De 300 a 500 m","6. De 500 m a 2 km"))))))</f>
        <v>1. Até 50 m</v>
      </c>
      <c r="L776" s="26" t="n">
        <v>1</v>
      </c>
      <c r="M776" s="26" t="n">
        <v>1</v>
      </c>
      <c r="N776" s="26" t="n">
        <v>2</v>
      </c>
      <c r="O776" s="26" t="n">
        <v>4</v>
      </c>
      <c r="P776" s="30" t="n">
        <v>-12.2580128</v>
      </c>
      <c r="Q776" s="30" t="n">
        <v>-38.9521986</v>
      </c>
      <c r="R776" s="14" t="inlineStr">
        <is>
          <t>FÓRUM ELEITORAL. AV JOSÉ FALCÃO DA SILVA, S/Nº, QUEIMADINHA, FEIRA DE SANTANA/BA</t>
        </is>
      </c>
      <c r="S776" s="26">
        <f>IF(A776=A775,0,1)</f>
        <v>0</v>
      </c>
      <c r="T776" s="26">
        <f>IF(COUNTIF($B$4:B776,B776)=1,1,0)</f>
        <v>0</v>
      </c>
    </row>
    <row r="777">
      <c r="A777" s="14" t="inlineStr">
        <is>
          <t>FEIRA DE SANTANA</t>
        </is>
      </c>
      <c r="B777" s="26" t="n">
        <v>155</v>
      </c>
      <c r="C777" s="26" t="n">
        <v>1414</v>
      </c>
      <c r="D777" s="14" t="inlineStr">
        <is>
          <t>UNEX</t>
        </is>
      </c>
      <c r="E777" s="14" t="inlineStr">
        <is>
          <t>SIM</t>
        </is>
      </c>
      <c r="F777" s="14" t="inlineStr">
        <is>
          <t>AVENIDA ARTÊMIA PIRES FREITAS, S/N - ZONA URBANA</t>
        </is>
      </c>
      <c r="G777" s="27" t="inlineStr">
        <is>
          <t>44085-370</t>
        </is>
      </c>
      <c r="H777" s="15" t="n">
        <v>12</v>
      </c>
      <c r="I777" s="28" t="inlineStr">
        <is>
          <t>SIM</t>
        </is>
      </c>
      <c r="J777" s="29" t="n">
        <v>30</v>
      </c>
      <c r="K777" s="14" t="str">
        <f>IF(J777="","7. Acima de 2 km",IF(J777&lt;=50,"1. Até 50 m",IF(J777&lt;=100,"2. De 50 a 100 m",IF(J777&lt;=200,"3. De 100 a 200 m",IF(J777&lt;=300,"4. De 200 a 300 m",IF(J777&lt;=500,"5. De 300 a 500 m","6. De 500 m a 2 km"))))))</f>
        <v>1. Até 50 m</v>
      </c>
      <c r="L777" s="26" t="n">
        <v>1</v>
      </c>
      <c r="M777" s="26" t="n">
        <v>2</v>
      </c>
      <c r="N777" s="26" t="n">
        <v>2</v>
      </c>
      <c r="O777" s="26" t="n">
        <v>2</v>
      </c>
      <c r="P777" s="30" t="n">
        <v>-12.2464256</v>
      </c>
      <c r="Q777" s="30" t="n">
        <v>-38.9248203</v>
      </c>
      <c r="R777" s="14" t="inlineStr">
        <is>
          <t>FÓRUM ELEITORAL. AV JOSÉ FALCÃO DA SILVA, S/Nº, QUEIMADINHA, FEIRA DE SANTANA/BA</t>
        </is>
      </c>
      <c r="S777" s="26">
        <f>IF(A777=A776,0,1)</f>
        <v>0</v>
      </c>
      <c r="T777" s="26">
        <f>IF(COUNTIF($B$4:B777,B777)=1,1,0)</f>
        <v>0</v>
      </c>
    </row>
    <row r="778">
      <c r="A778" s="14" t="inlineStr">
        <is>
          <t>FEIRA DE SANTANA</t>
        </is>
      </c>
      <c r="B778" s="26" t="n">
        <v>155</v>
      </c>
      <c r="C778" s="26" t="n">
        <v>1449</v>
      </c>
      <c r="D778" s="14" t="inlineStr">
        <is>
          <t>ESCOLA MUNICIPAL ADELICE CAVALCANTE</t>
        </is>
      </c>
      <c r="E778" s="14" t="inlineStr">
        <is>
          <t>SIM</t>
        </is>
      </c>
      <c r="F778" s="14" t="inlineStr">
        <is>
          <t>RUA IPAUMIRIM, N. 205 - ZONA URBANA</t>
        </is>
      </c>
      <c r="G778" s="27" t="inlineStr">
        <is>
          <t>44086-480</t>
        </is>
      </c>
      <c r="H778" s="15" t="n">
        <v>7</v>
      </c>
      <c r="I778" s="28" t="inlineStr">
        <is>
          <t>NÃO</t>
        </is>
      </c>
      <c r="J778" s="29" t="n">
        <v>536.7</v>
      </c>
      <c r="K778" s="14" t="str">
        <f>IF(J778="","7. Acima de 2 km",IF(J778&lt;=50,"1. Até 50 m",IF(J778&lt;=100,"2. De 50 a 100 m",IF(J778&lt;=200,"3. De 100 a 200 m",IF(J778&lt;=300,"4. De 200 a 300 m",IF(J778&lt;=500,"5. De 300 a 500 m","6. De 500 m a 2 km"))))))</f>
        <v>6. De 500 m a 2 km</v>
      </c>
      <c r="L778" s="26" t="n">
        <v>0</v>
      </c>
      <c r="M778" s="26" t="n">
        <v>0</v>
      </c>
      <c r="N778" s="26" t="n">
        <v>0</v>
      </c>
      <c r="O778" s="26" t="n">
        <v>0</v>
      </c>
      <c r="P778" s="30" t="n">
        <v>-12.250895</v>
      </c>
      <c r="Q778" s="30" t="n">
        <v>-38.9055867</v>
      </c>
      <c r="R778" s="14" t="inlineStr">
        <is>
          <t>FÓRUM ELEITORAL. AV JOSÉ FALCÃO DA SILVA, S/Nº, QUEIMADINHA, FEIRA DE SANTANA/BA</t>
        </is>
      </c>
      <c r="S778" s="26">
        <f>IF(A778=A777,0,1)</f>
        <v>0</v>
      </c>
      <c r="T778" s="26">
        <f>IF(COUNTIF($B$4:B778,B778)=1,1,0)</f>
        <v>0</v>
      </c>
    </row>
    <row r="779">
      <c r="A779" s="14" t="inlineStr">
        <is>
          <t>FEIRA DE SANTANA</t>
        </is>
      </c>
      <c r="B779" s="26" t="n">
        <v>155</v>
      </c>
      <c r="C779" s="26" t="n">
        <v>1473</v>
      </c>
      <c r="D779" s="14" t="inlineStr">
        <is>
          <t>ESCOLA MUNICIPAL PROFESSORA LÍDICE ANTUNES BARROS</t>
        </is>
      </c>
      <c r="E779" s="14" t="inlineStr">
        <is>
          <t>SANTO ANTÔNIO DOS PRAZERES</t>
        </is>
      </c>
      <c r="F779" s="14" t="inlineStr">
        <is>
          <t>RUA CHANA, S/N - ZONA URBANA</t>
        </is>
      </c>
      <c r="G779" s="27" t="inlineStr">
        <is>
          <t>44071-744</t>
        </is>
      </c>
      <c r="H779" s="15" t="n">
        <v>3</v>
      </c>
      <c r="I779" s="28" t="inlineStr">
        <is>
          <t>NÃO</t>
        </is>
      </c>
      <c r="J779" s="29" t="n">
        <v>332.2</v>
      </c>
      <c r="K779" s="14" t="str">
        <f>IF(J779="","7. Acima de 2 km",IF(J779&lt;=50,"1. Até 50 m",IF(J779&lt;=100,"2. De 50 a 100 m",IF(J779&lt;=200,"3. De 100 a 200 m",IF(J779&lt;=300,"4. De 200 a 300 m",IF(J779&lt;=500,"5. De 300 a 500 m","6. De 500 m a 2 km"))))))</f>
        <v>5. De 300 a 500 m</v>
      </c>
      <c r="L779" s="26" t="n">
        <v>0</v>
      </c>
      <c r="M779" s="26" t="n">
        <v>0</v>
      </c>
      <c r="N779" s="26" t="n">
        <v>0</v>
      </c>
      <c r="O779" s="26" t="n">
        <v>0</v>
      </c>
      <c r="P779" s="30" t="n">
        <v>-12.2396203</v>
      </c>
      <c r="Q779" s="30" t="n">
        <v>-38.9177688</v>
      </c>
      <c r="R779" s="14" t="inlineStr">
        <is>
          <t>FÓRUM ELEITORAL. AV JOSÉ FALCÃO DA SILVA, S/Nº, QUEIMADINHA, FEIRA DE SANTANA/BA</t>
        </is>
      </c>
      <c r="S779" s="26">
        <f>IF(A779=A778,0,1)</f>
        <v>0</v>
      </c>
      <c r="T779" s="26">
        <f>IF(COUNTIF($B$4:B779,B779)=1,1,0)</f>
        <v>0</v>
      </c>
    </row>
    <row r="780">
      <c r="A780" s="14" t="inlineStr">
        <is>
          <t>FEIRA DE SANTANA</t>
        </is>
      </c>
      <c r="B780" s="26" t="n">
        <v>155</v>
      </c>
      <c r="C780" s="26" t="n">
        <v>1481</v>
      </c>
      <c r="D780" s="14" t="inlineStr">
        <is>
          <t>ESCOLA MUNICIPAL PROFESSOR LUCIANO RIBEIRO</t>
        </is>
      </c>
      <c r="E780" s="14" t="inlineStr">
        <is>
          <t>PARQUE LAGOA SUBAÉ</t>
        </is>
      </c>
      <c r="F780" s="14" t="inlineStr">
        <is>
          <t>RUA UIRAPURU, S/N - PARQUE LAGOA SUBAÉ - ZONA URBANA</t>
        </is>
      </c>
      <c r="G780" s="27" t="inlineStr">
        <is>
          <t>44078-250</t>
        </is>
      </c>
      <c r="H780" s="15" t="n">
        <v>1</v>
      </c>
      <c r="I780" s="28" t="inlineStr">
        <is>
          <t>SIM</t>
        </is>
      </c>
      <c r="J780" s="29" t="n">
        <v>99.59999999999999</v>
      </c>
      <c r="K780" s="14" t="str">
        <f>IF(J780="","7. Acima de 2 km",IF(J780&lt;=50,"1. Até 50 m",IF(J780&lt;=100,"2. De 50 a 100 m",IF(J780&lt;=200,"3. De 100 a 200 m",IF(J780&lt;=300,"4. De 200 a 300 m",IF(J780&lt;=500,"5. De 300 a 500 m","6. De 500 m a 2 km"))))))</f>
        <v>2. De 50 a 100 m</v>
      </c>
      <c r="L780" s="26" t="n">
        <v>0</v>
      </c>
      <c r="M780" s="26" t="n">
        <v>1</v>
      </c>
      <c r="N780" s="26" t="n">
        <v>1</v>
      </c>
      <c r="O780" s="26" t="n">
        <v>1</v>
      </c>
      <c r="P780" s="30" t="n">
        <v>-12.2707882</v>
      </c>
      <c r="Q780" s="30" t="n">
        <v>-38.9255156</v>
      </c>
      <c r="R780" s="14" t="inlineStr">
        <is>
          <t>FÓRUM ELEITORAL. AV JOSÉ FALCÃO DA SILVA, S/Nº, QUEIMADINHA, FEIRA DE SANTANA/BA</t>
        </is>
      </c>
      <c r="S780" s="26">
        <f>IF(A780=A779,0,1)</f>
        <v>0</v>
      </c>
      <c r="T780" s="26">
        <f>IF(COUNTIF($B$4:B780,B780)=1,1,0)</f>
        <v>0</v>
      </c>
    </row>
    <row r="781">
      <c r="A781" s="14" t="inlineStr">
        <is>
          <t>FEIRA DE SANTANA</t>
        </is>
      </c>
      <c r="B781" s="26" t="n">
        <v>155</v>
      </c>
      <c r="C781" s="26" t="n">
        <v>1490</v>
      </c>
      <c r="D781" s="14" t="inlineStr">
        <is>
          <t>ESCOLA PROFESSOR OTÁVIO MANSUR DE CARVALHO</t>
        </is>
      </c>
      <c r="E781" s="14" t="inlineStr">
        <is>
          <t>SÃO JOÃO</t>
        </is>
      </c>
      <c r="F781" s="14" t="inlineStr">
        <is>
          <t>RUA ELPÍDIO NOVA, S/N - ZONA URBANA</t>
        </is>
      </c>
      <c r="G781" s="27" t="inlineStr">
        <is>
          <t>44051-432</t>
        </is>
      </c>
      <c r="H781" s="15" t="n">
        <v>3</v>
      </c>
      <c r="I781" s="28" t="inlineStr">
        <is>
          <t>NÃO</t>
        </is>
      </c>
      <c r="J781" s="29" t="n">
        <v>317.9</v>
      </c>
      <c r="K781" s="14" t="str">
        <f>IF(J781="","7. Acima de 2 km",IF(J781&lt;=50,"1. Até 50 m",IF(J781&lt;=100,"2. De 50 a 100 m",IF(J781&lt;=200,"3. De 100 a 200 m",IF(J781&lt;=300,"4. De 200 a 300 m",IF(J781&lt;=500,"5. De 300 a 500 m","6. De 500 m a 2 km"))))))</f>
        <v>5. De 300 a 500 m</v>
      </c>
      <c r="L781" s="26" t="n">
        <v>0</v>
      </c>
      <c r="M781" s="26" t="n">
        <v>0</v>
      </c>
      <c r="N781" s="26" t="n">
        <v>0</v>
      </c>
      <c r="O781" s="26" t="n">
        <v>0</v>
      </c>
      <c r="P781" s="30" t="n">
        <v>-12.2412996</v>
      </c>
      <c r="Q781" s="30" t="n">
        <v>-38.9514953</v>
      </c>
      <c r="R781" s="14" t="inlineStr">
        <is>
          <t>FÓRUM ELEITORAL. AV JOSÉ FALCÃO DA SILVA, S/Nº, QUEIMADINHA, FEIRA DE SANTANA/BA</t>
        </is>
      </c>
      <c r="S781" s="26">
        <f>IF(A781=A780,0,1)</f>
        <v>0</v>
      </c>
      <c r="T781" s="26">
        <f>IF(COUNTIF($B$4:B781,B781)=1,1,0)</f>
        <v>0</v>
      </c>
    </row>
    <row r="782">
      <c r="A782" s="14" t="inlineStr">
        <is>
          <t>FEIRA DE SANTANA</t>
        </is>
      </c>
      <c r="B782" s="26" t="n">
        <v>155</v>
      </c>
      <c r="C782" s="26" t="n">
        <v>1520</v>
      </c>
      <c r="D782" s="14" t="inlineStr">
        <is>
          <t>COLÉGIO DIPLOMATA</t>
        </is>
      </c>
      <c r="E782" s="14" t="inlineStr">
        <is>
          <t>PONTO CENTRAL</t>
        </is>
      </c>
      <c r="F782" s="14" t="inlineStr">
        <is>
          <t>RUA CARAÍBAS, 421</t>
        </is>
      </c>
      <c r="G782" s="27" t="inlineStr">
        <is>
          <t>44075-239</t>
        </is>
      </c>
      <c r="H782" s="15" t="n">
        <v>10</v>
      </c>
      <c r="I782" s="28" t="inlineStr">
        <is>
          <t>NÃO</t>
        </is>
      </c>
      <c r="J782" s="29" t="n">
        <v>181.9</v>
      </c>
      <c r="K782" s="14" t="str">
        <f>IF(J782="","7. Acima de 2 km",IF(J782&lt;=50,"1. Até 50 m",IF(J782&lt;=100,"2. De 50 a 100 m",IF(J782&lt;=200,"3. De 100 a 200 m",IF(J782&lt;=300,"4. De 200 a 300 m",IF(J782&lt;=500,"5. De 300 a 500 m","6. De 500 m a 2 km"))))))</f>
        <v>3. De 100 a 200 m</v>
      </c>
      <c r="L782" s="26" t="n">
        <v>0</v>
      </c>
      <c r="M782" s="26" t="n">
        <v>0</v>
      </c>
      <c r="N782" s="26" t="n">
        <v>1</v>
      </c>
      <c r="O782" s="26" t="n">
        <v>1</v>
      </c>
      <c r="P782" s="30" t="n">
        <v>-12.2520834</v>
      </c>
      <c r="Q782" s="30" t="n">
        <v>-38.9470414</v>
      </c>
      <c r="R782" s="14" t="inlineStr">
        <is>
          <t>FÓRUM ELEITORAL. AV JOSÉ FALCÃO DA SILVA, S/Nº, QUEIMADINHA, FEIRA DE SANTANA/BA</t>
        </is>
      </c>
      <c r="S782" s="26">
        <f>IF(A782=A781,0,1)</f>
        <v>0</v>
      </c>
      <c r="T782" s="26">
        <f>IF(COUNTIF($B$4:B782,B782)=1,1,0)</f>
        <v>0</v>
      </c>
    </row>
    <row r="783">
      <c r="A783" s="14" t="inlineStr">
        <is>
          <t>FEIRA DE SANTANA</t>
        </is>
      </c>
      <c r="B783" s="26" t="n">
        <v>156</v>
      </c>
      <c r="C783" s="26" t="n">
        <v>1015</v>
      </c>
      <c r="D783" s="14" t="inlineStr">
        <is>
          <t>COLÉGIO ESTADUAL DE MARIA QUITÉRIA</t>
        </is>
      </c>
      <c r="E783" s="14" t="inlineStr">
        <is>
          <t>DISTRITO DE MARIA QUITÉRIA</t>
        </is>
      </c>
      <c r="F783" s="14" t="inlineStr">
        <is>
          <t>ESTRADA DE  MARIA QUITÉRIA, S/N - ZONA RURAL</t>
        </is>
      </c>
      <c r="G783" s="27" t="inlineStr">
        <is>
          <t>44110-000</t>
        </is>
      </c>
      <c r="H783" s="15" t="n">
        <v>13</v>
      </c>
      <c r="I783" s="28" t="inlineStr">
        <is>
          <t>SIM</t>
        </is>
      </c>
      <c r="J783" s="29" t="n">
        <v>82.5</v>
      </c>
      <c r="K783" s="14" t="str">
        <f>IF(J783="","7. Acima de 2 km",IF(J783&lt;=50,"1. Até 50 m",IF(J783&lt;=100,"2. De 50 a 100 m",IF(J783&lt;=200,"3. De 100 a 200 m",IF(J783&lt;=300,"4. De 200 a 300 m",IF(J783&lt;=500,"5. De 300 a 500 m","6. De 500 m a 2 km"))))))</f>
        <v>2. De 50 a 100 m</v>
      </c>
      <c r="L783" s="26" t="n">
        <v>0</v>
      </c>
      <c r="M783" s="26" t="n">
        <v>1</v>
      </c>
      <c r="N783" s="26" t="n">
        <v>1</v>
      </c>
      <c r="O783" s="26" t="n">
        <v>1</v>
      </c>
      <c r="P783" s="30" t="n">
        <v>-12.1511961</v>
      </c>
      <c r="Q783" s="30" t="n">
        <v>-38.9871166</v>
      </c>
      <c r="R783" s="14" t="inlineStr">
        <is>
          <t>FÓRUM ELEITORAL - AVENIDA JOSÉ FALCÃO DA SILVA, SN, CJ MILTON GOMES. QUEIMADINHA. FEIRA DE SANTANA/BA</t>
        </is>
      </c>
      <c r="S783" s="26">
        <f>IF(A783=A782,0,1)</f>
        <v>0</v>
      </c>
      <c r="T783" s="26">
        <f>IF(COUNTIF($B$4:B783,B783)=1,1,0)</f>
        <v>1</v>
      </c>
    </row>
    <row r="784">
      <c r="A784" s="14" t="inlineStr">
        <is>
          <t>FEIRA DE SANTANA</t>
        </is>
      </c>
      <c r="B784" s="26" t="n">
        <v>156</v>
      </c>
      <c r="C784" s="26" t="n">
        <v>1031</v>
      </c>
      <c r="D784" s="14" t="inlineStr">
        <is>
          <t>ESCOLA MUNICIPAL DR. FRANCISCO MARTINS DA SILVA</t>
        </is>
      </c>
      <c r="E784" s="14" t="inlineStr">
        <is>
          <t>DISTRITO DE MARIA QUITÉRIA</t>
        </is>
      </c>
      <c r="F784" s="14" t="inlineStr">
        <is>
          <t>AV PÉ DE SERRA, S/N, SEDE - ZONA RURAL</t>
        </is>
      </c>
      <c r="G784" s="27" t="inlineStr">
        <is>
          <t>44110-000</t>
        </is>
      </c>
      <c r="H784" s="15" t="n">
        <v>10</v>
      </c>
      <c r="I784" s="28" t="inlineStr">
        <is>
          <t>NÃO</t>
        </is>
      </c>
      <c r="J784" s="29" t="n">
        <v>122.2</v>
      </c>
      <c r="K784" s="14" t="str">
        <f>IF(J784="","7. Acima de 2 km",IF(J784&lt;=50,"1. Até 50 m",IF(J784&lt;=100,"2. De 50 a 100 m",IF(J784&lt;=200,"3. De 100 a 200 m",IF(J784&lt;=300,"4. De 200 a 300 m",IF(J784&lt;=500,"5. De 300 a 500 m","6. De 500 m a 2 km"))))))</f>
        <v>3. De 100 a 200 m</v>
      </c>
      <c r="L784" s="26" t="n">
        <v>0</v>
      </c>
      <c r="M784" s="26" t="n">
        <v>0</v>
      </c>
      <c r="N784" s="26" t="n">
        <v>2</v>
      </c>
      <c r="O784" s="26" t="n">
        <v>3</v>
      </c>
      <c r="P784" s="30" t="n">
        <v>-12.1493167</v>
      </c>
      <c r="Q784" s="30" t="n">
        <v>-38.9918449</v>
      </c>
      <c r="R784" s="14" t="inlineStr">
        <is>
          <t>FÓRUM ELEITORAL - AVENIDA JOSÉ FALCÃO DA SILVA, SN, CJ MILTON GOMES. QUEIMADINHA. FEIRA DE SANTANA/BA</t>
        </is>
      </c>
      <c r="S784" s="26">
        <f>IF(A784=A783,0,1)</f>
        <v>0</v>
      </c>
      <c r="T784" s="26">
        <f>IF(COUNTIF($B$4:B784,B784)=1,1,0)</f>
        <v>0</v>
      </c>
    </row>
    <row r="785">
      <c r="A785" s="14" t="inlineStr">
        <is>
          <t>FEIRA DE SANTANA</t>
        </is>
      </c>
      <c r="B785" s="26" t="n">
        <v>156</v>
      </c>
      <c r="C785" s="26" t="n">
        <v>1040</v>
      </c>
      <c r="D785" s="14" t="inlineStr">
        <is>
          <t>ESCOLA MUNICIPAL JOSÉ TAVARES CARNEIRO</t>
        </is>
      </c>
      <c r="E785" s="14" t="inlineStr">
        <is>
          <t>DISTRITO DE MARIA QUITÉRIA</t>
        </is>
      </c>
      <c r="F785" s="14" t="inlineStr">
        <is>
          <t>RUA NOSSA SENHORA DA CONCEIÇÃO, 41, SEDE - ZONA RURAL</t>
        </is>
      </c>
      <c r="G785" s="27" t="inlineStr">
        <is>
          <t>44110-000</t>
        </is>
      </c>
      <c r="H785" s="15" t="n">
        <v>8</v>
      </c>
      <c r="I785" s="28" t="inlineStr">
        <is>
          <t>SIM</t>
        </is>
      </c>
      <c r="J785" s="29" t="n">
        <v>76.90000000000001</v>
      </c>
      <c r="K785" s="14" t="str">
        <f>IF(J785="","7. Acima de 2 km",IF(J785&lt;=50,"1. Até 50 m",IF(J785&lt;=100,"2. De 50 a 100 m",IF(J785&lt;=200,"3. De 100 a 200 m",IF(J785&lt;=300,"4. De 200 a 300 m",IF(J785&lt;=500,"5. De 300 a 500 m","6. De 500 m a 2 km"))))))</f>
        <v>2. De 50 a 100 m</v>
      </c>
      <c r="L785" s="26" t="n">
        <v>0</v>
      </c>
      <c r="M785" s="26" t="n">
        <v>1</v>
      </c>
      <c r="N785" s="26" t="n">
        <v>3</v>
      </c>
      <c r="O785" s="26" t="n">
        <v>4</v>
      </c>
      <c r="P785" s="30" t="n">
        <v>-12.1495238</v>
      </c>
      <c r="Q785" s="30" t="n">
        <v>-38.9896951</v>
      </c>
      <c r="R785" s="14" t="inlineStr">
        <is>
          <t>FÓRUM ELEITORAL - AVENIDA JOSÉ FALCÃO DA SILVA, SN, CJ MILTON GOMES. QUEIMADINHA. FEIRA DE SANTANA/BA</t>
        </is>
      </c>
      <c r="S785" s="26">
        <f>IF(A785=A784,0,1)</f>
        <v>0</v>
      </c>
      <c r="T785" s="26">
        <f>IF(COUNTIF($B$4:B785,B785)=1,1,0)</f>
        <v>0</v>
      </c>
    </row>
    <row r="786">
      <c r="A786" s="14" t="inlineStr">
        <is>
          <t>FEIRA DE SANTANA</t>
        </is>
      </c>
      <c r="B786" s="26" t="n">
        <v>156</v>
      </c>
      <c r="C786" s="26" t="n">
        <v>1163</v>
      </c>
      <c r="D786" s="14" t="inlineStr">
        <is>
          <t>ESCOLA MUNICIPAL DR. COLBERT MARTINS DA SILVA</t>
        </is>
      </c>
      <c r="E786" s="14" t="inlineStr">
        <is>
          <t>DISTRITO DE JAGUARA</t>
        </is>
      </c>
      <c r="F786" s="14" t="inlineStr">
        <is>
          <t>RUA PADRE CARLOS OLÍMPIO, S/N, SEDE - ZONA RURAL</t>
        </is>
      </c>
      <c r="G786" s="27" t="inlineStr">
        <is>
          <t>44125-000</t>
        </is>
      </c>
      <c r="H786" s="15" t="n">
        <v>8</v>
      </c>
      <c r="I786" s="28" t="inlineStr">
        <is>
          <t>NÃO</t>
        </is>
      </c>
      <c r="J786" s="29" t="n">
        <v>200.2</v>
      </c>
      <c r="K786" s="14" t="str">
        <f>IF(J786="","7. Acima de 2 km",IF(J786&lt;=50,"1. Até 50 m",IF(J786&lt;=100,"2. De 50 a 100 m",IF(J786&lt;=200,"3. De 100 a 200 m",IF(J786&lt;=300,"4. De 200 a 300 m",IF(J786&lt;=500,"5. De 300 a 500 m","6. De 500 m a 2 km"))))))</f>
        <v>4. De 200 a 300 m</v>
      </c>
      <c r="L786" s="26" t="n">
        <v>0</v>
      </c>
      <c r="M786" s="26" t="n">
        <v>0</v>
      </c>
      <c r="N786" s="26" t="n">
        <v>0</v>
      </c>
      <c r="O786" s="26" t="n">
        <v>2</v>
      </c>
      <c r="P786" s="30" t="n">
        <v>-12.1247737</v>
      </c>
      <c r="Q786" s="30" t="n">
        <v>-39.1074842</v>
      </c>
      <c r="R786" s="14" t="inlineStr">
        <is>
          <t>FÓRUM ELEITORAL - AVENIDA JOSÉ FALCÃO DA SILVA, SN, CJ MILTON GOMES. QUEIMADINHA. FEIRA DE SANTANA/BA</t>
        </is>
      </c>
      <c r="S786" s="26">
        <f>IF(A786=A785,0,1)</f>
        <v>0</v>
      </c>
      <c r="T786" s="26">
        <f>IF(COUNTIF($B$4:B786,B786)=1,1,0)</f>
        <v>0</v>
      </c>
    </row>
    <row r="787">
      <c r="A787" s="14" t="inlineStr">
        <is>
          <t>FEIRA DE SANTANA</t>
        </is>
      </c>
      <c r="B787" s="26" t="n">
        <v>156</v>
      </c>
      <c r="C787" s="26" t="n">
        <v>1171</v>
      </c>
      <c r="D787" s="14" t="inlineStr">
        <is>
          <t>COLÉGIO ESTADUAL DE JAGUARA</t>
        </is>
      </c>
      <c r="E787" s="14" t="inlineStr">
        <is>
          <t>DISTRITO DE JAGUARA</t>
        </is>
      </c>
      <c r="F787" s="14" t="inlineStr">
        <is>
          <t>PRAÇA DA MATRIZ, S/N - ZONA RURAL</t>
        </is>
      </c>
      <c r="G787" s="27" t="inlineStr">
        <is>
          <t>44125-000</t>
        </is>
      </c>
      <c r="H787" s="15" t="n">
        <v>4</v>
      </c>
      <c r="I787" s="28" t="inlineStr">
        <is>
          <t>NÃO</t>
        </is>
      </c>
      <c r="J787" s="29" t="n">
        <v>109</v>
      </c>
      <c r="K787" s="14" t="str">
        <f>IF(J787="","7. Acima de 2 km",IF(J787&lt;=50,"1. Até 50 m",IF(J787&lt;=100,"2. De 50 a 100 m",IF(J787&lt;=200,"3. De 100 a 200 m",IF(J787&lt;=300,"4. De 200 a 300 m",IF(J787&lt;=500,"5. De 300 a 500 m","6. De 500 m a 2 km"))))))</f>
        <v>3. De 100 a 200 m</v>
      </c>
      <c r="L787" s="26" t="n">
        <v>0</v>
      </c>
      <c r="M787" s="26" t="n">
        <v>0</v>
      </c>
      <c r="N787" s="26" t="n">
        <v>2</v>
      </c>
      <c r="O787" s="26" t="n">
        <v>2</v>
      </c>
      <c r="P787" s="30" t="n">
        <v>-12.1240815</v>
      </c>
      <c r="Q787" s="30" t="n">
        <v>-39.10848</v>
      </c>
      <c r="R787" s="14" t="inlineStr">
        <is>
          <t>FÓRUM ELEITORAL - AVENIDA JOSÉ FALCÃO DA SILVA, SN, CJ MILTON GOMES. QUEIMADINHA. FEIRA DE SANTANA/BA</t>
        </is>
      </c>
      <c r="S787" s="26">
        <f>IF(A787=A786,0,1)</f>
        <v>0</v>
      </c>
      <c r="T787" s="26">
        <f>IF(COUNTIF($B$4:B787,B787)=1,1,0)</f>
        <v>0</v>
      </c>
    </row>
    <row r="788">
      <c r="A788" s="14" t="inlineStr">
        <is>
          <t>FEIRA DE SANTANA</t>
        </is>
      </c>
      <c r="B788" s="26" t="n">
        <v>156</v>
      </c>
      <c r="C788" s="26" t="n">
        <v>1210</v>
      </c>
      <c r="D788" s="14" t="inlineStr">
        <is>
          <t>ESCOLA MUNICIPAL ÁLVARO PEREIRA BOAVENTURA</t>
        </is>
      </c>
      <c r="E788" s="14" t="inlineStr">
        <is>
          <t>DISTRITO BONFIM DE FEIRA</t>
        </is>
      </c>
      <c r="F788" s="14" t="inlineStr">
        <is>
          <t>RUA SÓSTENES DE CARVALHO, S/N, SEDE - ZONA RURAL</t>
        </is>
      </c>
      <c r="G788" s="27" t="inlineStr">
        <is>
          <t>44120-000</t>
        </is>
      </c>
      <c r="H788" s="15" t="n">
        <v>13</v>
      </c>
      <c r="I788" s="28" t="inlineStr">
        <is>
          <t>SIM</t>
        </is>
      </c>
      <c r="J788" s="29" t="n">
        <v>85.09999999999999</v>
      </c>
      <c r="K788" s="14" t="str">
        <f>IF(J788="","7. Acima de 2 km",IF(J788&lt;=50,"1. Até 50 m",IF(J788&lt;=100,"2. De 50 a 100 m",IF(J788&lt;=200,"3. De 100 a 200 m",IF(J788&lt;=300,"4. De 200 a 300 m",IF(J788&lt;=500,"5. De 300 a 500 m","6. De 500 m a 2 km"))))))</f>
        <v>2. De 50 a 100 m</v>
      </c>
      <c r="L788" s="26" t="n">
        <v>0</v>
      </c>
      <c r="M788" s="26" t="n">
        <v>1</v>
      </c>
      <c r="N788" s="26" t="n">
        <v>1</v>
      </c>
      <c r="O788" s="26" t="n">
        <v>1</v>
      </c>
      <c r="P788" s="30" t="n">
        <v>-12.2661836</v>
      </c>
      <c r="Q788" s="30" t="n">
        <v>-39.1994949</v>
      </c>
      <c r="R788" s="14" t="inlineStr">
        <is>
          <t>FÓRUM ELEITORAL - AVENIDA JOSÉ FALCÃO DA SILVA, SN, CJ MILTON GOMES. QUEIMADINHA. FEIRA DE SANTANA/BA</t>
        </is>
      </c>
      <c r="S788" s="26">
        <f>IF(A788=A787,0,1)</f>
        <v>0</v>
      </c>
      <c r="T788" s="26">
        <f>IF(COUNTIF($B$4:B788,B788)=1,1,0)</f>
        <v>0</v>
      </c>
    </row>
    <row r="789">
      <c r="A789" s="14" t="inlineStr">
        <is>
          <t>FEIRA DE SANTANA</t>
        </is>
      </c>
      <c r="B789" s="26" t="n">
        <v>156</v>
      </c>
      <c r="C789" s="26" t="n">
        <v>1465</v>
      </c>
      <c r="D789" s="14" t="inlineStr">
        <is>
          <t>ESCOLA MUNICIPAL DEOCLECIANO MARTINS DA SILVA</t>
        </is>
      </c>
      <c r="E789" s="14" t="inlineStr">
        <is>
          <t>DISTRITO DE MARIA QUITÉRIA</t>
        </is>
      </c>
      <c r="F789" s="14" t="inlineStr">
        <is>
          <t>POVOADO PÉ DE SERRA, S/N - ZONA RURAL</t>
        </is>
      </c>
      <c r="G789" s="27" t="inlineStr">
        <is>
          <t>44110-000</t>
        </is>
      </c>
      <c r="H789" s="15" t="n">
        <v>5</v>
      </c>
      <c r="I789" s="28" t="inlineStr">
        <is>
          <t>NÃO</t>
        </is>
      </c>
      <c r="J789" s="29" t="n"/>
      <c r="K789" s="14" t="str">
        <f>IF(J789="","7. Acima de 2 km",IF(J789&lt;=50,"1. Até 50 m",IF(J789&lt;=100,"2. De 50 a 100 m",IF(J789&lt;=200,"3. De 100 a 200 m",IF(J789&lt;=300,"4. De 200 a 300 m",IF(J789&lt;=500,"5. De 300 a 500 m","6. De 500 m a 2 km"))))))</f>
        <v>7. Acima de 2 km</v>
      </c>
      <c r="L789" s="26" t="n">
        <v>0</v>
      </c>
      <c r="M789" s="26" t="n">
        <v>0</v>
      </c>
      <c r="N789" s="26" t="n">
        <v>0</v>
      </c>
      <c r="O789" s="26" t="n">
        <v>0</v>
      </c>
      <c r="P789" s="30" t="n">
        <v>-12.1325255</v>
      </c>
      <c r="Q789" s="30" t="n">
        <v>-39.0292148</v>
      </c>
      <c r="R789" s="14" t="inlineStr">
        <is>
          <t>FÓRUM ELEITORAL - AVENIDA JOSÉ FALCÃO DA SILVA, SN, CJ MILTON GOMES. QUEIMADINHA. FEIRA DE SANTANA/BA</t>
        </is>
      </c>
      <c r="S789" s="26">
        <f>IF(A789=A788,0,1)</f>
        <v>0</v>
      </c>
      <c r="T789" s="26">
        <f>IF(COUNTIF($B$4:B789,B789)=1,1,0)</f>
        <v>0</v>
      </c>
    </row>
    <row r="790">
      <c r="A790" s="14" t="inlineStr">
        <is>
          <t>FEIRA DE SANTANA</t>
        </is>
      </c>
      <c r="B790" s="26" t="n">
        <v>156</v>
      </c>
      <c r="C790" s="26" t="n">
        <v>1597</v>
      </c>
      <c r="D790" s="14" t="inlineStr">
        <is>
          <t>ESCOLA MUNICIPAL ANTÔNIO CARNEIRO LAGO</t>
        </is>
      </c>
      <c r="E790" s="14" t="inlineStr">
        <is>
          <t>DISTRITO DE JAGUARA</t>
        </is>
      </c>
      <c r="F790" s="14" t="inlineStr">
        <is>
          <t>POVOADO MORRINHOS - ZONA RURAL</t>
        </is>
      </c>
      <c r="G790" s="27" t="inlineStr">
        <is>
          <t>44125-000</t>
        </is>
      </c>
      <c r="H790" s="15" t="n">
        <v>2</v>
      </c>
      <c r="I790" s="28" t="inlineStr">
        <is>
          <t>NÃO</t>
        </is>
      </c>
      <c r="J790" s="29" t="n"/>
      <c r="K790" s="14" t="str">
        <f>IF(J790="","7. Acima de 2 km",IF(J790&lt;=50,"1. Até 50 m",IF(J790&lt;=100,"2. De 50 a 100 m",IF(J790&lt;=200,"3. De 100 a 200 m",IF(J790&lt;=300,"4. De 200 a 300 m",IF(J790&lt;=500,"5. De 300 a 500 m","6. De 500 m a 2 km"))))))</f>
        <v>7. Acima de 2 km</v>
      </c>
      <c r="L790" s="26" t="n">
        <v>0</v>
      </c>
      <c r="M790" s="26" t="n">
        <v>0</v>
      </c>
      <c r="N790" s="26" t="n">
        <v>0</v>
      </c>
      <c r="O790" s="26" t="n">
        <v>0</v>
      </c>
      <c r="P790" s="30" t="n">
        <v>-12.165295</v>
      </c>
      <c r="Q790" s="30" t="n">
        <v>-39.1247658</v>
      </c>
      <c r="R790" s="14" t="inlineStr">
        <is>
          <t>FÓRUM ELEITORAL - AVENIDA JOSÉ FALCÃO DA SILVA, SN, CJ MILTON GOMES. QUEIMADINHA. FEIRA DE SANTANA/BA</t>
        </is>
      </c>
      <c r="S790" s="26">
        <f>IF(A790=A789,0,1)</f>
        <v>0</v>
      </c>
      <c r="T790" s="26">
        <f>IF(COUNTIF($B$4:B790,B790)=1,1,0)</f>
        <v>0</v>
      </c>
    </row>
    <row r="791">
      <c r="A791" s="14" t="inlineStr">
        <is>
          <t>FEIRA DE SANTANA</t>
        </is>
      </c>
      <c r="B791" s="26" t="n">
        <v>156</v>
      </c>
      <c r="C791" s="26" t="n">
        <v>1627</v>
      </c>
      <c r="D791" s="14" t="inlineStr">
        <is>
          <t>ESCOLA MUNICIPAL FIRMINO JOSÉ DE BRITO</t>
        </is>
      </c>
      <c r="E791" s="14" t="inlineStr">
        <is>
          <t>DISTRITO DE JAGUARA</t>
        </is>
      </c>
      <c r="F791" s="14" t="inlineStr">
        <is>
          <t>FAZENDA MALHADOR - ZONA RURAL</t>
        </is>
      </c>
      <c r="G791" s="27" t="inlineStr">
        <is>
          <t>44125-000</t>
        </is>
      </c>
      <c r="H791" s="15" t="n">
        <v>2</v>
      </c>
      <c r="I791" s="28" t="inlineStr">
        <is>
          <t>NÃO</t>
        </is>
      </c>
      <c r="J791" s="29" t="n"/>
      <c r="K791" s="14" t="str">
        <f>IF(J791="","7. Acima de 2 km",IF(J791&lt;=50,"1. Até 50 m",IF(J791&lt;=100,"2. De 50 a 100 m",IF(J791&lt;=200,"3. De 100 a 200 m",IF(J791&lt;=300,"4. De 200 a 300 m",IF(J791&lt;=500,"5. De 300 a 500 m","6. De 500 m a 2 km"))))))</f>
        <v>7. Acima de 2 km</v>
      </c>
      <c r="L791" s="26" t="n">
        <v>0</v>
      </c>
      <c r="M791" s="26" t="n">
        <v>0</v>
      </c>
      <c r="N791" s="26" t="n">
        <v>0</v>
      </c>
      <c r="O791" s="26" t="n">
        <v>0</v>
      </c>
      <c r="P791" s="30" t="n">
        <v>-12.2031975</v>
      </c>
      <c r="Q791" s="30" t="n">
        <v>-39.0730271</v>
      </c>
      <c r="R791" s="14" t="inlineStr">
        <is>
          <t>FÓRUM ELEITORAL - AVENIDA JOSÉ FALCÃO DA SILVA, SN, CJ MILTON GOMES. QUEIMADINHA. FEIRA DE SANTANA/BA</t>
        </is>
      </c>
      <c r="S791" s="26">
        <f>IF(A791=A790,0,1)</f>
        <v>0</v>
      </c>
      <c r="T791" s="26">
        <f>IF(COUNTIF($B$4:B791,B791)=1,1,0)</f>
        <v>0</v>
      </c>
    </row>
    <row r="792">
      <c r="A792" s="14" t="inlineStr">
        <is>
          <t>FEIRA DE SANTANA</t>
        </is>
      </c>
      <c r="B792" s="26" t="n">
        <v>156</v>
      </c>
      <c r="C792" s="26" t="n">
        <v>1686</v>
      </c>
      <c r="D792" s="14" t="inlineStr">
        <is>
          <t>ESCOLA MUNICIPAL ANTÔNIO JÚLIO DA SILVA</t>
        </is>
      </c>
      <c r="E792" s="14" t="inlineStr">
        <is>
          <t>CIS NORTE</t>
        </is>
      </c>
      <c r="F792" s="14" t="inlineStr">
        <is>
          <t>POVOADO OLHOS D'ÁGUA DAS FORMIGAS</t>
        </is>
      </c>
      <c r="G792" s="27" t="inlineStr">
        <is>
          <t>44110-000</t>
        </is>
      </c>
      <c r="H792" s="15" t="n">
        <v>2</v>
      </c>
      <c r="I792" s="28" t="inlineStr">
        <is>
          <t>NÃO</t>
        </is>
      </c>
      <c r="J792" s="29" t="n"/>
      <c r="K792" s="14" t="str">
        <f>IF(J792="","7. Acima de 2 km",IF(J792&lt;=50,"1. Até 50 m",IF(J792&lt;=100,"2. De 50 a 100 m",IF(J792&lt;=200,"3. De 100 a 200 m",IF(J792&lt;=300,"4. De 200 a 300 m",IF(J792&lt;=500,"5. De 300 a 500 m","6. De 500 m a 2 km"))))))</f>
        <v>7. Acima de 2 km</v>
      </c>
      <c r="L792" s="26" t="n">
        <v>0</v>
      </c>
      <c r="M792" s="26" t="n">
        <v>0</v>
      </c>
      <c r="N792" s="26" t="n">
        <v>0</v>
      </c>
      <c r="O792" s="26" t="n">
        <v>0</v>
      </c>
      <c r="P792" s="30" t="n">
        <v>-12.0691904</v>
      </c>
      <c r="Q792" s="30" t="n">
        <v>-38.9880088</v>
      </c>
      <c r="R792" s="14" t="inlineStr">
        <is>
          <t>FÓRUM ELEITORAL - AVENIDA JOSÉ FALCÃO DA SILVA, SN, CJ MILTON GOMES. QUEIMADINHA. FEIRA DE SANTANA/BA</t>
        </is>
      </c>
      <c r="S792" s="26">
        <f>IF(A792=A791,0,1)</f>
        <v>0</v>
      </c>
      <c r="T792" s="26">
        <f>IF(COUNTIF($B$4:B792,B792)=1,1,0)</f>
        <v>0</v>
      </c>
    </row>
    <row r="793">
      <c r="A793" s="14" t="inlineStr">
        <is>
          <t>FEIRA DE SANTANA</t>
        </is>
      </c>
      <c r="B793" s="26" t="n">
        <v>156</v>
      </c>
      <c r="C793" s="26" t="n">
        <v>1694</v>
      </c>
      <c r="D793" s="14" t="inlineStr">
        <is>
          <t>ESCOLA MUNICIPAL REVERENDO SEVERINO SOARES</t>
        </is>
      </c>
      <c r="E793" s="14" t="inlineStr">
        <is>
          <t>GABRIELA</t>
        </is>
      </c>
      <c r="F793" s="14" t="inlineStr">
        <is>
          <t>RUA ESCALADA, N. 37 - ZONA URBANA</t>
        </is>
      </c>
      <c r="G793" s="27" t="inlineStr">
        <is>
          <t>44028-312</t>
        </is>
      </c>
      <c r="H793" s="15" t="n">
        <v>8</v>
      </c>
      <c r="I793" s="28" t="inlineStr">
        <is>
          <t>NÃO</t>
        </is>
      </c>
      <c r="J793" s="29" t="n">
        <v>309.2</v>
      </c>
      <c r="K793" s="14" t="str">
        <f>IF(J793="","7. Acima de 2 km",IF(J793&lt;=50,"1. Até 50 m",IF(J793&lt;=100,"2. De 50 a 100 m",IF(J793&lt;=200,"3. De 100 a 200 m",IF(J793&lt;=300,"4. De 200 a 300 m",IF(J793&lt;=500,"5. De 300 a 500 m","6. De 500 m a 2 km"))))))</f>
        <v>5. De 300 a 500 m</v>
      </c>
      <c r="L793" s="26" t="n">
        <v>0</v>
      </c>
      <c r="M793" s="26" t="n">
        <v>0</v>
      </c>
      <c r="N793" s="26" t="n">
        <v>0</v>
      </c>
      <c r="O793" s="26" t="n">
        <v>0</v>
      </c>
      <c r="P793" s="30" t="n">
        <v>-12.231409</v>
      </c>
      <c r="Q793" s="30" t="n">
        <v>-38.9824406</v>
      </c>
      <c r="R793" s="14" t="inlineStr">
        <is>
          <t>FÓRUM ELEITORAL - AVENIDA JOSÉ FALCÃO DA SILVA, SN, CJ MILTON GOMES. QUEIMADINHA. FEIRA DE SANTANA/BA</t>
        </is>
      </c>
      <c r="S793" s="26">
        <f>IF(A793=A792,0,1)</f>
        <v>0</v>
      </c>
      <c r="T793" s="26">
        <f>IF(COUNTIF($B$4:B793,B793)=1,1,0)</f>
        <v>0</v>
      </c>
    </row>
    <row r="794">
      <c r="A794" s="14" t="inlineStr">
        <is>
          <t>FEIRA DE SANTANA</t>
        </is>
      </c>
      <c r="B794" s="26" t="n">
        <v>156</v>
      </c>
      <c r="C794" s="26" t="n">
        <v>1708</v>
      </c>
      <c r="D794" s="14" t="inlineStr">
        <is>
          <t>COLÉGIO ESTADUAL EDITH MACHADO BOAVENTURA</t>
        </is>
      </c>
      <c r="E794" s="14" t="inlineStr">
        <is>
          <t>PAMPALONA</t>
        </is>
      </c>
      <c r="F794" s="14" t="inlineStr">
        <is>
          <t>AV. PRIMAVERA, 2770 - ZONA URBANA</t>
        </is>
      </c>
      <c r="G794" s="27" t="inlineStr">
        <is>
          <t>44034-020</t>
        </is>
      </c>
      <c r="H794" s="15" t="n">
        <v>21</v>
      </c>
      <c r="I794" s="28" t="inlineStr">
        <is>
          <t>NÃO</t>
        </is>
      </c>
      <c r="J794" s="29" t="n">
        <v>115.7</v>
      </c>
      <c r="K794" s="14" t="str">
        <f>IF(J794="","7. Acima de 2 km",IF(J794&lt;=50,"1. Até 50 m",IF(J794&lt;=100,"2. De 50 a 100 m",IF(J794&lt;=200,"3. De 100 a 200 m",IF(J794&lt;=300,"4. De 200 a 300 m",IF(J794&lt;=500,"5. De 300 a 500 m","6. De 500 m a 2 km"))))))</f>
        <v>3. De 100 a 200 m</v>
      </c>
      <c r="L794" s="26" t="n">
        <v>0</v>
      </c>
      <c r="M794" s="26" t="n">
        <v>0</v>
      </c>
      <c r="N794" s="26" t="n">
        <v>1</v>
      </c>
      <c r="O794" s="26" t="n">
        <v>1</v>
      </c>
      <c r="P794" s="30" t="n">
        <v>-12.2183467</v>
      </c>
      <c r="Q794" s="30" t="n">
        <v>-38.988072</v>
      </c>
      <c r="R794" s="14" t="inlineStr">
        <is>
          <t>FÓRUM ELEITORAL - AVENIDA JOSÉ FALCÃO DA SILVA, SN, CJ MILTON GOMES. QUEIMADINHA. FEIRA DE SANTANA/BA</t>
        </is>
      </c>
      <c r="S794" s="26">
        <f>IF(A794=A793,0,1)</f>
        <v>0</v>
      </c>
      <c r="T794" s="26">
        <f>IF(COUNTIF($B$4:B794,B794)=1,1,0)</f>
        <v>0</v>
      </c>
    </row>
    <row r="795">
      <c r="A795" s="14" t="inlineStr">
        <is>
          <t>FEIRA DE SANTANA</t>
        </is>
      </c>
      <c r="B795" s="26" t="n">
        <v>156</v>
      </c>
      <c r="C795" s="26" t="n">
        <v>1716</v>
      </c>
      <c r="D795" s="14" t="inlineStr">
        <is>
          <t>COLÉGIO ESTADUAL DA POLÍCIA MILITAR - CPM DIVA PORTELA</t>
        </is>
      </c>
      <c r="E795" s="14" t="inlineStr">
        <is>
          <t>CAMPO LIMPO</t>
        </is>
      </c>
      <c r="F795" s="14" t="inlineStr">
        <is>
          <t>RUA TRÊS PODERES, S/N - ZONA URBANA</t>
        </is>
      </c>
      <c r="G795" s="27" t="inlineStr">
        <is>
          <t>44023-000</t>
        </is>
      </c>
      <c r="H795" s="15" t="n">
        <v>18</v>
      </c>
      <c r="I795" s="28" t="inlineStr">
        <is>
          <t>NÃO</t>
        </is>
      </c>
      <c r="J795" s="29" t="n">
        <v>188</v>
      </c>
      <c r="K795" s="14" t="str">
        <f>IF(J795="","7. Acima de 2 km",IF(J795&lt;=50,"1. Até 50 m",IF(J795&lt;=100,"2. De 50 a 100 m",IF(J795&lt;=200,"3. De 100 a 200 m",IF(J795&lt;=300,"4. De 200 a 300 m",IF(J795&lt;=500,"5. De 300 a 500 m","6. De 500 m a 2 km"))))))</f>
        <v>3. De 100 a 200 m</v>
      </c>
      <c r="L795" s="26" t="n">
        <v>0</v>
      </c>
      <c r="M795" s="26" t="n">
        <v>0</v>
      </c>
      <c r="N795" s="26" t="n">
        <v>1</v>
      </c>
      <c r="O795" s="26" t="n">
        <v>1</v>
      </c>
      <c r="P795" s="30" t="n">
        <v>-12.2194446</v>
      </c>
      <c r="Q795" s="30" t="n">
        <v>-38.9697644</v>
      </c>
      <c r="R795" s="14" t="inlineStr">
        <is>
          <t>FÓRUM ELEITORAL - AVENIDA JOSÉ FALCÃO DA SILVA, SN, CJ MILTON GOMES. QUEIMADINHA. FEIRA DE SANTANA/BA</t>
        </is>
      </c>
      <c r="S795" s="26">
        <f>IF(A795=A794,0,1)</f>
        <v>0</v>
      </c>
      <c r="T795" s="26">
        <f>IF(COUNTIF($B$4:B795,B795)=1,1,0)</f>
        <v>0</v>
      </c>
    </row>
    <row r="796">
      <c r="A796" s="14" t="inlineStr">
        <is>
          <t>FEIRA DE SANTANA</t>
        </is>
      </c>
      <c r="B796" s="26" t="n">
        <v>156</v>
      </c>
      <c r="C796" s="26" t="n">
        <v>1724</v>
      </c>
      <c r="D796" s="14" t="inlineStr">
        <is>
          <t>ESCOLA MUNICIPAL DR. NOIDE CERQUEIRA</t>
        </is>
      </c>
      <c r="E796" s="14" t="inlineStr">
        <is>
          <t>CAMPO LIMPO</t>
        </is>
      </c>
      <c r="F796" s="14" t="inlineStr">
        <is>
          <t>RUA SENAI, S/N - ZONA URBANA</t>
        </is>
      </c>
      <c r="G796" s="27" t="inlineStr">
        <is>
          <t>44032-352</t>
        </is>
      </c>
      <c r="H796" s="15" t="n">
        <v>6</v>
      </c>
      <c r="I796" s="28" t="inlineStr">
        <is>
          <t>NÃO</t>
        </is>
      </c>
      <c r="J796" s="29" t="n">
        <v>133.3</v>
      </c>
      <c r="K796" s="14" t="str">
        <f>IF(J796="","7. Acima de 2 km",IF(J796&lt;=50,"1. Até 50 m",IF(J796&lt;=100,"2. De 50 a 100 m",IF(J796&lt;=200,"3. De 100 a 200 m",IF(J796&lt;=300,"4. De 200 a 300 m",IF(J796&lt;=500,"5. De 300 a 500 m","6. De 500 m a 2 km"))))))</f>
        <v>3. De 100 a 200 m</v>
      </c>
      <c r="L796" s="26" t="n">
        <v>0</v>
      </c>
      <c r="M796" s="26" t="n">
        <v>0</v>
      </c>
      <c r="N796" s="26" t="n">
        <v>1</v>
      </c>
      <c r="O796" s="26" t="n">
        <v>1</v>
      </c>
      <c r="P796" s="30" t="n">
        <v>-12.2302532</v>
      </c>
      <c r="Q796" s="30" t="n">
        <v>-38.9674333</v>
      </c>
      <c r="R796" s="14" t="inlineStr">
        <is>
          <t>FÓRUM ELEITORAL - AVENIDA JOSÉ FALCÃO DA SILVA, SN, CJ MILTON GOMES. QUEIMADINHA. FEIRA DE SANTANA/BA</t>
        </is>
      </c>
      <c r="S796" s="26">
        <f>IF(A796=A795,0,1)</f>
        <v>0</v>
      </c>
      <c r="T796" s="26">
        <f>IF(COUNTIF($B$4:B796,B796)=1,1,0)</f>
        <v>0</v>
      </c>
    </row>
    <row r="797">
      <c r="A797" s="14" t="inlineStr">
        <is>
          <t>FEIRA DE SANTANA</t>
        </is>
      </c>
      <c r="B797" s="26" t="n">
        <v>156</v>
      </c>
      <c r="C797" s="26" t="n">
        <v>1732</v>
      </c>
      <c r="D797" s="14" t="inlineStr">
        <is>
          <t>SENAI - FEIRA DE SANTANA</t>
        </is>
      </c>
      <c r="E797" s="14" t="inlineStr">
        <is>
          <t>CAMPO LIMPO</t>
        </is>
      </c>
      <c r="F797" s="14" t="inlineStr">
        <is>
          <t>AV. EDUARDO FRÓES DA MOTA, 5000 - ZONA URBANA</t>
        </is>
      </c>
      <c r="G797" s="27" t="inlineStr">
        <is>
          <t>44032-002</t>
        </is>
      </c>
      <c r="H797" s="15" t="n">
        <v>16</v>
      </c>
      <c r="I797" s="28" t="inlineStr">
        <is>
          <t>SIM</t>
        </is>
      </c>
      <c r="J797" s="29" t="n">
        <v>41.2</v>
      </c>
      <c r="K797" s="14" t="str">
        <f>IF(J797="","7. Acima de 2 km",IF(J797&lt;=50,"1. Até 50 m",IF(J797&lt;=100,"2. De 50 a 100 m",IF(J797&lt;=200,"3. De 100 a 200 m",IF(J797&lt;=300,"4. De 200 a 300 m",IF(J797&lt;=500,"5. De 300 a 500 m","6. De 500 m a 2 km"))))))</f>
        <v>1. Até 50 m</v>
      </c>
      <c r="L797" s="26" t="n">
        <v>1</v>
      </c>
      <c r="M797" s="26" t="n">
        <v>1</v>
      </c>
      <c r="N797" s="26" t="n">
        <v>1</v>
      </c>
      <c r="O797" s="26" t="n">
        <v>1</v>
      </c>
      <c r="P797" s="30" t="n">
        <v>-12.2306364</v>
      </c>
      <c r="Q797" s="30" t="n">
        <v>-38.9681946</v>
      </c>
      <c r="R797" s="14" t="inlineStr">
        <is>
          <t>FÓRUM ELEITORAL - AVENIDA JOSÉ FALCÃO DA SILVA, SN, CJ MILTON GOMES. QUEIMADINHA. FEIRA DE SANTANA/BA</t>
        </is>
      </c>
      <c r="S797" s="26">
        <f>IF(A797=A796,0,1)</f>
        <v>0</v>
      </c>
      <c r="T797" s="26">
        <f>IF(COUNTIF($B$4:B797,B797)=1,1,0)</f>
        <v>0</v>
      </c>
    </row>
    <row r="798">
      <c r="A798" s="14" t="inlineStr">
        <is>
          <t>FEIRA DE SANTANA</t>
        </is>
      </c>
      <c r="B798" s="26" t="n">
        <v>156</v>
      </c>
      <c r="C798" s="26" t="n">
        <v>1740</v>
      </c>
      <c r="D798" s="14" t="inlineStr">
        <is>
          <t>ANEXO DO COLÉGIO ESTADUAL DE TEMPO INTEGRAL PROFª ANA ANGÉLICA VERGNE</t>
        </is>
      </c>
      <c r="E798" s="14" t="inlineStr">
        <is>
          <t>CAMPO LIMPO</t>
        </is>
      </c>
      <c r="F798" s="14" t="inlineStr">
        <is>
          <t>AV. TRANSNORDESTINA, S/N, DERBA</t>
        </is>
      </c>
      <c r="G798" s="27" t="inlineStr">
        <is>
          <t>44021-090</t>
        </is>
      </c>
      <c r="H798" s="15" t="n">
        <v>6</v>
      </c>
      <c r="I798" s="28" t="inlineStr">
        <is>
          <t>NÃO</t>
        </is>
      </c>
      <c r="J798" s="29" t="n">
        <v>644.1</v>
      </c>
      <c r="K798" s="14" t="str">
        <f>IF(J798="","7. Acima de 2 km",IF(J798&lt;=50,"1. Até 50 m",IF(J798&lt;=100,"2. De 50 a 100 m",IF(J798&lt;=200,"3. De 100 a 200 m",IF(J798&lt;=300,"4. De 200 a 300 m",IF(J798&lt;=500,"5. De 300 a 500 m","6. De 500 m a 2 km"))))))</f>
        <v>6. De 500 m a 2 km</v>
      </c>
      <c r="L798" s="26" t="n">
        <v>0</v>
      </c>
      <c r="M798" s="26" t="n">
        <v>0</v>
      </c>
      <c r="N798" s="26" t="n">
        <v>0</v>
      </c>
      <c r="O798" s="26" t="n">
        <v>0</v>
      </c>
      <c r="P798" s="30" t="n">
        <v>-12.2112038</v>
      </c>
      <c r="Q798" s="30" t="n">
        <v>-38.9661884</v>
      </c>
      <c r="R798" s="14" t="inlineStr">
        <is>
          <t>FÓRUM ELEITORAL - AVENIDA JOSÉ FALCÃO DA SILVA, SN, CJ MILTON GOMES. QUEIMADINHA. FEIRA DE SANTANA/BA</t>
        </is>
      </c>
      <c r="S798" s="26">
        <f>IF(A798=A797,0,1)</f>
        <v>0</v>
      </c>
      <c r="T798" s="26">
        <f>IF(COUNTIF($B$4:B798,B798)=1,1,0)</f>
        <v>0</v>
      </c>
    </row>
    <row r="799">
      <c r="A799" s="14" t="inlineStr">
        <is>
          <t>FEIRA DE SANTANA</t>
        </is>
      </c>
      <c r="B799" s="26" t="n">
        <v>156</v>
      </c>
      <c r="C799" s="26" t="n">
        <v>1775</v>
      </c>
      <c r="D799" s="14" t="inlineStr">
        <is>
          <t>ESCOLA MUNICIPAL PROFESSORA ODETE DE OLIVEIRA ALMEIDA</t>
        </is>
      </c>
      <c r="E799" s="14" t="inlineStr">
        <is>
          <t>PAMPALONA</t>
        </is>
      </c>
      <c r="F799" s="14" t="inlineStr">
        <is>
          <t>RUA HERÁCLITO DE CARVALHO, S/N - ZONA URBANA</t>
        </is>
      </c>
      <c r="G799" s="27" t="inlineStr">
        <is>
          <t>44022-170</t>
        </is>
      </c>
      <c r="H799" s="15" t="n">
        <v>5</v>
      </c>
      <c r="I799" s="28" t="inlineStr">
        <is>
          <t>NÃO</t>
        </is>
      </c>
      <c r="J799" s="29" t="n">
        <v>379</v>
      </c>
      <c r="K799" s="14" t="str">
        <f>IF(J799="","7. Acima de 2 km",IF(J799&lt;=50,"1. Até 50 m",IF(J799&lt;=100,"2. De 50 a 100 m",IF(J799&lt;=200,"3. De 100 a 200 m",IF(J799&lt;=300,"4. De 200 a 300 m",IF(J799&lt;=500,"5. De 300 a 500 m","6. De 500 m a 2 km"))))))</f>
        <v>5. De 300 a 500 m</v>
      </c>
      <c r="L799" s="26" t="n">
        <v>0</v>
      </c>
      <c r="M799" s="26" t="n">
        <v>0</v>
      </c>
      <c r="N799" s="26" t="n">
        <v>0</v>
      </c>
      <c r="O799" s="26" t="n">
        <v>0</v>
      </c>
      <c r="P799" s="30" t="n">
        <v>-12.2227233</v>
      </c>
      <c r="Q799" s="30" t="n">
        <v>-38.9856424</v>
      </c>
      <c r="R799" s="14" t="inlineStr">
        <is>
          <t>FÓRUM ELEITORAL - AVENIDA JOSÉ FALCÃO DA SILVA, SN, CJ MILTON GOMES. QUEIMADINHA. FEIRA DE SANTANA/BA</t>
        </is>
      </c>
      <c r="S799" s="26">
        <f>IF(A799=A798,0,1)</f>
        <v>0</v>
      </c>
      <c r="T799" s="26">
        <f>IF(COUNTIF($B$4:B799,B799)=1,1,0)</f>
        <v>0</v>
      </c>
    </row>
    <row r="800">
      <c r="A800" s="14" t="inlineStr">
        <is>
          <t>FEIRA DE SANTANA</t>
        </is>
      </c>
      <c r="B800" s="26" t="n">
        <v>156</v>
      </c>
      <c r="C800" s="26" t="n">
        <v>1783</v>
      </c>
      <c r="D800" s="14" t="inlineStr">
        <is>
          <t>ESCOLA MUNICIPAL JANETE GOMES MEDEIROS</t>
        </is>
      </c>
      <c r="E800" s="14" t="inlineStr">
        <is>
          <t>CAMPO LIMPO</t>
        </is>
      </c>
      <c r="F800" s="14" t="inlineStr">
        <is>
          <t>RUA LARANJEIRAS DO SUL, 32, LOTEAMENTO JARDIM ROMANO  - ZONA URBANA</t>
        </is>
      </c>
      <c r="G800" s="27" t="inlineStr">
        <is>
          <t>44033-283</t>
        </is>
      </c>
      <c r="H800" s="15" t="n">
        <v>6</v>
      </c>
      <c r="I800" s="28" t="inlineStr">
        <is>
          <t>NÃO</t>
        </is>
      </c>
      <c r="J800" s="29" t="n">
        <v>385.1</v>
      </c>
      <c r="K800" s="14" t="str">
        <f>IF(J800="","7. Acima de 2 km",IF(J800&lt;=50,"1. Até 50 m",IF(J800&lt;=100,"2. De 50 a 100 m",IF(J800&lt;=200,"3. De 100 a 200 m",IF(J800&lt;=300,"4. De 200 a 300 m",IF(J800&lt;=500,"5. De 300 a 500 m","6. De 500 m a 2 km"))))))</f>
        <v>5. De 300 a 500 m</v>
      </c>
      <c r="L800" s="26" t="n">
        <v>0</v>
      </c>
      <c r="M800" s="26" t="n">
        <v>0</v>
      </c>
      <c r="N800" s="26" t="n">
        <v>0</v>
      </c>
      <c r="O800" s="26" t="n">
        <v>0</v>
      </c>
      <c r="P800" s="30" t="n">
        <v>-12.2165293</v>
      </c>
      <c r="Q800" s="30" t="n">
        <v>-38.9773568</v>
      </c>
      <c r="R800" s="14" t="inlineStr">
        <is>
          <t>FÓRUM ELEITORAL - AVENIDA JOSÉ FALCÃO DA SILVA, SN, CJ MILTON GOMES. QUEIMADINHA. FEIRA DE SANTANA/BA</t>
        </is>
      </c>
      <c r="S800" s="26">
        <f>IF(A800=A799,0,1)</f>
        <v>0</v>
      </c>
      <c r="T800" s="26">
        <f>IF(COUNTIF($B$4:B800,B800)=1,1,0)</f>
        <v>0</v>
      </c>
    </row>
    <row r="801">
      <c r="A801" s="14" t="inlineStr">
        <is>
          <t>FEIRA DE SANTANA</t>
        </is>
      </c>
      <c r="B801" s="26" t="n">
        <v>156</v>
      </c>
      <c r="C801" s="26" t="n">
        <v>1791</v>
      </c>
      <c r="D801" s="14" t="inlineStr">
        <is>
          <t>ESCOLA MUNICIPAL NORMA SUELY MASCARENHAS</t>
        </is>
      </c>
      <c r="E801" s="14" t="inlineStr">
        <is>
          <t>CAMPO LIMPO</t>
        </is>
      </c>
      <c r="F801" s="14" t="inlineStr">
        <is>
          <t>RUA B (VASP), S/N, CJ. GEORGE AMERICO - ZONA URBANA</t>
        </is>
      </c>
      <c r="G801" s="27" t="inlineStr">
        <is>
          <t>44033-061</t>
        </is>
      </c>
      <c r="H801" s="15" t="n">
        <v>8</v>
      </c>
      <c r="I801" s="28" t="inlineStr">
        <is>
          <t>NÃO</t>
        </is>
      </c>
      <c r="J801" s="29" t="n">
        <v>272.4</v>
      </c>
      <c r="K801" s="14" t="str">
        <f>IF(J801="","7. Acima de 2 km",IF(J801&lt;=50,"1. Até 50 m",IF(J801&lt;=100,"2. De 50 a 100 m",IF(J801&lt;=200,"3. De 100 a 200 m",IF(J801&lt;=300,"4. De 200 a 300 m",IF(J801&lt;=500,"5. De 300 a 500 m","6. De 500 m a 2 km"))))))</f>
        <v>4. De 200 a 300 m</v>
      </c>
      <c r="L801" s="26" t="n">
        <v>0</v>
      </c>
      <c r="M801" s="26" t="n">
        <v>0</v>
      </c>
      <c r="N801" s="26" t="n">
        <v>0</v>
      </c>
      <c r="O801" s="26" t="n">
        <v>1</v>
      </c>
      <c r="P801" s="30" t="n">
        <v>-12.2232656</v>
      </c>
      <c r="Q801" s="30" t="n">
        <v>-38.9801754</v>
      </c>
      <c r="R801" s="14" t="inlineStr">
        <is>
          <t>FÓRUM ELEITORAL - AVENIDA JOSÉ FALCÃO DA SILVA, SN, CJ MILTON GOMES. QUEIMADINHA. FEIRA DE SANTANA/BA</t>
        </is>
      </c>
      <c r="S801" s="26">
        <f>IF(A801=A800,0,1)</f>
        <v>0</v>
      </c>
      <c r="T801" s="26">
        <f>IF(COUNTIF($B$4:B801,B801)=1,1,0)</f>
        <v>0</v>
      </c>
    </row>
    <row r="802">
      <c r="A802" s="14" t="inlineStr">
        <is>
          <t>FEIRA DE SANTANA</t>
        </is>
      </c>
      <c r="B802" s="26" t="n">
        <v>156</v>
      </c>
      <c r="C802" s="26" t="n">
        <v>1813</v>
      </c>
      <c r="D802" s="14" t="inlineStr">
        <is>
          <t>ESCOLA MUNICIPAL CHICO MENDES</t>
        </is>
      </c>
      <c r="E802" s="14" t="inlineStr">
        <is>
          <t>CAMPO LIMPO</t>
        </is>
      </c>
      <c r="F802" s="14" t="inlineStr">
        <is>
          <t>PRAÇA CENTENÁRIO, S/N - ZONA URBANA</t>
        </is>
      </c>
      <c r="G802" s="27" t="inlineStr">
        <is>
          <t>44021-090</t>
        </is>
      </c>
      <c r="H802" s="15" t="n">
        <v>10</v>
      </c>
      <c r="I802" s="28" t="inlineStr">
        <is>
          <t>NÃO</t>
        </is>
      </c>
      <c r="J802" s="29" t="n">
        <v>143.6</v>
      </c>
      <c r="K802" s="14" t="str">
        <f>IF(J802="","7. Acima de 2 km",IF(J802&lt;=50,"1. Até 50 m",IF(J802&lt;=100,"2. De 50 a 100 m",IF(J802&lt;=200,"3. De 100 a 200 m",IF(J802&lt;=300,"4. De 200 a 300 m",IF(J802&lt;=500,"5. De 300 a 500 m","6. De 500 m a 2 km"))))))</f>
        <v>3. De 100 a 200 m</v>
      </c>
      <c r="L802" s="26" t="n">
        <v>0</v>
      </c>
      <c r="M802" s="26" t="n">
        <v>0</v>
      </c>
      <c r="N802" s="26" t="n">
        <v>1</v>
      </c>
      <c r="O802" s="26" t="n">
        <v>1</v>
      </c>
      <c r="P802" s="30" t="n">
        <v>-12.2259325</v>
      </c>
      <c r="Q802" s="30" t="n">
        <v>-38.9682648</v>
      </c>
      <c r="R802" s="14" t="inlineStr">
        <is>
          <t>FÓRUM ELEITORAL - AVENIDA JOSÉ FALCÃO DA SILVA, SN, CJ MILTON GOMES. QUEIMADINHA. FEIRA DE SANTANA/BA</t>
        </is>
      </c>
      <c r="S802" s="26">
        <f>IF(A802=A801,0,1)</f>
        <v>0</v>
      </c>
      <c r="T802" s="26">
        <f>IF(COUNTIF($B$4:B802,B802)=1,1,0)</f>
        <v>0</v>
      </c>
    </row>
    <row r="803">
      <c r="A803" s="14" t="inlineStr">
        <is>
          <t>FEIRA DE SANTANA</t>
        </is>
      </c>
      <c r="B803" s="26" t="n">
        <v>156</v>
      </c>
      <c r="C803" s="26" t="n">
        <v>1848</v>
      </c>
      <c r="D803" s="14" t="inlineStr">
        <is>
          <t>CENTRO MUNICIPAL DE EDUCAÇÃO INFANTIL PAULINO MARTINS DOS SANTOS</t>
        </is>
      </c>
      <c r="E803" s="14" t="inlineStr">
        <is>
          <t>DISTRITO DE MARIA QUITÉRIA</t>
        </is>
      </c>
      <c r="F803" s="14" t="inlineStr">
        <is>
          <t>PRIMEIRA TRAVESSA ARTHUR DE FREITAS - ZONA RURAL</t>
        </is>
      </c>
      <c r="G803" s="27" t="inlineStr">
        <is>
          <t>44110-000</t>
        </is>
      </c>
      <c r="H803" s="15" t="n">
        <v>6</v>
      </c>
      <c r="I803" s="28" t="inlineStr">
        <is>
          <t>SIM</t>
        </is>
      </c>
      <c r="J803" s="29" t="n">
        <v>82.2</v>
      </c>
      <c r="K803" s="14" t="str">
        <f>IF(J803="","7. Acima de 2 km",IF(J803&lt;=50,"1. Até 50 m",IF(J803&lt;=100,"2. De 50 a 100 m",IF(J803&lt;=200,"3. De 100 a 200 m",IF(J803&lt;=300,"4. De 200 a 300 m",IF(J803&lt;=500,"5. De 300 a 500 m","6. De 500 m a 2 km"))))))</f>
        <v>2. De 50 a 100 m</v>
      </c>
      <c r="L803" s="26" t="n">
        <v>0</v>
      </c>
      <c r="M803" s="26" t="n">
        <v>1</v>
      </c>
      <c r="N803" s="26" t="n">
        <v>2</v>
      </c>
      <c r="O803" s="26" t="n">
        <v>3</v>
      </c>
      <c r="P803" s="30" t="n">
        <v>-12.149819</v>
      </c>
      <c r="Q803" s="30" t="n">
        <v>-38.9913965</v>
      </c>
      <c r="R803" s="14" t="inlineStr">
        <is>
          <t>FÓRUM ELEITORAL - AVENIDA JOSÉ FALCÃO DA SILVA, SN, CJ MILTON GOMES. QUEIMADINHA. FEIRA DE SANTANA/BA</t>
        </is>
      </c>
      <c r="S803" s="26">
        <f>IF(A803=A802,0,1)</f>
        <v>0</v>
      </c>
      <c r="T803" s="26">
        <f>IF(COUNTIF($B$4:B803,B803)=1,1,0)</f>
        <v>0</v>
      </c>
    </row>
    <row r="804">
      <c r="A804" s="14" t="inlineStr">
        <is>
          <t>FEIRA DE SANTANA</t>
        </is>
      </c>
      <c r="B804" s="26" t="n">
        <v>156</v>
      </c>
      <c r="C804" s="26" t="n">
        <v>1864</v>
      </c>
      <c r="D804" s="14" t="inlineStr">
        <is>
          <t>ESCOLA MUNICIPAL ANTÔNIO ALVES OLIVEIRA</t>
        </is>
      </c>
      <c r="E804" s="14" t="inlineStr">
        <is>
          <t>ASA BRANCA</t>
        </is>
      </c>
      <c r="F804" s="14" t="inlineStr">
        <is>
          <t>RUA AVARÉ, S/N - ZONA URBANA</t>
        </is>
      </c>
      <c r="G804" s="27" t="inlineStr">
        <is>
          <t>44021-510</t>
        </is>
      </c>
      <c r="H804" s="15" t="n">
        <v>10</v>
      </c>
      <c r="I804" s="28" t="inlineStr">
        <is>
          <t>NÃO</t>
        </is>
      </c>
      <c r="J804" s="29" t="n">
        <v>393.6</v>
      </c>
      <c r="K804" s="14" t="str">
        <f>IF(J804="","7. Acima de 2 km",IF(J804&lt;=50,"1. Até 50 m",IF(J804&lt;=100,"2. De 50 a 100 m",IF(J804&lt;=200,"3. De 100 a 200 m",IF(J804&lt;=300,"4. De 200 a 300 m",IF(J804&lt;=500,"5. De 300 a 500 m","6. De 500 m a 2 km"))))))</f>
        <v>5. De 300 a 500 m</v>
      </c>
      <c r="L804" s="26" t="n">
        <v>0</v>
      </c>
      <c r="M804" s="26" t="n">
        <v>0</v>
      </c>
      <c r="N804" s="26" t="n">
        <v>0</v>
      </c>
      <c r="O804" s="26" t="n">
        <v>0</v>
      </c>
      <c r="P804" s="30" t="n">
        <v>-12.2092793</v>
      </c>
      <c r="Q804" s="30" t="n">
        <v>-38.9921606</v>
      </c>
      <c r="R804" s="14" t="inlineStr">
        <is>
          <t>FÓRUM ELEITORAL - AVENIDA JOSÉ FALCÃO DA SILVA, SN, CJ MILTON GOMES. QUEIMADINHA. FEIRA DE SANTANA/BA</t>
        </is>
      </c>
      <c r="S804" s="26">
        <f>IF(A804=A803,0,1)</f>
        <v>0</v>
      </c>
      <c r="T804" s="26">
        <f>IF(COUNTIF($B$4:B804,B804)=1,1,0)</f>
        <v>0</v>
      </c>
    </row>
    <row r="805">
      <c r="A805" s="14" t="inlineStr">
        <is>
          <t>FEIRA DE SANTANA</t>
        </is>
      </c>
      <c r="B805" s="26" t="n">
        <v>156</v>
      </c>
      <c r="C805" s="26" t="n">
        <v>1872</v>
      </c>
      <c r="D805" s="14" t="inlineStr">
        <is>
          <t>ESCOLA MUNICIPAL ACIOLY DA SILVA ARAÚJO</t>
        </is>
      </c>
      <c r="E805" s="14" t="inlineStr">
        <is>
          <t>MUCHILA</t>
        </is>
      </c>
      <c r="F805" s="14" t="inlineStr">
        <is>
          <t>RUA CONDOR, S/N, FEIRA X - ZONA URBANA</t>
        </is>
      </c>
      <c r="G805" s="27" t="inlineStr">
        <is>
          <t>44005-686</t>
        </is>
      </c>
      <c r="H805" s="15" t="n">
        <v>9</v>
      </c>
      <c r="I805" s="28" t="inlineStr">
        <is>
          <t>NÃO</t>
        </is>
      </c>
      <c r="J805" s="29" t="n">
        <v>372</v>
      </c>
      <c r="K805" s="14" t="str">
        <f>IF(J805="","7. Acima de 2 km",IF(J805&lt;=50,"1. Até 50 m",IF(J805&lt;=100,"2. De 50 a 100 m",IF(J805&lt;=200,"3. De 100 a 200 m",IF(J805&lt;=300,"4. De 200 a 300 m",IF(J805&lt;=500,"5. De 300 a 500 m","6. De 500 m a 2 km"))))))</f>
        <v>5. De 300 a 500 m</v>
      </c>
      <c r="L805" s="26" t="n">
        <v>0</v>
      </c>
      <c r="M805" s="26" t="n">
        <v>0</v>
      </c>
      <c r="N805" s="26" t="n">
        <v>0</v>
      </c>
      <c r="O805" s="26" t="n">
        <v>0</v>
      </c>
      <c r="P805" s="30" t="n">
        <v>-12.275752</v>
      </c>
      <c r="Q805" s="30" t="n">
        <v>-38.9719582</v>
      </c>
      <c r="R805" s="14" t="inlineStr">
        <is>
          <t>FÓRUM ELEITORAL - AVENIDA JOSÉ FALCÃO DA SILVA, SN, CJ MILTON GOMES. QUEIMADINHA. FEIRA DE SANTANA/BA</t>
        </is>
      </c>
      <c r="S805" s="26">
        <f>IF(A805=A804,0,1)</f>
        <v>0</v>
      </c>
      <c r="T805" s="26">
        <f>IF(COUNTIF($B$4:B805,B805)=1,1,0)</f>
        <v>0</v>
      </c>
    </row>
    <row r="806">
      <c r="A806" s="14" t="inlineStr">
        <is>
          <t>FEIRA DE SANTANA</t>
        </is>
      </c>
      <c r="B806" s="26" t="n">
        <v>156</v>
      </c>
      <c r="C806" s="26" t="n">
        <v>1880</v>
      </c>
      <c r="D806" s="14" t="inlineStr">
        <is>
          <t>CENTRO JUVENIL DE CIÊNCIA E CULTURA</t>
        </is>
      </c>
      <c r="E806" s="14" t="inlineStr">
        <is>
          <t>PEDRA DO DESCANSO</t>
        </is>
      </c>
      <c r="F806" s="14" t="inlineStr">
        <is>
          <t>AVENIDA RIO DE JANEIRO, N 156 - ZONA URBANA</t>
        </is>
      </c>
      <c r="G806" s="27" t="inlineStr">
        <is>
          <t>44007-112</t>
        </is>
      </c>
      <c r="H806" s="15" t="n">
        <v>6</v>
      </c>
      <c r="I806" s="28" t="inlineStr">
        <is>
          <t>NÃO</t>
        </is>
      </c>
      <c r="J806" s="29" t="n">
        <v>234.2</v>
      </c>
      <c r="K806" s="14" t="str">
        <f>IF(J806="","7. Acima de 2 km",IF(J806&lt;=50,"1. Até 50 m",IF(J806&lt;=100,"2. De 50 a 100 m",IF(J806&lt;=200,"3. De 100 a 200 m",IF(J806&lt;=300,"4. De 200 a 300 m",IF(J806&lt;=500,"5. De 300 a 500 m","6. De 500 m a 2 km"))))))</f>
        <v>4. De 200 a 300 m</v>
      </c>
      <c r="L806" s="26" t="n">
        <v>0</v>
      </c>
      <c r="M806" s="26" t="n">
        <v>0</v>
      </c>
      <c r="N806" s="26" t="n">
        <v>0</v>
      </c>
      <c r="O806" s="26" t="n">
        <v>1</v>
      </c>
      <c r="P806" s="30" t="n">
        <v>-12.2621309</v>
      </c>
      <c r="Q806" s="30" t="n">
        <v>-38.9731097</v>
      </c>
      <c r="R806" s="14" t="inlineStr">
        <is>
          <t>FÓRUM ELEITORAL - AVENIDA JOSÉ FALCÃO DA SILVA, SN, CJ MILTON GOMES. QUEIMADINHA. FEIRA DE SANTANA/BA</t>
        </is>
      </c>
      <c r="S806" s="26">
        <f>IF(A806=A805,0,1)</f>
        <v>0</v>
      </c>
      <c r="T806" s="26">
        <f>IF(COUNTIF($B$4:B806,B806)=1,1,0)</f>
        <v>0</v>
      </c>
    </row>
    <row r="807">
      <c r="A807" s="14" t="inlineStr">
        <is>
          <t>FEIRA DE SANTANA</t>
        </is>
      </c>
      <c r="B807" s="26" t="n">
        <v>156</v>
      </c>
      <c r="C807" s="26" t="n">
        <v>1899</v>
      </c>
      <c r="D807" s="14" t="inlineStr">
        <is>
          <t>COLÉGIO ESTADUAL HELENA ASSIS SUZART</t>
        </is>
      </c>
      <c r="E807" s="14" t="inlineStr">
        <is>
          <t>MUCHILA</t>
        </is>
      </c>
      <c r="F807" s="14" t="inlineStr">
        <is>
          <t>RUA A, S/N, FEIRA X - ZONA URBANA</t>
        </is>
      </c>
      <c r="G807" s="27" t="inlineStr">
        <is>
          <t>44006-170</t>
        </is>
      </c>
      <c r="H807" s="15" t="n">
        <v>6</v>
      </c>
      <c r="I807" s="28" t="inlineStr">
        <is>
          <t>NÃO</t>
        </is>
      </c>
      <c r="J807" s="29" t="n">
        <v>192</v>
      </c>
      <c r="K807" s="14" t="str">
        <f>IF(J807="","7. Acima de 2 km",IF(J807&lt;=50,"1. Até 50 m",IF(J807&lt;=100,"2. De 50 a 100 m",IF(J807&lt;=200,"3. De 100 a 200 m",IF(J807&lt;=300,"4. De 200 a 300 m",IF(J807&lt;=500,"5. De 300 a 500 m","6. De 500 m a 2 km"))))))</f>
        <v>3. De 100 a 200 m</v>
      </c>
      <c r="L807" s="26" t="n">
        <v>0</v>
      </c>
      <c r="M807" s="26" t="n">
        <v>0</v>
      </c>
      <c r="N807" s="26" t="n">
        <v>1</v>
      </c>
      <c r="O807" s="26" t="n">
        <v>2</v>
      </c>
      <c r="P807" s="30" t="n">
        <v>-12.2728625</v>
      </c>
      <c r="Q807" s="30" t="n">
        <v>-38.9762046</v>
      </c>
      <c r="R807" s="14" t="inlineStr">
        <is>
          <t>FÓRUM ELEITORAL - AVENIDA JOSÉ FALCÃO DA SILVA, SN, CJ MILTON GOMES. QUEIMADINHA. FEIRA DE SANTANA/BA</t>
        </is>
      </c>
      <c r="S807" s="26">
        <f>IF(A807=A806,0,1)</f>
        <v>0</v>
      </c>
      <c r="T807" s="26">
        <f>IF(COUNTIF($B$4:B807,B807)=1,1,0)</f>
        <v>0</v>
      </c>
    </row>
    <row r="808">
      <c r="A808" s="14" t="inlineStr">
        <is>
          <t>FEIRA DE SANTANA</t>
        </is>
      </c>
      <c r="B808" s="26" t="n">
        <v>156</v>
      </c>
      <c r="C808" s="26" t="n">
        <v>1902</v>
      </c>
      <c r="D808" s="14" t="inlineStr">
        <is>
          <t>COLÉGIO MUNICIPAL WILSON FALCÃO</t>
        </is>
      </c>
      <c r="E808" s="14" t="inlineStr">
        <is>
          <t>PEDRA DO DESCANSO</t>
        </is>
      </c>
      <c r="F808" s="14" t="inlineStr">
        <is>
          <t>RUA DOS EXPEDICIONÁRIOS</t>
        </is>
      </c>
      <c r="G808" s="27" t="inlineStr">
        <is>
          <t>44007-270</t>
        </is>
      </c>
      <c r="H808" s="15" t="n">
        <v>9</v>
      </c>
      <c r="I808" s="28" t="inlineStr">
        <is>
          <t>NÃO</t>
        </is>
      </c>
      <c r="J808" s="29" t="n">
        <v>239.2</v>
      </c>
      <c r="K808" s="14" t="str">
        <f>IF(J808="","7. Acima de 2 km",IF(J808&lt;=50,"1. Até 50 m",IF(J808&lt;=100,"2. De 50 a 100 m",IF(J808&lt;=200,"3. De 100 a 200 m",IF(J808&lt;=300,"4. De 200 a 300 m",IF(J808&lt;=500,"5. De 300 a 500 m","6. De 500 m a 2 km"))))))</f>
        <v>4. De 200 a 300 m</v>
      </c>
      <c r="L808" s="26" t="n">
        <v>0</v>
      </c>
      <c r="M808" s="26" t="n">
        <v>0</v>
      </c>
      <c r="N808" s="26" t="n">
        <v>0</v>
      </c>
      <c r="O808" s="26" t="n">
        <v>3</v>
      </c>
      <c r="P808" s="30" t="n">
        <v>-12.2587159</v>
      </c>
      <c r="Q808" s="30" t="n">
        <v>-38.9722152</v>
      </c>
      <c r="R808" s="14" t="inlineStr">
        <is>
          <t>FÓRUM ELEITORAL - AVENIDA JOSÉ FALCÃO DA SILVA, SN, CJ MILTON GOMES. QUEIMADINHA. FEIRA DE SANTANA/BA</t>
        </is>
      </c>
      <c r="S808" s="26">
        <f>IF(A808=A807,0,1)</f>
        <v>0</v>
      </c>
      <c r="T808" s="26">
        <f>IF(COUNTIF($B$4:B808,B808)=1,1,0)</f>
        <v>0</v>
      </c>
    </row>
    <row r="809">
      <c r="A809" s="14" t="inlineStr">
        <is>
          <t>FEIRA DE SANTANA</t>
        </is>
      </c>
      <c r="B809" s="26" t="n">
        <v>156</v>
      </c>
      <c r="C809" s="26" t="n">
        <v>1910</v>
      </c>
      <c r="D809" s="14" t="inlineStr">
        <is>
          <t>COLÉGIO ESTADUAL DR. JAIR SANTOS SILVA</t>
        </is>
      </c>
      <c r="E809" s="14" t="inlineStr">
        <is>
          <t>CALUMBI</t>
        </is>
      </c>
      <c r="F809" s="14" t="inlineStr">
        <is>
          <t>AV TOMÉ DE SOUZA, S/N, CONJUNTO FEIRA IX - ZONA URBANA</t>
        </is>
      </c>
      <c r="G809" s="27" t="inlineStr">
        <is>
          <t>44009-005</t>
        </is>
      </c>
      <c r="H809" s="15" t="n">
        <v>9</v>
      </c>
      <c r="I809" s="28" t="inlineStr">
        <is>
          <t>NÃO</t>
        </is>
      </c>
      <c r="J809" s="29" t="n">
        <v>187.8</v>
      </c>
      <c r="K809" s="14" t="str">
        <f>IF(J809="","7. Acima de 2 km",IF(J809&lt;=50,"1. Até 50 m",IF(J809&lt;=100,"2. De 50 a 100 m",IF(J809&lt;=200,"3. De 100 a 200 m",IF(J809&lt;=300,"4. De 200 a 300 m",IF(J809&lt;=500,"5. De 300 a 500 m","6. De 500 m a 2 km"))))))</f>
        <v>3. De 100 a 200 m</v>
      </c>
      <c r="L809" s="26" t="n">
        <v>0</v>
      </c>
      <c r="M809" s="26" t="n">
        <v>0</v>
      </c>
      <c r="N809" s="26" t="n">
        <v>1</v>
      </c>
      <c r="O809" s="26" t="n">
        <v>2</v>
      </c>
      <c r="P809" s="30" t="n">
        <v>-12.250478</v>
      </c>
      <c r="Q809" s="30" t="n">
        <v>-38.9845791</v>
      </c>
      <c r="R809" s="14" t="inlineStr">
        <is>
          <t>FÓRUM ELEITORAL - AVENIDA JOSÉ FALCÃO DA SILVA, SN, CJ MILTON GOMES. QUEIMADINHA. FEIRA DE SANTANA/BA</t>
        </is>
      </c>
      <c r="S809" s="26">
        <f>IF(A809=A808,0,1)</f>
        <v>0</v>
      </c>
      <c r="T809" s="26">
        <f>IF(COUNTIF($B$4:B809,B809)=1,1,0)</f>
        <v>0</v>
      </c>
    </row>
    <row r="810">
      <c r="A810" s="14" t="inlineStr">
        <is>
          <t>FEIRA DE SANTANA</t>
        </is>
      </c>
      <c r="B810" s="26" t="n">
        <v>156</v>
      </c>
      <c r="C810" s="26" t="n">
        <v>1929</v>
      </c>
      <c r="D810" s="14" t="inlineStr">
        <is>
          <t>ESCOLA MUNICIPAL OTAVIANO FERREIRA CAMPOS</t>
        </is>
      </c>
      <c r="E810" s="14" t="inlineStr">
        <is>
          <t>NOVO HORIZONTE</t>
        </is>
      </c>
      <c r="F810" s="14" t="inlineStr">
        <is>
          <t>RUA SANTANA, S/N - ZONA URBANA</t>
        </is>
      </c>
      <c r="G810" s="27" t="inlineStr">
        <is>
          <t>44031-470</t>
        </is>
      </c>
      <c r="H810" s="15" t="n">
        <v>7</v>
      </c>
      <c r="I810" s="28" t="inlineStr">
        <is>
          <t>NÃO</t>
        </is>
      </c>
      <c r="J810" s="29" t="n">
        <v>107.4</v>
      </c>
      <c r="K810" s="14" t="str">
        <f>IF(J810="","7. Acima de 2 km",IF(J810&lt;=50,"1. Até 50 m",IF(J810&lt;=100,"2. De 50 a 100 m",IF(J810&lt;=200,"3. De 100 a 200 m",IF(J810&lt;=300,"4. De 200 a 300 m",IF(J810&lt;=500,"5. De 300 a 500 m","6. De 500 m a 2 km"))))))</f>
        <v>3. De 100 a 200 m</v>
      </c>
      <c r="L810" s="26" t="n">
        <v>0</v>
      </c>
      <c r="M810" s="26" t="n">
        <v>0</v>
      </c>
      <c r="N810" s="26" t="n">
        <v>2</v>
      </c>
      <c r="O810" s="26" t="n">
        <v>3</v>
      </c>
      <c r="P810" s="30" t="n">
        <v>-12.1890616</v>
      </c>
      <c r="Q810" s="30" t="n">
        <v>-38.967098</v>
      </c>
      <c r="R810" s="14" t="inlineStr">
        <is>
          <t>FÓRUM ELEITORAL - AVENIDA JOSÉ FALCÃO DA SILVA, SN, CJ MILTON GOMES. QUEIMADINHA. FEIRA DE SANTANA/BA</t>
        </is>
      </c>
      <c r="S810" s="26">
        <f>IF(A810=A809,0,1)</f>
        <v>0</v>
      </c>
      <c r="T810" s="26">
        <f>IF(COUNTIF($B$4:B810,B810)=1,1,0)</f>
        <v>0</v>
      </c>
    </row>
    <row r="811">
      <c r="A811" s="14" t="inlineStr">
        <is>
          <t>FEIRA DE SANTANA</t>
        </is>
      </c>
      <c r="B811" s="26" t="n">
        <v>156</v>
      </c>
      <c r="C811" s="26" t="n">
        <v>1937</v>
      </c>
      <c r="D811" s="14" t="inlineStr">
        <is>
          <t>ESCOLA MUNICIPAL THELMA CARNEIRO</t>
        </is>
      </c>
      <c r="E811" s="14" t="inlineStr">
        <is>
          <t>MUCHILA</t>
        </is>
      </c>
      <c r="F811" s="14" t="inlineStr">
        <is>
          <t>RUA P, CAM B-XXII, S/N, FEIRA X - ZONA URBANA</t>
        </is>
      </c>
      <c r="G811" s="27" t="inlineStr">
        <is>
          <t>44006-100</t>
        </is>
      </c>
      <c r="H811" s="15" t="n">
        <v>4</v>
      </c>
      <c r="I811" s="28" t="inlineStr">
        <is>
          <t>SIM</t>
        </is>
      </c>
      <c r="J811" s="29" t="n">
        <v>88.5</v>
      </c>
      <c r="K811" s="14" t="str">
        <f>IF(J811="","7. Acima de 2 km",IF(J811&lt;=50,"1. Até 50 m",IF(J811&lt;=100,"2. De 50 a 100 m",IF(J811&lt;=200,"3. De 100 a 200 m",IF(J811&lt;=300,"4. De 200 a 300 m",IF(J811&lt;=500,"5. De 300 a 500 m","6. De 500 m a 2 km"))))))</f>
        <v>2. De 50 a 100 m</v>
      </c>
      <c r="L811" s="26" t="n">
        <v>0</v>
      </c>
      <c r="M811" s="26" t="n">
        <v>1</v>
      </c>
      <c r="N811" s="26" t="n">
        <v>1</v>
      </c>
      <c r="O811" s="26" t="n">
        <v>2</v>
      </c>
      <c r="P811" s="30" t="n">
        <v>-12.2711992</v>
      </c>
      <c r="Q811" s="30" t="n">
        <v>-38.9781342</v>
      </c>
      <c r="R811" s="14" t="inlineStr">
        <is>
          <t>FÓRUM ELEITORAL - AVENIDA JOSÉ FALCÃO DA SILVA, SN, CJ MILTON GOMES. QUEIMADINHA. FEIRA DE SANTANA/BA</t>
        </is>
      </c>
      <c r="S811" s="26">
        <f>IF(A811=A810,0,1)</f>
        <v>0</v>
      </c>
      <c r="T811" s="26">
        <f>IF(COUNTIF($B$4:B811,B811)=1,1,0)</f>
        <v>0</v>
      </c>
    </row>
    <row r="812">
      <c r="A812" s="14" t="inlineStr">
        <is>
          <t>FEIRA DE SANTANA</t>
        </is>
      </c>
      <c r="B812" s="26" t="n">
        <v>156</v>
      </c>
      <c r="C812" s="26" t="n">
        <v>1945</v>
      </c>
      <c r="D812" s="14" t="inlineStr">
        <is>
          <t>ESCOLA MUNICIPAL PROFA. MARÍLIA QUEIROZ DA SILVA</t>
        </is>
      </c>
      <c r="E812" s="14" t="inlineStr">
        <is>
          <t>NOVA ESPERANÇA</t>
        </is>
      </c>
      <c r="F812" s="14" t="inlineStr">
        <is>
          <t>RUA TEFÉ, 35 - ZONA URBANA</t>
        </is>
      </c>
      <c r="G812" s="27" t="inlineStr">
        <is>
          <t>44019-850</t>
        </is>
      </c>
      <c r="H812" s="15" t="n">
        <v>3</v>
      </c>
      <c r="I812" s="28" t="inlineStr">
        <is>
          <t>NÃO</t>
        </is>
      </c>
      <c r="J812" s="29" t="n">
        <v>289</v>
      </c>
      <c r="K812" s="14" t="str">
        <f>IF(J812="","7. Acima de 2 km",IF(J812&lt;=50,"1. Até 50 m",IF(J812&lt;=100,"2. De 50 a 100 m",IF(J812&lt;=200,"3. De 100 a 200 m",IF(J812&lt;=300,"4. De 200 a 300 m",IF(J812&lt;=500,"5. De 300 a 500 m","6. De 500 m a 2 km"))))))</f>
        <v>4. De 200 a 300 m</v>
      </c>
      <c r="L812" s="26" t="n">
        <v>0</v>
      </c>
      <c r="M812" s="26" t="n">
        <v>0</v>
      </c>
      <c r="N812" s="26" t="n">
        <v>0</v>
      </c>
      <c r="O812" s="26" t="n">
        <v>1</v>
      </c>
      <c r="P812" s="30" t="n">
        <v>-12.2498722</v>
      </c>
      <c r="Q812" s="30" t="n">
        <v>-38.9891825</v>
      </c>
      <c r="R812" s="14" t="inlineStr">
        <is>
          <t>FÓRUM ELEITORAL - AVENIDA JOSÉ FALCÃO DA SILVA, SN, CJ MILTON GOMES. QUEIMADINHA. FEIRA DE SANTANA/BA</t>
        </is>
      </c>
      <c r="S812" s="26">
        <f>IF(A812=A811,0,1)</f>
        <v>0</v>
      </c>
      <c r="T812" s="26">
        <f>IF(COUNTIF($B$4:B812,B812)=1,1,0)</f>
        <v>0</v>
      </c>
    </row>
    <row r="813">
      <c r="A813" s="14" t="inlineStr">
        <is>
          <t>FEIRA DE SANTANA</t>
        </is>
      </c>
      <c r="B813" s="26" t="n">
        <v>156</v>
      </c>
      <c r="C813" s="26" t="n">
        <v>1953</v>
      </c>
      <c r="D813" s="14" t="inlineStr">
        <is>
          <t>UEFS - UNIVERSIDADE ESTADUAL DE FEIRA DE SANTANA</t>
        </is>
      </c>
      <c r="E813" s="14" t="inlineStr">
        <is>
          <t>NOVO HORIZONTE</t>
        </is>
      </c>
      <c r="F813" s="14" t="inlineStr">
        <is>
          <t>AVENIDA TRANSNORDESTINA, S/N - ZONA URBANA</t>
        </is>
      </c>
      <c r="G813" s="27" t="inlineStr">
        <is>
          <t>44036-900</t>
        </is>
      </c>
      <c r="H813" s="15" t="n">
        <v>6</v>
      </c>
      <c r="I813" s="28" t="inlineStr">
        <is>
          <t>SIM</t>
        </is>
      </c>
      <c r="J813" s="29" t="n">
        <v>19.4</v>
      </c>
      <c r="K813" s="14" t="str">
        <f>IF(J813="","7. Acima de 2 km",IF(J813&lt;=50,"1. Até 50 m",IF(J813&lt;=100,"2. De 50 a 100 m",IF(J813&lt;=200,"3. De 100 a 200 m",IF(J813&lt;=300,"4. De 200 a 300 m",IF(J813&lt;=500,"5. De 300 a 500 m","6. De 500 m a 2 km"))))))</f>
        <v>1. Até 50 m</v>
      </c>
      <c r="L813" s="26" t="n">
        <v>1</v>
      </c>
      <c r="M813" s="26" t="n">
        <v>1</v>
      </c>
      <c r="N813" s="26" t="n">
        <v>1</v>
      </c>
      <c r="O813" s="26" t="n">
        <v>2</v>
      </c>
      <c r="P813" s="30" t="n">
        <v>-12.1995103</v>
      </c>
      <c r="Q813" s="30" t="n">
        <v>-38.9664523</v>
      </c>
      <c r="R813" s="14" t="inlineStr">
        <is>
          <t>FÓRUM ELEITORAL - AVENIDA JOSÉ FALCÃO DA SILVA, SN, CJ MILTON GOMES. QUEIMADINHA. FEIRA DE SANTANA/BA</t>
        </is>
      </c>
      <c r="S813" s="26">
        <f>IF(A813=A812,0,1)</f>
        <v>0</v>
      </c>
      <c r="T813" s="26">
        <f>IF(COUNTIF($B$4:B813,B813)=1,1,0)</f>
        <v>0</v>
      </c>
    </row>
    <row r="814">
      <c r="A814" s="14" t="inlineStr">
        <is>
          <t>FEIRA DE SANTANA</t>
        </is>
      </c>
      <c r="B814" s="26" t="n">
        <v>156</v>
      </c>
      <c r="C814" s="26" t="n">
        <v>1961</v>
      </c>
      <c r="D814" s="14" t="inlineStr">
        <is>
          <t>COLÉGIO ESTADUAL DE TEMPO INTEGRAL PROFª ANA ANGÉLICA VERGNE DE MORAIS</t>
        </is>
      </c>
      <c r="E814" s="14" t="inlineStr">
        <is>
          <t>CAMPO LIMPO</t>
        </is>
      </c>
      <c r="F814" s="14" t="inlineStr">
        <is>
          <t>AV. TRANSNORDESTINA, S/N, DERBA</t>
        </is>
      </c>
      <c r="G814" s="27" t="inlineStr">
        <is>
          <t>44034-072</t>
        </is>
      </c>
      <c r="H814" s="15" t="n">
        <v>15</v>
      </c>
      <c r="I814" s="28" t="inlineStr">
        <is>
          <t>NÃO</t>
        </is>
      </c>
      <c r="J814" s="29" t="n">
        <v>635.2</v>
      </c>
      <c r="K814" s="14" t="str">
        <f>IF(J814="","7. Acima de 2 km",IF(J814&lt;=50,"1. Até 50 m",IF(J814&lt;=100,"2. De 50 a 100 m",IF(J814&lt;=200,"3. De 100 a 200 m",IF(J814&lt;=300,"4. De 200 a 300 m",IF(J814&lt;=500,"5. De 300 a 500 m","6. De 500 m a 2 km"))))))</f>
        <v>6. De 500 m a 2 km</v>
      </c>
      <c r="L814" s="26" t="n">
        <v>0</v>
      </c>
      <c r="M814" s="26" t="n">
        <v>0</v>
      </c>
      <c r="N814" s="26" t="n">
        <v>0</v>
      </c>
      <c r="O814" s="26" t="n">
        <v>0</v>
      </c>
      <c r="P814" s="30" t="n">
        <v>-12.2113664</v>
      </c>
      <c r="Q814" s="30" t="n">
        <v>-38.9660262</v>
      </c>
      <c r="R814" s="14" t="inlineStr">
        <is>
          <t>FÓRUM ELEITORAL - AVENIDA JOSÉ FALCÃO DA SILVA, SN, CJ MILTON GOMES. QUEIMADINHA. FEIRA DE SANTANA/BA</t>
        </is>
      </c>
      <c r="S814" s="26">
        <f>IF(A814=A813,0,1)</f>
        <v>0</v>
      </c>
      <c r="T814" s="26">
        <f>IF(COUNTIF($B$4:B814,B814)=1,1,0)</f>
        <v>0</v>
      </c>
    </row>
    <row r="815">
      <c r="A815" s="14" t="inlineStr">
        <is>
          <t>FEIRA DE SANTANA</t>
        </is>
      </c>
      <c r="B815" s="26" t="n">
        <v>156</v>
      </c>
      <c r="C815" s="26" t="n">
        <v>1970</v>
      </c>
      <c r="D815" s="14" t="inlineStr">
        <is>
          <t>COLÉGIO ESTADUAL ERNESTO CARNEIRO RIBEIRO</t>
        </is>
      </c>
      <c r="E815" s="14" t="inlineStr">
        <is>
          <t>CALUMBI</t>
        </is>
      </c>
      <c r="F815" s="14" t="inlineStr">
        <is>
          <t>RUA A, S/N, FEIRA IV - ZONA URBANA</t>
        </is>
      </c>
      <c r="G815" s="27" t="inlineStr">
        <is>
          <t>44008-010</t>
        </is>
      </c>
      <c r="H815" s="15" t="n">
        <v>14</v>
      </c>
      <c r="I815" s="28" t="inlineStr">
        <is>
          <t>NÃO</t>
        </is>
      </c>
      <c r="J815" s="29" t="n">
        <v>162.7</v>
      </c>
      <c r="K815" s="14" t="str">
        <f>IF(J815="","7. Acima de 2 km",IF(J815&lt;=50,"1. Até 50 m",IF(J815&lt;=100,"2. De 50 a 100 m",IF(J815&lt;=200,"3. De 100 a 200 m",IF(J815&lt;=300,"4. De 200 a 300 m",IF(J815&lt;=500,"5. De 300 a 500 m","6. De 500 m a 2 km"))))))</f>
        <v>3. De 100 a 200 m</v>
      </c>
      <c r="L815" s="26" t="n">
        <v>0</v>
      </c>
      <c r="M815" s="26" t="n">
        <v>0</v>
      </c>
      <c r="N815" s="26" t="n">
        <v>1</v>
      </c>
      <c r="O815" s="26" t="n">
        <v>2</v>
      </c>
      <c r="P815" s="30" t="n">
        <v>-12.2583312</v>
      </c>
      <c r="Q815" s="30" t="n">
        <v>-38.9753207</v>
      </c>
      <c r="R815" s="14" t="inlineStr">
        <is>
          <t>FÓRUM ELEITORAL - AVENIDA JOSÉ FALCÃO DA SILVA, SN, CJ MILTON GOMES. QUEIMADINHA. FEIRA DE SANTANA/BA</t>
        </is>
      </c>
      <c r="S815" s="26">
        <f>IF(A815=A814,0,1)</f>
        <v>0</v>
      </c>
      <c r="T815" s="26">
        <f>IF(COUNTIF($B$4:B815,B815)=1,1,0)</f>
        <v>0</v>
      </c>
    </row>
    <row r="816">
      <c r="A816" s="14" t="inlineStr">
        <is>
          <t>FEIRA DE SANTANA</t>
        </is>
      </c>
      <c r="B816" s="26" t="n">
        <v>156</v>
      </c>
      <c r="C816" s="26" t="n">
        <v>1988</v>
      </c>
      <c r="D816" s="14" t="inlineStr">
        <is>
          <t>ESCOLA MUNICIPAL ANA MARIA ALVES DOS SANTOS</t>
        </is>
      </c>
      <c r="E816" s="14" t="inlineStr">
        <is>
          <t>MUCHILA</t>
        </is>
      </c>
      <c r="F816" s="14" t="inlineStr">
        <is>
          <t>RUA  A, S/N, FEIRA X - ZONA URBANA</t>
        </is>
      </c>
      <c r="G816" s="27" t="inlineStr">
        <is>
          <t>44006-170</t>
        </is>
      </c>
      <c r="H816" s="15" t="n">
        <v>14</v>
      </c>
      <c r="I816" s="28" t="inlineStr">
        <is>
          <t>NÃO</t>
        </is>
      </c>
      <c r="J816" s="29" t="n">
        <v>233.9</v>
      </c>
      <c r="K816" s="14" t="str">
        <f>IF(J816="","7. Acima de 2 km",IF(J816&lt;=50,"1. Até 50 m",IF(J816&lt;=100,"2. De 50 a 100 m",IF(J816&lt;=200,"3. De 100 a 200 m",IF(J816&lt;=300,"4. De 200 a 300 m",IF(J816&lt;=500,"5. De 300 a 500 m","6. De 500 m a 2 km"))))))</f>
        <v>4. De 200 a 300 m</v>
      </c>
      <c r="L816" s="26" t="n">
        <v>0</v>
      </c>
      <c r="M816" s="26" t="n">
        <v>0</v>
      </c>
      <c r="N816" s="26" t="n">
        <v>0</v>
      </c>
      <c r="O816" s="26" t="n">
        <v>2</v>
      </c>
      <c r="P816" s="30" t="n">
        <v>-12.2732726</v>
      </c>
      <c r="Q816" s="30" t="n">
        <v>-38.9760617</v>
      </c>
      <c r="R816" s="14" t="inlineStr">
        <is>
          <t>FÓRUM ELEITORAL - AVENIDA JOSÉ FALCÃO DA SILVA, SN, CJ MILTON GOMES. QUEIMADINHA. FEIRA DE SANTANA/BA</t>
        </is>
      </c>
      <c r="S816" s="26">
        <f>IF(A816=A815,0,1)</f>
        <v>0</v>
      </c>
      <c r="T816" s="26">
        <f>IF(COUNTIF($B$4:B816,B816)=1,1,0)</f>
        <v>0</v>
      </c>
    </row>
    <row r="817">
      <c r="A817" s="14" t="inlineStr">
        <is>
          <t>FEIRA DE SANTANA</t>
        </is>
      </c>
      <c r="B817" s="26" t="n">
        <v>156</v>
      </c>
      <c r="C817" s="26" t="n">
        <v>1996</v>
      </c>
      <c r="D817" s="14" t="inlineStr">
        <is>
          <t>ESCOLA MUNICIPAL PROFESSORA ELI QUEIROZ DE OLIVEIRA</t>
        </is>
      </c>
      <c r="E817" s="14" t="inlineStr">
        <is>
          <t>GABRIELA</t>
        </is>
      </c>
      <c r="F817" s="14" t="inlineStr">
        <is>
          <t>AVENIDA HOMERO FIGUEIREDO, 100 - ZONA URBANA</t>
        </is>
      </c>
      <c r="G817" s="27" t="inlineStr">
        <is>
          <t>44028-354</t>
        </is>
      </c>
      <c r="H817" s="15" t="n">
        <v>11</v>
      </c>
      <c r="I817" s="28" t="inlineStr">
        <is>
          <t>NÃO</t>
        </is>
      </c>
      <c r="J817" s="29" t="n">
        <v>731.4</v>
      </c>
      <c r="K817" s="14" t="str">
        <f>IF(J817="","7. Acima de 2 km",IF(J817&lt;=50,"1. Até 50 m",IF(J817&lt;=100,"2. De 50 a 100 m",IF(J817&lt;=200,"3. De 100 a 200 m",IF(J817&lt;=300,"4. De 200 a 300 m",IF(J817&lt;=500,"5. De 300 a 500 m","6. De 500 m a 2 km"))))))</f>
        <v>6. De 500 m a 2 km</v>
      </c>
      <c r="L817" s="26" t="n">
        <v>0</v>
      </c>
      <c r="M817" s="26" t="n">
        <v>0</v>
      </c>
      <c r="N817" s="26" t="n">
        <v>0</v>
      </c>
      <c r="O817" s="26" t="n">
        <v>0</v>
      </c>
      <c r="P817" s="30" t="n">
        <v>-12.2288419</v>
      </c>
      <c r="Q817" s="30" t="n">
        <v>-38.9927043</v>
      </c>
      <c r="R817" s="14" t="inlineStr">
        <is>
          <t>FÓRUM ELEITORAL - AVENIDA JOSÉ FALCÃO DA SILVA, SN, CJ MILTON GOMES. QUEIMADINHA. FEIRA DE SANTANA/BA</t>
        </is>
      </c>
      <c r="S817" s="26">
        <f>IF(A817=A816,0,1)</f>
        <v>0</v>
      </c>
      <c r="T817" s="26">
        <f>IF(COUNTIF($B$4:B817,B817)=1,1,0)</f>
        <v>0</v>
      </c>
    </row>
    <row r="818">
      <c r="A818" s="14" t="inlineStr">
        <is>
          <t>FEIRA DE SANTANA</t>
        </is>
      </c>
      <c r="B818" s="26" t="n">
        <v>156</v>
      </c>
      <c r="C818" s="26" t="n">
        <v>2011</v>
      </c>
      <c r="D818" s="14" t="inlineStr">
        <is>
          <t>ESCOLA MUNICIPAL PROFESSOR CARLOS ALBERTO DO CARMO</t>
        </is>
      </c>
      <c r="E818" s="14" t="inlineStr">
        <is>
          <t>CALUMBI</t>
        </is>
      </c>
      <c r="F818" s="14" t="inlineStr">
        <is>
          <t>RUA E, S/N - CONJUNTO FEIRA IX - ZONA URBANA</t>
        </is>
      </c>
      <c r="G818" s="27" t="inlineStr">
        <is>
          <t>44009-310</t>
        </is>
      </c>
      <c r="H818" s="15" t="n">
        <v>8</v>
      </c>
      <c r="I818" s="28" t="inlineStr">
        <is>
          <t>NÃO</t>
        </is>
      </c>
      <c r="J818" s="29" t="n">
        <v>433.3</v>
      </c>
      <c r="K818" s="14" t="str">
        <f>IF(J818="","7. Acima de 2 km",IF(J818&lt;=50,"1. Até 50 m",IF(J818&lt;=100,"2. De 50 a 100 m",IF(J818&lt;=200,"3. De 100 a 200 m",IF(J818&lt;=300,"4. De 200 a 300 m",IF(J818&lt;=500,"5. De 300 a 500 m","6. De 500 m a 2 km"))))))</f>
        <v>5. De 300 a 500 m</v>
      </c>
      <c r="L818" s="26" t="n">
        <v>0</v>
      </c>
      <c r="M818" s="26" t="n">
        <v>0</v>
      </c>
      <c r="N818" s="26" t="n">
        <v>0</v>
      </c>
      <c r="O818" s="26" t="n">
        <v>0</v>
      </c>
      <c r="P818" s="30" t="n">
        <v>-12.2564368</v>
      </c>
      <c r="Q818" s="30" t="n">
        <v>-38.9866527</v>
      </c>
      <c r="R818" s="14" t="inlineStr">
        <is>
          <t>FÓRUM ELEITORAL - AVENIDA JOSÉ FALCÃO DA SILVA, SN, CJ MILTON GOMES. QUEIMADINHA. FEIRA DE SANTANA/BA</t>
        </is>
      </c>
      <c r="S818" s="26">
        <f>IF(A818=A817,0,1)</f>
        <v>0</v>
      </c>
      <c r="T818" s="26">
        <f>IF(COUNTIF($B$4:B818,B818)=1,1,0)</f>
        <v>0</v>
      </c>
    </row>
    <row r="819">
      <c r="A819" s="14" t="inlineStr">
        <is>
          <t>FEIRA DE SANTANA</t>
        </is>
      </c>
      <c r="B819" s="26" t="n">
        <v>156</v>
      </c>
      <c r="C819" s="26" t="n">
        <v>2020</v>
      </c>
      <c r="D819" s="14" t="inlineStr">
        <is>
          <t>ESCOLA MUNICIPAL JACYRA ALMEIDA SANTOS</t>
        </is>
      </c>
      <c r="E819" s="14" t="inlineStr">
        <is>
          <t>CALUMBI</t>
        </is>
      </c>
      <c r="F819" s="14" t="inlineStr">
        <is>
          <t>RUA C, S/N, CONJUNTO FEIRA IV - ZONA URBANA</t>
        </is>
      </c>
      <c r="G819" s="27" t="inlineStr">
        <is>
          <t>44008-090</t>
        </is>
      </c>
      <c r="H819" s="15" t="n">
        <v>4</v>
      </c>
      <c r="I819" s="28" t="inlineStr">
        <is>
          <t>NÃO</t>
        </is>
      </c>
      <c r="J819" s="29" t="n">
        <v>174.2</v>
      </c>
      <c r="K819" s="14" t="str">
        <f>IF(J819="","7. Acima de 2 km",IF(J819&lt;=50,"1. Até 50 m",IF(J819&lt;=100,"2. De 50 a 100 m",IF(J819&lt;=200,"3. De 100 a 200 m",IF(J819&lt;=300,"4. De 200 a 300 m",IF(J819&lt;=500,"5. De 300 a 500 m","6. De 500 m a 2 km"))))))</f>
        <v>3. De 100 a 200 m</v>
      </c>
      <c r="L819" s="26" t="n">
        <v>0</v>
      </c>
      <c r="M819" s="26" t="n">
        <v>0</v>
      </c>
      <c r="N819" s="26" t="n">
        <v>1</v>
      </c>
      <c r="O819" s="26" t="n">
        <v>1</v>
      </c>
      <c r="P819" s="30" t="n">
        <v>-12.2590773</v>
      </c>
      <c r="Q819" s="30" t="n">
        <v>-38.9743798</v>
      </c>
      <c r="R819" s="14" t="inlineStr">
        <is>
          <t>FÓRUM ELEITORAL - AVENIDA JOSÉ FALCÃO DA SILVA, SN, CJ MILTON GOMES. QUEIMADINHA. FEIRA DE SANTANA/BA</t>
        </is>
      </c>
      <c r="S819" s="26">
        <f>IF(A819=A818,0,1)</f>
        <v>0</v>
      </c>
      <c r="T819" s="26">
        <f>IF(COUNTIF($B$4:B819,B819)=1,1,0)</f>
        <v>0</v>
      </c>
    </row>
    <row r="820">
      <c r="A820" s="14" t="inlineStr">
        <is>
          <t>FEIRA DE SANTANA</t>
        </is>
      </c>
      <c r="B820" s="26" t="n">
        <v>156</v>
      </c>
      <c r="C820" s="26" t="n">
        <v>2054</v>
      </c>
      <c r="D820" s="14" t="inlineStr">
        <is>
          <t>CENTRO MUNICIPAL DE EDUCAÇÃO INFANTIL HUGO NAVARRO SILVA</t>
        </is>
      </c>
      <c r="E820" s="14" t="inlineStr">
        <is>
          <t>MUCHILA</t>
        </is>
      </c>
      <c r="F820" s="14" t="inlineStr">
        <is>
          <t>RUA CONDOR, S/N, FEIRA X - ZONA URBANA</t>
        </is>
      </c>
      <c r="G820" s="27" t="inlineStr">
        <is>
          <t>44005-686</t>
        </is>
      </c>
      <c r="H820" s="15" t="n">
        <v>8</v>
      </c>
      <c r="I820" s="28" t="inlineStr">
        <is>
          <t>NÃO</t>
        </is>
      </c>
      <c r="J820" s="29" t="n">
        <v>286.7</v>
      </c>
      <c r="K820" s="14" t="str">
        <f>IF(J820="","7. Acima de 2 km",IF(J820&lt;=50,"1. Até 50 m",IF(J820&lt;=100,"2. De 50 a 100 m",IF(J820&lt;=200,"3. De 100 a 200 m",IF(J820&lt;=300,"4. De 200 a 300 m",IF(J820&lt;=500,"5. De 300 a 500 m","6. De 500 m a 2 km"))))))</f>
        <v>4. De 200 a 300 m</v>
      </c>
      <c r="L820" s="26" t="n">
        <v>0</v>
      </c>
      <c r="M820" s="26" t="n">
        <v>0</v>
      </c>
      <c r="N820" s="26" t="n">
        <v>0</v>
      </c>
      <c r="O820" s="26" t="n">
        <v>1</v>
      </c>
      <c r="P820" s="30" t="n">
        <v>-12.2758454</v>
      </c>
      <c r="Q820" s="30" t="n">
        <v>-38.972813</v>
      </c>
      <c r="R820" s="14" t="inlineStr">
        <is>
          <t>FÓRUM ELEITORAL - AVENIDA JOSÉ FALCÃO DA SILVA, SN, CJ MILTON GOMES. QUEIMADINHA. FEIRA DE SANTANA/BA</t>
        </is>
      </c>
      <c r="S820" s="26">
        <f>IF(A820=A819,0,1)</f>
        <v>0</v>
      </c>
      <c r="T820" s="26">
        <f>IF(COUNTIF($B$4:B820,B820)=1,1,0)</f>
        <v>0</v>
      </c>
    </row>
    <row r="821">
      <c r="A821" s="14" t="inlineStr">
        <is>
          <t>FEIRA DE SANTANA</t>
        </is>
      </c>
      <c r="B821" s="26" t="n">
        <v>156</v>
      </c>
      <c r="C821" s="26" t="n">
        <v>2160</v>
      </c>
      <c r="D821" s="14" t="inlineStr">
        <is>
          <t>ESCOLA MUNICIPAL ARTHUR MARTINS DA SILVA</t>
        </is>
      </c>
      <c r="E821" s="14" t="inlineStr">
        <is>
          <t>PEDRA FERRADA</t>
        </is>
      </c>
      <c r="F821" s="14" t="inlineStr">
        <is>
          <t>ESTRADA PEDRA FERRADA - ZONA URBANA</t>
        </is>
      </c>
      <c r="G821" s="27" t="inlineStr">
        <is>
          <t>44037-310</t>
        </is>
      </c>
      <c r="H821" s="15" t="n">
        <v>3</v>
      </c>
      <c r="I821" s="28" t="inlineStr">
        <is>
          <t>NÃO</t>
        </is>
      </c>
      <c r="J821" s="29" t="n">
        <v>727.8</v>
      </c>
      <c r="K821" s="14" t="str">
        <f>IF(J821="","7. Acima de 2 km",IF(J821&lt;=50,"1. Até 50 m",IF(J821&lt;=100,"2. De 50 a 100 m",IF(J821&lt;=200,"3. De 100 a 200 m",IF(J821&lt;=300,"4. De 200 a 300 m",IF(J821&lt;=500,"5. De 300 a 500 m","6. De 500 m a 2 km"))))))</f>
        <v>6. De 500 m a 2 km</v>
      </c>
      <c r="L821" s="26" t="n">
        <v>0</v>
      </c>
      <c r="M821" s="26" t="n">
        <v>0</v>
      </c>
      <c r="N821" s="26" t="n">
        <v>0</v>
      </c>
      <c r="O821" s="26" t="n">
        <v>0</v>
      </c>
      <c r="P821" s="30" t="n">
        <v>-12.1991149</v>
      </c>
      <c r="Q821" s="30" t="n">
        <v>-39.003719</v>
      </c>
      <c r="R821" s="14" t="inlineStr">
        <is>
          <t>FÓRUM ELEITORAL - AVENIDA JOSÉ FALCÃO DA SILVA, SN, CJ MILTON GOMES. QUEIMADINHA. FEIRA DE SANTANA/BA</t>
        </is>
      </c>
      <c r="S821" s="26">
        <f>IF(A821=A820,0,1)</f>
        <v>0</v>
      </c>
      <c r="T821" s="26">
        <f>IF(COUNTIF($B$4:B821,B821)=1,1,0)</f>
        <v>0</v>
      </c>
    </row>
    <row r="822">
      <c r="A822" s="14" t="inlineStr">
        <is>
          <t>FEIRA DE SANTANA</t>
        </is>
      </c>
      <c r="B822" s="26" t="n">
        <v>156</v>
      </c>
      <c r="C822" s="26" t="n">
        <v>2178</v>
      </c>
      <c r="D822" s="14" t="inlineStr">
        <is>
          <t>ESCOLA MUNICIPAL DRA. MARGARIDA LISBOA DE OLIVEIRA</t>
        </is>
      </c>
      <c r="E822" s="14" t="inlineStr">
        <is>
          <t>GABRIELA</t>
        </is>
      </c>
      <c r="F822" s="14" t="inlineStr">
        <is>
          <t>RUA BRAVO, S/N - ZONA URBANA</t>
        </is>
      </c>
      <c r="G822" s="27" t="inlineStr">
        <is>
          <t>44028-300</t>
        </is>
      </c>
      <c r="H822" s="15" t="n">
        <v>5</v>
      </c>
      <c r="I822" s="28" t="inlineStr">
        <is>
          <t>NÃO</t>
        </is>
      </c>
      <c r="J822" s="29" t="n">
        <v>591</v>
      </c>
      <c r="K822" s="14" t="str">
        <f>IF(J822="","7. Acima de 2 km",IF(J822&lt;=50,"1. Até 50 m",IF(J822&lt;=100,"2. De 50 a 100 m",IF(J822&lt;=200,"3. De 100 a 200 m",IF(J822&lt;=300,"4. De 200 a 300 m",IF(J822&lt;=500,"5. De 300 a 500 m","6. De 500 m a 2 km"))))))</f>
        <v>6. De 500 m a 2 km</v>
      </c>
      <c r="L822" s="26" t="n">
        <v>0</v>
      </c>
      <c r="M822" s="26" t="n">
        <v>0</v>
      </c>
      <c r="N822" s="26" t="n">
        <v>0</v>
      </c>
      <c r="O822" s="26" t="n">
        <v>0</v>
      </c>
      <c r="P822" s="30" t="n">
        <v>-12.2329575</v>
      </c>
      <c r="Q822" s="30" t="n">
        <v>-38.9844945</v>
      </c>
      <c r="R822" s="14" t="inlineStr">
        <is>
          <t>FÓRUM ELEITORAL - AVENIDA JOSÉ FALCÃO DA SILVA, SN, CJ MILTON GOMES. QUEIMADINHA. FEIRA DE SANTANA/BA</t>
        </is>
      </c>
      <c r="S822" s="26">
        <f>IF(A822=A821,0,1)</f>
        <v>0</v>
      </c>
      <c r="T822" s="26">
        <f>IF(COUNTIF($B$4:B822,B822)=1,1,0)</f>
        <v>0</v>
      </c>
    </row>
    <row r="823">
      <c r="A823" s="14" t="inlineStr">
        <is>
          <t>FEIRA DE SANTANA</t>
        </is>
      </c>
      <c r="B823" s="26" t="n">
        <v>156</v>
      </c>
      <c r="C823" s="26" t="n">
        <v>2186</v>
      </c>
      <c r="D823" s="14" t="inlineStr">
        <is>
          <t>ESCOLA MUNICIPAL FABÍOLA VITAL</t>
        </is>
      </c>
      <c r="E823" s="14" t="inlineStr">
        <is>
          <t>CAMPO LIMPO</t>
        </is>
      </c>
      <c r="F823" s="14" t="inlineStr">
        <is>
          <t>RUA JORGE CERQUEIRA MASCARENHAS, S/N - ZONA URBANA</t>
        </is>
      </c>
      <c r="G823" s="27" t="inlineStr">
        <is>
          <t>44032-356</t>
        </is>
      </c>
      <c r="H823" s="15" t="n">
        <v>5</v>
      </c>
      <c r="I823" s="28" t="inlineStr">
        <is>
          <t>NÃO</t>
        </is>
      </c>
      <c r="J823" s="29" t="n">
        <v>278.4</v>
      </c>
      <c r="K823" s="14" t="str">
        <f>IF(J823="","7. Acima de 2 km",IF(J823&lt;=50,"1. Até 50 m",IF(J823&lt;=100,"2. De 50 a 100 m",IF(J823&lt;=200,"3. De 100 a 200 m",IF(J823&lt;=300,"4. De 200 a 300 m",IF(J823&lt;=500,"5. De 300 a 500 m","6. De 500 m a 2 km"))))))</f>
        <v>4. De 200 a 300 m</v>
      </c>
      <c r="L823" s="26" t="n">
        <v>0</v>
      </c>
      <c r="M823" s="26" t="n">
        <v>0</v>
      </c>
      <c r="N823" s="26" t="n">
        <v>0</v>
      </c>
      <c r="O823" s="26" t="n">
        <v>1</v>
      </c>
      <c r="P823" s="30" t="n">
        <v>-12.2296702</v>
      </c>
      <c r="Q823" s="30" t="n">
        <v>-38.9662355</v>
      </c>
      <c r="R823" s="14" t="inlineStr">
        <is>
          <t>FÓRUM ELEITORAL - AVENIDA JOSÉ FALCÃO DA SILVA, SN, CJ MILTON GOMES. QUEIMADINHA. FEIRA DE SANTANA/BA</t>
        </is>
      </c>
      <c r="S823" s="26">
        <f>IF(A823=A822,0,1)</f>
        <v>0</v>
      </c>
      <c r="T823" s="26">
        <f>IF(COUNTIF($B$4:B823,B823)=1,1,0)</f>
        <v>0</v>
      </c>
    </row>
    <row r="824">
      <c r="A824" s="14" t="inlineStr">
        <is>
          <t>FEIRA DE SANTANA</t>
        </is>
      </c>
      <c r="B824" s="26" t="n">
        <v>157</v>
      </c>
      <c r="C824" s="26" t="n">
        <v>1015</v>
      </c>
      <c r="D824" s="14" t="inlineStr">
        <is>
          <t>COLÉGIO ESTADUAL DE FEIRA DE SANTANA</t>
        </is>
      </c>
      <c r="E824" s="14" t="inlineStr">
        <is>
          <t>CENTRO</t>
        </is>
      </c>
      <c r="F824" s="14" t="inlineStr">
        <is>
          <t>RUA JURACY MAGALHÃES JÚNIOR, S/N - ZONA URBANA</t>
        </is>
      </c>
      <c r="G824" s="27" t="inlineStr">
        <is>
          <t>44001-360</t>
        </is>
      </c>
      <c r="H824" s="15" t="n">
        <v>18</v>
      </c>
      <c r="I824" s="28" t="inlineStr">
        <is>
          <t>NÃO</t>
        </is>
      </c>
      <c r="J824" s="29" t="n">
        <v>105.6</v>
      </c>
      <c r="K824" s="14" t="str">
        <f>IF(J824="","7. Acima de 2 km",IF(J824&lt;=50,"1. Até 50 m",IF(J824&lt;=100,"2. De 50 a 100 m",IF(J824&lt;=200,"3. De 100 a 200 m",IF(J824&lt;=300,"4. De 200 a 300 m",IF(J824&lt;=500,"5. De 300 a 500 m","6. De 500 m a 2 km"))))))</f>
        <v>3. De 100 a 200 m</v>
      </c>
      <c r="L824" s="26" t="n">
        <v>0</v>
      </c>
      <c r="M824" s="26" t="n">
        <v>0</v>
      </c>
      <c r="N824" s="26" t="n">
        <v>3</v>
      </c>
      <c r="O824" s="26" t="n">
        <v>5</v>
      </c>
      <c r="P824" s="30" t="n">
        <v>-12.2592138</v>
      </c>
      <c r="Q824" s="30" t="n">
        <v>-38.9552486</v>
      </c>
      <c r="R824" s="14" t="inlineStr">
        <is>
          <t>CARTÓRIO ELEITORAL DA 157ª ZONA ELEITORAL, AVENIDA JOSÉ FALCÃO DA SILVA, S/N, BAIRRO QUEIMADINHA, FEIRA DE SANTANA/BA</t>
        </is>
      </c>
      <c r="S824" s="26">
        <f>IF(A824=A823,0,1)</f>
        <v>0</v>
      </c>
      <c r="T824" s="26">
        <f>IF(COUNTIF($B$4:B824,B824)=1,1,0)</f>
        <v>1</v>
      </c>
    </row>
    <row r="825">
      <c r="A825" s="14" t="inlineStr">
        <is>
          <t>FEIRA DE SANTANA</t>
        </is>
      </c>
      <c r="B825" s="26" t="n">
        <v>157</v>
      </c>
      <c r="C825" s="26" t="n">
        <v>1031</v>
      </c>
      <c r="D825" s="14" t="inlineStr">
        <is>
          <t>INSTITUTO DE EDUCAÇÃO GASTÃO GUIMARÃES</t>
        </is>
      </c>
      <c r="E825" s="14" t="inlineStr">
        <is>
          <t>CENTRO</t>
        </is>
      </c>
      <c r="F825" s="14" t="inlineStr">
        <is>
          <t>AV SAMPAIO, S/N - ZONA URBANA</t>
        </is>
      </c>
      <c r="G825" s="27" t="inlineStr">
        <is>
          <t>44001-472</t>
        </is>
      </c>
      <c r="H825" s="15" t="n">
        <v>29</v>
      </c>
      <c r="I825" s="28" t="inlineStr">
        <is>
          <t>SIM</t>
        </is>
      </c>
      <c r="J825" s="29" t="n">
        <v>93</v>
      </c>
      <c r="K825" s="14" t="str">
        <f>IF(J825="","7. Acima de 2 km",IF(J825&lt;=50,"1. Até 50 m",IF(J825&lt;=100,"2. De 50 a 100 m",IF(J825&lt;=200,"3. De 100 a 200 m",IF(J825&lt;=300,"4. De 200 a 300 m",IF(J825&lt;=500,"5. De 300 a 500 m","6. De 500 m a 2 km"))))))</f>
        <v>2. De 50 a 100 m</v>
      </c>
      <c r="L825" s="26" t="n">
        <v>0</v>
      </c>
      <c r="M825" s="26" t="n">
        <v>1</v>
      </c>
      <c r="N825" s="26" t="n">
        <v>5</v>
      </c>
      <c r="O825" s="26" t="n">
        <v>11</v>
      </c>
      <c r="P825" s="30" t="n">
        <v>-12.2576227</v>
      </c>
      <c r="Q825" s="30" t="n">
        <v>-38.957376</v>
      </c>
      <c r="R825" s="14" t="inlineStr">
        <is>
          <t>CARTÓRIO ELEITORAL DA 157ª ZONA ELEITORAL, AVENIDA JOSÉ FALCÃO DA SILVA, S/N, BAIRRO QUEIMADINHA, FEIRA DE SANTANA/BA</t>
        </is>
      </c>
      <c r="S825" s="26">
        <f>IF(A825=A824,0,1)</f>
        <v>0</v>
      </c>
      <c r="T825" s="26">
        <f>IF(COUNTIF($B$4:B825,B825)=1,1,0)</f>
        <v>0</v>
      </c>
    </row>
    <row r="826">
      <c r="A826" s="14" t="inlineStr">
        <is>
          <t>FEIRA DE SANTANA</t>
        </is>
      </c>
      <c r="B826" s="26" t="n">
        <v>157</v>
      </c>
      <c r="C826" s="26" t="n">
        <v>1040</v>
      </c>
      <c r="D826" s="14" t="inlineStr">
        <is>
          <t>COLÉGIO ESTADUAL JOÃO BARBOSA DE CARVALHO</t>
        </is>
      </c>
      <c r="E826" s="14" t="inlineStr">
        <is>
          <t>CENTRO</t>
        </is>
      </c>
      <c r="F826" s="14" t="inlineStr">
        <is>
          <t>RUA FARMACEUTICO JOSÉ ALVES, 484 (TANQUE DA NAÇÃO ) - ZONA URBANA</t>
        </is>
      </c>
      <c r="G826" s="27" t="inlineStr">
        <is>
          <t>44002-844</t>
        </is>
      </c>
      <c r="H826" s="15" t="n">
        <v>16</v>
      </c>
      <c r="I826" s="28" t="inlineStr">
        <is>
          <t>NÃO</t>
        </is>
      </c>
      <c r="J826" s="29" t="n">
        <v>241.4</v>
      </c>
      <c r="K826" s="14" t="str">
        <f>IF(J826="","7. Acima de 2 km",IF(J826&lt;=50,"1. Até 50 m",IF(J826&lt;=100,"2. De 50 a 100 m",IF(J826&lt;=200,"3. De 100 a 200 m",IF(J826&lt;=300,"4. De 200 a 300 m",IF(J826&lt;=500,"5. De 300 a 500 m","6. De 500 m a 2 km"))))))</f>
        <v>4. De 200 a 300 m</v>
      </c>
      <c r="L826" s="26" t="n">
        <v>0</v>
      </c>
      <c r="M826" s="26" t="n">
        <v>0</v>
      </c>
      <c r="N826" s="26" t="n">
        <v>0</v>
      </c>
      <c r="O826" s="26" t="n">
        <v>3</v>
      </c>
      <c r="P826" s="30" t="n">
        <v>-12.2566336</v>
      </c>
      <c r="Q826" s="30" t="n">
        <v>-38.9700696</v>
      </c>
      <c r="R826" s="14" t="inlineStr">
        <is>
          <t>CARTÓRIO ELEITORAL DA 157ª ZONA ELEITORAL, AVENIDA JOSÉ FALCÃO DA SILVA, S/N, BAIRRO QUEIMADINHA, FEIRA DE SANTANA/BA</t>
        </is>
      </c>
      <c r="S826" s="26">
        <f>IF(A826=A825,0,1)</f>
        <v>0</v>
      </c>
      <c r="T826" s="26">
        <f>IF(COUNTIF($B$4:B826,B826)=1,1,0)</f>
        <v>0</v>
      </c>
    </row>
    <row r="827">
      <c r="A827" s="14" t="inlineStr">
        <is>
          <t>FEIRA DE SANTANA</t>
        </is>
      </c>
      <c r="B827" s="26" t="n">
        <v>157</v>
      </c>
      <c r="C827" s="26" t="n">
        <v>1066</v>
      </c>
      <c r="D827" s="14" t="inlineStr">
        <is>
          <t>CENTRO UNIVERSITÁRIO DE CULTURA E ARTE - CUCA</t>
        </is>
      </c>
      <c r="E827" s="14" t="inlineStr">
        <is>
          <t>CENTRO</t>
        </is>
      </c>
      <c r="F827" s="14" t="inlineStr">
        <is>
          <t>RUA CONSELHEIRO FRANCO, N 66 - ZONA URBANA</t>
        </is>
      </c>
      <c r="G827" s="27" t="inlineStr">
        <is>
          <t>44002-128</t>
        </is>
      </c>
      <c r="H827" s="15" t="n">
        <v>8</v>
      </c>
      <c r="I827" s="28" t="inlineStr">
        <is>
          <t>NÃO</t>
        </is>
      </c>
      <c r="J827" s="29" t="n">
        <v>252.7</v>
      </c>
      <c r="K827" s="14" t="str">
        <f>IF(J827="","7. Acima de 2 km",IF(J827&lt;=50,"1. Até 50 m",IF(J827&lt;=100,"2. De 50 a 100 m",IF(J827&lt;=200,"3. De 100 a 200 m",IF(J827&lt;=300,"4. De 200 a 300 m",IF(J827&lt;=500,"5. De 300 a 500 m","6. De 500 m a 2 km"))))))</f>
        <v>4. De 200 a 300 m</v>
      </c>
      <c r="L827" s="26" t="n">
        <v>0</v>
      </c>
      <c r="M827" s="26" t="n">
        <v>0</v>
      </c>
      <c r="N827" s="26" t="n">
        <v>0</v>
      </c>
      <c r="O827" s="26" t="n">
        <v>4</v>
      </c>
      <c r="P827" s="30" t="n">
        <v>-12.2574602</v>
      </c>
      <c r="Q827" s="30" t="n">
        <v>-38.9679245</v>
      </c>
      <c r="R827" s="14" t="inlineStr">
        <is>
          <t>CARTÓRIO ELEITORAL DA 157ª ZONA ELEITORAL, AVENIDA JOSÉ FALCÃO DA SILVA, S/N, BAIRRO QUEIMADINHA, FEIRA DE SANTANA/BA</t>
        </is>
      </c>
      <c r="S827" s="26">
        <f>IF(A827=A826,0,1)</f>
        <v>0</v>
      </c>
      <c r="T827" s="26">
        <f>IF(COUNTIF($B$4:B827,B827)=1,1,0)</f>
        <v>0</v>
      </c>
    </row>
    <row r="828">
      <c r="A828" s="14" t="inlineStr">
        <is>
          <t>FEIRA DE SANTANA</t>
        </is>
      </c>
      <c r="B828" s="26" t="n">
        <v>157</v>
      </c>
      <c r="C828" s="26" t="n">
        <v>1074</v>
      </c>
      <c r="D828" s="14" t="inlineStr">
        <is>
          <t>ESCOLA DE 1º GRAU ERNESTINA CARNEIRO</t>
        </is>
      </c>
      <c r="E828" s="14" t="inlineStr">
        <is>
          <t>RUA NOVA</t>
        </is>
      </c>
      <c r="F828" s="14" t="inlineStr">
        <is>
          <t>RUA COELHO NETO, S/N - ZONA URBANA</t>
        </is>
      </c>
      <c r="G828" s="27" t="inlineStr">
        <is>
          <t>44023-216</t>
        </is>
      </c>
      <c r="H828" s="15" t="n">
        <v>10</v>
      </c>
      <c r="I828" s="28" t="inlineStr">
        <is>
          <t>NÃO</t>
        </is>
      </c>
      <c r="J828" s="29" t="n">
        <v>136.5</v>
      </c>
      <c r="K828" s="14" t="str">
        <f>IF(J828="","7. Acima de 2 km",IF(J828&lt;=50,"1. Até 50 m",IF(J828&lt;=100,"2. De 50 a 100 m",IF(J828&lt;=200,"3. De 100 a 200 m",IF(J828&lt;=300,"4. De 200 a 300 m",IF(J828&lt;=500,"5. De 300 a 500 m","6. De 500 m a 2 km"))))))</f>
        <v>3. De 100 a 200 m</v>
      </c>
      <c r="L828" s="26" t="n">
        <v>0</v>
      </c>
      <c r="M828" s="26" t="n">
        <v>0</v>
      </c>
      <c r="N828" s="26" t="n">
        <v>2</v>
      </c>
      <c r="O828" s="26" t="n">
        <v>4</v>
      </c>
      <c r="P828" s="30" t="n">
        <v>-12.2511749</v>
      </c>
      <c r="Q828" s="30" t="n">
        <v>-38.9767989</v>
      </c>
      <c r="R828" s="14" t="inlineStr">
        <is>
          <t>CARTÓRIO ELEITORAL DA 157ª ZONA ELEITORAL, AVENIDA JOSÉ FALCÃO DA SILVA, S/N, BAIRRO QUEIMADINHA, FEIRA DE SANTANA/BA</t>
        </is>
      </c>
      <c r="S828" s="26">
        <f>IF(A828=A827,0,1)</f>
        <v>0</v>
      </c>
      <c r="T828" s="26">
        <f>IF(COUNTIF($B$4:B828,B828)=1,1,0)</f>
        <v>0</v>
      </c>
    </row>
    <row r="829">
      <c r="A829" s="14" t="inlineStr">
        <is>
          <t>FEIRA DE SANTANA</t>
        </is>
      </c>
      <c r="B829" s="26" t="n">
        <v>157</v>
      </c>
      <c r="C829" s="26" t="n">
        <v>1082</v>
      </c>
      <c r="D829" s="14" t="inlineStr">
        <is>
          <t>ESCOLA MUNICIPAL TEREZA CUNHA SANTANA</t>
        </is>
      </c>
      <c r="E829" s="14" t="inlineStr">
        <is>
          <t>RUA NOVA</t>
        </is>
      </c>
      <c r="F829" s="14" t="inlineStr">
        <is>
          <t>AV TOMÉ DE SOUZA, SN - ZONA URBANA</t>
        </is>
      </c>
      <c r="G829" s="27" t="inlineStr">
        <is>
          <t>44023-684</t>
        </is>
      </c>
      <c r="H829" s="15" t="n">
        <v>8</v>
      </c>
      <c r="I829" s="28" t="inlineStr">
        <is>
          <t>NÃO</t>
        </is>
      </c>
      <c r="J829" s="29" t="n">
        <v>165.2</v>
      </c>
      <c r="K829" s="14" t="str">
        <f>IF(J829="","7. Acima de 2 km",IF(J829&lt;=50,"1. Até 50 m",IF(J829&lt;=100,"2. De 50 a 100 m",IF(J829&lt;=200,"3. De 100 a 200 m",IF(J829&lt;=300,"4. De 200 a 300 m",IF(J829&lt;=500,"5. De 300 a 500 m","6. De 500 m a 2 km"))))))</f>
        <v>3. De 100 a 200 m</v>
      </c>
      <c r="L829" s="26" t="n">
        <v>0</v>
      </c>
      <c r="M829" s="26" t="n">
        <v>0</v>
      </c>
      <c r="N829" s="26" t="n">
        <v>1</v>
      </c>
      <c r="O829" s="26" t="n">
        <v>3</v>
      </c>
      <c r="P829" s="30" t="n">
        <v>-12.2517894</v>
      </c>
      <c r="Q829" s="30" t="n">
        <v>-38.9817297</v>
      </c>
      <c r="R829" s="14" t="inlineStr">
        <is>
          <t>CARTÓRIO ELEITORAL DA 157ª ZONA ELEITORAL, AVENIDA JOSÉ FALCÃO DA SILVA, S/N, BAIRRO QUEIMADINHA, FEIRA DE SANTANA/BA</t>
        </is>
      </c>
      <c r="S829" s="26">
        <f>IF(A829=A828,0,1)</f>
        <v>0</v>
      </c>
      <c r="T829" s="26">
        <f>IF(COUNTIF($B$4:B829,B829)=1,1,0)</f>
        <v>0</v>
      </c>
    </row>
    <row r="830">
      <c r="A830" s="14" t="inlineStr">
        <is>
          <t>FEIRA DE SANTANA</t>
        </is>
      </c>
      <c r="B830" s="26" t="n">
        <v>157</v>
      </c>
      <c r="C830" s="26" t="n">
        <v>1112</v>
      </c>
      <c r="D830" s="14" t="inlineStr">
        <is>
          <t>COLEGIO ESTADUAL DE TEMPO INTEGRAL DE FEIRA DE SANTANA</t>
        </is>
      </c>
      <c r="E830" s="14" t="inlineStr">
        <is>
          <t>AVIÁRIO</t>
        </is>
      </c>
      <c r="F830" s="14" t="inlineStr">
        <is>
          <t>RUA OLNEY ALBERTO SÃO PAULO, N 3031 - ZONA URBANA</t>
        </is>
      </c>
      <c r="G830" s="27" t="inlineStr">
        <is>
          <t>44095-400</t>
        </is>
      </c>
      <c r="H830" s="15" t="n">
        <v>12</v>
      </c>
      <c r="I830" s="28" t="inlineStr">
        <is>
          <t>NÃO</t>
        </is>
      </c>
      <c r="J830" s="29" t="n">
        <v>161.7</v>
      </c>
      <c r="K830" s="14" t="str">
        <f>IF(J830="","7. Acima de 2 km",IF(J830&lt;=50,"1. Até 50 m",IF(J830&lt;=100,"2. De 50 a 100 m",IF(J830&lt;=200,"3. De 100 a 200 m",IF(J830&lt;=300,"4. De 200 a 300 m",IF(J830&lt;=500,"5. De 300 a 500 m","6. De 500 m a 2 km"))))))</f>
        <v>3. De 100 a 200 m</v>
      </c>
      <c r="L830" s="26" t="n">
        <v>0</v>
      </c>
      <c r="M830" s="26" t="n">
        <v>0</v>
      </c>
      <c r="N830" s="26" t="n">
        <v>1</v>
      </c>
      <c r="O830" s="26" t="n">
        <v>1</v>
      </c>
      <c r="P830" s="30" t="n">
        <v>-12.2957275</v>
      </c>
      <c r="Q830" s="30" t="n">
        <v>-38.9219972</v>
      </c>
      <c r="R830" s="14" t="inlineStr">
        <is>
          <t>CARTÓRIO ELEITORAL DA 157ª ZONA ELEITORAL, AVENIDA JOSÉ FALCÃO DA SILVA, S/N, BAIRRO QUEIMADINHA, FEIRA DE SANTANA/BA</t>
        </is>
      </c>
      <c r="S830" s="26">
        <f>IF(A830=A829,0,1)</f>
        <v>0</v>
      </c>
      <c r="T830" s="26">
        <f>IF(COUNTIF($B$4:B830,B830)=1,1,0)</f>
        <v>0</v>
      </c>
    </row>
    <row r="831">
      <c r="A831" s="14" t="inlineStr">
        <is>
          <t>FEIRA DE SANTANA</t>
        </is>
      </c>
      <c r="B831" s="26" t="n">
        <v>157</v>
      </c>
      <c r="C831" s="26" t="n">
        <v>1120</v>
      </c>
      <c r="D831" s="14" t="inlineStr">
        <is>
          <t>ESCOLA ESTADUAL CAROLINA MARIA DE JESUS</t>
        </is>
      </c>
      <c r="E831" s="14" t="inlineStr">
        <is>
          <t>FRATERNIDADE</t>
        </is>
      </c>
      <c r="F831" s="14" t="inlineStr">
        <is>
          <t>RUA SALMO 39, S/N - ZONA URBANA</t>
        </is>
      </c>
      <c r="G831" s="27" t="inlineStr">
        <is>
          <t>44092-636</t>
        </is>
      </c>
      <c r="H831" s="15" t="n">
        <v>18</v>
      </c>
      <c r="I831" s="28" t="inlineStr">
        <is>
          <t>SIM</t>
        </is>
      </c>
      <c r="J831" s="29" t="n">
        <v>64.5</v>
      </c>
      <c r="K831" s="14" t="str">
        <f>IF(J831="","7. Acima de 2 km",IF(J831&lt;=50,"1. Até 50 m",IF(J831&lt;=100,"2. De 50 a 100 m",IF(J831&lt;=200,"3. De 100 a 200 m",IF(J831&lt;=300,"4. De 200 a 300 m",IF(J831&lt;=500,"5. De 300 a 500 m","6. De 500 m a 2 km"))))))</f>
        <v>2. De 50 a 100 m</v>
      </c>
      <c r="L831" s="26" t="n">
        <v>0</v>
      </c>
      <c r="M831" s="26" t="n">
        <v>1</v>
      </c>
      <c r="N831" s="26" t="n">
        <v>1</v>
      </c>
      <c r="O831" s="26" t="n">
        <v>1</v>
      </c>
      <c r="P831" s="30" t="n">
        <v>-12.3053045</v>
      </c>
      <c r="Q831" s="30" t="n">
        <v>-38.9539856</v>
      </c>
      <c r="R831" s="14" t="inlineStr">
        <is>
          <t>CARTÓRIO ELEITORAL DA 157ª ZONA ELEITORAL, AVENIDA JOSÉ FALCÃO DA SILVA, S/N, BAIRRO QUEIMADINHA, FEIRA DE SANTANA/BA</t>
        </is>
      </c>
      <c r="S831" s="26">
        <f>IF(A831=A830,0,1)</f>
        <v>0</v>
      </c>
      <c r="T831" s="26">
        <f>IF(COUNTIF($B$4:B831,B831)=1,1,0)</f>
        <v>0</v>
      </c>
    </row>
    <row r="832">
      <c r="A832" s="14" t="inlineStr">
        <is>
          <t>FEIRA DE SANTANA</t>
        </is>
      </c>
      <c r="B832" s="26" t="n">
        <v>157</v>
      </c>
      <c r="C832" s="26" t="n">
        <v>1139</v>
      </c>
      <c r="D832" s="14" t="inlineStr">
        <is>
          <t>ESCOLA MUNICIPAL PROFA. VALDEMIRA ALVES BRITO</t>
        </is>
      </c>
      <c r="E832" s="14" t="inlineStr">
        <is>
          <t>TOMBA</t>
        </is>
      </c>
      <c r="F832" s="14" t="inlineStr">
        <is>
          <t>RUA VESPASIANO, S/N - ZONA URBANA</t>
        </is>
      </c>
      <c r="G832" s="27" t="inlineStr">
        <is>
          <t>44091-166</t>
        </is>
      </c>
      <c r="H832" s="15" t="n">
        <v>11</v>
      </c>
      <c r="I832" s="28" t="inlineStr">
        <is>
          <t>NÃO</t>
        </is>
      </c>
      <c r="J832" s="29" t="n">
        <v>657.2</v>
      </c>
      <c r="K832" s="14" t="str">
        <f>IF(J832="","7. Acima de 2 km",IF(J832&lt;=50,"1. Até 50 m",IF(J832&lt;=100,"2. De 50 a 100 m",IF(J832&lt;=200,"3. De 100 a 200 m",IF(J832&lt;=300,"4. De 200 a 300 m",IF(J832&lt;=500,"5. De 300 a 500 m","6. De 500 m a 2 km"))))))</f>
        <v>6. De 500 m a 2 km</v>
      </c>
      <c r="L832" s="26" t="n">
        <v>0</v>
      </c>
      <c r="M832" s="26" t="n">
        <v>0</v>
      </c>
      <c r="N832" s="26" t="n">
        <v>0</v>
      </c>
      <c r="O832" s="26" t="n">
        <v>0</v>
      </c>
      <c r="P832" s="30" t="n">
        <v>-12.2897945</v>
      </c>
      <c r="Q832" s="30" t="n">
        <v>-38.9512918</v>
      </c>
      <c r="R832" s="14" t="inlineStr">
        <is>
          <t>CARTÓRIO ELEITORAL DA 157ª ZONA ELEITORAL, AVENIDA JOSÉ FALCÃO DA SILVA, S/N, BAIRRO QUEIMADINHA, FEIRA DE SANTANA/BA</t>
        </is>
      </c>
      <c r="S832" s="26">
        <f>IF(A832=A831,0,1)</f>
        <v>0</v>
      </c>
      <c r="T832" s="26">
        <f>IF(COUNTIF($B$4:B832,B832)=1,1,0)</f>
        <v>0</v>
      </c>
    </row>
    <row r="833">
      <c r="A833" s="14" t="inlineStr">
        <is>
          <t>FEIRA DE SANTANA</t>
        </is>
      </c>
      <c r="B833" s="26" t="n">
        <v>157</v>
      </c>
      <c r="C833" s="26" t="n">
        <v>1155</v>
      </c>
      <c r="D833" s="14" t="inlineStr">
        <is>
          <t>ESCOLA IRMÃ ROSA APARECIDA</t>
        </is>
      </c>
      <c r="E833" s="14" t="inlineStr">
        <is>
          <t>JARDIM ACÁCIA</t>
        </is>
      </c>
      <c r="F833" s="14" t="inlineStr">
        <is>
          <t>RUA VÊNUS, 275 - ZONA URBANA</t>
        </is>
      </c>
      <c r="G833" s="27" t="inlineStr">
        <is>
          <t>44004-312</t>
        </is>
      </c>
      <c r="H833" s="15" t="n">
        <v>5</v>
      </c>
      <c r="I833" s="28" t="inlineStr">
        <is>
          <t>NÃO</t>
        </is>
      </c>
      <c r="J833" s="29" t="n">
        <v>592.8</v>
      </c>
      <c r="K833" s="14" t="str">
        <f>IF(J833="","7. Acima de 2 km",IF(J833&lt;=50,"1. Até 50 m",IF(J833&lt;=100,"2. De 50 a 100 m",IF(J833&lt;=200,"3. De 100 a 200 m",IF(J833&lt;=300,"4. De 200 a 300 m",IF(J833&lt;=500,"5. De 300 a 500 m","6. De 500 m a 2 km"))))))</f>
        <v>6. De 500 m a 2 km</v>
      </c>
      <c r="L833" s="26" t="n">
        <v>0</v>
      </c>
      <c r="M833" s="26" t="n">
        <v>0</v>
      </c>
      <c r="N833" s="26" t="n">
        <v>0</v>
      </c>
      <c r="O833" s="26" t="n">
        <v>0</v>
      </c>
      <c r="P833" s="30" t="n">
        <v>-12.268301</v>
      </c>
      <c r="Q833" s="30" t="n">
        <v>-38.9665127</v>
      </c>
      <c r="R833" s="14" t="inlineStr">
        <is>
          <t>CARTÓRIO ELEITORAL DA 157ª ZONA ELEITORAL, AVENIDA JOSÉ FALCÃO DA SILVA, S/N, BAIRRO QUEIMADINHA, FEIRA DE SANTANA/BA</t>
        </is>
      </c>
      <c r="S833" s="26">
        <f>IF(A833=A832,0,1)</f>
        <v>0</v>
      </c>
      <c r="T833" s="26">
        <f>IF(COUNTIF($B$4:B833,B833)=1,1,0)</f>
        <v>0</v>
      </c>
    </row>
    <row r="834">
      <c r="A834" s="14" t="inlineStr">
        <is>
          <t>FEIRA DE SANTANA</t>
        </is>
      </c>
      <c r="B834" s="26" t="n">
        <v>157</v>
      </c>
      <c r="C834" s="26" t="n">
        <v>1163</v>
      </c>
      <c r="D834" s="14" t="inlineStr">
        <is>
          <t>COLÉGIO ESTADUAL DE TEMPO INTEGRAL GEORGINA DE MELO ERISMANN</t>
        </is>
      </c>
      <c r="E834" s="14" t="inlineStr">
        <is>
          <t>OLHOS D'ÁGUA</t>
        </is>
      </c>
      <c r="F834" s="14" t="inlineStr">
        <is>
          <t>AVENIDA SENADOR QUINTINO, N 457, ZONA URBANA</t>
        </is>
      </c>
      <c r="G834" s="27" t="inlineStr">
        <is>
          <t>44003-615</t>
        </is>
      </c>
      <c r="H834" s="15" t="n">
        <v>12</v>
      </c>
      <c r="I834" s="28" t="inlineStr">
        <is>
          <t>NÃO</t>
        </is>
      </c>
      <c r="J834" s="29" t="n">
        <v>623.5</v>
      </c>
      <c r="K834" s="14" t="str">
        <f>IF(J834="","7. Acima de 2 km",IF(J834&lt;=50,"1. Até 50 m",IF(J834&lt;=100,"2. De 50 a 100 m",IF(J834&lt;=200,"3. De 100 a 200 m",IF(J834&lt;=300,"4. De 200 a 300 m",IF(J834&lt;=500,"5. De 300 a 500 m","6. De 500 m a 2 km"))))))</f>
        <v>6. De 500 m a 2 km</v>
      </c>
      <c r="L834" s="26" t="n">
        <v>0</v>
      </c>
      <c r="M834" s="26" t="n">
        <v>0</v>
      </c>
      <c r="N834" s="26" t="n">
        <v>0</v>
      </c>
      <c r="O834" s="26" t="n">
        <v>0</v>
      </c>
      <c r="P834" s="30" t="n">
        <v>-12.2667862</v>
      </c>
      <c r="Q834" s="30" t="n">
        <v>-38.9669589</v>
      </c>
      <c r="R834" s="14" t="inlineStr">
        <is>
          <t>CARTÓRIO ELEITORAL DA 157ª ZONA ELEITORAL, AVENIDA JOSÉ FALCÃO DA SILVA, S/N, BAIRRO QUEIMADINHA, FEIRA DE SANTANA/BA</t>
        </is>
      </c>
      <c r="S834" s="26">
        <f>IF(A834=A833,0,1)</f>
        <v>0</v>
      </c>
      <c r="T834" s="26">
        <f>IF(COUNTIF($B$4:B834,B834)=1,1,0)</f>
        <v>0</v>
      </c>
    </row>
    <row r="835">
      <c r="A835" s="14" t="inlineStr">
        <is>
          <t>FEIRA DE SANTANA</t>
        </is>
      </c>
      <c r="B835" s="26" t="n">
        <v>157</v>
      </c>
      <c r="C835" s="26" t="n">
        <v>1171</v>
      </c>
      <c r="D835" s="14" t="inlineStr">
        <is>
          <t>ESCOLA MUNICIPAL JOÃO MARINHO FALCÃO</t>
        </is>
      </c>
      <c r="E835" s="14" t="inlineStr">
        <is>
          <t>OLHOS D'ÁGUA</t>
        </is>
      </c>
      <c r="F835" s="14" t="inlineStr">
        <is>
          <t>RUA PROFESSOR ANTÔNIO GARCIA, 86 - ZONA URBANA</t>
        </is>
      </c>
      <c r="G835" s="27" t="inlineStr">
        <is>
          <t>44003-592</t>
        </is>
      </c>
      <c r="H835" s="15" t="n">
        <v>11</v>
      </c>
      <c r="I835" s="28" t="inlineStr">
        <is>
          <t>NÃO</t>
        </is>
      </c>
      <c r="J835" s="29" t="n">
        <v>257.2</v>
      </c>
      <c r="K835" s="14" t="str">
        <f>IF(J835="","7. Acima de 2 km",IF(J835&lt;=50,"1. Até 50 m",IF(J835&lt;=100,"2. De 50 a 100 m",IF(J835&lt;=200,"3. De 100 a 200 m",IF(J835&lt;=300,"4. De 200 a 300 m",IF(J835&lt;=500,"5. De 300 a 500 m","6. De 500 m a 2 km"))))))</f>
        <v>4. De 200 a 300 m</v>
      </c>
      <c r="L835" s="26" t="n">
        <v>0</v>
      </c>
      <c r="M835" s="26" t="n">
        <v>0</v>
      </c>
      <c r="N835" s="26" t="n">
        <v>0</v>
      </c>
      <c r="O835" s="26" t="n">
        <v>1</v>
      </c>
      <c r="P835" s="30" t="n">
        <v>-12.2687248</v>
      </c>
      <c r="Q835" s="30" t="n">
        <v>-38.9621035</v>
      </c>
      <c r="R835" s="14" t="inlineStr">
        <is>
          <t>CARTÓRIO ELEITORAL DA 157ª ZONA ELEITORAL, AVENIDA JOSÉ FALCÃO DA SILVA, S/N, BAIRRO QUEIMADINHA, FEIRA DE SANTANA/BA</t>
        </is>
      </c>
      <c r="S835" s="26">
        <f>IF(A835=A834,0,1)</f>
        <v>0</v>
      </c>
      <c r="T835" s="26">
        <f>IF(COUNTIF($B$4:B835,B835)=1,1,0)</f>
        <v>0</v>
      </c>
    </row>
    <row r="836">
      <c r="A836" s="14" t="inlineStr">
        <is>
          <t>FEIRA DE SANTANA</t>
        </is>
      </c>
      <c r="B836" s="26" t="n">
        <v>157</v>
      </c>
      <c r="C836" s="26" t="n">
        <v>1198</v>
      </c>
      <c r="D836" s="14" t="inlineStr">
        <is>
          <t>ESCOLA MUNICIPAL PROF. JOSÉ RAIMUNDO DE AZEVEDO - CAIC</t>
        </is>
      </c>
      <c r="E836" s="14" t="inlineStr">
        <is>
          <t>FEIRA VII</t>
        </is>
      </c>
      <c r="F836" s="14" t="inlineStr">
        <is>
          <t>AV. DOIS, S/N  - ZONA URBANA</t>
        </is>
      </c>
      <c r="G836" s="27" t="inlineStr">
        <is>
          <t>44091-620</t>
        </is>
      </c>
      <c r="H836" s="15" t="n">
        <v>16</v>
      </c>
      <c r="I836" s="28" t="inlineStr">
        <is>
          <t>NÃO</t>
        </is>
      </c>
      <c r="J836" s="29" t="n">
        <v>747.8</v>
      </c>
      <c r="K836" s="14" t="str">
        <f>IF(J836="","7. Acima de 2 km",IF(J836&lt;=50,"1. Até 50 m",IF(J836&lt;=100,"2. De 50 a 100 m",IF(J836&lt;=200,"3. De 100 a 200 m",IF(J836&lt;=300,"4. De 200 a 300 m",IF(J836&lt;=500,"5. De 300 a 500 m","6. De 500 m a 2 km"))))))</f>
        <v>6. De 500 m a 2 km</v>
      </c>
      <c r="L836" s="26" t="n">
        <v>0</v>
      </c>
      <c r="M836" s="26" t="n">
        <v>0</v>
      </c>
      <c r="N836" s="26" t="n">
        <v>0</v>
      </c>
      <c r="O836" s="26" t="n">
        <v>0</v>
      </c>
      <c r="P836" s="30" t="n">
        <v>-12.2987602</v>
      </c>
      <c r="Q836" s="30" t="n">
        <v>-38.9465105</v>
      </c>
      <c r="R836" s="14" t="inlineStr">
        <is>
          <t>CARTÓRIO ELEITORAL DA 157ª ZONA ELEITORAL, AVENIDA JOSÉ FALCÃO DA SILVA, S/N, BAIRRO QUEIMADINHA, FEIRA DE SANTANA/BA</t>
        </is>
      </c>
      <c r="S836" s="26">
        <f>IF(A836=A835,0,1)</f>
        <v>0</v>
      </c>
      <c r="T836" s="26">
        <f>IF(COUNTIF($B$4:B836,B836)=1,1,0)</f>
        <v>0</v>
      </c>
    </row>
    <row r="837">
      <c r="A837" s="14" t="inlineStr">
        <is>
          <t>FEIRA DE SANTANA</t>
        </is>
      </c>
      <c r="B837" s="26" t="n">
        <v>157</v>
      </c>
      <c r="C837" s="26" t="n">
        <v>1260</v>
      </c>
      <c r="D837" s="14" t="inlineStr">
        <is>
          <t>ESCOLA COMUNITÁRIA LUIS ALBERTO ( ANTIGA CÉLIDA)</t>
        </is>
      </c>
      <c r="E837" s="14" t="inlineStr">
        <is>
          <t>RUA NOVA</t>
        </is>
      </c>
      <c r="F837" s="14" t="inlineStr">
        <is>
          <t>RUA GÓES CALMON, N 475 - ZONA URBANA</t>
        </is>
      </c>
      <c r="G837" s="27" t="inlineStr">
        <is>
          <t>44023-095</t>
        </is>
      </c>
      <c r="H837" s="15" t="n">
        <v>5</v>
      </c>
      <c r="I837" s="28" t="inlineStr">
        <is>
          <t>NÃO</t>
        </is>
      </c>
      <c r="J837" s="29" t="n">
        <v>159.9</v>
      </c>
      <c r="K837" s="14" t="str">
        <f>IF(J837="","7. Acima de 2 km",IF(J837&lt;=50,"1. Até 50 m",IF(J837&lt;=100,"2. De 50 a 100 m",IF(J837&lt;=200,"3. De 100 a 200 m",IF(J837&lt;=300,"4. De 200 a 300 m",IF(J837&lt;=500,"5. De 300 a 500 m","6. De 500 m a 2 km"))))))</f>
        <v>3. De 100 a 200 m</v>
      </c>
      <c r="L837" s="26" t="n">
        <v>0</v>
      </c>
      <c r="M837" s="26" t="n">
        <v>0</v>
      </c>
      <c r="N837" s="26" t="n">
        <v>1</v>
      </c>
      <c r="O837" s="26" t="n">
        <v>2</v>
      </c>
      <c r="P837" s="30" t="n">
        <v>-12.2500562</v>
      </c>
      <c r="Q837" s="30" t="n">
        <v>-38.9728844</v>
      </c>
      <c r="R837" s="14" t="inlineStr">
        <is>
          <t>CARTÓRIO ELEITORAL DA 157ª ZONA ELEITORAL, AVENIDA JOSÉ FALCÃO DA SILVA, S/N, BAIRRO QUEIMADINHA, FEIRA DE SANTANA/BA</t>
        </is>
      </c>
      <c r="S837" s="26">
        <f>IF(A837=A836,0,1)</f>
        <v>0</v>
      </c>
      <c r="T837" s="26">
        <f>IF(COUNTIF($B$4:B837,B837)=1,1,0)</f>
        <v>0</v>
      </c>
    </row>
    <row r="838">
      <c r="A838" s="14" t="inlineStr">
        <is>
          <t>FEIRA DE SANTANA</t>
        </is>
      </c>
      <c r="B838" s="26" t="n">
        <v>157</v>
      </c>
      <c r="C838" s="26" t="n">
        <v>1279</v>
      </c>
      <c r="D838" s="14" t="inlineStr">
        <is>
          <t>ESCOLA MUNICIPAL PROF. ANTÔNIO ALVES LOPES</t>
        </is>
      </c>
      <c r="E838" s="14" t="inlineStr">
        <is>
          <t>VIVEIROS</t>
        </is>
      </c>
      <c r="F838" s="14" t="inlineStr">
        <is>
          <t>PRAÇA PRINCIPAL, S/N - ZONA URBANA</t>
        </is>
      </c>
      <c r="G838" s="27" t="inlineStr">
        <is>
          <t>44013-000</t>
        </is>
      </c>
      <c r="H838" s="15" t="n">
        <v>8</v>
      </c>
      <c r="I838" s="28" t="inlineStr">
        <is>
          <t>NÃO</t>
        </is>
      </c>
      <c r="J838" s="29" t="n">
        <v>999.9</v>
      </c>
      <c r="K838" s="14" t="str">
        <f>IF(J838="","7. Acima de 2 km",IF(J838&lt;=50,"1. Até 50 m",IF(J838&lt;=100,"2. De 50 a 100 m",IF(J838&lt;=200,"3. De 100 a 200 m",IF(J838&lt;=300,"4. De 200 a 300 m",IF(J838&lt;=500,"5. De 300 a 500 m","6. De 500 m a 2 km"))))))</f>
        <v>6. De 500 m a 2 km</v>
      </c>
      <c r="L838" s="26" t="n">
        <v>0</v>
      </c>
      <c r="M838" s="26" t="n">
        <v>0</v>
      </c>
      <c r="N838" s="26" t="n">
        <v>0</v>
      </c>
      <c r="O838" s="26" t="n">
        <v>0</v>
      </c>
      <c r="P838" s="30" t="n">
        <v>-12.2850083</v>
      </c>
      <c r="Q838" s="30" t="n">
        <v>-38.9859615</v>
      </c>
      <c r="R838" s="14" t="inlineStr">
        <is>
          <t>CARTÓRIO ELEITORAL DA 157ª ZONA ELEITORAL, AVENIDA JOSÉ FALCÃO DA SILVA, S/N, BAIRRO QUEIMADINHA, FEIRA DE SANTANA/BA</t>
        </is>
      </c>
      <c r="S838" s="26">
        <f>IF(A838=A837,0,1)</f>
        <v>0</v>
      </c>
      <c r="T838" s="26">
        <f>IF(COUNTIF($B$4:B838,B838)=1,1,0)</f>
        <v>0</v>
      </c>
    </row>
    <row r="839">
      <c r="A839" s="14" t="inlineStr">
        <is>
          <t>FEIRA DE SANTANA</t>
        </is>
      </c>
      <c r="B839" s="26" t="n">
        <v>157</v>
      </c>
      <c r="C839" s="26" t="n">
        <v>1287</v>
      </c>
      <c r="D839" s="14" t="inlineStr">
        <is>
          <t>PRISIONAL - CONJUNTO PENAL DE FEIRA DE SANTANA</t>
        </is>
      </c>
      <c r="E839" s="14" t="inlineStr">
        <is>
          <t>AVIÁRIO</t>
        </is>
      </c>
      <c r="F839" s="14" t="inlineStr">
        <is>
          <t>RUA SENADOR QUINTINO, S/N - ZONA URBANA</t>
        </is>
      </c>
      <c r="G839" s="27" t="inlineStr">
        <is>
          <t>44095-320</t>
        </is>
      </c>
      <c r="H839" s="15" t="n">
        <v>1</v>
      </c>
      <c r="I839" s="28" t="inlineStr">
        <is>
          <t>SIM</t>
        </is>
      </c>
      <c r="J839" s="29" t="n">
        <v>66.5</v>
      </c>
      <c r="K839" s="14" t="str">
        <f>IF(J839="","7. Acima de 2 km",IF(J839&lt;=50,"1. Até 50 m",IF(J839&lt;=100,"2. De 50 a 100 m",IF(J839&lt;=200,"3. De 100 a 200 m",IF(J839&lt;=300,"4. De 200 a 300 m",IF(J839&lt;=500,"5. De 300 a 500 m","6. De 500 m a 2 km"))))))</f>
        <v>2. De 50 a 100 m</v>
      </c>
      <c r="L839" s="26" t="n">
        <v>0</v>
      </c>
      <c r="M839" s="26" t="n">
        <v>3</v>
      </c>
      <c r="N839" s="26" t="n">
        <v>3</v>
      </c>
      <c r="O839" s="26" t="n">
        <v>6</v>
      </c>
      <c r="P839" s="30" t="n">
        <v>-12.2921096</v>
      </c>
      <c r="Q839" s="30" t="n">
        <v>-38.9286461</v>
      </c>
      <c r="R839" s="14" t="inlineStr">
        <is>
          <t>CARTÓRIO ELEITORAL DA 157ª ZONA ELEITORAL, AVENIDA JOSÉ FALCÃO DA SILVA, S/N, BAIRRO QUEIMADINHA, FEIRA DE SANTANA/BA</t>
        </is>
      </c>
      <c r="S839" s="26">
        <f>IF(A839=A838,0,1)</f>
        <v>0</v>
      </c>
      <c r="T839" s="26">
        <f>IF(COUNTIF($B$4:B839,B839)=1,1,0)</f>
        <v>0</v>
      </c>
    </row>
    <row r="840">
      <c r="A840" s="14" t="inlineStr">
        <is>
          <t>FEIRA DE SANTANA</t>
        </is>
      </c>
      <c r="B840" s="26" t="n">
        <v>157</v>
      </c>
      <c r="C840" s="26" t="n">
        <v>1295</v>
      </c>
      <c r="D840" s="14" t="inlineStr">
        <is>
          <t>ESCOLA MUNICIPAL MARIA DA GLÓRIA CARVALHO</t>
        </is>
      </c>
      <c r="E840" s="14" t="inlineStr">
        <is>
          <t>35 BI</t>
        </is>
      </c>
      <c r="F840" s="14" t="inlineStr">
        <is>
          <t>TRAVESSA POLITEAMA, S/N - ZONA URBANA</t>
        </is>
      </c>
      <c r="G840" s="27" t="inlineStr">
        <is>
          <t>44094-396</t>
        </is>
      </c>
      <c r="H840" s="15" t="n">
        <v>4</v>
      </c>
      <c r="I840" s="28" t="inlineStr">
        <is>
          <t>NÃO</t>
        </is>
      </c>
      <c r="J840" s="29" t="n">
        <v>499.2</v>
      </c>
      <c r="K840" s="14" t="str">
        <f>IF(J840="","7. Acima de 2 km",IF(J840&lt;=50,"1. Até 50 m",IF(J840&lt;=100,"2. De 50 a 100 m",IF(J840&lt;=200,"3. De 100 a 200 m",IF(J840&lt;=300,"4. De 200 a 300 m",IF(J840&lt;=500,"5. De 300 a 500 m","6. De 500 m a 2 km"))))))</f>
        <v>5. De 300 a 500 m</v>
      </c>
      <c r="L840" s="26" t="n">
        <v>0</v>
      </c>
      <c r="M840" s="26" t="n">
        <v>0</v>
      </c>
      <c r="N840" s="26" t="n">
        <v>0</v>
      </c>
      <c r="O840" s="26" t="n">
        <v>0</v>
      </c>
      <c r="P840" s="30" t="n">
        <v>-12.2794199</v>
      </c>
      <c r="Q840" s="30" t="n">
        <v>-38.9332921</v>
      </c>
      <c r="R840" s="14" t="inlineStr">
        <is>
          <t>CARTÓRIO ELEITORAL DA 157ª ZONA ELEITORAL, AVENIDA JOSÉ FALCÃO DA SILVA, S/N, BAIRRO QUEIMADINHA, FEIRA DE SANTANA/BA</t>
        </is>
      </c>
      <c r="S840" s="26">
        <f>IF(A840=A839,0,1)</f>
        <v>0</v>
      </c>
      <c r="T840" s="26">
        <f>IF(COUNTIF($B$4:B840,B840)=1,1,0)</f>
        <v>0</v>
      </c>
    </row>
    <row r="841">
      <c r="A841" s="14" t="inlineStr">
        <is>
          <t>FEIRA DE SANTANA</t>
        </is>
      </c>
      <c r="B841" s="26" t="n">
        <v>157</v>
      </c>
      <c r="C841" s="26" t="n">
        <v>1309</v>
      </c>
      <c r="D841" s="14" t="inlineStr">
        <is>
          <t>COLÉGIO ESTADUAL GEORGINA SOARES NASCIMENTO</t>
        </is>
      </c>
      <c r="E841" s="14" t="inlineStr">
        <is>
          <t>TOMBA</t>
        </is>
      </c>
      <c r="F841" s="14" t="inlineStr">
        <is>
          <t>RUA DO SALVADOR, S/N - ZONA URBANA</t>
        </is>
      </c>
      <c r="G841" s="27" t="inlineStr">
        <is>
          <t>44090-056</t>
        </is>
      </c>
      <c r="H841" s="15" t="n">
        <v>8</v>
      </c>
      <c r="I841" s="28" t="inlineStr">
        <is>
          <t>NÃO</t>
        </is>
      </c>
      <c r="J841" s="29" t="n">
        <v>171.9</v>
      </c>
      <c r="K841" s="14" t="str">
        <f>IF(J841="","7. Acima de 2 km",IF(J841&lt;=50,"1. Até 50 m",IF(J841&lt;=100,"2. De 50 a 100 m",IF(J841&lt;=200,"3. De 100 a 200 m",IF(J841&lt;=300,"4. De 200 a 300 m",IF(J841&lt;=500,"5. De 300 a 500 m","6. De 500 m a 2 km"))))))</f>
        <v>3. De 100 a 200 m</v>
      </c>
      <c r="L841" s="26" t="n">
        <v>0</v>
      </c>
      <c r="M841" s="26" t="n">
        <v>0</v>
      </c>
      <c r="N841" s="26" t="n">
        <v>1</v>
      </c>
      <c r="O841" s="26" t="n">
        <v>1</v>
      </c>
      <c r="P841" s="30" t="n">
        <v>-12.2914789</v>
      </c>
      <c r="Q841" s="30" t="n">
        <v>-38.9447137</v>
      </c>
      <c r="R841" s="14" t="inlineStr">
        <is>
          <t>CARTÓRIO ELEITORAL DA 157ª ZONA ELEITORAL, AVENIDA JOSÉ FALCÃO DA SILVA, S/N, BAIRRO QUEIMADINHA, FEIRA DE SANTANA/BA</t>
        </is>
      </c>
      <c r="S841" s="26">
        <f>IF(A841=A840,0,1)</f>
        <v>0</v>
      </c>
      <c r="T841" s="26">
        <f>IF(COUNTIF($B$4:B841,B841)=1,1,0)</f>
        <v>0</v>
      </c>
    </row>
    <row r="842">
      <c r="A842" s="14" t="inlineStr">
        <is>
          <t>FEIRA DE SANTANA</t>
        </is>
      </c>
      <c r="B842" s="26" t="n">
        <v>157</v>
      </c>
      <c r="C842" s="26" t="n">
        <v>1325</v>
      </c>
      <c r="D842" s="14" t="inlineStr">
        <is>
          <t>ESCOLA DE 1º GRAU DR GAMALIEL</t>
        </is>
      </c>
      <c r="E842" s="14" t="inlineStr">
        <is>
          <t>TOMBA</t>
        </is>
      </c>
      <c r="F842" s="14" t="inlineStr">
        <is>
          <t>RUA DONA ADALGISA SANTOS BORGES, 500 - ZONA URBANA</t>
        </is>
      </c>
      <c r="G842" s="27" t="inlineStr">
        <is>
          <t>44064-120</t>
        </is>
      </c>
      <c r="H842" s="15" t="n">
        <v>7</v>
      </c>
      <c r="I842" s="28" t="inlineStr">
        <is>
          <t>NÃO</t>
        </is>
      </c>
      <c r="J842" s="29" t="n">
        <v>905.6</v>
      </c>
      <c r="K842" s="14" t="str">
        <f>IF(J842="","7. Acima de 2 km",IF(J842&lt;=50,"1. Até 50 m",IF(J842&lt;=100,"2. De 50 a 100 m",IF(J842&lt;=200,"3. De 100 a 200 m",IF(J842&lt;=300,"4. De 200 a 300 m",IF(J842&lt;=500,"5. De 300 a 500 m","6. De 500 m a 2 km"))))))</f>
        <v>6. De 500 m a 2 km</v>
      </c>
      <c r="L842" s="26" t="n">
        <v>0</v>
      </c>
      <c r="M842" s="26" t="n">
        <v>0</v>
      </c>
      <c r="N842" s="26" t="n">
        <v>0</v>
      </c>
      <c r="O842" s="26" t="n">
        <v>0</v>
      </c>
      <c r="P842" s="30" t="n">
        <v>-12.2989977</v>
      </c>
      <c r="Q842" s="30" t="n">
        <v>-38.9490766</v>
      </c>
      <c r="R842" s="14" t="inlineStr">
        <is>
          <t>CARTÓRIO ELEITORAL DA 157ª ZONA ELEITORAL, AVENIDA JOSÉ FALCÃO DA SILVA, S/N, BAIRRO QUEIMADINHA, FEIRA DE SANTANA/BA</t>
        </is>
      </c>
      <c r="S842" s="26">
        <f>IF(A842=A841,0,1)</f>
        <v>0</v>
      </c>
      <c r="T842" s="26">
        <f>IF(COUNTIF($B$4:B842,B842)=1,1,0)</f>
        <v>0</v>
      </c>
    </row>
    <row r="843">
      <c r="A843" s="14" t="inlineStr">
        <is>
          <t>FEIRA DE SANTANA</t>
        </is>
      </c>
      <c r="B843" s="26" t="n">
        <v>157</v>
      </c>
      <c r="C843" s="26" t="n">
        <v>1333</v>
      </c>
      <c r="D843" s="14" t="inlineStr">
        <is>
          <t>PRÉ-ESCOLA MUNICIPAL JOSÉ MARTINS RIOS</t>
        </is>
      </c>
      <c r="E843" s="14" t="inlineStr">
        <is>
          <t>RUA NOVA</t>
        </is>
      </c>
      <c r="F843" s="14" t="inlineStr">
        <is>
          <t>AVENIDA DO CANAL, S/N - ZONA URBANA</t>
        </is>
      </c>
      <c r="G843" s="27" t="inlineStr">
        <is>
          <t>44017-290</t>
        </is>
      </c>
      <c r="H843" s="15" t="n">
        <v>2</v>
      </c>
      <c r="I843" s="28" t="inlineStr">
        <is>
          <t>NÃO</t>
        </is>
      </c>
      <c r="J843" s="29" t="n">
        <v>205.3</v>
      </c>
      <c r="K843" s="14" t="str">
        <f>IF(J843="","7. Acima de 2 km",IF(J843&lt;=50,"1. Até 50 m",IF(J843&lt;=100,"2. De 50 a 100 m",IF(J843&lt;=200,"3. De 100 a 200 m",IF(J843&lt;=300,"4. De 200 a 300 m",IF(J843&lt;=500,"5. De 300 a 500 m","6. De 500 m a 2 km"))))))</f>
        <v>4. De 200 a 300 m</v>
      </c>
      <c r="L843" s="26" t="n">
        <v>0</v>
      </c>
      <c r="M843" s="26" t="n">
        <v>0</v>
      </c>
      <c r="N843" s="26" t="n">
        <v>0</v>
      </c>
      <c r="O843" s="26" t="n">
        <v>2</v>
      </c>
      <c r="P843" s="30" t="n">
        <v>-12.2504801</v>
      </c>
      <c r="Q843" s="30" t="n">
        <v>-38.9726391</v>
      </c>
      <c r="R843" s="14" t="inlineStr">
        <is>
          <t>CARTÓRIO ELEITORAL DA 157ª ZONA ELEITORAL, AVENIDA JOSÉ FALCÃO DA SILVA, S/N, BAIRRO QUEIMADINHA, FEIRA DE SANTANA/BA</t>
        </is>
      </c>
      <c r="S843" s="26">
        <f>IF(A843=A842,0,1)</f>
        <v>0</v>
      </c>
      <c r="T843" s="26">
        <f>IF(COUNTIF($B$4:B843,B843)=1,1,0)</f>
        <v>0</v>
      </c>
    </row>
    <row r="844">
      <c r="A844" s="14" t="inlineStr">
        <is>
          <t>FEIRA DE SANTANA</t>
        </is>
      </c>
      <c r="B844" s="26" t="n">
        <v>157</v>
      </c>
      <c r="C844" s="26" t="n">
        <v>1350</v>
      </c>
      <c r="D844" s="14" t="inlineStr">
        <is>
          <t>ESCOLA MUNICIPAL ANTÔNIO BRANDÃO DE SOUZA</t>
        </is>
      </c>
      <c r="E844" s="14" t="inlineStr">
        <is>
          <t>DISTRITO DE HUMILDES</t>
        </is>
      </c>
      <c r="F844" s="14" t="inlineStr">
        <is>
          <t>RUA BAMBU, S/N - ZONA RURAL</t>
        </is>
      </c>
      <c r="G844" s="27" t="inlineStr">
        <is>
          <t>44135-000</t>
        </is>
      </c>
      <c r="H844" s="15" t="n">
        <v>11</v>
      </c>
      <c r="I844" s="28" t="inlineStr">
        <is>
          <t>NÃO</t>
        </is>
      </c>
      <c r="J844" s="29" t="n">
        <v>184.2</v>
      </c>
      <c r="K844" s="14" t="str">
        <f>IF(J844="","7. Acima de 2 km",IF(J844&lt;=50,"1. Até 50 m",IF(J844&lt;=100,"2. De 50 a 100 m",IF(J844&lt;=200,"3. De 100 a 200 m",IF(J844&lt;=300,"4. De 200 a 300 m",IF(J844&lt;=500,"5. De 300 a 500 m","6. De 500 m a 2 km"))))))</f>
        <v>3. De 100 a 200 m</v>
      </c>
      <c r="L844" s="26" t="n">
        <v>0</v>
      </c>
      <c r="M844" s="26" t="n">
        <v>0</v>
      </c>
      <c r="N844" s="26" t="n">
        <v>1</v>
      </c>
      <c r="O844" s="26" t="n">
        <v>1</v>
      </c>
      <c r="P844" s="30" t="n">
        <v>-12.3550801</v>
      </c>
      <c r="Q844" s="30" t="n">
        <v>-38.8701687</v>
      </c>
      <c r="R844" s="14" t="inlineStr">
        <is>
          <t>CARTÓRIO ELEITORAL DA 157ª ZONA ELEITORAL, AVENIDA JOSÉ FALCÃO DA SILVA, S/N, BAIRRO QUEIMADINHA, FEIRA DE SANTANA/BA</t>
        </is>
      </c>
      <c r="S844" s="26">
        <f>IF(A844=A843,0,1)</f>
        <v>0</v>
      </c>
      <c r="T844" s="26">
        <f>IF(COUNTIF($B$4:B844,B844)=1,1,0)</f>
        <v>0</v>
      </c>
    </row>
    <row r="845">
      <c r="A845" s="14" t="inlineStr">
        <is>
          <t>FEIRA DE SANTANA</t>
        </is>
      </c>
      <c r="B845" s="26" t="n">
        <v>157</v>
      </c>
      <c r="C845" s="26" t="n">
        <v>1368</v>
      </c>
      <c r="D845" s="14" t="inlineStr">
        <is>
          <t>COLÉGIO MODELO LUIS EDUARDO MAGALHÃES</t>
        </is>
      </c>
      <c r="E845" s="14" t="inlineStr">
        <is>
          <t>CENTRO</t>
        </is>
      </c>
      <c r="F845" s="14" t="inlineStr">
        <is>
          <t>RUA VASCO FILHO, S/N - ZONA URBANA</t>
        </is>
      </c>
      <c r="G845" s="27" t="inlineStr">
        <is>
          <t>44025-290</t>
        </is>
      </c>
      <c r="H845" s="15" t="n">
        <v>12</v>
      </c>
      <c r="I845" s="28" t="inlineStr">
        <is>
          <t>NÃO</t>
        </is>
      </c>
      <c r="J845" s="29" t="n">
        <v>111.4</v>
      </c>
      <c r="K845" s="14" t="str">
        <f>IF(J845="","7. Acima de 2 km",IF(J845&lt;=50,"1. Até 50 m",IF(J845&lt;=100,"2. De 50 a 100 m",IF(J845&lt;=200,"3. De 100 a 200 m",IF(J845&lt;=300,"4. De 200 a 300 m",IF(J845&lt;=500,"5. De 300 a 500 m","6. De 500 m a 2 km"))))))</f>
        <v>3. De 100 a 200 m</v>
      </c>
      <c r="L845" s="26" t="n">
        <v>0</v>
      </c>
      <c r="M845" s="26" t="n">
        <v>0</v>
      </c>
      <c r="N845" s="26" t="n">
        <v>13</v>
      </c>
      <c r="O845" s="26" t="n">
        <v>16</v>
      </c>
      <c r="P845" s="30" t="n">
        <v>-12.2594184</v>
      </c>
      <c r="Q845" s="30" t="n">
        <v>-38.9571944</v>
      </c>
      <c r="R845" s="14" t="inlineStr">
        <is>
          <t>CARTÓRIO ELEITORAL DA 157ª ZONA ELEITORAL, AVENIDA JOSÉ FALCÃO DA SILVA, S/N, BAIRRO QUEIMADINHA, FEIRA DE SANTANA/BA</t>
        </is>
      </c>
      <c r="S845" s="26">
        <f>IF(A845=A844,0,1)</f>
        <v>0</v>
      </c>
      <c r="T845" s="26">
        <f>IF(COUNTIF($B$4:B845,B845)=1,1,0)</f>
        <v>0</v>
      </c>
    </row>
    <row r="846">
      <c r="A846" s="14" t="inlineStr">
        <is>
          <t>FEIRA DE SANTANA</t>
        </is>
      </c>
      <c r="B846" s="26" t="n">
        <v>157</v>
      </c>
      <c r="C846" s="26" t="n">
        <v>1376</v>
      </c>
      <c r="D846" s="14" t="inlineStr">
        <is>
          <t>ESCOLA MUNICIPAL DR. JOÃO DUARTE GUIMARÃES</t>
        </is>
      </c>
      <c r="E846" s="14" t="inlineStr">
        <is>
          <t>LIMOEIRO</t>
        </is>
      </c>
      <c r="F846" s="14" t="inlineStr">
        <is>
          <t>PRAÇA DO LIMOEIRO, S/N - ZONA URBANA</t>
        </is>
      </c>
      <c r="G846" s="27" t="inlineStr">
        <is>
          <t>44097-708</t>
        </is>
      </c>
      <c r="H846" s="15" t="n">
        <v>10</v>
      </c>
      <c r="I846" s="28" t="inlineStr">
        <is>
          <t>NÃO</t>
        </is>
      </c>
      <c r="J846" s="29" t="n">
        <v>111</v>
      </c>
      <c r="K846" s="14" t="str">
        <f>IF(J846="","7. Acima de 2 km",IF(J846&lt;=50,"1. Até 50 m",IF(J846&lt;=100,"2. De 50 a 100 m",IF(J846&lt;=200,"3. De 100 a 200 m",IF(J846&lt;=300,"4. De 200 a 300 m",IF(J846&lt;=500,"5. De 300 a 500 m","6. De 500 m a 2 km"))))))</f>
        <v>3. De 100 a 200 m</v>
      </c>
      <c r="L846" s="26" t="n">
        <v>0</v>
      </c>
      <c r="M846" s="26" t="n">
        <v>0</v>
      </c>
      <c r="N846" s="26" t="n">
        <v>1</v>
      </c>
      <c r="O846" s="26" t="n">
        <v>1</v>
      </c>
      <c r="P846" s="30" t="n">
        <v>-12.3108863</v>
      </c>
      <c r="Q846" s="30" t="n">
        <v>-38.8976835</v>
      </c>
      <c r="R846" s="14" t="inlineStr">
        <is>
          <t>CARTÓRIO ELEITORAL DA 157ª ZONA ELEITORAL, AVENIDA JOSÉ FALCÃO DA SILVA, S/N, BAIRRO QUEIMADINHA, FEIRA DE SANTANA/BA</t>
        </is>
      </c>
      <c r="S846" s="26">
        <f>IF(A846=A845,0,1)</f>
        <v>0</v>
      </c>
      <c r="T846" s="26">
        <f>IF(COUNTIF($B$4:B846,B846)=1,1,0)</f>
        <v>0</v>
      </c>
    </row>
    <row r="847">
      <c r="A847" s="14" t="inlineStr">
        <is>
          <t>FEIRA DE SANTANA</t>
        </is>
      </c>
      <c r="B847" s="26" t="n">
        <v>157</v>
      </c>
      <c r="C847" s="26" t="n">
        <v>1384</v>
      </c>
      <c r="D847" s="14" t="inlineStr">
        <is>
          <t>COLÉGIO ESTADUAL PADRE HENRIQUE ALVES BORGES</t>
        </is>
      </c>
      <c r="E847" s="14" t="inlineStr">
        <is>
          <t>DISTRITO DE HUMILDES</t>
        </is>
      </c>
      <c r="F847" s="14" t="inlineStr">
        <is>
          <t>RUA CÔNEGO OLÍMPIO, 1218 - ZONA RURAL</t>
        </is>
      </c>
      <c r="G847" s="27" t="inlineStr">
        <is>
          <t>44135-000</t>
        </is>
      </c>
      <c r="H847" s="15" t="n">
        <v>13</v>
      </c>
      <c r="I847" s="28" t="inlineStr">
        <is>
          <t>SIM</t>
        </is>
      </c>
      <c r="J847" s="29" t="n">
        <v>52.4</v>
      </c>
      <c r="K847" s="14" t="str">
        <f>IF(J847="","7. Acima de 2 km",IF(J847&lt;=50,"1. Até 50 m",IF(J847&lt;=100,"2. De 50 a 100 m",IF(J847&lt;=200,"3. De 100 a 200 m",IF(J847&lt;=300,"4. De 200 a 300 m",IF(J847&lt;=500,"5. De 300 a 500 m","6. De 500 m a 2 km"))))))</f>
        <v>2. De 50 a 100 m</v>
      </c>
      <c r="L847" s="26" t="n">
        <v>0</v>
      </c>
      <c r="M847" s="26" t="n">
        <v>1</v>
      </c>
      <c r="N847" s="26" t="n">
        <v>1</v>
      </c>
      <c r="O847" s="26" t="n">
        <v>1</v>
      </c>
      <c r="P847" s="30" t="n">
        <v>-12.3547623</v>
      </c>
      <c r="Q847" s="30" t="n">
        <v>-38.8687714</v>
      </c>
      <c r="R847" s="14" t="inlineStr">
        <is>
          <t>CARTÓRIO ELEITORAL DA 157ª ZONA ELEITORAL, AVENIDA JOSÉ FALCÃO DA SILVA, S/N, BAIRRO QUEIMADINHA, FEIRA DE SANTANA/BA</t>
        </is>
      </c>
      <c r="S847" s="26">
        <f>IF(A847=A846,0,1)</f>
        <v>0</v>
      </c>
      <c r="T847" s="26">
        <f>IF(COUNTIF($B$4:B847,B847)=1,1,0)</f>
        <v>0</v>
      </c>
    </row>
    <row r="848">
      <c r="A848" s="14" t="inlineStr">
        <is>
          <t>FEIRA DE SANTANA</t>
        </is>
      </c>
      <c r="B848" s="26" t="n">
        <v>157</v>
      </c>
      <c r="C848" s="26" t="n">
        <v>1392</v>
      </c>
      <c r="D848" s="14" t="inlineStr">
        <is>
          <t>ESCOLA MUNICIPAL ARMANDO RAMOS MORAES</t>
        </is>
      </c>
      <c r="E848" s="14" t="inlineStr">
        <is>
          <t>DISTRITO DE GOVERNADOR JOÃO DURVAL CARNEIRO</t>
        </is>
      </c>
      <c r="F848" s="14" t="inlineStr">
        <is>
          <t>POVOADO GALHARDO - ZONA RURAL</t>
        </is>
      </c>
      <c r="G848" s="27" t="inlineStr">
        <is>
          <t>44130-000</t>
        </is>
      </c>
      <c r="H848" s="15" t="n">
        <v>2</v>
      </c>
      <c r="I848" s="28" t="inlineStr">
        <is>
          <t>NÃO</t>
        </is>
      </c>
      <c r="J848" s="29" t="n"/>
      <c r="K848" s="14" t="str">
        <f>IF(J848="","7. Acima de 2 km",IF(J848&lt;=50,"1. Até 50 m",IF(J848&lt;=100,"2. De 50 a 100 m",IF(J848&lt;=200,"3. De 100 a 200 m",IF(J848&lt;=300,"4. De 200 a 300 m",IF(J848&lt;=500,"5. De 300 a 500 m","6. De 500 m a 2 km"))))))</f>
        <v>7. Acima de 2 km</v>
      </c>
      <c r="L848" s="26" t="n">
        <v>0</v>
      </c>
      <c r="M848" s="26" t="n">
        <v>0</v>
      </c>
      <c r="N848" s="26" t="n">
        <v>0</v>
      </c>
      <c r="O848" s="26" t="n">
        <v>0</v>
      </c>
      <c r="P848" s="30" t="n">
        <v>-12.2556712</v>
      </c>
      <c r="Q848" s="30" t="n">
        <v>-39.071329</v>
      </c>
      <c r="R848" s="14" t="inlineStr">
        <is>
          <t>CARTÓRIO ELEITORAL DA 157ª ZONA ELEITORAL, AVENIDA JOSÉ FALCÃO DA SILVA, S/N, BAIRRO QUEIMADINHA, FEIRA DE SANTANA/BA</t>
        </is>
      </c>
      <c r="S848" s="26">
        <f>IF(A848=A847,0,1)</f>
        <v>0</v>
      </c>
      <c r="T848" s="26">
        <f>IF(COUNTIF($B$4:B848,B848)=1,1,0)</f>
        <v>0</v>
      </c>
    </row>
    <row r="849">
      <c r="A849" s="14" t="inlineStr">
        <is>
          <t>FEIRA DE SANTANA</t>
        </is>
      </c>
      <c r="B849" s="26" t="n">
        <v>157</v>
      </c>
      <c r="C849" s="26" t="n">
        <v>1406</v>
      </c>
      <c r="D849" s="14" t="inlineStr">
        <is>
          <t>GRUPO ESCOLAR ANA BRANDOA</t>
        </is>
      </c>
      <c r="E849" s="14" t="inlineStr">
        <is>
          <t>TOMBA</t>
        </is>
      </c>
      <c r="F849" s="14" t="inlineStr">
        <is>
          <t>RUA DO SALVADOR S/N - ZONA URBANA</t>
        </is>
      </c>
      <c r="G849" s="27" t="inlineStr">
        <is>
          <t>44063-970</t>
        </is>
      </c>
      <c r="H849" s="15" t="n">
        <v>13</v>
      </c>
      <c r="I849" s="28" t="inlineStr">
        <is>
          <t>NÃO</t>
        </is>
      </c>
      <c r="J849" s="29" t="n">
        <v>573.7</v>
      </c>
      <c r="K849" s="14" t="str">
        <f>IF(J849="","7. Acima de 2 km",IF(J849&lt;=50,"1. Até 50 m",IF(J849&lt;=100,"2. De 50 a 100 m",IF(J849&lt;=200,"3. De 100 a 200 m",IF(J849&lt;=300,"4. De 200 a 300 m",IF(J849&lt;=500,"5. De 300 a 500 m","6. De 500 m a 2 km"))))))</f>
        <v>6. De 500 m a 2 km</v>
      </c>
      <c r="L849" s="26" t="n">
        <v>0</v>
      </c>
      <c r="M849" s="26" t="n">
        <v>0</v>
      </c>
      <c r="N849" s="26" t="n">
        <v>0</v>
      </c>
      <c r="O849" s="26" t="n">
        <v>0</v>
      </c>
      <c r="P849" s="30" t="n">
        <v>-12.2774067</v>
      </c>
      <c r="Q849" s="30" t="n">
        <v>-38.9561317</v>
      </c>
      <c r="R849" s="14" t="inlineStr">
        <is>
          <t>CARTÓRIO ELEITORAL DA 157ª ZONA ELEITORAL, AVENIDA JOSÉ FALCÃO DA SILVA, S/N, BAIRRO QUEIMADINHA, FEIRA DE SANTANA/BA</t>
        </is>
      </c>
      <c r="S849" s="26">
        <f>IF(A849=A848,0,1)</f>
        <v>0</v>
      </c>
      <c r="T849" s="26">
        <f>IF(COUNTIF($B$4:B849,B849)=1,1,0)</f>
        <v>0</v>
      </c>
    </row>
    <row r="850">
      <c r="A850" s="14" t="inlineStr">
        <is>
          <t>FEIRA DE SANTANA</t>
        </is>
      </c>
      <c r="B850" s="26" t="n">
        <v>157</v>
      </c>
      <c r="C850" s="26" t="n">
        <v>1414</v>
      </c>
      <c r="D850" s="14" t="inlineStr">
        <is>
          <t>ESCOLA MUNICIPAL GERALDO DIAS DE SOUZA</t>
        </is>
      </c>
      <c r="E850" s="14" t="inlineStr">
        <is>
          <t>DISTRITO DE HUMILDES</t>
        </is>
      </c>
      <c r="F850" s="14" t="inlineStr">
        <is>
          <t>LOTEAMENTO AGNELO COSTA, QUADRA 01, S/N - ZONA RURAL</t>
        </is>
      </c>
      <c r="G850" s="27" t="inlineStr">
        <is>
          <t>44135-000</t>
        </is>
      </c>
      <c r="H850" s="15" t="n">
        <v>10</v>
      </c>
      <c r="I850" s="28" t="inlineStr">
        <is>
          <t>NÃO</t>
        </is>
      </c>
      <c r="J850" s="29" t="n">
        <v>862</v>
      </c>
      <c r="K850" s="14" t="str">
        <f>IF(J850="","7. Acima de 2 km",IF(J850&lt;=50,"1. Até 50 m",IF(J850&lt;=100,"2. De 50 a 100 m",IF(J850&lt;=200,"3. De 100 a 200 m",IF(J850&lt;=300,"4. De 200 a 300 m",IF(J850&lt;=500,"5. De 300 a 500 m","6. De 500 m a 2 km"))))))</f>
        <v>6. De 500 m a 2 km</v>
      </c>
      <c r="L850" s="26" t="n">
        <v>0</v>
      </c>
      <c r="M850" s="26" t="n">
        <v>0</v>
      </c>
      <c r="N850" s="26" t="n">
        <v>0</v>
      </c>
      <c r="O850" s="26" t="n">
        <v>0</v>
      </c>
      <c r="P850" s="30" t="n">
        <v>-12.3467944</v>
      </c>
      <c r="Q850" s="30" t="n">
        <v>-38.8666899</v>
      </c>
      <c r="R850" s="14" t="inlineStr">
        <is>
          <t>CARTÓRIO ELEITORAL DA 157ª ZONA ELEITORAL, AVENIDA JOSÉ FALCÃO DA SILVA, S/N, BAIRRO QUEIMADINHA, FEIRA DE SANTANA/BA</t>
        </is>
      </c>
      <c r="S850" s="26">
        <f>IF(A850=A849,0,1)</f>
        <v>0</v>
      </c>
      <c r="T850" s="26">
        <f>IF(COUNTIF($B$4:B850,B850)=1,1,0)</f>
        <v>0</v>
      </c>
    </row>
    <row r="851">
      <c r="A851" s="14" t="inlineStr">
        <is>
          <t>FEIRA DE SANTANA</t>
        </is>
      </c>
      <c r="B851" s="26" t="n">
        <v>157</v>
      </c>
      <c r="C851" s="26" t="n">
        <v>1422</v>
      </c>
      <c r="D851" s="14" t="inlineStr">
        <is>
          <t>COLÉGIO ESTADUAL JOÃO BAPTISTA CARNEIRO</t>
        </is>
      </c>
      <c r="E851" s="14" t="inlineStr">
        <is>
          <t>DISTRITO DE GOVERNADOR JOÃO DURVAL CARNEIRO</t>
        </is>
      </c>
      <c r="F851" s="14" t="inlineStr">
        <is>
          <t>BR 116 SUL, KM 07, S/N - ZONA RURAL</t>
        </is>
      </c>
      <c r="G851" s="27" t="inlineStr">
        <is>
          <t>44130-000</t>
        </is>
      </c>
      <c r="H851" s="15" t="n">
        <v>3</v>
      </c>
      <c r="I851" s="28" t="inlineStr">
        <is>
          <t>NÃO</t>
        </is>
      </c>
      <c r="J851" s="29" t="n"/>
      <c r="K851" s="14" t="str">
        <f>IF(J851="","7. Acima de 2 km",IF(J851&lt;=50,"1. Até 50 m",IF(J851&lt;=100,"2. De 50 a 100 m",IF(J851&lt;=200,"3. De 100 a 200 m",IF(J851&lt;=300,"4. De 200 a 300 m",IF(J851&lt;=500,"5. De 300 a 500 m","6. De 500 m a 2 km"))))))</f>
        <v>7. Acima de 2 km</v>
      </c>
      <c r="L851" s="26" t="n">
        <v>0</v>
      </c>
      <c r="M851" s="26" t="n">
        <v>0</v>
      </c>
      <c r="N851" s="26" t="n">
        <v>0</v>
      </c>
      <c r="O851" s="26" t="n">
        <v>0</v>
      </c>
      <c r="P851" s="30" t="n">
        <v>-12.2924259</v>
      </c>
      <c r="Q851" s="30" t="n">
        <v>-39.0223631</v>
      </c>
      <c r="R851" s="14" t="inlineStr">
        <is>
          <t>CARTÓRIO ELEITORAL DA 157ª ZONA ELEITORAL, AVENIDA JOSÉ FALCÃO DA SILVA, S/N, BAIRRO QUEIMADINHA, FEIRA DE SANTANA/BA</t>
        </is>
      </c>
      <c r="S851" s="26">
        <f>IF(A851=A850,0,1)</f>
        <v>0</v>
      </c>
      <c r="T851" s="26">
        <f>IF(COUNTIF($B$4:B851,B851)=1,1,0)</f>
        <v>0</v>
      </c>
    </row>
    <row r="852">
      <c r="A852" s="14" t="inlineStr">
        <is>
          <t>FEIRA DE SANTANA</t>
        </is>
      </c>
      <c r="B852" s="26" t="n">
        <v>157</v>
      </c>
      <c r="C852" s="26" t="n">
        <v>1430</v>
      </c>
      <c r="D852" s="14" t="inlineStr">
        <is>
          <t>ESCOLA NÚCLEO AGRÁRIO DE OLIVEIRA MELO</t>
        </is>
      </c>
      <c r="E852" s="14" t="inlineStr">
        <is>
          <t>DISTRITO DE GOVERNADOR JOÃO DURVAL CARNEIRO</t>
        </is>
      </c>
      <c r="F852" s="14" t="inlineStr">
        <is>
          <t>PRAÇA DAS ALGAROBAS, 17 - ZONA RURAL</t>
        </is>
      </c>
      <c r="G852" s="27" t="inlineStr">
        <is>
          <t>44130-000</t>
        </is>
      </c>
      <c r="H852" s="15" t="n">
        <v>6</v>
      </c>
      <c r="I852" s="28" t="inlineStr">
        <is>
          <t>NÃO</t>
        </is>
      </c>
      <c r="J852" s="29" t="n">
        <v>284.8</v>
      </c>
      <c r="K852" s="14" t="str">
        <f>IF(J852="","7. Acima de 2 km",IF(J852&lt;=50,"1. Até 50 m",IF(J852&lt;=100,"2. De 50 a 100 m",IF(J852&lt;=200,"3. De 100 a 200 m",IF(J852&lt;=300,"4. De 200 a 300 m",IF(J852&lt;=500,"5. De 300 a 500 m","6. De 500 m a 2 km"))))))</f>
        <v>4. De 200 a 300 m</v>
      </c>
      <c r="L852" s="26" t="n">
        <v>0</v>
      </c>
      <c r="M852" s="26" t="n">
        <v>0</v>
      </c>
      <c r="N852" s="26" t="n">
        <v>0</v>
      </c>
      <c r="O852" s="26" t="n">
        <v>1</v>
      </c>
      <c r="P852" s="30" t="n">
        <v>-12.3314032</v>
      </c>
      <c r="Q852" s="30" t="n">
        <v>-39.0597162</v>
      </c>
      <c r="R852" s="14" t="inlineStr">
        <is>
          <t>CARTÓRIO ELEITORAL DA 157ª ZONA ELEITORAL, AVENIDA JOSÉ FALCÃO DA SILVA, S/N, BAIRRO QUEIMADINHA, FEIRA DE SANTANA/BA</t>
        </is>
      </c>
      <c r="S852" s="26">
        <f>IF(A852=A851,0,1)</f>
        <v>0</v>
      </c>
      <c r="T852" s="26">
        <f>IF(COUNTIF($B$4:B852,B852)=1,1,0)</f>
        <v>0</v>
      </c>
    </row>
    <row r="853">
      <c r="A853" s="14" t="inlineStr">
        <is>
          <t>FEIRA DE SANTANA</t>
        </is>
      </c>
      <c r="B853" s="26" t="n">
        <v>157</v>
      </c>
      <c r="C853" s="26" t="n">
        <v>1449</v>
      </c>
      <c r="D853" s="14" t="inlineStr">
        <is>
          <t>COLÉGIO ESTADUAL EDIVALDO MACHADO BOAVENTURA</t>
        </is>
      </c>
      <c r="E853" s="14" t="inlineStr">
        <is>
          <t>DISTRITO DE GOVERNADOR JOÃO DURVAL CARNEIRO</t>
        </is>
      </c>
      <c r="F853" s="14" t="inlineStr">
        <is>
          <t>RUA DO CAJUEIRO, 537 - ZONA RURAL</t>
        </is>
      </c>
      <c r="G853" s="27" t="inlineStr">
        <is>
          <t>44130-000</t>
        </is>
      </c>
      <c r="H853" s="15" t="n">
        <v>7</v>
      </c>
      <c r="I853" s="28" t="inlineStr">
        <is>
          <t>NÃO</t>
        </is>
      </c>
      <c r="J853" s="29" t="n">
        <v>265.7</v>
      </c>
      <c r="K853" s="14" t="str">
        <f>IF(J853="","7. Acima de 2 km",IF(J853&lt;=50,"1. Até 50 m",IF(J853&lt;=100,"2. De 50 a 100 m",IF(J853&lt;=200,"3. De 100 a 200 m",IF(J853&lt;=300,"4. De 200 a 300 m",IF(J853&lt;=500,"5. De 300 a 500 m","6. De 500 m a 2 km"))))))</f>
        <v>4. De 200 a 300 m</v>
      </c>
      <c r="L853" s="26" t="n">
        <v>0</v>
      </c>
      <c r="M853" s="26" t="n">
        <v>0</v>
      </c>
      <c r="N853" s="26" t="n">
        <v>0</v>
      </c>
      <c r="O853" s="26" t="n">
        <v>1</v>
      </c>
      <c r="P853" s="30" t="n">
        <v>-12.3324667</v>
      </c>
      <c r="Q853" s="30" t="n">
        <v>-39.059616</v>
      </c>
      <c r="R853" s="14" t="inlineStr">
        <is>
          <t>CARTÓRIO ELEITORAL DA 157ª ZONA ELEITORAL, AVENIDA JOSÉ FALCÃO DA SILVA, S/N, BAIRRO QUEIMADINHA, FEIRA DE SANTANA/BA</t>
        </is>
      </c>
      <c r="S853" s="26">
        <f>IF(A853=A852,0,1)</f>
        <v>0</v>
      </c>
      <c r="T853" s="26">
        <f>IF(COUNTIF($B$4:B853,B853)=1,1,0)</f>
        <v>0</v>
      </c>
    </row>
    <row r="854">
      <c r="A854" s="14" t="inlineStr">
        <is>
          <t>FEIRA DE SANTANA</t>
        </is>
      </c>
      <c r="B854" s="26" t="n">
        <v>157</v>
      </c>
      <c r="C854" s="26" t="n">
        <v>1457</v>
      </c>
      <c r="D854" s="14" t="inlineStr">
        <is>
          <t>ESCOLA MUNICIPAL PROFª JOSENITA NERY BOAVENTURA</t>
        </is>
      </c>
      <c r="E854" s="14" t="inlineStr">
        <is>
          <t>AVIÁRIO</t>
        </is>
      </c>
      <c r="F854" s="14" t="inlineStr">
        <is>
          <t>RUA ANGELO ALVES FERNANDES, N 25, CONJ. PAULO SOUTO - ZONA URBANA</t>
        </is>
      </c>
      <c r="G854" s="27" t="inlineStr">
        <is>
          <t>44096-012</t>
        </is>
      </c>
      <c r="H854" s="15" t="n">
        <v>5</v>
      </c>
      <c r="I854" s="28" t="inlineStr">
        <is>
          <t>NÃO</t>
        </is>
      </c>
      <c r="J854" s="29" t="n">
        <v>139.8</v>
      </c>
      <c r="K854" s="14" t="str">
        <f>IF(J854="","7. Acima de 2 km",IF(J854&lt;=50,"1. Até 50 m",IF(J854&lt;=100,"2. De 50 a 100 m",IF(J854&lt;=200,"3. De 100 a 200 m",IF(J854&lt;=300,"4. De 200 a 300 m",IF(J854&lt;=500,"5. De 300 a 500 m","6. De 500 m a 2 km"))))))</f>
        <v>3. De 100 a 200 m</v>
      </c>
      <c r="L854" s="26" t="n">
        <v>0</v>
      </c>
      <c r="M854" s="26" t="n">
        <v>0</v>
      </c>
      <c r="N854" s="26" t="n">
        <v>4</v>
      </c>
      <c r="O854" s="26" t="n">
        <v>4</v>
      </c>
      <c r="P854" s="30" t="n">
        <v>-12.2887806</v>
      </c>
      <c r="Q854" s="30" t="n">
        <v>-38.9303653</v>
      </c>
      <c r="R854" s="14" t="inlineStr">
        <is>
          <t>CARTÓRIO ELEITORAL DA 157ª ZONA ELEITORAL, AVENIDA JOSÉ FALCÃO DA SILVA, S/N, BAIRRO QUEIMADINHA, FEIRA DE SANTANA/BA</t>
        </is>
      </c>
      <c r="S854" s="26">
        <f>IF(A854=A853,0,1)</f>
        <v>0</v>
      </c>
      <c r="T854" s="26">
        <f>IF(COUNTIF($B$4:B854,B854)=1,1,0)</f>
        <v>0</v>
      </c>
    </row>
    <row r="855">
      <c r="A855" s="14" t="inlineStr">
        <is>
          <t>FEIRA DE SANTANA</t>
        </is>
      </c>
      <c r="B855" s="26" t="n">
        <v>157</v>
      </c>
      <c r="C855" s="26" t="n">
        <v>1465</v>
      </c>
      <c r="D855" s="14" t="inlineStr">
        <is>
          <t>CENTRO MUNICIPAL DE EDUCAÇÃO INFANTIL ANTONIO CARLOS MACHADO</t>
        </is>
      </c>
      <c r="E855" s="14" t="inlineStr">
        <is>
          <t>TOMBA</t>
        </is>
      </c>
      <c r="F855" s="14" t="inlineStr">
        <is>
          <t>AV DOIS, SN, CONJUNTO FEIRA 07 - ZONA URBANA</t>
        </is>
      </c>
      <c r="G855" s="27" t="inlineStr">
        <is>
          <t>44091-480</t>
        </is>
      </c>
      <c r="H855" s="15" t="n">
        <v>10</v>
      </c>
      <c r="I855" s="28" t="inlineStr">
        <is>
          <t>NÃO</t>
        </is>
      </c>
      <c r="J855" s="29" t="n">
        <v>652</v>
      </c>
      <c r="K855" s="14" t="str">
        <f>IF(J855="","7. Acima de 2 km",IF(J855&lt;=50,"1. Até 50 m",IF(J855&lt;=100,"2. De 50 a 100 m",IF(J855&lt;=200,"3. De 100 a 200 m",IF(J855&lt;=300,"4. De 200 a 300 m",IF(J855&lt;=500,"5. De 300 a 500 m","6. De 500 m a 2 km"))))))</f>
        <v>6. De 500 m a 2 km</v>
      </c>
      <c r="L855" s="26" t="n">
        <v>0</v>
      </c>
      <c r="M855" s="26" t="n">
        <v>0</v>
      </c>
      <c r="N855" s="26" t="n">
        <v>0</v>
      </c>
      <c r="O855" s="26" t="n">
        <v>0</v>
      </c>
      <c r="P855" s="30" t="n">
        <v>-12.2978968</v>
      </c>
      <c r="Q855" s="30" t="n">
        <v>-38.946316</v>
      </c>
      <c r="R855" s="14" t="inlineStr">
        <is>
          <t>CARTÓRIO ELEITORAL DA 157ª ZONA ELEITORAL, AVENIDA JOSÉ FALCÃO DA SILVA, S/N, BAIRRO QUEIMADINHA, FEIRA DE SANTANA/BA</t>
        </is>
      </c>
      <c r="S855" s="26">
        <f>IF(A855=A854,0,1)</f>
        <v>0</v>
      </c>
      <c r="T855" s="26">
        <f>IF(COUNTIF($B$4:B855,B855)=1,1,0)</f>
        <v>0</v>
      </c>
    </row>
    <row r="856">
      <c r="A856" s="14" t="inlineStr">
        <is>
          <t>FEIRA DE SANTANA</t>
        </is>
      </c>
      <c r="B856" s="26" t="n">
        <v>157</v>
      </c>
      <c r="C856" s="26" t="n">
        <v>1473</v>
      </c>
      <c r="D856" s="14" t="inlineStr">
        <is>
          <t>ESCOLA MUNICIPAL GENTE MIÚDA ( ANEXO DO COLEGIO GEORGINA MELO ERISMANN</t>
        </is>
      </c>
      <c r="E856" s="14" t="inlineStr">
        <is>
          <t>OLHOS D'ÁGUA</t>
        </is>
      </c>
      <c r="F856" s="14" t="inlineStr">
        <is>
          <t>RUA SENADOR QUINTINO, 523 - BAIRRO OLHOS D'ÁGUA, FEIRA DE SANTANA</t>
        </is>
      </c>
      <c r="G856" s="27" t="inlineStr">
        <is>
          <t>44007-270</t>
        </is>
      </c>
      <c r="H856" s="15" t="n">
        <v>5</v>
      </c>
      <c r="I856" s="28" t="inlineStr">
        <is>
          <t>NÃO</t>
        </is>
      </c>
      <c r="J856" s="29" t="n">
        <v>470.6</v>
      </c>
      <c r="K856" s="14" t="str">
        <f>IF(J856="","7. Acima de 2 km",IF(J856&lt;=50,"1. Até 50 m",IF(J856&lt;=100,"2. De 50 a 100 m",IF(J856&lt;=200,"3. De 100 a 200 m",IF(J856&lt;=300,"4. De 200 a 300 m",IF(J856&lt;=500,"5. De 300 a 500 m","6. De 500 m a 2 km"))))))</f>
        <v>5. De 300 a 500 m</v>
      </c>
      <c r="L856" s="26" t="n">
        <v>0</v>
      </c>
      <c r="M856" s="26" t="n">
        <v>0</v>
      </c>
      <c r="N856" s="26" t="n">
        <v>0</v>
      </c>
      <c r="O856" s="26" t="n">
        <v>0</v>
      </c>
      <c r="P856" s="30" t="n">
        <v>-12.2669183</v>
      </c>
      <c r="Q856" s="30" t="n">
        <v>-38.9686691</v>
      </c>
      <c r="R856" s="14" t="inlineStr">
        <is>
          <t>CARTÓRIO ELEITORAL DA 157ª ZONA ELEITORAL, AVENIDA JOSÉ FALCÃO DA SILVA, S/N, BAIRRO QUEIMADINHA, FEIRA DE SANTANA/BA</t>
        </is>
      </c>
      <c r="S856" s="26">
        <f>IF(A856=A855,0,1)</f>
        <v>0</v>
      </c>
      <c r="T856" s="26">
        <f>IF(COUNTIF($B$4:B856,B856)=1,1,0)</f>
        <v>0</v>
      </c>
    </row>
    <row r="857">
      <c r="A857" s="14" t="inlineStr">
        <is>
          <t>FEIRA DE SANTANA</t>
        </is>
      </c>
      <c r="B857" s="26" t="n">
        <v>157</v>
      </c>
      <c r="C857" s="26" t="n">
        <v>1481</v>
      </c>
      <c r="D857" s="14" t="inlineStr">
        <is>
          <t>ESCOLA MUNICIPAL PROFESSORA MARIA HELENA QUEIROZ</t>
        </is>
      </c>
      <c r="E857" s="14" t="inlineStr">
        <is>
          <t>TOMBA</t>
        </is>
      </c>
      <c r="F857" s="14" t="inlineStr">
        <is>
          <t>RUA SALMO 25, SN, CONJUNTO FRATERNIDADE - ZONA URBANA</t>
        </is>
      </c>
      <c r="G857" s="27" t="inlineStr">
        <is>
          <t>44092-604</t>
        </is>
      </c>
      <c r="H857" s="15" t="n">
        <v>7</v>
      </c>
      <c r="I857" s="28" t="inlineStr">
        <is>
          <t>NÃO</t>
        </is>
      </c>
      <c r="J857" s="29" t="n">
        <v>337.4</v>
      </c>
      <c r="K857" s="14" t="str">
        <f>IF(J857="","7. Acima de 2 km",IF(J857&lt;=50,"1. Até 50 m",IF(J857&lt;=100,"2. De 50 a 100 m",IF(J857&lt;=200,"3. De 100 a 200 m",IF(J857&lt;=300,"4. De 200 a 300 m",IF(J857&lt;=500,"5. De 300 a 500 m","6. De 500 m a 2 km"))))))</f>
        <v>5. De 300 a 500 m</v>
      </c>
      <c r="L857" s="26" t="n">
        <v>0</v>
      </c>
      <c r="M857" s="26" t="n">
        <v>0</v>
      </c>
      <c r="N857" s="26" t="n">
        <v>0</v>
      </c>
      <c r="O857" s="26" t="n">
        <v>0</v>
      </c>
      <c r="P857" s="30" t="n">
        <v>-12.3080197</v>
      </c>
      <c r="Q857" s="30" t="n">
        <v>-38.9535765</v>
      </c>
      <c r="R857" s="14" t="inlineStr">
        <is>
          <t>CARTÓRIO ELEITORAL DA 157ª ZONA ELEITORAL, AVENIDA JOSÉ FALCÃO DA SILVA, S/N, BAIRRO QUEIMADINHA, FEIRA DE SANTANA/BA</t>
        </is>
      </c>
      <c r="S857" s="26">
        <f>IF(A857=A856,0,1)</f>
        <v>0</v>
      </c>
      <c r="T857" s="26">
        <f>IF(COUNTIF($B$4:B857,B857)=1,1,0)</f>
        <v>0</v>
      </c>
    </row>
    <row r="858">
      <c r="A858" s="14" t="inlineStr">
        <is>
          <t>FEIRA DE SANTANA</t>
        </is>
      </c>
      <c r="B858" s="26" t="n">
        <v>157</v>
      </c>
      <c r="C858" s="26" t="n">
        <v>1520</v>
      </c>
      <c r="D858" s="14" t="inlineStr">
        <is>
          <t>COLÉGIO ESTADUAL LÁZARO DOS SANTOS FERREIRA</t>
        </is>
      </c>
      <c r="E858" s="14" t="inlineStr">
        <is>
          <t>VIVEIROS</t>
        </is>
      </c>
      <c r="F858" s="14" t="inlineStr">
        <is>
          <t>ESTRADA DA CABRITA, S/N, CONJUNTO VIVEIROS - ZONA URBANA</t>
        </is>
      </c>
      <c r="G858" s="27" t="inlineStr">
        <is>
          <t>44013-460</t>
        </is>
      </c>
      <c r="H858" s="15" t="n">
        <v>3</v>
      </c>
      <c r="I858" s="28" t="inlineStr">
        <is>
          <t>NÃO</t>
        </is>
      </c>
      <c r="J858" s="29" t="n">
        <v>1241.4</v>
      </c>
      <c r="K858" s="14" t="str">
        <f>IF(J858="","7. Acima de 2 km",IF(J858&lt;=50,"1. Até 50 m",IF(J858&lt;=100,"2. De 50 a 100 m",IF(J858&lt;=200,"3. De 100 a 200 m",IF(J858&lt;=300,"4. De 200 a 300 m",IF(J858&lt;=500,"5. De 300 a 500 m","6. De 500 m a 2 km"))))))</f>
        <v>6. De 500 m a 2 km</v>
      </c>
      <c r="L858" s="26" t="n">
        <v>0</v>
      </c>
      <c r="M858" s="26" t="n">
        <v>0</v>
      </c>
      <c r="N858" s="26" t="n">
        <v>0</v>
      </c>
      <c r="O858" s="26" t="n">
        <v>0</v>
      </c>
      <c r="P858" s="30" t="n">
        <v>-12.2848395</v>
      </c>
      <c r="Q858" s="30" t="n">
        <v>-38.9895892</v>
      </c>
      <c r="R858" s="14" t="inlineStr">
        <is>
          <t>CARTÓRIO ELEITORAL DA 157ª ZONA ELEITORAL, AVENIDA JOSÉ FALCÃO DA SILVA, S/N, BAIRRO QUEIMADINHA, FEIRA DE SANTANA/BA</t>
        </is>
      </c>
      <c r="S858" s="26">
        <f>IF(A858=A857,0,1)</f>
        <v>0</v>
      </c>
      <c r="T858" s="26">
        <f>IF(COUNTIF($B$4:B858,B858)=1,1,0)</f>
        <v>0</v>
      </c>
    </row>
    <row r="859">
      <c r="A859" s="14" t="inlineStr">
        <is>
          <t>FEIRA DE SANTANA</t>
        </is>
      </c>
      <c r="B859" s="26" t="n">
        <v>157</v>
      </c>
      <c r="C859" s="26" t="n">
        <v>1538</v>
      </c>
      <c r="D859" s="14" t="inlineStr">
        <is>
          <t>ESCOLA MUNICIPAL ANTONIO ANTUNES DOS SANTOS</t>
        </is>
      </c>
      <c r="E859" s="14" t="inlineStr">
        <is>
          <t>TERRA DURA</t>
        </is>
      </c>
      <c r="F859" s="14" t="inlineStr">
        <is>
          <t>ESTRADA GENIPAPO, S/N - ZONA RURAL</t>
        </is>
      </c>
      <c r="G859" s="27" t="inlineStr">
        <is>
          <t>44135-000</t>
        </is>
      </c>
      <c r="H859" s="15" t="n">
        <v>2</v>
      </c>
      <c r="I859" s="28" t="inlineStr">
        <is>
          <t>NÃO</t>
        </is>
      </c>
      <c r="J859" s="29" t="n"/>
      <c r="K859" s="14" t="str">
        <f>IF(J859="","7. Acima de 2 km",IF(J859&lt;=50,"1. Até 50 m",IF(J859&lt;=100,"2. De 50 a 100 m",IF(J859&lt;=200,"3. De 100 a 200 m",IF(J859&lt;=300,"4. De 200 a 300 m",IF(J859&lt;=500,"5. De 300 a 500 m","6. De 500 m a 2 km"))))))</f>
        <v>7. Acima de 2 km</v>
      </c>
      <c r="L859" s="26" t="n">
        <v>0</v>
      </c>
      <c r="M859" s="26" t="n">
        <v>0</v>
      </c>
      <c r="N859" s="26" t="n">
        <v>0</v>
      </c>
      <c r="O859" s="26" t="n">
        <v>0</v>
      </c>
      <c r="P859" s="30" t="n">
        <v>-12.3246128</v>
      </c>
      <c r="Q859" s="30" t="n">
        <v>-38.9212134</v>
      </c>
      <c r="R859" s="14" t="inlineStr">
        <is>
          <t>CARTÓRIO ELEITORAL DA 157ª ZONA ELEITORAL, AVENIDA JOSÉ FALCÃO DA SILVA, S/N, BAIRRO QUEIMADINHA, FEIRA DE SANTANA/BA</t>
        </is>
      </c>
      <c r="S859" s="26">
        <f>IF(A859=A858,0,1)</f>
        <v>0</v>
      </c>
      <c r="T859" s="26">
        <f>IF(COUNTIF($B$4:B859,B859)=1,1,0)</f>
        <v>0</v>
      </c>
    </row>
    <row r="860">
      <c r="A860" s="14" t="inlineStr">
        <is>
          <t>GUANAMBI</t>
        </is>
      </c>
      <c r="B860" s="26" t="n">
        <v>64</v>
      </c>
      <c r="C860" s="26" t="n">
        <v>1015</v>
      </c>
      <c r="D860" s="14" t="inlineStr">
        <is>
          <t>ESCOLA MUNICIPAL GETÚLIO VARGAS</t>
        </is>
      </c>
      <c r="E860" s="14" t="inlineStr">
        <is>
          <t>CENTRO</t>
        </is>
      </c>
      <c r="F860" s="14" t="inlineStr">
        <is>
          <t>RUA GENERAL OSÓRIO S/N - ZONA URBANA</t>
        </is>
      </c>
      <c r="G860" s="27" t="inlineStr">
        <is>
          <t>46430-000</t>
        </is>
      </c>
      <c r="H860" s="15" t="n">
        <v>12</v>
      </c>
      <c r="I860" s="28" t="inlineStr">
        <is>
          <t>NÃO</t>
        </is>
      </c>
      <c r="J860" s="29" t="n">
        <v>167</v>
      </c>
      <c r="K860" s="14" t="str">
        <f>IF(J860="","7. Acima de 2 km",IF(J860&lt;=50,"1. Até 50 m",IF(J860&lt;=100,"2. De 50 a 100 m",IF(J860&lt;=200,"3. De 100 a 200 m",IF(J860&lt;=300,"4. De 200 a 300 m",IF(J860&lt;=500,"5. De 300 a 500 m","6. De 500 m a 2 km"))))))</f>
        <v>3. De 100 a 200 m</v>
      </c>
      <c r="L860" s="26" t="n">
        <v>0</v>
      </c>
      <c r="M860" s="26" t="n">
        <v>0</v>
      </c>
      <c r="N860" s="26" t="n">
        <v>1</v>
      </c>
      <c r="O860" s="26" t="n">
        <v>4</v>
      </c>
      <c r="P860" s="30" t="n">
        <v>-14.22871593</v>
      </c>
      <c r="Q860" s="30" t="n">
        <v>-42.78115236</v>
      </c>
      <c r="R860" s="14" t="inlineStr">
        <is>
          <t>FORUM ELEITORAL DA 64ª ZONA, AV. PRES. CASTELO BRANCO, S/N, AEROPORTO VELHO - GUANAMBI - BA</t>
        </is>
      </c>
      <c r="S860" s="26">
        <f>IF(A860=A859,0,1)</f>
        <v>1</v>
      </c>
      <c r="T860" s="26">
        <f>IF(COUNTIF($B$4:B860,B860)=1,1,0)</f>
        <v>1</v>
      </c>
    </row>
    <row r="861">
      <c r="A861" s="14" t="inlineStr">
        <is>
          <t>GUANAMBI</t>
        </is>
      </c>
      <c r="B861" s="26" t="n">
        <v>64</v>
      </c>
      <c r="C861" s="26" t="n">
        <v>1066</v>
      </c>
      <c r="D861" s="14" t="inlineStr">
        <is>
          <t>ESCOLA MUNICIPAL EUDITE DONATO VASCONCELOS</t>
        </is>
      </c>
      <c r="E861" s="14" t="inlineStr">
        <is>
          <t>BOM JESUS</t>
        </is>
      </c>
      <c r="F861" s="14" t="inlineStr">
        <is>
          <t>RUA GENERAL CORDEIRO DE FARIAS, S/N - ZONA URBANA</t>
        </is>
      </c>
      <c r="G861" s="27" t="inlineStr">
        <is>
          <t>46430-000</t>
        </is>
      </c>
      <c r="H861" s="15" t="n">
        <v>5</v>
      </c>
      <c r="I861" s="28" t="inlineStr">
        <is>
          <t>NÃO</t>
        </is>
      </c>
      <c r="J861" s="29" t="n">
        <v>351.8</v>
      </c>
      <c r="K861" s="14" t="str">
        <f>IF(J861="","7. Acima de 2 km",IF(J861&lt;=50,"1. Até 50 m",IF(J861&lt;=100,"2. De 50 a 100 m",IF(J861&lt;=200,"3. De 100 a 200 m",IF(J861&lt;=300,"4. De 200 a 300 m",IF(J861&lt;=500,"5. De 300 a 500 m","6. De 500 m a 2 km"))))))</f>
        <v>5. De 300 a 500 m</v>
      </c>
      <c r="L861" s="26" t="n">
        <v>0</v>
      </c>
      <c r="M861" s="26" t="n">
        <v>0</v>
      </c>
      <c r="N861" s="26" t="n">
        <v>0</v>
      </c>
      <c r="O861" s="26" t="n">
        <v>0</v>
      </c>
      <c r="P861" s="30" t="n">
        <v>-14.22240603</v>
      </c>
      <c r="Q861" s="30" t="n">
        <v>-42.77372683</v>
      </c>
      <c r="R861" s="14" t="inlineStr">
        <is>
          <t>FORUM ELEITORAL DA 64ª ZONA, AV. PRES. CASTELO BRANCO, S/N, AEROPORTO VELHO - GUANAMBI - BA</t>
        </is>
      </c>
      <c r="S861" s="26">
        <f>IF(A861=A860,0,1)</f>
        <v>0</v>
      </c>
      <c r="T861" s="26">
        <f>IF(COUNTIF($B$4:B861,B861)=1,1,0)</f>
        <v>0</v>
      </c>
    </row>
    <row r="862">
      <c r="A862" s="14" t="inlineStr">
        <is>
          <t>GUANAMBI</t>
        </is>
      </c>
      <c r="B862" s="26" t="n">
        <v>64</v>
      </c>
      <c r="C862" s="26" t="n">
        <v>1074</v>
      </c>
      <c r="D862" s="14" t="inlineStr">
        <is>
          <t>ESCOLA MUNICIPAL JOSÉ NEVES TEIXEIRA</t>
        </is>
      </c>
      <c r="E862" s="14" t="inlineStr">
        <is>
          <t>AEROPORTO VELHO</t>
        </is>
      </c>
      <c r="F862" s="14" t="inlineStr">
        <is>
          <t>RUA ADEVALDO ALVES DE ARAÚJO, 279 - ZONA URBANA</t>
        </is>
      </c>
      <c r="G862" s="27" t="inlineStr">
        <is>
          <t>46430-000</t>
        </is>
      </c>
      <c r="H862" s="15" t="n">
        <v>7</v>
      </c>
      <c r="I862" s="28" t="inlineStr">
        <is>
          <t>NÃO</t>
        </is>
      </c>
      <c r="J862" s="29" t="n">
        <v>397.5</v>
      </c>
      <c r="K862" s="14" t="str">
        <f>IF(J862="","7. Acima de 2 km",IF(J862&lt;=50,"1. Até 50 m",IF(J862&lt;=100,"2. De 50 a 100 m",IF(J862&lt;=200,"3. De 100 a 200 m",IF(J862&lt;=300,"4. De 200 a 300 m",IF(J862&lt;=500,"5. De 300 a 500 m","6. De 500 m a 2 km"))))))</f>
        <v>5. De 300 a 500 m</v>
      </c>
      <c r="L862" s="26" t="n">
        <v>0</v>
      </c>
      <c r="M862" s="26" t="n">
        <v>0</v>
      </c>
      <c r="N862" s="26" t="n">
        <v>0</v>
      </c>
      <c r="O862" s="26" t="n">
        <v>0</v>
      </c>
      <c r="P862" s="30" t="n">
        <v>-14.21820437</v>
      </c>
      <c r="Q862" s="30" t="n">
        <v>-42.78341197</v>
      </c>
      <c r="R862" s="14" t="inlineStr">
        <is>
          <t>FORUM ELEITORAL DA 64ª ZONA, AV. PRES. CASTELO BRANCO, S/N, AEROPORTO VELHO - GUANAMBI - BA</t>
        </is>
      </c>
      <c r="S862" s="26">
        <f>IF(A862=A861,0,1)</f>
        <v>0</v>
      </c>
      <c r="T862" s="26">
        <f>IF(COUNTIF($B$4:B862,B862)=1,1,0)</f>
        <v>0</v>
      </c>
    </row>
    <row r="863">
      <c r="A863" s="14" t="inlineStr">
        <is>
          <t>GUANAMBI</t>
        </is>
      </c>
      <c r="B863" s="26" t="n">
        <v>64</v>
      </c>
      <c r="C863" s="26" t="n">
        <v>1082</v>
      </c>
      <c r="D863" s="14" t="inlineStr">
        <is>
          <t>ESCOLA MUNICIPAL ERCÍNIA MONTENEGRO CERQUEIRA</t>
        </is>
      </c>
      <c r="E863" s="14" t="inlineStr">
        <is>
          <t>ALVORADA</t>
        </is>
      </c>
      <c r="F863" s="14" t="inlineStr">
        <is>
          <t>RUA BENVINDO DIAS, S/N - ZONA URBANA</t>
        </is>
      </c>
      <c r="G863" s="27" t="inlineStr">
        <is>
          <t>46430-000</t>
        </is>
      </c>
      <c r="H863" s="15" t="n">
        <v>7</v>
      </c>
      <c r="I863" s="28" t="inlineStr">
        <is>
          <t>NÃO</t>
        </is>
      </c>
      <c r="J863" s="29" t="n">
        <v>209.9</v>
      </c>
      <c r="K863" s="14" t="str">
        <f>IF(J863="","7. Acima de 2 km",IF(J863&lt;=50,"1. Até 50 m",IF(J863&lt;=100,"2. De 50 a 100 m",IF(J863&lt;=200,"3. De 100 a 200 m",IF(J863&lt;=300,"4. De 200 a 300 m",IF(J863&lt;=500,"5. De 300 a 500 m","6. De 500 m a 2 km"))))))</f>
        <v>4. De 200 a 300 m</v>
      </c>
      <c r="L863" s="26" t="n">
        <v>0</v>
      </c>
      <c r="M863" s="26" t="n">
        <v>0</v>
      </c>
      <c r="N863" s="26" t="n">
        <v>0</v>
      </c>
      <c r="O863" s="26" t="n">
        <v>1</v>
      </c>
      <c r="P863" s="30" t="n">
        <v>-14.21555057</v>
      </c>
      <c r="Q863" s="30" t="n">
        <v>-42.79413533</v>
      </c>
      <c r="R863" s="14" t="inlineStr">
        <is>
          <t>FORUM ELEITORAL DA 64ª ZONA, AV. PRES. CASTELO BRANCO, S/N, AEROPORTO VELHO - GUANAMBI - BA</t>
        </is>
      </c>
      <c r="S863" s="26">
        <f>IF(A863=A862,0,1)</f>
        <v>0</v>
      </c>
      <c r="T863" s="26">
        <f>IF(COUNTIF($B$4:B863,B863)=1,1,0)</f>
        <v>0</v>
      </c>
    </row>
    <row r="864">
      <c r="A864" s="14" t="inlineStr">
        <is>
          <t>GUANAMBI</t>
        </is>
      </c>
      <c r="B864" s="26" t="n">
        <v>64</v>
      </c>
      <c r="C864" s="26" t="n">
        <v>1090</v>
      </c>
      <c r="D864" s="14" t="inlineStr">
        <is>
          <t>ESCOLA MUNICIPAL JOSEFINA TEIXEIRA DE AZEVEDO</t>
        </is>
      </c>
      <c r="E864" s="14" t="inlineStr">
        <is>
          <t>BRASILIA</t>
        </is>
      </c>
      <c r="F864" s="14" t="inlineStr">
        <is>
          <t>PRAÇA OTELINO FERREIRA COSTA, S/N - ZONA URBANA</t>
        </is>
      </c>
      <c r="G864" s="27" t="inlineStr">
        <is>
          <t>46430-000</t>
        </is>
      </c>
      <c r="H864" s="15" t="n">
        <v>12</v>
      </c>
      <c r="I864" s="28" t="inlineStr">
        <is>
          <t>NÃO</t>
        </is>
      </c>
      <c r="J864" s="29" t="n">
        <v>1207.1</v>
      </c>
      <c r="K864" s="14" t="str">
        <f>IF(J864="","7. Acima de 2 km",IF(J864&lt;=50,"1. Até 50 m",IF(J864&lt;=100,"2. De 50 a 100 m",IF(J864&lt;=200,"3. De 100 a 200 m",IF(J864&lt;=300,"4. De 200 a 300 m",IF(J864&lt;=500,"5. De 300 a 500 m","6. De 500 m a 2 km"))))))</f>
        <v>6. De 500 m a 2 km</v>
      </c>
      <c r="L864" s="26" t="n">
        <v>0</v>
      </c>
      <c r="M864" s="26" t="n">
        <v>0</v>
      </c>
      <c r="N864" s="26" t="n">
        <v>0</v>
      </c>
      <c r="O864" s="26" t="n">
        <v>0</v>
      </c>
      <c r="P864" s="30" t="n">
        <v>-14.23690636</v>
      </c>
      <c r="Q864" s="30" t="n">
        <v>-42.76840894</v>
      </c>
      <c r="R864" s="14" t="inlineStr">
        <is>
          <t>FORUM ELEITORAL DA 64ª ZONA, AV. PRES. CASTELO BRANCO, S/N, AEROPORTO VELHO - GUANAMBI - BA</t>
        </is>
      </c>
      <c r="S864" s="26">
        <f>IF(A864=A863,0,1)</f>
        <v>0</v>
      </c>
      <c r="T864" s="26">
        <f>IF(COUNTIF($B$4:B864,B864)=1,1,0)</f>
        <v>0</v>
      </c>
    </row>
    <row r="865">
      <c r="A865" s="14" t="inlineStr">
        <is>
          <t>GUANAMBI</t>
        </is>
      </c>
      <c r="B865" s="26" t="n">
        <v>64</v>
      </c>
      <c r="C865" s="26" t="n">
        <v>1104</v>
      </c>
      <c r="D865" s="14" t="inlineStr">
        <is>
          <t>ESCOLA MUNICIPAL JOAQUIM DIAS GUIMARÃES</t>
        </is>
      </c>
      <c r="E865" s="14" t="inlineStr">
        <is>
          <t>SANTO ANTONIO</t>
        </is>
      </c>
      <c r="F865" s="14" t="inlineStr">
        <is>
          <t>RUA JOAQUIM CHAVES, S/N, ZONA URBANA</t>
        </is>
      </c>
      <c r="G865" s="27" t="inlineStr">
        <is>
          <t>46430-000</t>
        </is>
      </c>
      <c r="H865" s="15" t="n">
        <v>5</v>
      </c>
      <c r="I865" s="28" t="inlineStr">
        <is>
          <t>NÃO</t>
        </is>
      </c>
      <c r="J865" s="29" t="n">
        <v>981</v>
      </c>
      <c r="K865" s="14" t="str">
        <f>IF(J865="","7. Acima de 2 km",IF(J865&lt;=50,"1. Até 50 m",IF(J865&lt;=100,"2. De 50 a 100 m",IF(J865&lt;=200,"3. De 100 a 200 m",IF(J865&lt;=300,"4. De 200 a 300 m",IF(J865&lt;=500,"5. De 300 a 500 m","6. De 500 m a 2 km"))))))</f>
        <v>6. De 500 m a 2 km</v>
      </c>
      <c r="L865" s="26" t="n">
        <v>0</v>
      </c>
      <c r="M865" s="26" t="n">
        <v>0</v>
      </c>
      <c r="N865" s="26" t="n">
        <v>0</v>
      </c>
      <c r="O865" s="26" t="n">
        <v>0</v>
      </c>
      <c r="P865" s="30" t="n">
        <v>-14.23791614</v>
      </c>
      <c r="Q865" s="30" t="n">
        <v>-42.77502079</v>
      </c>
      <c r="R865" s="14" t="inlineStr">
        <is>
          <t>FORUM ELEITORAL DA 64ª ZONA, AV. PRES. CASTELO BRANCO, S/N, AEROPORTO VELHO - GUANAMBI - BA</t>
        </is>
      </c>
      <c r="S865" s="26">
        <f>IF(A865=A864,0,1)</f>
        <v>0</v>
      </c>
      <c r="T865" s="26">
        <f>IF(COUNTIF($B$4:B865,B865)=1,1,0)</f>
        <v>0</v>
      </c>
    </row>
    <row r="866">
      <c r="A866" s="14" t="inlineStr">
        <is>
          <t>GUANAMBI</t>
        </is>
      </c>
      <c r="B866" s="26" t="n">
        <v>64</v>
      </c>
      <c r="C866" s="26" t="n">
        <v>1120</v>
      </c>
      <c r="D866" s="14" t="inlineStr">
        <is>
          <t>CEEP - CENTRO ESTADUAL DE EDUCAÇÃO PROFISSIONAL</t>
        </is>
      </c>
      <c r="E866" s="14" t="inlineStr">
        <is>
          <t>VOMITA MEL</t>
        </is>
      </c>
      <c r="F866" s="14" t="inlineStr">
        <is>
          <t>AVENIDA SANTOS DUMONT, S/N - ZONA URBANA</t>
        </is>
      </c>
      <c r="G866" s="27" t="inlineStr">
        <is>
          <t>46430-000</t>
        </is>
      </c>
      <c r="H866" s="15" t="n">
        <v>20</v>
      </c>
      <c r="I866" s="28" t="inlineStr">
        <is>
          <t>NÃO</t>
        </is>
      </c>
      <c r="J866" s="29" t="n">
        <v>520.6</v>
      </c>
      <c r="K866" s="14" t="str">
        <f>IF(J866="","7. Acima de 2 km",IF(J866&lt;=50,"1. Até 50 m",IF(J866&lt;=100,"2. De 50 a 100 m",IF(J866&lt;=200,"3. De 100 a 200 m",IF(J866&lt;=300,"4. De 200 a 300 m",IF(J866&lt;=500,"5. De 300 a 500 m","6. De 500 m a 2 km"))))))</f>
        <v>6. De 500 m a 2 km</v>
      </c>
      <c r="L866" s="26" t="n">
        <v>0</v>
      </c>
      <c r="M866" s="26" t="n">
        <v>0</v>
      </c>
      <c r="N866" s="26" t="n">
        <v>0</v>
      </c>
      <c r="O866" s="26" t="n">
        <v>0</v>
      </c>
      <c r="P866" s="30" t="n">
        <v>-14.21676179</v>
      </c>
      <c r="Q866" s="30" t="n">
        <v>-42.78371678</v>
      </c>
      <c r="R866" s="14" t="inlineStr">
        <is>
          <t>FORUM ELEITORAL DA 64ª ZONA, AV. PRES. CASTELO BRANCO, S/N, AEROPORTO VELHO - GUANAMBI - BA</t>
        </is>
      </c>
      <c r="S866" s="26">
        <f>IF(A866=A865,0,1)</f>
        <v>0</v>
      </c>
      <c r="T866" s="26">
        <f>IF(COUNTIF($B$4:B866,B866)=1,1,0)</f>
        <v>0</v>
      </c>
    </row>
    <row r="867">
      <c r="A867" s="14" t="inlineStr">
        <is>
          <t>GUANAMBI</t>
        </is>
      </c>
      <c r="B867" s="26" t="n">
        <v>64</v>
      </c>
      <c r="C867" s="26" t="n">
        <v>1139</v>
      </c>
      <c r="D867" s="14" t="inlineStr">
        <is>
          <t>COLEGIO ESTADUAL GOVERNADOR LUIZ VIANA FILHO</t>
        </is>
      </c>
      <c r="E867" s="14" t="inlineStr">
        <is>
          <t>CENTRO</t>
        </is>
      </c>
      <c r="F867" s="14" t="inlineStr">
        <is>
          <t>PRACA MANOEL NOVAES, 324 - ZONA URBANA</t>
        </is>
      </c>
      <c r="G867" s="27" t="inlineStr">
        <is>
          <t>46430-000</t>
        </is>
      </c>
      <c r="H867" s="15" t="n">
        <v>14</v>
      </c>
      <c r="I867" s="28" t="inlineStr">
        <is>
          <t>NÃO</t>
        </is>
      </c>
      <c r="J867" s="29" t="n">
        <v>107</v>
      </c>
      <c r="K867" s="14" t="str">
        <f>IF(J867="","7. Acima de 2 km",IF(J867&lt;=50,"1. Até 50 m",IF(J867&lt;=100,"2. De 50 a 100 m",IF(J867&lt;=200,"3. De 100 a 200 m",IF(J867&lt;=300,"4. De 200 a 300 m",IF(J867&lt;=500,"5. De 300 a 500 m","6. De 500 m a 2 km"))))))</f>
        <v>3. De 100 a 200 m</v>
      </c>
      <c r="L867" s="26" t="n">
        <v>0</v>
      </c>
      <c r="M867" s="26" t="n">
        <v>0</v>
      </c>
      <c r="N867" s="26" t="n">
        <v>1</v>
      </c>
      <c r="O867" s="26" t="n">
        <v>2</v>
      </c>
      <c r="P867" s="30" t="n">
        <v>-14.22278993</v>
      </c>
      <c r="Q867" s="30" t="n">
        <v>-42.77968079</v>
      </c>
      <c r="R867" s="14" t="inlineStr">
        <is>
          <t>FORUM ELEITORAL DA 64ª ZONA, AV. PRES. CASTELO BRANCO, S/N, AEROPORTO VELHO - GUANAMBI - BA</t>
        </is>
      </c>
      <c r="S867" s="26">
        <f>IF(A867=A866,0,1)</f>
        <v>0</v>
      </c>
      <c r="T867" s="26">
        <f>IF(COUNTIF($B$4:B867,B867)=1,1,0)</f>
        <v>0</v>
      </c>
    </row>
    <row r="868">
      <c r="A868" s="14" t="inlineStr">
        <is>
          <t>GUANAMBI</t>
        </is>
      </c>
      <c r="B868" s="26" t="n">
        <v>64</v>
      </c>
      <c r="C868" s="26" t="n">
        <v>1147</v>
      </c>
      <c r="D868" s="14" t="inlineStr">
        <is>
          <t>ESCOLA MUNICIPAL BENEVAL DE CASTRO BOA SORTE</t>
        </is>
      </c>
      <c r="E868" s="14" t="inlineStr">
        <is>
          <t>BNH</t>
        </is>
      </c>
      <c r="F868" s="14" t="inlineStr">
        <is>
          <t>AVENIDA 01, S/N - ZONA URBANA</t>
        </is>
      </c>
      <c r="G868" s="27" t="inlineStr">
        <is>
          <t>46430-000</t>
        </is>
      </c>
      <c r="H868" s="15" t="n">
        <v>5</v>
      </c>
      <c r="I868" s="28" t="inlineStr">
        <is>
          <t>NÃO</t>
        </is>
      </c>
      <c r="J868" s="29" t="n">
        <v>451.7</v>
      </c>
      <c r="K868" s="14" t="str">
        <f>IF(J868="","7. Acima de 2 km",IF(J868&lt;=50,"1. Até 50 m",IF(J868&lt;=100,"2. De 50 a 100 m",IF(J868&lt;=200,"3. De 100 a 200 m",IF(J868&lt;=300,"4. De 200 a 300 m",IF(J868&lt;=500,"5. De 300 a 500 m","6. De 500 m a 2 km"))))))</f>
        <v>5. De 300 a 500 m</v>
      </c>
      <c r="L868" s="26" t="n">
        <v>0</v>
      </c>
      <c r="M868" s="26" t="n">
        <v>0</v>
      </c>
      <c r="N868" s="26" t="n">
        <v>0</v>
      </c>
      <c r="O868" s="26" t="n">
        <v>0</v>
      </c>
      <c r="P868" s="30" t="n">
        <v>-14.20693857</v>
      </c>
      <c r="Q868" s="30" t="n">
        <v>-42.79087709</v>
      </c>
      <c r="R868" s="14" t="inlineStr">
        <is>
          <t>FORUM ELEITORAL DA 64ª ZONA, AV. PRES. CASTELO BRANCO, S/N, AEROPORTO VELHO - GUANAMBI - BA</t>
        </is>
      </c>
      <c r="S868" s="26">
        <f>IF(A868=A867,0,1)</f>
        <v>0</v>
      </c>
      <c r="T868" s="26">
        <f>IF(COUNTIF($B$4:B868,B868)=1,1,0)</f>
        <v>0</v>
      </c>
    </row>
    <row r="869">
      <c r="A869" s="14" t="inlineStr">
        <is>
          <t>GUANAMBI</t>
        </is>
      </c>
      <c r="B869" s="26" t="n">
        <v>64</v>
      </c>
      <c r="C869" s="26" t="n">
        <v>1155</v>
      </c>
      <c r="D869" s="14" t="inlineStr">
        <is>
          <t>ESCOLA MUNICIPAL PEDRO BARROS PRATES</t>
        </is>
      </c>
      <c r="E869" s="14" t="inlineStr">
        <is>
          <t>DISTRITO MUTANS</t>
        </is>
      </c>
      <c r="F869" s="14" t="inlineStr">
        <is>
          <t>PRAÇA SINÉSIO RODRIGUES MALHEIROS, S/N - ZONA RURAL</t>
        </is>
      </c>
      <c r="G869" s="27" t="inlineStr">
        <is>
          <t>46430-000</t>
        </is>
      </c>
      <c r="H869" s="15" t="n">
        <v>11</v>
      </c>
      <c r="I869" s="28" t="inlineStr">
        <is>
          <t>NÃO</t>
        </is>
      </c>
      <c r="J869" s="29" t="n"/>
      <c r="K869" s="14" t="str">
        <f>IF(J869="","7. Acima de 2 km",IF(J869&lt;=50,"1. Até 50 m",IF(J869&lt;=100,"2. De 50 a 100 m",IF(J869&lt;=200,"3. De 100 a 200 m",IF(J869&lt;=300,"4. De 200 a 300 m",IF(J869&lt;=500,"5. De 300 a 500 m","6. De 500 m a 2 km"))))))</f>
        <v>7. Acima de 2 km</v>
      </c>
      <c r="L869" s="26" t="n">
        <v>0</v>
      </c>
      <c r="M869" s="26" t="n">
        <v>0</v>
      </c>
      <c r="N869" s="26" t="n">
        <v>0</v>
      </c>
      <c r="O869" s="26" t="n">
        <v>0</v>
      </c>
      <c r="P869" s="30" t="n">
        <v>-14.32184918</v>
      </c>
      <c r="Q869" s="30" t="n">
        <v>-42.9800907</v>
      </c>
      <c r="R869" s="14" t="inlineStr">
        <is>
          <t>FORUM ELEITORAL DA 64ª ZONA, AV. PRES. CASTELO BRANCO, S/N, AEROPORTO VELHO - GUANAMBI - BA</t>
        </is>
      </c>
      <c r="S869" s="26">
        <f>IF(A869=A868,0,1)</f>
        <v>0</v>
      </c>
      <c r="T869" s="26">
        <f>IF(COUNTIF($B$4:B869,B869)=1,1,0)</f>
        <v>0</v>
      </c>
    </row>
    <row r="870">
      <c r="A870" s="14" t="inlineStr">
        <is>
          <t>GUANAMBI</t>
        </is>
      </c>
      <c r="B870" s="26" t="n">
        <v>64</v>
      </c>
      <c r="C870" s="26" t="n">
        <v>1180</v>
      </c>
      <c r="D870" s="14" t="inlineStr">
        <is>
          <t>ESCOLA MUNICIPAL COLÔNIA AGRÍCOLA DE CERAÍMA</t>
        </is>
      </c>
      <c r="E870" s="14" t="inlineStr">
        <is>
          <t>DISTRITO CERAÍMA</t>
        </is>
      </c>
      <c r="F870" s="14" t="inlineStr">
        <is>
          <t>AVENIDA DAS ALGAROBAS, S/N- ZONA RURAL</t>
        </is>
      </c>
      <c r="G870" s="27" t="inlineStr">
        <is>
          <t>46430-000</t>
        </is>
      </c>
      <c r="H870" s="15" t="n">
        <v>8</v>
      </c>
      <c r="I870" s="28" t="inlineStr">
        <is>
          <t>NÃO</t>
        </is>
      </c>
      <c r="J870" s="29" t="n"/>
      <c r="K870" s="14" t="str">
        <f>IF(J870="","7. Acima de 2 km",IF(J870&lt;=50,"1. Até 50 m",IF(J870&lt;=100,"2. De 50 a 100 m",IF(J870&lt;=200,"3. De 100 a 200 m",IF(J870&lt;=300,"4. De 200 a 300 m",IF(J870&lt;=500,"5. De 300 a 500 m","6. De 500 m a 2 km"))))))</f>
        <v>7. Acima de 2 km</v>
      </c>
      <c r="L870" s="26" t="n">
        <v>0</v>
      </c>
      <c r="M870" s="26" t="n">
        <v>0</v>
      </c>
      <c r="N870" s="26" t="n">
        <v>0</v>
      </c>
      <c r="O870" s="26" t="n">
        <v>0</v>
      </c>
      <c r="P870" s="30" t="n">
        <v>-14.28584142</v>
      </c>
      <c r="Q870" s="30" t="n">
        <v>-42.71201126</v>
      </c>
      <c r="R870" s="14" t="inlineStr">
        <is>
          <t>FORUM ELEITORAL DA 64ª ZONA, AV. PRES. CASTELO BRANCO, S/N, AEROPORTO VELHO - GUANAMBI - BA</t>
        </is>
      </c>
      <c r="S870" s="26">
        <f>IF(A870=A869,0,1)</f>
        <v>0</v>
      </c>
      <c r="T870" s="26">
        <f>IF(COUNTIF($B$4:B870,B870)=1,1,0)</f>
        <v>0</v>
      </c>
    </row>
    <row r="871">
      <c r="A871" s="14" t="inlineStr">
        <is>
          <t>GUANAMBI</t>
        </is>
      </c>
      <c r="B871" s="26" t="n">
        <v>64</v>
      </c>
      <c r="C871" s="26" t="n">
        <v>1201</v>
      </c>
      <c r="D871" s="14" t="inlineStr">
        <is>
          <t>ESCOLA MUNICIPAL ANÍSIO COTRIM FERNANDES</t>
        </is>
      </c>
      <c r="E871" s="14" t="inlineStr">
        <is>
          <t>DISTRITO MORRINHOS</t>
        </is>
      </c>
      <c r="F871" s="14" t="inlineStr">
        <is>
          <t>RUA JOÃO DE MORRINHOS, S/N - ZONA RURAL</t>
        </is>
      </c>
      <c r="G871" s="27" t="inlineStr">
        <is>
          <t>46430-000</t>
        </is>
      </c>
      <c r="H871" s="15" t="n">
        <v>9</v>
      </c>
      <c r="I871" s="28" t="inlineStr">
        <is>
          <t>NÃO</t>
        </is>
      </c>
      <c r="J871" s="29" t="n"/>
      <c r="K871" s="14" t="str">
        <f>IF(J871="","7. Acima de 2 km",IF(J871&lt;=50,"1. Até 50 m",IF(J871&lt;=100,"2. De 50 a 100 m",IF(J871&lt;=200,"3. De 100 a 200 m",IF(J871&lt;=300,"4. De 200 a 300 m",IF(J871&lt;=500,"5. De 300 a 500 m","6. De 500 m a 2 km"))))))</f>
        <v>7. Acima de 2 km</v>
      </c>
      <c r="L871" s="26" t="n">
        <v>0</v>
      </c>
      <c r="M871" s="26" t="n">
        <v>0</v>
      </c>
      <c r="N871" s="26" t="n">
        <v>0</v>
      </c>
      <c r="O871" s="26" t="n">
        <v>0</v>
      </c>
      <c r="P871" s="30" t="n">
        <v>-14.22443962</v>
      </c>
      <c r="Q871" s="30" t="n">
        <v>-42.62005525</v>
      </c>
      <c r="R871" s="14" t="inlineStr">
        <is>
          <t>FORUM ELEITORAL DA 64ª ZONA, AV. PRES. CASTELO BRANCO, S/N, AEROPORTO VELHO - GUANAMBI - BA</t>
        </is>
      </c>
      <c r="S871" s="26">
        <f>IF(A871=A870,0,1)</f>
        <v>0</v>
      </c>
      <c r="T871" s="26">
        <f>IF(COUNTIF($B$4:B871,B871)=1,1,0)</f>
        <v>0</v>
      </c>
    </row>
    <row r="872">
      <c r="A872" s="14" t="inlineStr">
        <is>
          <t>GUANAMBI</t>
        </is>
      </c>
      <c r="B872" s="26" t="n">
        <v>64</v>
      </c>
      <c r="C872" s="26" t="n">
        <v>1325</v>
      </c>
      <c r="D872" s="14" t="inlineStr">
        <is>
          <t>ESCOLA MUNICIPAL NELSA LUZIA TEIXEIRA</t>
        </is>
      </c>
      <c r="E872" s="14" t="inlineStr">
        <is>
          <t>ALTO CAICARA</t>
        </is>
      </c>
      <c r="F872" s="14" t="inlineStr">
        <is>
          <t>RUA JOAQUIM LIMA, 108 - ALTO CAIÇARA - GUANAMBI</t>
        </is>
      </c>
      <c r="G872" s="27" t="inlineStr">
        <is>
          <t>46430-000</t>
        </is>
      </c>
      <c r="H872" s="15" t="n">
        <v>6</v>
      </c>
      <c r="I872" s="28" t="inlineStr">
        <is>
          <t>NÃO</t>
        </is>
      </c>
      <c r="J872" s="29" t="n">
        <v>1014.8</v>
      </c>
      <c r="K872" s="14" t="str">
        <f>IF(J872="","7. Acima de 2 km",IF(J872&lt;=50,"1. Até 50 m",IF(J872&lt;=100,"2. De 50 a 100 m",IF(J872&lt;=200,"3. De 100 a 200 m",IF(J872&lt;=300,"4. De 200 a 300 m",IF(J872&lt;=500,"5. De 300 a 500 m","6. De 500 m a 2 km"))))))</f>
        <v>6. De 500 m a 2 km</v>
      </c>
      <c r="L872" s="26" t="n">
        <v>0</v>
      </c>
      <c r="M872" s="26" t="n">
        <v>0</v>
      </c>
      <c r="N872" s="26" t="n">
        <v>0</v>
      </c>
      <c r="O872" s="26" t="n">
        <v>0</v>
      </c>
      <c r="P872" s="30" t="n">
        <v>-14.23763515</v>
      </c>
      <c r="Q872" s="30" t="n">
        <v>-42.76293314</v>
      </c>
      <c r="R872" s="14" t="inlineStr">
        <is>
          <t>FORUM ELEITORAL DA 64ª ZONA, AV. PRES. CASTELO BRANCO, S/N, AEROPORTO VELHO - GUANAMBI - BA</t>
        </is>
      </c>
      <c r="S872" s="26">
        <f>IF(A872=A871,0,1)</f>
        <v>0</v>
      </c>
      <c r="T872" s="26">
        <f>IF(COUNTIF($B$4:B872,B872)=1,1,0)</f>
        <v>0</v>
      </c>
    </row>
    <row r="873">
      <c r="A873" s="14" t="inlineStr">
        <is>
          <t>GUANAMBI</t>
        </is>
      </c>
      <c r="B873" s="26" t="n">
        <v>64</v>
      </c>
      <c r="C873" s="26" t="n">
        <v>1384</v>
      </c>
      <c r="D873" s="14" t="inlineStr">
        <is>
          <t>ESCOLA MUNICIPAL JANETE ALVES DA ROCHA</t>
        </is>
      </c>
      <c r="E873" s="14" t="inlineStr">
        <is>
          <t>BELO HORIZONTE</t>
        </is>
      </c>
      <c r="F873" s="14" t="inlineStr">
        <is>
          <t>RUA EZEQUIEL FRANCISCO DE OLIVEIRA, 380 - ZONA URBANA</t>
        </is>
      </c>
      <c r="G873" s="27" t="inlineStr">
        <is>
          <t>46430-000</t>
        </is>
      </c>
      <c r="H873" s="15" t="n">
        <v>2</v>
      </c>
      <c r="I873" s="28" t="inlineStr">
        <is>
          <t>NÃO</t>
        </is>
      </c>
      <c r="J873" s="29" t="n">
        <v>485.3</v>
      </c>
      <c r="K873" s="14" t="str">
        <f>IF(J873="","7. Acima de 2 km",IF(J873&lt;=50,"1. Até 50 m",IF(J873&lt;=100,"2. De 50 a 100 m",IF(J873&lt;=200,"3. De 100 a 200 m",IF(J873&lt;=300,"4. De 200 a 300 m",IF(J873&lt;=500,"5. De 300 a 500 m","6. De 500 m a 2 km"))))))</f>
        <v>5. De 300 a 500 m</v>
      </c>
      <c r="L873" s="26" t="n">
        <v>0</v>
      </c>
      <c r="M873" s="26" t="n">
        <v>0</v>
      </c>
      <c r="N873" s="26" t="n">
        <v>0</v>
      </c>
      <c r="O873" s="26" t="n">
        <v>0</v>
      </c>
      <c r="P873" s="30" t="n">
        <v>-14.20810544</v>
      </c>
      <c r="Q873" s="30" t="n">
        <v>-42.75947955</v>
      </c>
      <c r="R873" s="14" t="inlineStr">
        <is>
          <t>FORUM ELEITORAL DA 64ª ZONA, AV. PRES. CASTELO BRANCO, S/N, AEROPORTO VELHO - GUANAMBI - BA</t>
        </is>
      </c>
      <c r="S873" s="26">
        <f>IF(A873=A872,0,1)</f>
        <v>0</v>
      </c>
      <c r="T873" s="26">
        <f>IF(COUNTIF($B$4:B873,B873)=1,1,0)</f>
        <v>0</v>
      </c>
    </row>
    <row r="874">
      <c r="A874" s="14" t="inlineStr">
        <is>
          <t>GUANAMBI</t>
        </is>
      </c>
      <c r="B874" s="26" t="n">
        <v>64</v>
      </c>
      <c r="C874" s="26" t="n">
        <v>1392</v>
      </c>
      <c r="D874" s="14" t="inlineStr">
        <is>
          <t>ESCOLA MUNICIPAL ALZIRA CAROLINA NORMANHA</t>
        </is>
      </c>
      <c r="E874" s="14" t="inlineStr">
        <is>
          <t>DISTRITO MORRINHOS</t>
        </is>
      </c>
      <c r="F874" s="14" t="inlineStr">
        <is>
          <t>RUA JOÃO DE MORRINHOS, S/N - ZONA RURAL</t>
        </is>
      </c>
      <c r="G874" s="27" t="inlineStr">
        <is>
          <t>46430-000</t>
        </is>
      </c>
      <c r="H874" s="15" t="n">
        <v>4</v>
      </c>
      <c r="I874" s="28" t="inlineStr">
        <is>
          <t>NÃO</t>
        </is>
      </c>
      <c r="J874" s="29" t="n"/>
      <c r="K874" s="14" t="str">
        <f>IF(J874="","7. Acima de 2 km",IF(J874&lt;=50,"1. Até 50 m",IF(J874&lt;=100,"2. De 50 a 100 m",IF(J874&lt;=200,"3. De 100 a 200 m",IF(J874&lt;=300,"4. De 200 a 300 m",IF(J874&lt;=500,"5. De 300 a 500 m","6. De 500 m a 2 km"))))))</f>
        <v>7. Acima de 2 km</v>
      </c>
      <c r="L874" s="26" t="n">
        <v>0</v>
      </c>
      <c r="M874" s="26" t="n">
        <v>0</v>
      </c>
      <c r="N874" s="26" t="n">
        <v>0</v>
      </c>
      <c r="O874" s="26" t="n">
        <v>0</v>
      </c>
      <c r="P874" s="30" t="n">
        <v>-14.22599309</v>
      </c>
      <c r="Q874" s="30" t="n">
        <v>-42.62059065</v>
      </c>
      <c r="R874" s="14" t="inlineStr">
        <is>
          <t>FORUM ELEITORAL DA 64ª ZONA, AV. PRES. CASTELO BRANCO, S/N, AEROPORTO VELHO - GUANAMBI - BA</t>
        </is>
      </c>
      <c r="S874" s="26">
        <f>IF(A874=A873,0,1)</f>
        <v>0</v>
      </c>
      <c r="T874" s="26">
        <f>IF(COUNTIF($B$4:B874,B874)=1,1,0)</f>
        <v>0</v>
      </c>
    </row>
    <row r="875">
      <c r="A875" s="14" t="inlineStr">
        <is>
          <t>GUANAMBI</t>
        </is>
      </c>
      <c r="B875" s="26" t="n">
        <v>64</v>
      </c>
      <c r="C875" s="26" t="n">
        <v>1546</v>
      </c>
      <c r="D875" s="14" t="inlineStr">
        <is>
          <t>ESCOLA MUNICIPAL JOÃO FARIAS COTRIM</t>
        </is>
      </c>
      <c r="E875" s="14" t="inlineStr">
        <is>
          <t>ARAUJO</t>
        </is>
      </c>
      <c r="F875" s="14" t="inlineStr">
        <is>
          <t>AV. TIRADENTES, 1691 - LAGOINHA - ZONA URBANA</t>
        </is>
      </c>
      <c r="G875" s="27" t="inlineStr">
        <is>
          <t>46430-000</t>
        </is>
      </c>
      <c r="H875" s="15" t="n">
        <v>11</v>
      </c>
      <c r="I875" s="28" t="inlineStr">
        <is>
          <t>NÃO</t>
        </is>
      </c>
      <c r="J875" s="29" t="n">
        <v>927</v>
      </c>
      <c r="K875" s="14" t="str">
        <f>IF(J875="","7. Acima de 2 km",IF(J875&lt;=50,"1. Até 50 m",IF(J875&lt;=100,"2. De 50 a 100 m",IF(J875&lt;=200,"3. De 100 a 200 m",IF(J875&lt;=300,"4. De 200 a 300 m",IF(J875&lt;=500,"5. De 300 a 500 m","6. De 500 m a 2 km"))))))</f>
        <v>6. De 500 m a 2 km</v>
      </c>
      <c r="L875" s="26" t="n">
        <v>0</v>
      </c>
      <c r="M875" s="26" t="n">
        <v>0</v>
      </c>
      <c r="N875" s="26" t="n">
        <v>0</v>
      </c>
      <c r="O875" s="26" t="n">
        <v>0</v>
      </c>
      <c r="P875" s="30" t="n">
        <v>-14.22291878</v>
      </c>
      <c r="Q875" s="30" t="n">
        <v>-42.79121698</v>
      </c>
      <c r="R875" s="14" t="inlineStr">
        <is>
          <t>FORUM ELEITORAL DA 64ª ZONA, AV. PRES. CASTELO BRANCO, S/N, AEROPORTO VELHO - GUANAMBI - BA</t>
        </is>
      </c>
      <c r="S875" s="26">
        <f>IF(A875=A874,0,1)</f>
        <v>0</v>
      </c>
      <c r="T875" s="26">
        <f>IF(COUNTIF($B$4:B875,B875)=1,1,0)</f>
        <v>0</v>
      </c>
    </row>
    <row r="876">
      <c r="A876" s="14" t="inlineStr">
        <is>
          <t>GUANAMBI</t>
        </is>
      </c>
      <c r="B876" s="26" t="n">
        <v>64</v>
      </c>
      <c r="C876" s="26" t="n">
        <v>1554</v>
      </c>
      <c r="D876" s="14" t="inlineStr">
        <is>
          <t>ESCOLA MUNICIPAL ADELICE MAGDA</t>
        </is>
      </c>
      <c r="E876" s="14" t="inlineStr">
        <is>
          <t>SÃO SEBASTIÃO II</t>
        </is>
      </c>
      <c r="F876" s="14" t="inlineStr">
        <is>
          <t>RUA TEOTÔNIO CUNHA VIANA, S/N - ZONA URBANA</t>
        </is>
      </c>
      <c r="G876" s="27" t="inlineStr">
        <is>
          <t>46430-000</t>
        </is>
      </c>
      <c r="H876" s="15" t="n">
        <v>6</v>
      </c>
      <c r="I876" s="28" t="inlineStr">
        <is>
          <t>NÃO</t>
        </is>
      </c>
      <c r="J876" s="29" t="n">
        <v>103.2</v>
      </c>
      <c r="K876" s="14" t="str">
        <f>IF(J876="","7. Acima de 2 km",IF(J876&lt;=50,"1. Até 50 m",IF(J876&lt;=100,"2. De 50 a 100 m",IF(J876&lt;=200,"3. De 100 a 200 m",IF(J876&lt;=300,"4. De 200 a 300 m",IF(J876&lt;=500,"5. De 300 a 500 m","6. De 500 m a 2 km"))))))</f>
        <v>3. De 100 a 200 m</v>
      </c>
      <c r="L876" s="26" t="n">
        <v>0</v>
      </c>
      <c r="M876" s="26" t="n">
        <v>0</v>
      </c>
      <c r="N876" s="26" t="n">
        <v>1</v>
      </c>
      <c r="O876" s="26" t="n">
        <v>1</v>
      </c>
      <c r="P876" s="30" t="n">
        <v>-14.20314346</v>
      </c>
      <c r="Q876" s="30" t="n">
        <v>-42.75981504</v>
      </c>
      <c r="R876" s="14" t="inlineStr">
        <is>
          <t>FORUM ELEITORAL DA 64ª ZONA, AV. PRES. CASTELO BRANCO, S/N, AEROPORTO VELHO - GUANAMBI - BA</t>
        </is>
      </c>
      <c r="S876" s="26">
        <f>IF(A876=A875,0,1)</f>
        <v>0</v>
      </c>
      <c r="T876" s="26">
        <f>IF(COUNTIF($B$4:B876,B876)=1,1,0)</f>
        <v>0</v>
      </c>
    </row>
    <row r="877">
      <c r="A877" s="14" t="inlineStr">
        <is>
          <t>GUANAMBI</t>
        </is>
      </c>
      <c r="B877" s="26" t="n">
        <v>64</v>
      </c>
      <c r="C877" s="26" t="n">
        <v>1635</v>
      </c>
      <c r="D877" s="14" t="inlineStr">
        <is>
          <t>ESCOLA MUNICIPAL DO CAMPO VIRGINIA VIEIRA DE SOUZA LIMADE SURUÁ</t>
        </is>
      </c>
      <c r="E877" s="14" t="inlineStr">
        <is>
          <t>POVOADO SURUÁ</t>
        </is>
      </c>
      <c r="F877" s="14" t="inlineStr">
        <is>
          <t>POVOADO SURUÁ - ZONA RURAL</t>
        </is>
      </c>
      <c r="G877" s="27" t="inlineStr">
        <is>
          <t>46430-000</t>
        </is>
      </c>
      <c r="H877" s="15" t="n">
        <v>10</v>
      </c>
      <c r="I877" s="28" t="inlineStr">
        <is>
          <t>NÃO</t>
        </is>
      </c>
      <c r="J877" s="29" t="n"/>
      <c r="K877" s="14" t="str">
        <f>IF(J877="","7. Acima de 2 km",IF(J877&lt;=50,"1. Até 50 m",IF(J877&lt;=100,"2. De 50 a 100 m",IF(J877&lt;=200,"3. De 100 a 200 m",IF(J877&lt;=300,"4. De 200 a 300 m",IF(J877&lt;=500,"5. De 300 a 500 m","6. De 500 m a 2 km"))))))</f>
        <v>7. Acima de 2 km</v>
      </c>
      <c r="L877" s="26" t="n">
        <v>0</v>
      </c>
      <c r="M877" s="26" t="n">
        <v>0</v>
      </c>
      <c r="N877" s="26" t="n">
        <v>0</v>
      </c>
      <c r="O877" s="26" t="n">
        <v>0</v>
      </c>
      <c r="P877" s="30" t="n">
        <v>-14.13628908</v>
      </c>
      <c r="Q877" s="30" t="n">
        <v>-42.84815668</v>
      </c>
      <c r="R877" s="14" t="inlineStr">
        <is>
          <t>FORUM ELEITORAL DA 64ª ZONA, AV. PRES. CASTELO BRANCO, S/N, AEROPORTO VELHO - GUANAMBI - BA</t>
        </is>
      </c>
      <c r="S877" s="26">
        <f>IF(A877=A876,0,1)</f>
        <v>0</v>
      </c>
      <c r="T877" s="26">
        <f>IF(COUNTIF($B$4:B877,B877)=1,1,0)</f>
        <v>0</v>
      </c>
    </row>
    <row r="878">
      <c r="A878" s="14" t="inlineStr">
        <is>
          <t>GUANAMBI</t>
        </is>
      </c>
      <c r="B878" s="26" t="n">
        <v>64</v>
      </c>
      <c r="C878" s="26" t="n">
        <v>1643</v>
      </c>
      <c r="D878" s="14" t="inlineStr">
        <is>
          <t>ESCOLA MUNICIPAL ENEDINA COSTA DE MACEDO</t>
        </is>
      </c>
      <c r="E878" s="14" t="inlineStr">
        <is>
          <t>ARAUJO</t>
        </is>
      </c>
      <c r="F878" s="14" t="inlineStr">
        <is>
          <t>AVENIDA TIRADENTES, 2335</t>
        </is>
      </c>
      <c r="G878" s="27" t="inlineStr">
        <is>
          <t>46430-000</t>
        </is>
      </c>
      <c r="H878" s="15" t="n">
        <v>5</v>
      </c>
      <c r="I878" s="28" t="inlineStr">
        <is>
          <t>NÃO</t>
        </is>
      </c>
      <c r="J878" s="29" t="n">
        <v>353.5</v>
      </c>
      <c r="K878" s="14" t="str">
        <f>IF(J878="","7. Acima de 2 km",IF(J878&lt;=50,"1. Até 50 m",IF(J878&lt;=100,"2. De 50 a 100 m",IF(J878&lt;=200,"3. De 100 a 200 m",IF(J878&lt;=300,"4. De 200 a 300 m",IF(J878&lt;=500,"5. De 300 a 500 m","6. De 500 m a 2 km"))))))</f>
        <v>5. De 300 a 500 m</v>
      </c>
      <c r="L878" s="26" t="n">
        <v>0</v>
      </c>
      <c r="M878" s="26" t="n">
        <v>0</v>
      </c>
      <c r="N878" s="26" t="n">
        <v>0</v>
      </c>
      <c r="O878" s="26" t="n">
        <v>0</v>
      </c>
      <c r="P878" s="30" t="n">
        <v>-14.21913978</v>
      </c>
      <c r="Q878" s="30" t="n">
        <v>-42.79546737</v>
      </c>
      <c r="R878" s="14" t="inlineStr">
        <is>
          <t>FORUM ELEITORAL DA 64ª ZONA, AV. PRES. CASTELO BRANCO, S/N, AEROPORTO VELHO - GUANAMBI - BA</t>
        </is>
      </c>
      <c r="S878" s="26">
        <f>IF(A878=A877,0,1)</f>
        <v>0</v>
      </c>
      <c r="T878" s="26">
        <f>IF(COUNTIF($B$4:B878,B878)=1,1,0)</f>
        <v>0</v>
      </c>
    </row>
    <row r="879">
      <c r="A879" s="14" t="inlineStr">
        <is>
          <t>GUANAMBI</t>
        </is>
      </c>
      <c r="B879" s="26" t="n">
        <v>64</v>
      </c>
      <c r="C879" s="26" t="n">
        <v>1694</v>
      </c>
      <c r="D879" s="14" t="inlineStr">
        <is>
          <t>ESCOLA MUNICIPAL SENADOR NILO COELHO</t>
        </is>
      </c>
      <c r="E879" s="14" t="inlineStr">
        <is>
          <t>PARAISO</t>
        </is>
      </c>
      <c r="F879" s="14" t="inlineStr">
        <is>
          <t>PRAÇA ANTONIO PRIMO,S/N - ZONA URBANA</t>
        </is>
      </c>
      <c r="G879" s="27" t="inlineStr">
        <is>
          <t>46430-000</t>
        </is>
      </c>
      <c r="H879" s="15" t="n">
        <v>5</v>
      </c>
      <c r="I879" s="28" t="inlineStr">
        <is>
          <t>NÃO</t>
        </is>
      </c>
      <c r="J879" s="29" t="n">
        <v>647.1</v>
      </c>
      <c r="K879" s="14" t="str">
        <f>IF(J879="","7. Acima de 2 km",IF(J879&lt;=50,"1. Até 50 m",IF(J879&lt;=100,"2. De 50 a 100 m",IF(J879&lt;=200,"3. De 100 a 200 m",IF(J879&lt;=300,"4. De 200 a 300 m",IF(J879&lt;=500,"5. De 300 a 500 m","6. De 500 m a 2 km"))))))</f>
        <v>6. De 500 m a 2 km</v>
      </c>
      <c r="L879" s="26" t="n">
        <v>0</v>
      </c>
      <c r="M879" s="26" t="n">
        <v>0</v>
      </c>
      <c r="N879" s="26" t="n">
        <v>0</v>
      </c>
      <c r="O879" s="26" t="n">
        <v>0</v>
      </c>
      <c r="P879" s="30" t="n">
        <v>-14.21776266</v>
      </c>
      <c r="Q879" s="30" t="n">
        <v>-42.76685778</v>
      </c>
      <c r="R879" s="14" t="inlineStr">
        <is>
          <t>FORUM ELEITORAL DA 64ª ZONA, AV. PRES. CASTELO BRANCO, S/N, AEROPORTO VELHO - GUANAMBI - BA</t>
        </is>
      </c>
      <c r="S879" s="26">
        <f>IF(A879=A878,0,1)</f>
        <v>0</v>
      </c>
      <c r="T879" s="26">
        <f>IF(COUNTIF($B$4:B879,B879)=1,1,0)</f>
        <v>0</v>
      </c>
    </row>
    <row r="880">
      <c r="A880" s="14" t="inlineStr">
        <is>
          <t>GUANAMBI</t>
        </is>
      </c>
      <c r="B880" s="26" t="n">
        <v>64</v>
      </c>
      <c r="C880" s="26" t="n">
        <v>1740</v>
      </c>
      <c r="D880" s="14" t="inlineStr">
        <is>
          <t>ESCOLA MUNICIPAL MARIA REGINA FREITAS</t>
        </is>
      </c>
      <c r="E880" s="14" t="inlineStr">
        <is>
          <t>BEIJA FLOR</t>
        </is>
      </c>
      <c r="F880" s="14" t="inlineStr">
        <is>
          <t>RUA FRANCISCO CÂNDIDO XAVIER, S/N - ZONA URBANA</t>
        </is>
      </c>
      <c r="G880" s="27" t="inlineStr">
        <is>
          <t>46430-000</t>
        </is>
      </c>
      <c r="H880" s="15" t="n">
        <v>9</v>
      </c>
      <c r="I880" s="28" t="inlineStr">
        <is>
          <t>NÃO</t>
        </is>
      </c>
      <c r="J880" s="29" t="n">
        <v>874.2</v>
      </c>
      <c r="K880" s="14" t="str">
        <f>IF(J880="","7. Acima de 2 km",IF(J880&lt;=50,"1. Até 50 m",IF(J880&lt;=100,"2. De 50 a 100 m",IF(J880&lt;=200,"3. De 100 a 200 m",IF(J880&lt;=300,"4. De 200 a 300 m",IF(J880&lt;=500,"5. De 300 a 500 m","6. De 500 m a 2 km"))))))</f>
        <v>6. De 500 m a 2 km</v>
      </c>
      <c r="L880" s="26" t="n">
        <v>0</v>
      </c>
      <c r="M880" s="26" t="n">
        <v>0</v>
      </c>
      <c r="N880" s="26" t="n">
        <v>0</v>
      </c>
      <c r="O880" s="26" t="n">
        <v>0</v>
      </c>
      <c r="P880" s="30" t="n">
        <v>-14.22809685</v>
      </c>
      <c r="Q880" s="30" t="n">
        <v>-42.75665583</v>
      </c>
      <c r="R880" s="14" t="inlineStr">
        <is>
          <t>FORUM ELEITORAL DA 64ª ZONA, AV. PRES. CASTELO BRANCO, S/N, AEROPORTO VELHO - GUANAMBI - BA</t>
        </is>
      </c>
      <c r="S880" s="26">
        <f>IF(A880=A879,0,1)</f>
        <v>0</v>
      </c>
      <c r="T880" s="26">
        <f>IF(COUNTIF($B$4:B880,B880)=1,1,0)</f>
        <v>0</v>
      </c>
    </row>
    <row r="881">
      <c r="A881" s="14" t="inlineStr">
        <is>
          <t>GUANAMBI</t>
        </is>
      </c>
      <c r="B881" s="26" t="n">
        <v>64</v>
      </c>
      <c r="C881" s="26" t="n">
        <v>1791</v>
      </c>
      <c r="D881" s="14" t="inlineStr">
        <is>
          <t>COLÉGIO MODELO LUIS EDUARDO MAGALHÃES</t>
        </is>
      </c>
      <c r="E881" s="14" t="inlineStr">
        <is>
          <t>SAO FRANCISCO</t>
        </is>
      </c>
      <c r="F881" s="14" t="inlineStr">
        <is>
          <t>AVENIDA BARÃO DO RIO BRANCO, S/N - ZONA URBANA</t>
        </is>
      </c>
      <c r="G881" s="27" t="inlineStr">
        <is>
          <t>46430-000</t>
        </is>
      </c>
      <c r="H881" s="15" t="n">
        <v>8</v>
      </c>
      <c r="I881" s="28" t="inlineStr">
        <is>
          <t>NÃO</t>
        </is>
      </c>
      <c r="J881" s="29" t="n">
        <v>716.6</v>
      </c>
      <c r="K881" s="14" t="str">
        <f>IF(J881="","7. Acima de 2 km",IF(J881&lt;=50,"1. Até 50 m",IF(J881&lt;=100,"2. De 50 a 100 m",IF(J881&lt;=200,"3. De 100 a 200 m",IF(J881&lt;=300,"4. De 200 a 300 m",IF(J881&lt;=500,"5. De 300 a 500 m","6. De 500 m a 2 km"))))))</f>
        <v>6. De 500 m a 2 km</v>
      </c>
      <c r="L881" s="26" t="n">
        <v>0</v>
      </c>
      <c r="M881" s="26" t="n">
        <v>0</v>
      </c>
      <c r="N881" s="26" t="n">
        <v>0</v>
      </c>
      <c r="O881" s="26" t="n">
        <v>0</v>
      </c>
      <c r="P881" s="30" t="n">
        <v>-14.21504502</v>
      </c>
      <c r="Q881" s="30" t="n">
        <v>-42.77301429</v>
      </c>
      <c r="R881" s="14" t="inlineStr">
        <is>
          <t>FORUM ELEITORAL DA 64ª ZONA, AV. PRES. CASTELO BRANCO, S/N, AEROPORTO VELHO - GUANAMBI - BA</t>
        </is>
      </c>
      <c r="S881" s="26">
        <f>IF(A881=A880,0,1)</f>
        <v>0</v>
      </c>
      <c r="T881" s="26">
        <f>IF(COUNTIF($B$4:B881,B881)=1,1,0)</f>
        <v>0</v>
      </c>
    </row>
    <row r="882">
      <c r="A882" s="14" t="inlineStr">
        <is>
          <t>GUANAMBI</t>
        </is>
      </c>
      <c r="B882" s="26" t="n">
        <v>64</v>
      </c>
      <c r="C882" s="26" t="n">
        <v>1805</v>
      </c>
      <c r="D882" s="14" t="inlineStr">
        <is>
          <t>ESCOLA MUNICIPAL IVONE FERNANDES RIBEIRO DOS SANTOS</t>
        </is>
      </c>
      <c r="E882" s="14" t="inlineStr">
        <is>
          <t>NOVO HORIZONTE</t>
        </is>
      </c>
      <c r="F882" s="14" t="inlineStr">
        <is>
          <t>RUA COSTA E SILVA, S/N - ZONA URBANA</t>
        </is>
      </c>
      <c r="G882" s="27" t="inlineStr">
        <is>
          <t>46430-000</t>
        </is>
      </c>
      <c r="H882" s="15" t="n">
        <v>4</v>
      </c>
      <c r="I882" s="28" t="inlineStr">
        <is>
          <t>NÃO</t>
        </is>
      </c>
      <c r="J882" s="29" t="n">
        <v>923.7</v>
      </c>
      <c r="K882" s="14" t="str">
        <f>IF(J882="","7. Acima de 2 km",IF(J882&lt;=50,"1. Até 50 m",IF(J882&lt;=100,"2. De 50 a 100 m",IF(J882&lt;=200,"3. De 100 a 200 m",IF(J882&lt;=300,"4. De 200 a 300 m",IF(J882&lt;=500,"5. De 300 a 500 m","6. De 500 m a 2 km"))))))</f>
        <v>6. De 500 m a 2 km</v>
      </c>
      <c r="L882" s="26" t="n">
        <v>0</v>
      </c>
      <c r="M882" s="26" t="n">
        <v>0</v>
      </c>
      <c r="N882" s="26" t="n">
        <v>0</v>
      </c>
      <c r="O882" s="26" t="n">
        <v>0</v>
      </c>
      <c r="P882" s="30" t="n">
        <v>-14.20228498</v>
      </c>
      <c r="Q882" s="30" t="n">
        <v>-42.78423654</v>
      </c>
      <c r="R882" s="14" t="inlineStr">
        <is>
          <t>FORUM ELEITORAL DA 64ª ZONA, AV. PRES. CASTELO BRANCO, S/N, AEROPORTO VELHO - GUANAMBI - BA</t>
        </is>
      </c>
      <c r="S882" s="26">
        <f>IF(A882=A881,0,1)</f>
        <v>0</v>
      </c>
      <c r="T882" s="26">
        <f>IF(COUNTIF($B$4:B882,B882)=1,1,0)</f>
        <v>0</v>
      </c>
    </row>
    <row r="883">
      <c r="A883" s="14" t="inlineStr">
        <is>
          <t>GUANAMBI</t>
        </is>
      </c>
      <c r="B883" s="26" t="n">
        <v>64</v>
      </c>
      <c r="C883" s="26" t="n">
        <v>1872</v>
      </c>
      <c r="D883" s="14" t="inlineStr">
        <is>
          <t>ESCOLA MUNICIPAL SEBASTIÃO MOREIRA MALHEIROS</t>
        </is>
      </c>
      <c r="E883" s="14" t="inlineStr">
        <is>
          <t>DISTRITO MUTANS</t>
        </is>
      </c>
      <c r="F883" s="14" t="inlineStr">
        <is>
          <t>RUA BARCELONA, S/N - ZONA RURAL</t>
        </is>
      </c>
      <c r="G883" s="27" t="inlineStr">
        <is>
          <t>46430-000</t>
        </is>
      </c>
      <c r="H883" s="15" t="n">
        <v>8</v>
      </c>
      <c r="I883" s="28" t="inlineStr">
        <is>
          <t>NÃO</t>
        </is>
      </c>
      <c r="J883" s="29" t="n"/>
      <c r="K883" s="14" t="str">
        <f>IF(J883="","7. Acima de 2 km",IF(J883&lt;=50,"1. Até 50 m",IF(J883&lt;=100,"2. De 50 a 100 m",IF(J883&lt;=200,"3. De 100 a 200 m",IF(J883&lt;=300,"4. De 200 a 300 m",IF(J883&lt;=500,"5. De 300 a 500 m","6. De 500 m a 2 km"))))))</f>
        <v>7. Acima de 2 km</v>
      </c>
      <c r="L883" s="26" t="n">
        <v>0</v>
      </c>
      <c r="M883" s="26" t="n">
        <v>0</v>
      </c>
      <c r="N883" s="26" t="n">
        <v>0</v>
      </c>
      <c r="O883" s="26" t="n">
        <v>0</v>
      </c>
      <c r="P883" s="30" t="n">
        <v>-14.32713506</v>
      </c>
      <c r="Q883" s="30" t="n">
        <v>-42.98381421</v>
      </c>
      <c r="R883" s="14" t="inlineStr">
        <is>
          <t>FORUM ELEITORAL DA 64ª ZONA, AV. PRES. CASTELO BRANCO, S/N, AEROPORTO VELHO - GUANAMBI - BA</t>
        </is>
      </c>
      <c r="S883" s="26">
        <f>IF(A883=A882,0,1)</f>
        <v>0</v>
      </c>
      <c r="T883" s="26">
        <f>IF(COUNTIF($B$4:B883,B883)=1,1,0)</f>
        <v>0</v>
      </c>
    </row>
    <row r="884">
      <c r="A884" s="14" t="inlineStr">
        <is>
          <t>IBOTIRAMA</t>
        </is>
      </c>
      <c r="B884" s="26" t="n">
        <v>173</v>
      </c>
      <c r="C884" s="26" t="n">
        <v>1058</v>
      </c>
      <c r="D884" s="14" t="inlineStr">
        <is>
          <t>CENTRO TERRITORIAL DE EDUCAÇÃO PROFISSIONAL VELHO CHICO - CETEP</t>
        </is>
      </c>
      <c r="E884" s="14" t="inlineStr">
        <is>
          <t>CENTRO</t>
        </is>
      </c>
      <c r="F884" s="14" t="inlineStr">
        <is>
          <t>RUA EX-COMBATENTE, S/N - ZONA URBANA</t>
        </is>
      </c>
      <c r="G884" s="27" t="inlineStr">
        <is>
          <t>47520-000</t>
        </is>
      </c>
      <c r="H884" s="15" t="n">
        <v>17</v>
      </c>
      <c r="I884" s="28" t="inlineStr">
        <is>
          <t>SIM</t>
        </is>
      </c>
      <c r="J884" s="29" t="n">
        <v>98.40000000000001</v>
      </c>
      <c r="K884" s="14" t="str">
        <f>IF(J884="","7. Acima de 2 km",IF(J884&lt;=50,"1. Até 50 m",IF(J884&lt;=100,"2. De 50 a 100 m",IF(J884&lt;=200,"3. De 100 a 200 m",IF(J884&lt;=300,"4. De 200 a 300 m",IF(J884&lt;=500,"5. De 300 a 500 m","6. De 500 m a 2 km"))))))</f>
        <v>2. De 50 a 100 m</v>
      </c>
      <c r="L884" s="26" t="n">
        <v>0</v>
      </c>
      <c r="M884" s="26" t="n">
        <v>1</v>
      </c>
      <c r="N884" s="26" t="n">
        <v>2</v>
      </c>
      <c r="O884" s="26" t="n">
        <v>5</v>
      </c>
      <c r="P884" s="30" t="n">
        <v>-12.1829555</v>
      </c>
      <c r="Q884" s="30" t="n">
        <v>-43.2166846</v>
      </c>
      <c r="R884" s="14" t="inlineStr">
        <is>
          <t>FÓRUM PROFESSOR NESTOR DUARTE, SALÃO DO JÚRI, RUA PRINCIPAL, S/N, SÃO FRANCISCO, IBOTIRAMA/BA</t>
        </is>
      </c>
      <c r="S884" s="26">
        <f>IF(A884=A883,0,1)</f>
        <v>1</v>
      </c>
      <c r="T884" s="26">
        <f>IF(COUNTIF($B$4:B884,B884)=1,1,0)</f>
        <v>1</v>
      </c>
    </row>
    <row r="885">
      <c r="A885" s="14" t="inlineStr">
        <is>
          <t>IBOTIRAMA</t>
        </is>
      </c>
      <c r="B885" s="26" t="n">
        <v>173</v>
      </c>
      <c r="C885" s="26" t="n">
        <v>1066</v>
      </c>
      <c r="D885" s="14" t="inlineStr">
        <is>
          <t>ESCOLA MUNICIPAL DR. JURACY MAGALHAES JUNIOR</t>
        </is>
      </c>
      <c r="E885" s="14" t="inlineStr">
        <is>
          <t>POVOADO SAO LOURENCO</t>
        </is>
      </c>
      <c r="F885" s="14" t="inlineStr">
        <is>
          <t>POVOADO SAO LOURENCO - ZONA RURAL</t>
        </is>
      </c>
      <c r="G885" s="27" t="inlineStr">
        <is>
          <t>47520-000</t>
        </is>
      </c>
      <c r="H885" s="15" t="n">
        <v>1</v>
      </c>
      <c r="I885" s="28" t="inlineStr">
        <is>
          <t>NÃO</t>
        </is>
      </c>
      <c r="J885" s="29" t="n"/>
      <c r="K885" s="14" t="str">
        <f>IF(J885="","7. Acima de 2 km",IF(J885&lt;=50,"1. Até 50 m",IF(J885&lt;=100,"2. De 50 a 100 m",IF(J885&lt;=200,"3. De 100 a 200 m",IF(J885&lt;=300,"4. De 200 a 300 m",IF(J885&lt;=500,"5. De 300 a 500 m","6. De 500 m a 2 km"))))))</f>
        <v>7. Acima de 2 km</v>
      </c>
      <c r="L885" s="26" t="n">
        <v>0</v>
      </c>
      <c r="M885" s="26" t="n">
        <v>0</v>
      </c>
      <c r="N885" s="26" t="n">
        <v>0</v>
      </c>
      <c r="O885" s="26" t="n">
        <v>0</v>
      </c>
      <c r="P885" s="30" t="n">
        <v>-12.06692423</v>
      </c>
      <c r="Q885" s="30" t="n">
        <v>-43.11256838</v>
      </c>
      <c r="R885" s="14" t="inlineStr">
        <is>
          <t>FÓRUM PROFESSOR NESTOR DUARTE, SALÃO DO JÚRI, RUA PRINCIPAL, S/N, SÃO FRANCISCO, IBOTIRAMA/BA</t>
        </is>
      </c>
      <c r="S885" s="26">
        <f>IF(A885=A884,0,1)</f>
        <v>0</v>
      </c>
      <c r="T885" s="26">
        <f>IF(COUNTIF($B$4:B885,B885)=1,1,0)</f>
        <v>0</v>
      </c>
    </row>
    <row r="886">
      <c r="A886" s="14" t="inlineStr">
        <is>
          <t>IBOTIRAMA</t>
        </is>
      </c>
      <c r="B886" s="26" t="n">
        <v>173</v>
      </c>
      <c r="C886" s="26" t="n">
        <v>1074</v>
      </c>
      <c r="D886" s="14" t="inlineStr">
        <is>
          <t>COLEGIO MUNICIPAL PROFESSORA ISAURA S. SOARES</t>
        </is>
      </c>
      <c r="E886" s="14" t="inlineStr">
        <is>
          <t>POVOADO CANABRAVA</t>
        </is>
      </c>
      <c r="F886" s="14" t="inlineStr">
        <is>
          <t>POVOADO CANABRAVA - ZONA RURAL</t>
        </is>
      </c>
      <c r="G886" s="27" t="inlineStr">
        <is>
          <t>47520-000</t>
        </is>
      </c>
      <c r="H886" s="15" t="n">
        <v>1</v>
      </c>
      <c r="I886" s="28" t="inlineStr">
        <is>
          <t>NÃO</t>
        </is>
      </c>
      <c r="J886" s="29" t="n"/>
      <c r="K886" s="14" t="str">
        <f>IF(J886="","7. Acima de 2 km",IF(J886&lt;=50,"1. Até 50 m",IF(J886&lt;=100,"2. De 50 a 100 m",IF(J886&lt;=200,"3. De 100 a 200 m",IF(J886&lt;=300,"4. De 200 a 300 m",IF(J886&lt;=500,"5. De 300 a 500 m","6. De 500 m a 2 km"))))))</f>
        <v>7. Acima de 2 km</v>
      </c>
      <c r="L886" s="26" t="n">
        <v>0</v>
      </c>
      <c r="M886" s="26" t="n">
        <v>0</v>
      </c>
      <c r="N886" s="26" t="n">
        <v>0</v>
      </c>
      <c r="O886" s="26" t="n">
        <v>0</v>
      </c>
      <c r="P886" s="30" t="n">
        <v>-12.20965</v>
      </c>
      <c r="Q886" s="30" t="n">
        <v>-43.1089267</v>
      </c>
      <c r="R886" s="14" t="inlineStr">
        <is>
          <t>FÓRUM PROFESSOR NESTOR DUARTE, SALÃO DO JÚRI, RUA PRINCIPAL, S/N, SÃO FRANCISCO, IBOTIRAMA/BA</t>
        </is>
      </c>
      <c r="S886" s="26">
        <f>IF(A886=A885,0,1)</f>
        <v>0</v>
      </c>
      <c r="T886" s="26">
        <f>IF(COUNTIF($B$4:B886,B886)=1,1,0)</f>
        <v>0</v>
      </c>
    </row>
    <row r="887">
      <c r="A887" s="14" t="inlineStr">
        <is>
          <t>IBOTIRAMA</t>
        </is>
      </c>
      <c r="B887" s="26" t="n">
        <v>173</v>
      </c>
      <c r="C887" s="26" t="n">
        <v>1082</v>
      </c>
      <c r="D887" s="14" t="inlineStr">
        <is>
          <t>ESCOLA MUNICIPAL ZELIA COUTINHO</t>
        </is>
      </c>
      <c r="E887" s="14" t="inlineStr">
        <is>
          <t>POVOADO ITAPEBA DE BAIXO</t>
        </is>
      </c>
      <c r="F887" s="14" t="inlineStr">
        <is>
          <t>POVOADO ITAPEBA DE BAIXO - ZONA RURAL</t>
        </is>
      </c>
      <c r="G887" s="27" t="inlineStr">
        <is>
          <t>47520-000</t>
        </is>
      </c>
      <c r="H887" s="15" t="n">
        <v>2</v>
      </c>
      <c r="I887" s="28" t="inlineStr">
        <is>
          <t>NÃO</t>
        </is>
      </c>
      <c r="J887" s="29" t="n"/>
      <c r="K887" s="14" t="str">
        <f>IF(J887="","7. Acima de 2 km",IF(J887&lt;=50,"1. Até 50 m",IF(J887&lt;=100,"2. De 50 a 100 m",IF(J887&lt;=200,"3. De 100 a 200 m",IF(J887&lt;=300,"4. De 200 a 300 m",IF(J887&lt;=500,"5. De 300 a 500 m","6. De 500 m a 2 km"))))))</f>
        <v>7. Acima de 2 km</v>
      </c>
      <c r="L887" s="26" t="n">
        <v>0</v>
      </c>
      <c r="M887" s="26" t="n">
        <v>0</v>
      </c>
      <c r="N887" s="26" t="n">
        <v>0</v>
      </c>
      <c r="O887" s="26" t="n">
        <v>0</v>
      </c>
      <c r="P887" s="30" t="n">
        <v>-12.32890183</v>
      </c>
      <c r="Q887" s="30" t="n">
        <v>-43.16184046</v>
      </c>
      <c r="R887" s="14" t="inlineStr">
        <is>
          <t>FÓRUM PROFESSOR NESTOR DUARTE, SALÃO DO JÚRI, RUA PRINCIPAL, S/N, SÃO FRANCISCO, IBOTIRAMA/BA</t>
        </is>
      </c>
      <c r="S887" s="26">
        <f>IF(A887=A886,0,1)</f>
        <v>0</v>
      </c>
      <c r="T887" s="26">
        <f>IF(COUNTIF($B$4:B887,B887)=1,1,0)</f>
        <v>0</v>
      </c>
    </row>
    <row r="888">
      <c r="A888" s="14" t="inlineStr">
        <is>
          <t>IBOTIRAMA</t>
        </is>
      </c>
      <c r="B888" s="26" t="n">
        <v>173</v>
      </c>
      <c r="C888" s="26" t="n">
        <v>1090</v>
      </c>
      <c r="D888" s="14" t="inlineStr">
        <is>
          <t>ESCOLA MUNICIPAL GOVERNADOR LUIZ VIANA FILHO</t>
        </is>
      </c>
      <c r="E888" s="14" t="inlineStr">
        <is>
          <t>CENTRO</t>
        </is>
      </c>
      <c r="F888" s="14" t="inlineStr">
        <is>
          <t>RUA PEDRO OLIMPIO DE SOUZA, S/N - ZONA URBANA</t>
        </is>
      </c>
      <c r="G888" s="27" t="inlineStr">
        <is>
          <t>47520-000</t>
        </is>
      </c>
      <c r="H888" s="15" t="n">
        <v>4</v>
      </c>
      <c r="I888" s="28" t="inlineStr">
        <is>
          <t>NÃO</t>
        </is>
      </c>
      <c r="J888" s="29" t="n">
        <v>193.1</v>
      </c>
      <c r="K888" s="14" t="str">
        <f>IF(J888="","7. Acima de 2 km",IF(J888&lt;=50,"1. Até 50 m",IF(J888&lt;=100,"2. De 50 a 100 m",IF(J888&lt;=200,"3. De 100 a 200 m",IF(J888&lt;=300,"4. De 200 a 300 m",IF(J888&lt;=500,"5. De 300 a 500 m","6. De 500 m a 2 km"))))))</f>
        <v>3. De 100 a 200 m</v>
      </c>
      <c r="L888" s="26" t="n">
        <v>0</v>
      </c>
      <c r="M888" s="26" t="n">
        <v>0</v>
      </c>
      <c r="N888" s="26" t="n">
        <v>1</v>
      </c>
      <c r="O888" s="26" t="n">
        <v>4</v>
      </c>
      <c r="P888" s="30" t="n">
        <v>-12.1830273</v>
      </c>
      <c r="Q888" s="30" t="n">
        <v>-43.2192463</v>
      </c>
      <c r="R888" s="14" t="inlineStr">
        <is>
          <t>FÓRUM PROFESSOR NESTOR DUARTE, SALÃO DO JÚRI, RUA PRINCIPAL, S/N, SÃO FRANCISCO, IBOTIRAMA/BA</t>
        </is>
      </c>
      <c r="S888" s="26">
        <f>IF(A888=A887,0,1)</f>
        <v>0</v>
      </c>
      <c r="T888" s="26">
        <f>IF(COUNTIF($B$4:B888,B888)=1,1,0)</f>
        <v>0</v>
      </c>
    </row>
    <row r="889">
      <c r="A889" s="14" t="inlineStr">
        <is>
          <t>IBOTIRAMA</t>
        </is>
      </c>
      <c r="B889" s="26" t="n">
        <v>173</v>
      </c>
      <c r="C889" s="26" t="n">
        <v>1112</v>
      </c>
      <c r="D889" s="14" t="inlineStr">
        <is>
          <t>ESCOLA MUNICIPAL PAULO VI</t>
        </is>
      </c>
      <c r="E889" s="14" t="inlineStr">
        <is>
          <t>POVOADO FAZENDA NOVA</t>
        </is>
      </c>
      <c r="F889" s="14" t="inlineStr">
        <is>
          <t>ATUAL CENTRO DE REUNIOES COMUNITARIAS - ZONA RURAL</t>
        </is>
      </c>
      <c r="G889" s="27" t="inlineStr">
        <is>
          <t>47520-000</t>
        </is>
      </c>
      <c r="H889" s="15" t="n">
        <v>1</v>
      </c>
      <c r="I889" s="28" t="inlineStr">
        <is>
          <t>NÃO</t>
        </is>
      </c>
      <c r="J889" s="29" t="n"/>
      <c r="K889" s="14" t="str">
        <f>IF(J889="","7. Acima de 2 km",IF(J889&lt;=50,"1. Até 50 m",IF(J889&lt;=100,"2. De 50 a 100 m",IF(J889&lt;=200,"3. De 100 a 200 m",IF(J889&lt;=300,"4. De 200 a 300 m",IF(J889&lt;=500,"5. De 300 a 500 m","6. De 500 m a 2 km"))))))</f>
        <v>7. Acima de 2 km</v>
      </c>
      <c r="L889" s="26" t="n">
        <v>0</v>
      </c>
      <c r="M889" s="26" t="n">
        <v>0</v>
      </c>
      <c r="N889" s="26" t="n">
        <v>0</v>
      </c>
      <c r="O889" s="26" t="n">
        <v>0</v>
      </c>
      <c r="P889" s="30" t="n">
        <v>-12.3587983</v>
      </c>
      <c r="Q889" s="30" t="n">
        <v>-43.2585983</v>
      </c>
      <c r="R889" s="14" t="inlineStr">
        <is>
          <t>FÓRUM PROFESSOR NESTOR DUARTE, SALÃO DO JÚRI, RUA PRINCIPAL, S/N, SÃO FRANCISCO, IBOTIRAMA/BA</t>
        </is>
      </c>
      <c r="S889" s="26">
        <f>IF(A889=A888,0,1)</f>
        <v>0</v>
      </c>
      <c r="T889" s="26">
        <f>IF(COUNTIF($B$4:B889,B889)=1,1,0)</f>
        <v>0</v>
      </c>
    </row>
    <row r="890">
      <c r="A890" s="14" t="inlineStr">
        <is>
          <t>IBOTIRAMA</t>
        </is>
      </c>
      <c r="B890" s="26" t="n">
        <v>173</v>
      </c>
      <c r="C890" s="26" t="n">
        <v>1120</v>
      </c>
      <c r="D890" s="14" t="inlineStr">
        <is>
          <t>COLÉGIO MUNICIPALIZADO PRESIDENTE MÉDICI</t>
        </is>
      </c>
      <c r="E890" s="14" t="inlineStr">
        <is>
          <t>CENTRO</t>
        </is>
      </c>
      <c r="F890" s="14" t="inlineStr">
        <is>
          <t>RUA LOMANTO JUNIOR, SN - ZONA URBANA</t>
        </is>
      </c>
      <c r="G890" s="27" t="inlineStr">
        <is>
          <t>47520-000</t>
        </is>
      </c>
      <c r="H890" s="15" t="n">
        <v>3</v>
      </c>
      <c r="I890" s="28" t="inlineStr">
        <is>
          <t>NÃO</t>
        </is>
      </c>
      <c r="J890" s="29" t="n">
        <v>127</v>
      </c>
      <c r="K890" s="14" t="str">
        <f>IF(J890="","7. Acima de 2 km",IF(J890&lt;=50,"1. Até 50 m",IF(J890&lt;=100,"2. De 50 a 100 m",IF(J890&lt;=200,"3. De 100 a 200 m",IF(J890&lt;=300,"4. De 200 a 300 m",IF(J890&lt;=500,"5. De 300 a 500 m","6. De 500 m a 2 km"))))))</f>
        <v>3. De 100 a 200 m</v>
      </c>
      <c r="L890" s="26" t="n">
        <v>0</v>
      </c>
      <c r="M890" s="26" t="n">
        <v>0</v>
      </c>
      <c r="N890" s="26" t="n">
        <v>3</v>
      </c>
      <c r="O890" s="26" t="n">
        <v>7</v>
      </c>
      <c r="P890" s="30" t="n">
        <v>-12.1805547</v>
      </c>
      <c r="Q890" s="30" t="n">
        <v>-43.2162533</v>
      </c>
      <c r="R890" s="14" t="inlineStr">
        <is>
          <t>FÓRUM PROFESSOR NESTOR DUARTE, SALÃO DO JÚRI, RUA PRINCIPAL, S/N, SÃO FRANCISCO, IBOTIRAMA/BA</t>
        </is>
      </c>
      <c r="S890" s="26">
        <f>IF(A890=A889,0,1)</f>
        <v>0</v>
      </c>
      <c r="T890" s="26">
        <f>IF(COUNTIF($B$4:B890,B890)=1,1,0)</f>
        <v>0</v>
      </c>
    </row>
    <row r="891">
      <c r="A891" s="14" t="inlineStr">
        <is>
          <t>IBOTIRAMA</t>
        </is>
      </c>
      <c r="B891" s="26" t="n">
        <v>173</v>
      </c>
      <c r="C891" s="26" t="n">
        <v>1139</v>
      </c>
      <c r="D891" s="14" t="inlineStr">
        <is>
          <t>ESCOLA MUNICIPAL PRESIDENTE MEDICI</t>
        </is>
      </c>
      <c r="E891" s="14" t="inlineStr">
        <is>
          <t>POVOADO JUA NOVO</t>
        </is>
      </c>
      <c r="F891" s="14" t="inlineStr">
        <is>
          <t>POVOADO DE JUA NOVO - ZONA RURAL</t>
        </is>
      </c>
      <c r="G891" s="27" t="inlineStr">
        <is>
          <t>47520-000</t>
        </is>
      </c>
      <c r="H891" s="15" t="n">
        <v>2</v>
      </c>
      <c r="I891" s="28" t="inlineStr">
        <is>
          <t>NÃO</t>
        </is>
      </c>
      <c r="J891" s="29" t="n"/>
      <c r="K891" s="14" t="str">
        <f>IF(J891="","7. Acima de 2 km",IF(J891&lt;=50,"1. Até 50 m",IF(J891&lt;=100,"2. De 50 a 100 m",IF(J891&lt;=200,"3. De 100 a 200 m",IF(J891&lt;=300,"4. De 200 a 300 m",IF(J891&lt;=500,"5. De 300 a 500 m","6. De 500 m a 2 km"))))))</f>
        <v>7. Acima de 2 km</v>
      </c>
      <c r="L891" s="26" t="n">
        <v>0</v>
      </c>
      <c r="M891" s="26" t="n">
        <v>0</v>
      </c>
      <c r="N891" s="26" t="n">
        <v>0</v>
      </c>
      <c r="O891" s="26" t="n">
        <v>0</v>
      </c>
      <c r="P891" s="30" t="n">
        <v>-11.95501</v>
      </c>
      <c r="Q891" s="30" t="n">
        <v>-43.3478683</v>
      </c>
      <c r="R891" s="14" t="inlineStr">
        <is>
          <t>FÓRUM PROFESSOR NESTOR DUARTE, SALÃO DO JÚRI, RUA PRINCIPAL, S/N, SÃO FRANCISCO, IBOTIRAMA/BA</t>
        </is>
      </c>
      <c r="S891" s="26">
        <f>IF(A891=A890,0,1)</f>
        <v>0</v>
      </c>
      <c r="T891" s="26">
        <f>IF(COUNTIF($B$4:B891,B891)=1,1,0)</f>
        <v>0</v>
      </c>
    </row>
    <row r="892">
      <c r="A892" s="14" t="inlineStr">
        <is>
          <t>IBOTIRAMA</t>
        </is>
      </c>
      <c r="B892" s="26" t="n">
        <v>173</v>
      </c>
      <c r="C892" s="26" t="n">
        <v>1155</v>
      </c>
      <c r="D892" s="14" t="inlineStr">
        <is>
          <t>COLÉGIO MUNICIPAL HENRIQUE TEIXEIRA SANTANA</t>
        </is>
      </c>
      <c r="E892" s="14" t="inlineStr">
        <is>
          <t>POVOADO LINHA</t>
        </is>
      </c>
      <c r="F892" s="14" t="inlineStr">
        <is>
          <t>KM 18 - POVOADO DE LINHA - ZONA RURAL</t>
        </is>
      </c>
      <c r="G892" s="27" t="inlineStr">
        <is>
          <t>47520-000</t>
        </is>
      </c>
      <c r="H892" s="15" t="n">
        <v>2</v>
      </c>
      <c r="I892" s="28" t="inlineStr">
        <is>
          <t>NÃO</t>
        </is>
      </c>
      <c r="J892" s="29" t="n"/>
      <c r="K892" s="14" t="str">
        <f>IF(J892="","7. Acima de 2 km",IF(J892&lt;=50,"1. Até 50 m",IF(J892&lt;=100,"2. De 50 a 100 m",IF(J892&lt;=200,"3. De 100 a 200 m",IF(J892&lt;=300,"4. De 200 a 300 m",IF(J892&lt;=500,"5. De 300 a 500 m","6. De 500 m a 2 km"))))))</f>
        <v>7. Acima de 2 km</v>
      </c>
      <c r="L892" s="26" t="n">
        <v>0</v>
      </c>
      <c r="M892" s="26" t="n">
        <v>0</v>
      </c>
      <c r="N892" s="26" t="n">
        <v>0</v>
      </c>
      <c r="O892" s="26" t="n">
        <v>0</v>
      </c>
      <c r="P892" s="30" t="n">
        <v>-12.32754332</v>
      </c>
      <c r="Q892" s="30" t="n">
        <v>-43.19438148</v>
      </c>
      <c r="R892" s="14" t="inlineStr">
        <is>
          <t>FÓRUM PROFESSOR NESTOR DUARTE, SALÃO DO JÚRI, RUA PRINCIPAL, S/N, SÃO FRANCISCO, IBOTIRAMA/BA</t>
        </is>
      </c>
      <c r="S892" s="26">
        <f>IF(A892=A891,0,1)</f>
        <v>0</v>
      </c>
      <c r="T892" s="26">
        <f>IF(COUNTIF($B$4:B892,B892)=1,1,0)</f>
        <v>0</v>
      </c>
    </row>
    <row r="893">
      <c r="A893" s="14" t="inlineStr">
        <is>
          <t>IBOTIRAMA</t>
        </is>
      </c>
      <c r="B893" s="26" t="n">
        <v>173</v>
      </c>
      <c r="C893" s="26" t="n">
        <v>1163</v>
      </c>
      <c r="D893" s="14" t="inlineStr">
        <is>
          <t>ESC. MUNICIPAL PROF. EDIVALDO BOA VENTURA</t>
        </is>
      </c>
      <c r="E893" s="14" t="inlineStr">
        <is>
          <t>CENTRO</t>
        </is>
      </c>
      <c r="F893" s="14" t="inlineStr">
        <is>
          <t>RUA DR. JOAO BORGES DE FIGUEREDO, S/N - ZONA URBANA</t>
        </is>
      </c>
      <c r="G893" s="27" t="inlineStr">
        <is>
          <t>47520-000</t>
        </is>
      </c>
      <c r="H893" s="15" t="n">
        <v>3</v>
      </c>
      <c r="I893" s="28" t="inlineStr">
        <is>
          <t>NÃO</t>
        </is>
      </c>
      <c r="J893" s="29" t="n">
        <v>253.5</v>
      </c>
      <c r="K893" s="14" t="str">
        <f>IF(J893="","7. Acima de 2 km",IF(J893&lt;=50,"1. Até 50 m",IF(J893&lt;=100,"2. De 50 a 100 m",IF(J893&lt;=200,"3. De 100 a 200 m",IF(J893&lt;=300,"4. De 200 a 300 m",IF(J893&lt;=500,"5. De 300 a 500 m","6. De 500 m a 2 km"))))))</f>
        <v>4. De 200 a 300 m</v>
      </c>
      <c r="L893" s="26" t="n">
        <v>0</v>
      </c>
      <c r="M893" s="26" t="n">
        <v>0</v>
      </c>
      <c r="N893" s="26" t="n">
        <v>0</v>
      </c>
      <c r="O893" s="26" t="n">
        <v>3</v>
      </c>
      <c r="P893" s="30" t="n">
        <v>-12.1810751</v>
      </c>
      <c r="Q893" s="30" t="n">
        <v>-43.2197772</v>
      </c>
      <c r="R893" s="14" t="inlineStr">
        <is>
          <t>FÓRUM PROFESSOR NESTOR DUARTE, SALÃO DO JÚRI, RUA PRINCIPAL, S/N, SÃO FRANCISCO, IBOTIRAMA/BA</t>
        </is>
      </c>
      <c r="S893" s="26">
        <f>IF(A893=A892,0,1)</f>
        <v>0</v>
      </c>
      <c r="T893" s="26">
        <f>IF(COUNTIF($B$4:B893,B893)=1,1,0)</f>
        <v>0</v>
      </c>
    </row>
    <row r="894">
      <c r="A894" s="14" t="inlineStr">
        <is>
          <t>IBOTIRAMA</t>
        </is>
      </c>
      <c r="B894" s="26" t="n">
        <v>173</v>
      </c>
      <c r="C894" s="26" t="n">
        <v>1171</v>
      </c>
      <c r="D894" s="14" t="inlineStr">
        <is>
          <t>ESCOLA MUNICIPAL PROFESSORA EDUARDA SOARES DE ANDRADE</t>
        </is>
      </c>
      <c r="E894" s="14" t="inlineStr">
        <is>
          <t>POVOADO LAGAMAR</t>
        </is>
      </c>
      <c r="F894" s="14" t="inlineStr">
        <is>
          <t>POVOADO LAGAMAR - ZONA RURAL</t>
        </is>
      </c>
      <c r="G894" s="27" t="inlineStr">
        <is>
          <t>47520-000</t>
        </is>
      </c>
      <c r="H894" s="15" t="n">
        <v>2</v>
      </c>
      <c r="I894" s="28" t="inlineStr">
        <is>
          <t>NÃO</t>
        </is>
      </c>
      <c r="J894" s="29" t="n"/>
      <c r="K894" s="14" t="str">
        <f>IF(J894="","7. Acima de 2 km",IF(J894&lt;=50,"1. Até 50 m",IF(J894&lt;=100,"2. De 50 a 100 m",IF(J894&lt;=200,"3. De 100 a 200 m",IF(J894&lt;=300,"4. De 200 a 300 m",IF(J894&lt;=500,"5. De 300 a 500 m","6. De 500 m a 2 km"))))))</f>
        <v>7. Acima de 2 km</v>
      </c>
      <c r="L894" s="26" t="n">
        <v>0</v>
      </c>
      <c r="M894" s="26" t="n">
        <v>0</v>
      </c>
      <c r="N894" s="26" t="n">
        <v>0</v>
      </c>
      <c r="O894" s="26" t="n">
        <v>0</v>
      </c>
      <c r="P894" s="30" t="n">
        <v>-11.8656717</v>
      </c>
      <c r="Q894" s="30" t="n">
        <v>-43.2970167</v>
      </c>
      <c r="R894" s="14" t="inlineStr">
        <is>
          <t>FÓRUM PROFESSOR NESTOR DUARTE, SALÃO DO JÚRI, RUA PRINCIPAL, S/N, SÃO FRANCISCO, IBOTIRAMA/BA</t>
        </is>
      </c>
      <c r="S894" s="26">
        <f>IF(A894=A893,0,1)</f>
        <v>0</v>
      </c>
      <c r="T894" s="26">
        <f>IF(COUNTIF($B$4:B894,B894)=1,1,0)</f>
        <v>0</v>
      </c>
    </row>
    <row r="895">
      <c r="A895" s="14" t="inlineStr">
        <is>
          <t>IBOTIRAMA</t>
        </is>
      </c>
      <c r="B895" s="26" t="n">
        <v>173</v>
      </c>
      <c r="C895" s="26" t="n">
        <v>1180</v>
      </c>
      <c r="D895" s="14" t="inlineStr">
        <is>
          <t>ESCOLA PROFESSORA MARIA JOAQUINA CASTELO BRANCO SIMOES</t>
        </is>
      </c>
      <c r="E895" s="14" t="inlineStr">
        <is>
          <t>VEREDINHA</t>
        </is>
      </c>
      <c r="F895" s="14" t="inlineStr">
        <is>
          <t>RUA DO CUPERTINO, S/N - ZONA URBANA</t>
        </is>
      </c>
      <c r="G895" s="27" t="inlineStr">
        <is>
          <t>47520-000</t>
        </is>
      </c>
      <c r="H895" s="15" t="n">
        <v>2</v>
      </c>
      <c r="I895" s="28" t="inlineStr">
        <is>
          <t>NÃO</t>
        </is>
      </c>
      <c r="J895" s="29" t="n">
        <v>539.6</v>
      </c>
      <c r="K895" s="14" t="str">
        <f>IF(J895="","7. Acima de 2 km",IF(J895&lt;=50,"1. Até 50 m",IF(J895&lt;=100,"2. De 50 a 100 m",IF(J895&lt;=200,"3. De 100 a 200 m",IF(J895&lt;=300,"4. De 200 a 300 m",IF(J895&lt;=500,"5. De 300 a 500 m","6. De 500 m a 2 km"))))))</f>
        <v>6. De 500 m a 2 km</v>
      </c>
      <c r="L895" s="26" t="n">
        <v>0</v>
      </c>
      <c r="M895" s="26" t="n">
        <v>0</v>
      </c>
      <c r="N895" s="26" t="n">
        <v>0</v>
      </c>
      <c r="O895" s="26" t="n">
        <v>0</v>
      </c>
      <c r="P895" s="30" t="n">
        <v>-12.1867092</v>
      </c>
      <c r="Q895" s="30" t="n">
        <v>-43.2134904</v>
      </c>
      <c r="R895" s="14" t="inlineStr">
        <is>
          <t>FÓRUM PROFESSOR NESTOR DUARTE, SALÃO DO JÚRI, RUA PRINCIPAL, S/N, SÃO FRANCISCO, IBOTIRAMA/BA</t>
        </is>
      </c>
      <c r="S895" s="26">
        <f>IF(A895=A894,0,1)</f>
        <v>0</v>
      </c>
      <c r="T895" s="26">
        <f>IF(COUNTIF($B$4:B895,B895)=1,1,0)</f>
        <v>0</v>
      </c>
    </row>
    <row r="896">
      <c r="A896" s="14" t="inlineStr">
        <is>
          <t>IBOTIRAMA</t>
        </is>
      </c>
      <c r="B896" s="26" t="n">
        <v>173</v>
      </c>
      <c r="C896" s="26" t="n">
        <v>1198</v>
      </c>
      <c r="D896" s="14" t="inlineStr">
        <is>
          <t>COLEGIO ESTADUAL DE TEMPO INTEGRAL PROFª ODONTINA LARANJEIRA DE SOUZA</t>
        </is>
      </c>
      <c r="E896" s="14" t="inlineStr">
        <is>
          <t>SAO FRANCISCO</t>
        </is>
      </c>
      <c r="F896" s="14" t="inlineStr">
        <is>
          <t>RUA DA ACRI, SN - ZONA URBANA</t>
        </is>
      </c>
      <c r="G896" s="27" t="inlineStr">
        <is>
          <t>47520-000</t>
        </is>
      </c>
      <c r="H896" s="15" t="n">
        <v>10</v>
      </c>
      <c r="I896" s="28" t="inlineStr">
        <is>
          <t>NÃO</t>
        </is>
      </c>
      <c r="J896" s="29" t="n">
        <v>228.2</v>
      </c>
      <c r="K896" s="14" t="str">
        <f>IF(J896="","7. Acima de 2 km",IF(J896&lt;=50,"1. Até 50 m",IF(J896&lt;=100,"2. De 50 a 100 m",IF(J896&lt;=200,"3. De 100 a 200 m",IF(J896&lt;=300,"4. De 200 a 300 m",IF(J896&lt;=500,"5. De 300 a 500 m","6. De 500 m a 2 km"))))))</f>
        <v>4. De 200 a 300 m</v>
      </c>
      <c r="L896" s="26" t="n">
        <v>0</v>
      </c>
      <c r="M896" s="26" t="n">
        <v>0</v>
      </c>
      <c r="N896" s="26" t="n">
        <v>0</v>
      </c>
      <c r="O896" s="26" t="n">
        <v>1</v>
      </c>
      <c r="P896" s="30" t="n">
        <v>-12.1807557</v>
      </c>
      <c r="Q896" s="30" t="n">
        <v>-43.2115533</v>
      </c>
      <c r="R896" s="14" t="inlineStr">
        <is>
          <t>FÓRUM PROFESSOR NESTOR DUARTE, SALÃO DO JÚRI, RUA PRINCIPAL, S/N, SÃO FRANCISCO, IBOTIRAMA/BA</t>
        </is>
      </c>
      <c r="S896" s="26">
        <f>IF(A896=A895,0,1)</f>
        <v>0</v>
      </c>
      <c r="T896" s="26">
        <f>IF(COUNTIF($B$4:B896,B896)=1,1,0)</f>
        <v>0</v>
      </c>
    </row>
    <row r="897">
      <c r="A897" s="14" t="inlineStr">
        <is>
          <t>IBOTIRAMA</t>
        </is>
      </c>
      <c r="B897" s="26" t="n">
        <v>173</v>
      </c>
      <c r="C897" s="26" t="n">
        <v>1210</v>
      </c>
      <c r="D897" s="14" t="inlineStr">
        <is>
          <t>ESCOLA MUNICIPAL ARLINDO ARAUJO DE SOUZA</t>
        </is>
      </c>
      <c r="E897" s="14" t="inlineStr">
        <is>
          <t>SAO FRANCISCO</t>
        </is>
      </c>
      <c r="F897" s="14" t="inlineStr">
        <is>
          <t>PRACA II - ZONA URBANA</t>
        </is>
      </c>
      <c r="G897" s="27" t="inlineStr">
        <is>
          <t>47520-000</t>
        </is>
      </c>
      <c r="H897" s="15" t="n">
        <v>4</v>
      </c>
      <c r="I897" s="28" t="inlineStr">
        <is>
          <t>NÃO</t>
        </is>
      </c>
      <c r="J897" s="29" t="n">
        <v>144.3</v>
      </c>
      <c r="K897" s="14" t="str">
        <f>IF(J897="","7. Acima de 2 km",IF(J897&lt;=50,"1. Até 50 m",IF(J897&lt;=100,"2. De 50 a 100 m",IF(J897&lt;=200,"3. De 100 a 200 m",IF(J897&lt;=300,"4. De 200 a 300 m",IF(J897&lt;=500,"5. De 300 a 500 m","6. De 500 m a 2 km"))))))</f>
        <v>3. De 100 a 200 m</v>
      </c>
      <c r="L897" s="26" t="n">
        <v>0</v>
      </c>
      <c r="M897" s="26" t="n">
        <v>0</v>
      </c>
      <c r="N897" s="26" t="n">
        <v>1</v>
      </c>
      <c r="O897" s="26" t="n">
        <v>2</v>
      </c>
      <c r="P897" s="30" t="n">
        <v>-12.1788418</v>
      </c>
      <c r="Q897" s="30" t="n">
        <v>-43.2092862</v>
      </c>
      <c r="R897" s="14" t="inlineStr">
        <is>
          <t>FÓRUM PROFESSOR NESTOR DUARTE, SALÃO DO JÚRI, RUA PRINCIPAL, S/N, SÃO FRANCISCO, IBOTIRAMA/BA</t>
        </is>
      </c>
      <c r="S897" s="26">
        <f>IF(A897=A896,0,1)</f>
        <v>0</v>
      </c>
      <c r="T897" s="26">
        <f>IF(COUNTIF($B$4:B897,B897)=1,1,0)</f>
        <v>0</v>
      </c>
    </row>
    <row r="898">
      <c r="A898" s="14" t="inlineStr">
        <is>
          <t>IBOTIRAMA</t>
        </is>
      </c>
      <c r="B898" s="26" t="n">
        <v>173</v>
      </c>
      <c r="C898" s="26" t="n">
        <v>1228</v>
      </c>
      <c r="D898" s="14" t="inlineStr">
        <is>
          <t>ESCOLA REUNIDAS RUY BARBOSA</t>
        </is>
      </c>
      <c r="E898" s="14" t="inlineStr">
        <is>
          <t>CENTRO</t>
        </is>
      </c>
      <c r="F898" s="14" t="inlineStr">
        <is>
          <t>RUA PEDRO OLIMPIO DE SOUZA, S/N - ZONA URBANA</t>
        </is>
      </c>
      <c r="G898" s="27" t="inlineStr">
        <is>
          <t>47520-000</t>
        </is>
      </c>
      <c r="H898" s="15" t="n">
        <v>2</v>
      </c>
      <c r="I898" s="28" t="inlineStr">
        <is>
          <t>NÃO</t>
        </is>
      </c>
      <c r="J898" s="29" t="n">
        <v>172.2</v>
      </c>
      <c r="K898" s="14" t="str">
        <f>IF(J898="","7. Acima de 2 km",IF(J898&lt;=50,"1. Até 50 m",IF(J898&lt;=100,"2. De 50 a 100 m",IF(J898&lt;=200,"3. De 100 a 200 m",IF(J898&lt;=300,"4. De 200 a 300 m",IF(J898&lt;=500,"5. De 300 a 500 m","6. De 500 m a 2 km"))))))</f>
        <v>3. De 100 a 200 m</v>
      </c>
      <c r="L898" s="26" t="n">
        <v>0</v>
      </c>
      <c r="M898" s="26" t="n">
        <v>0</v>
      </c>
      <c r="N898" s="26" t="n">
        <v>1</v>
      </c>
      <c r="O898" s="26" t="n">
        <v>4</v>
      </c>
      <c r="P898" s="30" t="n">
        <v>-12.1833895</v>
      </c>
      <c r="Q898" s="30" t="n">
        <v>-43.2186779</v>
      </c>
      <c r="R898" s="14" t="inlineStr">
        <is>
          <t>FÓRUM PROFESSOR NESTOR DUARTE, SALÃO DO JÚRI, RUA PRINCIPAL, S/N, SÃO FRANCISCO, IBOTIRAMA/BA</t>
        </is>
      </c>
      <c r="S898" s="26">
        <f>IF(A898=A897,0,1)</f>
        <v>0</v>
      </c>
      <c r="T898" s="26">
        <f>IF(COUNTIF($B$4:B898,B898)=1,1,0)</f>
        <v>0</v>
      </c>
    </row>
    <row r="899">
      <c r="A899" s="14" t="inlineStr">
        <is>
          <t>IBOTIRAMA</t>
        </is>
      </c>
      <c r="B899" s="26" t="n">
        <v>173</v>
      </c>
      <c r="C899" s="26" t="n">
        <v>1244</v>
      </c>
      <c r="D899" s="14" t="inlineStr">
        <is>
          <t>ESCOLA MUNICIPAL DE EDUCAÇÃO INFANTIL MÃE DJANIRA</t>
        </is>
      </c>
      <c r="E899" s="14" t="inlineStr">
        <is>
          <t>SAO FRANCISCO</t>
        </is>
      </c>
      <c r="F899" s="14" t="inlineStr">
        <is>
          <t>PRACA SAO FRANCISCO, S/N - ZONA URBANA</t>
        </is>
      </c>
      <c r="G899" s="27" t="inlineStr">
        <is>
          <t>47520-000</t>
        </is>
      </c>
      <c r="H899" s="15" t="n">
        <v>3</v>
      </c>
      <c r="I899" s="28" t="inlineStr">
        <is>
          <t>SIM</t>
        </is>
      </c>
      <c r="J899" s="29" t="n">
        <v>89.40000000000001</v>
      </c>
      <c r="K899" s="14" t="str">
        <f>IF(J899="","7. Acima de 2 km",IF(J899&lt;=50,"1. Até 50 m",IF(J899&lt;=100,"2. De 50 a 100 m",IF(J899&lt;=200,"3. De 100 a 200 m",IF(J899&lt;=300,"4. De 200 a 300 m",IF(J899&lt;=500,"5. De 300 a 500 m","6. De 500 m a 2 km"))))))</f>
        <v>2. De 50 a 100 m</v>
      </c>
      <c r="L899" s="26" t="n">
        <v>0</v>
      </c>
      <c r="M899" s="26" t="n">
        <v>1</v>
      </c>
      <c r="N899" s="26" t="n">
        <v>1</v>
      </c>
      <c r="O899" s="26" t="n">
        <v>1</v>
      </c>
      <c r="P899" s="30" t="n">
        <v>-12.1797188</v>
      </c>
      <c r="Q899" s="30" t="n">
        <v>-43.2105067</v>
      </c>
      <c r="R899" s="14" t="inlineStr">
        <is>
          <t>FÓRUM PROFESSOR NESTOR DUARTE, SALÃO DO JÚRI, RUA PRINCIPAL, S/N, SÃO FRANCISCO, IBOTIRAMA/BA</t>
        </is>
      </c>
      <c r="S899" s="26">
        <f>IF(A899=A898,0,1)</f>
        <v>0</v>
      </c>
      <c r="T899" s="26">
        <f>IF(COUNTIF($B$4:B899,B899)=1,1,0)</f>
        <v>0</v>
      </c>
    </row>
    <row r="900">
      <c r="A900" s="14" t="inlineStr">
        <is>
          <t>IBOTIRAMA</t>
        </is>
      </c>
      <c r="B900" s="26" t="n">
        <v>173</v>
      </c>
      <c r="C900" s="26" t="n">
        <v>1252</v>
      </c>
      <c r="D900" s="14" t="inlineStr">
        <is>
          <t>ESCOLA MUNICIPAL DEPUTADO JOSÉ ROCHA</t>
        </is>
      </c>
      <c r="E900" s="14" t="inlineStr">
        <is>
          <t>POVOADO ILHA GRANDE</t>
        </is>
      </c>
      <c r="F900" s="14" t="inlineStr">
        <is>
          <t>ILHA GRANDE - PREDIO DO MEIO - ZONA RURAL</t>
        </is>
      </c>
      <c r="G900" s="27" t="inlineStr">
        <is>
          <t>47520-000</t>
        </is>
      </c>
      <c r="H900" s="15" t="n">
        <v>2</v>
      </c>
      <c r="I900" s="28" t="inlineStr">
        <is>
          <t>NÃO</t>
        </is>
      </c>
      <c r="J900" s="29" t="n"/>
      <c r="K900" s="14" t="str">
        <f>IF(J900="","7. Acima de 2 km",IF(J900&lt;=50,"1. Até 50 m",IF(J900&lt;=100,"2. De 50 a 100 m",IF(J900&lt;=200,"3. De 100 a 200 m",IF(J900&lt;=300,"4. De 200 a 300 m",IF(J900&lt;=500,"5. De 300 a 500 m","6. De 500 m a 2 km"))))))</f>
        <v>7. Acima de 2 km</v>
      </c>
      <c r="L900" s="26" t="n">
        <v>0</v>
      </c>
      <c r="M900" s="26" t="n">
        <v>0</v>
      </c>
      <c r="N900" s="26" t="n">
        <v>0</v>
      </c>
      <c r="O900" s="26" t="n">
        <v>0</v>
      </c>
      <c r="P900" s="30" t="n">
        <v>-12.13858636</v>
      </c>
      <c r="Q900" s="30" t="n">
        <v>-43.27526715</v>
      </c>
      <c r="R900" s="14" t="inlineStr">
        <is>
          <t>FÓRUM PROFESSOR NESTOR DUARTE, SALÃO DO JÚRI, RUA PRINCIPAL, S/N, SÃO FRANCISCO, IBOTIRAMA/BA</t>
        </is>
      </c>
      <c r="S900" s="26">
        <f>IF(A900=A899,0,1)</f>
        <v>0</v>
      </c>
      <c r="T900" s="26">
        <f>IF(COUNTIF($B$4:B900,B900)=1,1,0)</f>
        <v>0</v>
      </c>
    </row>
    <row r="901">
      <c r="A901" s="14" t="inlineStr">
        <is>
          <t>IBOTIRAMA</t>
        </is>
      </c>
      <c r="B901" s="26" t="n">
        <v>173</v>
      </c>
      <c r="C901" s="26" t="n">
        <v>1260</v>
      </c>
      <c r="D901" s="14" t="inlineStr">
        <is>
          <t>ESCOLA MUNICIPAL SAO FRANCISCO</t>
        </is>
      </c>
      <c r="E901" s="14" t="inlineStr">
        <is>
          <t>POVOADO ILHA DO GADO BRAVO</t>
        </is>
      </c>
      <c r="F901" s="14" t="inlineStr">
        <is>
          <t>POVOADO ILHA DO GADO BRAVO - ZONA RURAL</t>
        </is>
      </c>
      <c r="G901" s="27" t="inlineStr">
        <is>
          <t>47520-000</t>
        </is>
      </c>
      <c r="H901" s="15" t="n">
        <v>1</v>
      </c>
      <c r="I901" s="28" t="inlineStr">
        <is>
          <t>NÃO</t>
        </is>
      </c>
      <c r="J901" s="29" t="n"/>
      <c r="K901" s="14" t="str">
        <f>IF(J901="","7. Acima de 2 km",IF(J901&lt;=50,"1. Até 50 m",IF(J901&lt;=100,"2. De 50 a 100 m",IF(J901&lt;=200,"3. De 100 a 200 m",IF(J901&lt;=300,"4. De 200 a 300 m",IF(J901&lt;=500,"5. De 300 a 500 m","6. De 500 m a 2 km"))))))</f>
        <v>7. Acima de 2 km</v>
      </c>
      <c r="L901" s="26" t="n">
        <v>0</v>
      </c>
      <c r="M901" s="26" t="n">
        <v>0</v>
      </c>
      <c r="N901" s="26" t="n">
        <v>0</v>
      </c>
      <c r="O901" s="26" t="n">
        <v>0</v>
      </c>
      <c r="P901" s="30" t="n">
        <v>-12.222215</v>
      </c>
      <c r="Q901" s="30" t="n">
        <v>-43.256805</v>
      </c>
      <c r="R901" s="14" t="inlineStr">
        <is>
          <t>FÓRUM PROFESSOR NESTOR DUARTE, SALÃO DO JÚRI, RUA PRINCIPAL, S/N, SÃO FRANCISCO, IBOTIRAMA/BA</t>
        </is>
      </c>
      <c r="S901" s="26">
        <f>IF(A901=A900,0,1)</f>
        <v>0</v>
      </c>
      <c r="T901" s="26">
        <f>IF(COUNTIF($B$4:B901,B901)=1,1,0)</f>
        <v>0</v>
      </c>
    </row>
    <row r="902">
      <c r="A902" s="14" t="inlineStr">
        <is>
          <t>IBOTIRAMA</t>
        </is>
      </c>
      <c r="B902" s="26" t="n">
        <v>173</v>
      </c>
      <c r="C902" s="26" t="n">
        <v>1279</v>
      </c>
      <c r="D902" s="14" t="inlineStr">
        <is>
          <t>COLÉGIO ESTADUAL INDÍGENA MARECHAL RONDON</t>
        </is>
      </c>
      <c r="E902" s="14" t="inlineStr">
        <is>
          <t>ALDEIA TUXÁ</t>
        </is>
      </c>
      <c r="F902" s="14" t="inlineStr">
        <is>
          <t>ALDEIA TUXÁ - ZONA RURAL</t>
        </is>
      </c>
      <c r="G902" s="27" t="inlineStr">
        <is>
          <t>47520-000</t>
        </is>
      </c>
      <c r="H902" s="15" t="n">
        <v>2</v>
      </c>
      <c r="I902" s="28" t="inlineStr">
        <is>
          <t>NÃO</t>
        </is>
      </c>
      <c r="J902" s="29" t="n"/>
      <c r="K902" s="14" t="str">
        <f>IF(J902="","7. Acima de 2 km",IF(J902&lt;=50,"1. Até 50 m",IF(J902&lt;=100,"2. De 50 a 100 m",IF(J902&lt;=200,"3. De 100 a 200 m",IF(J902&lt;=300,"4. De 200 a 300 m",IF(J902&lt;=500,"5. De 300 a 500 m","6. De 500 m a 2 km"))))))</f>
        <v>7. Acima de 2 km</v>
      </c>
      <c r="L902" s="26" t="n">
        <v>0</v>
      </c>
      <c r="M902" s="26" t="n">
        <v>0</v>
      </c>
      <c r="N902" s="26" t="n">
        <v>0</v>
      </c>
      <c r="O902" s="26" t="n">
        <v>0</v>
      </c>
      <c r="P902" s="30" t="n">
        <v>-12.0845517</v>
      </c>
      <c r="Q902" s="30" t="n">
        <v>-43.2552435</v>
      </c>
      <c r="R902" s="14" t="inlineStr">
        <is>
          <t>FÓRUM PROFESSOR NESTOR DUARTE, SALÃO DO JÚRI, RUA PRINCIPAL, S/N, SÃO FRANCISCO, IBOTIRAMA/BA</t>
        </is>
      </c>
      <c r="S902" s="26">
        <f>IF(A902=A901,0,1)</f>
        <v>0</v>
      </c>
      <c r="T902" s="26">
        <f>IF(COUNTIF($B$4:B902,B902)=1,1,0)</f>
        <v>0</v>
      </c>
    </row>
    <row r="903">
      <c r="A903" s="14" t="inlineStr">
        <is>
          <t>IBOTIRAMA</t>
        </is>
      </c>
      <c r="B903" s="26" t="n">
        <v>173</v>
      </c>
      <c r="C903" s="26" t="n">
        <v>1287</v>
      </c>
      <c r="D903" s="14" t="inlineStr">
        <is>
          <t>COLEGIO MUNICIPAL 2 DE JULHO</t>
        </is>
      </c>
      <c r="E903" s="14" t="inlineStr">
        <is>
          <t>DISTRITO BOA VISTA</t>
        </is>
      </c>
      <c r="F903" s="14" t="inlineStr">
        <is>
          <t>DISTRITO BOA VISTA</t>
        </is>
      </c>
      <c r="G903" s="27" t="inlineStr">
        <is>
          <t>47520-000</t>
        </is>
      </c>
      <c r="H903" s="15" t="n">
        <v>3</v>
      </c>
      <c r="I903" s="28" t="inlineStr">
        <is>
          <t>NÃO</t>
        </is>
      </c>
      <c r="J903" s="29" t="n"/>
      <c r="K903" s="14" t="str">
        <f>IF(J903="","7. Acima de 2 km",IF(J903&lt;=50,"1. Até 50 m",IF(J903&lt;=100,"2. De 50 a 100 m",IF(J903&lt;=200,"3. De 100 a 200 m",IF(J903&lt;=300,"4. De 200 a 300 m",IF(J903&lt;=500,"5. De 300 a 500 m","6. De 500 m a 2 km"))))))</f>
        <v>7. Acima de 2 km</v>
      </c>
      <c r="L903" s="26" t="n">
        <v>0</v>
      </c>
      <c r="M903" s="26" t="n">
        <v>0</v>
      </c>
      <c r="N903" s="26" t="n">
        <v>0</v>
      </c>
      <c r="O903" s="26" t="n">
        <v>0</v>
      </c>
      <c r="P903" s="30" t="n">
        <v>-11.83213488</v>
      </c>
      <c r="Q903" s="30" t="n">
        <v>-43.29626582</v>
      </c>
      <c r="R903" s="14" t="inlineStr">
        <is>
          <t>FÓRUM PROFESSOR NESTOR DUARTE, SALÃO DO JÚRI, RUA PRINCIPAL, S/N, SÃO FRANCISCO, IBOTIRAMA/BA</t>
        </is>
      </c>
      <c r="S903" s="26">
        <f>IF(A903=A902,0,1)</f>
        <v>0</v>
      </c>
      <c r="T903" s="26">
        <f>IF(COUNTIF($B$4:B903,B903)=1,1,0)</f>
        <v>0</v>
      </c>
    </row>
    <row r="904">
      <c r="A904" s="14" t="inlineStr">
        <is>
          <t>IBOTIRAMA</t>
        </is>
      </c>
      <c r="B904" s="26" t="n">
        <v>173</v>
      </c>
      <c r="C904" s="26" t="n">
        <v>1325</v>
      </c>
      <c r="D904" s="14" t="inlineStr">
        <is>
          <t>COLEGIO MUNICIPAL CENTRO DA ESPERANCA</t>
        </is>
      </c>
      <c r="E904" s="14" t="inlineStr">
        <is>
          <t>CENTRO</t>
        </is>
      </c>
      <c r="F904" s="14" t="inlineStr">
        <is>
          <t>AV. J.K, S/N - ZONA URBANA</t>
        </is>
      </c>
      <c r="G904" s="27" t="inlineStr">
        <is>
          <t>47520-000</t>
        </is>
      </c>
      <c r="H904" s="15" t="n">
        <v>3</v>
      </c>
      <c r="I904" s="28" t="inlineStr">
        <is>
          <t>NÃO</t>
        </is>
      </c>
      <c r="J904" s="29" t="n">
        <v>233.1</v>
      </c>
      <c r="K904" s="14" t="str">
        <f>IF(J904="","7. Acima de 2 km",IF(J904&lt;=50,"1. Até 50 m",IF(J904&lt;=100,"2. De 50 a 100 m",IF(J904&lt;=200,"3. De 100 a 200 m",IF(J904&lt;=300,"4. De 200 a 300 m",IF(J904&lt;=500,"5. De 300 a 500 m","6. De 500 m a 2 km"))))))</f>
        <v>4. De 200 a 300 m</v>
      </c>
      <c r="L904" s="26" t="n">
        <v>0</v>
      </c>
      <c r="M904" s="26" t="n">
        <v>0</v>
      </c>
      <c r="N904" s="26" t="n">
        <v>0</v>
      </c>
      <c r="O904" s="26" t="n">
        <v>1</v>
      </c>
      <c r="P904" s="30" t="n">
        <v>-12.1844637</v>
      </c>
      <c r="Q904" s="30" t="n">
        <v>-43.2166111</v>
      </c>
      <c r="R904" s="14" t="inlineStr">
        <is>
          <t>FÓRUM PROFESSOR NESTOR DUARTE, SALÃO DO JÚRI, RUA PRINCIPAL, S/N, SÃO FRANCISCO, IBOTIRAMA/BA</t>
        </is>
      </c>
      <c r="S904" s="26">
        <f>IF(A904=A903,0,1)</f>
        <v>0</v>
      </c>
      <c r="T904" s="26">
        <f>IF(COUNTIF($B$4:B904,B904)=1,1,0)</f>
        <v>0</v>
      </c>
    </row>
    <row r="905">
      <c r="A905" s="14" t="inlineStr">
        <is>
          <t>IBOTIRAMA</t>
        </is>
      </c>
      <c r="B905" s="26" t="n">
        <v>173</v>
      </c>
      <c r="C905" s="26" t="n">
        <v>1350</v>
      </c>
      <c r="D905" s="14" t="inlineStr">
        <is>
          <t>ESCOLA MUNICIPAL SAO JOSE</t>
        </is>
      </c>
      <c r="E905" s="14" t="inlineStr">
        <is>
          <t>POVOADO ILHA DO SACO</t>
        </is>
      </c>
      <c r="F905" s="14" t="inlineStr">
        <is>
          <t>POVOADO ILHA DO SACO - ZONA RURAL</t>
        </is>
      </c>
      <c r="G905" s="27" t="inlineStr">
        <is>
          <t>47520-000</t>
        </is>
      </c>
      <c r="H905" s="15" t="n">
        <v>1</v>
      </c>
      <c r="I905" s="28" t="inlineStr">
        <is>
          <t>NÃO</t>
        </is>
      </c>
      <c r="J905" s="29" t="n"/>
      <c r="K905" s="14" t="str">
        <f>IF(J905="","7. Acima de 2 km",IF(J905&lt;=50,"1. Até 50 m",IF(J905&lt;=100,"2. De 50 a 100 m",IF(J905&lt;=200,"3. De 100 a 200 m",IF(J905&lt;=300,"4. De 200 a 300 m",IF(J905&lt;=500,"5. De 300 a 500 m","6. De 500 m a 2 km"))))))</f>
        <v>7. Acima de 2 km</v>
      </c>
      <c r="L905" s="26" t="n">
        <v>0</v>
      </c>
      <c r="M905" s="26" t="n">
        <v>0</v>
      </c>
      <c r="N905" s="26" t="n">
        <v>0</v>
      </c>
      <c r="O905" s="26" t="n">
        <v>0</v>
      </c>
      <c r="P905" s="30" t="n">
        <v>-12.27184758</v>
      </c>
      <c r="Q905" s="30" t="n">
        <v>-43.27427169</v>
      </c>
      <c r="R905" s="14" t="inlineStr">
        <is>
          <t>FÓRUM PROFESSOR NESTOR DUARTE, SALÃO DO JÚRI, RUA PRINCIPAL, S/N, SÃO FRANCISCO, IBOTIRAMA/BA</t>
        </is>
      </c>
      <c r="S905" s="26">
        <f>IF(A905=A904,0,1)</f>
        <v>0</v>
      </c>
      <c r="T905" s="26">
        <f>IF(COUNTIF($B$4:B905,B905)=1,1,0)</f>
        <v>0</v>
      </c>
    </row>
    <row r="906">
      <c r="A906" s="14" t="inlineStr">
        <is>
          <t>IBOTIRAMA</t>
        </is>
      </c>
      <c r="B906" s="26" t="n">
        <v>173</v>
      </c>
      <c r="C906" s="26" t="n">
        <v>1368</v>
      </c>
      <c r="D906" s="14" t="inlineStr">
        <is>
          <t>ESCOLA MUN. PROF. FRANCISCA ROCHA NOVAES</t>
        </is>
      </c>
      <c r="E906" s="14" t="inlineStr">
        <is>
          <t>CANTINHO</t>
        </is>
      </c>
      <c r="F906" s="14" t="inlineStr">
        <is>
          <t>RODOVIA BA 160 - ZONA URBANA</t>
        </is>
      </c>
      <c r="G906" s="27" t="inlineStr">
        <is>
          <t>47520-000</t>
        </is>
      </c>
      <c r="H906" s="15" t="n">
        <v>2</v>
      </c>
      <c r="I906" s="28" t="inlineStr">
        <is>
          <t>NÃO</t>
        </is>
      </c>
      <c r="J906" s="29" t="n"/>
      <c r="K906" s="14" t="str">
        <f>IF(J906="","7. Acima de 2 km",IF(J906&lt;=50,"1. Até 50 m",IF(J906&lt;=100,"2. De 50 a 100 m",IF(J906&lt;=200,"3. De 100 a 200 m",IF(J906&lt;=300,"4. De 200 a 300 m",IF(J906&lt;=500,"5. De 300 a 500 m","6. De 500 m a 2 km"))))))</f>
        <v>7. Acima de 2 km</v>
      </c>
      <c r="L906" s="26" t="n">
        <v>0</v>
      </c>
      <c r="M906" s="26" t="n">
        <v>0</v>
      </c>
      <c r="N906" s="26" t="n">
        <v>0</v>
      </c>
      <c r="O906" s="26" t="n">
        <v>0</v>
      </c>
      <c r="P906" s="30" t="n">
        <v>-12.2128641</v>
      </c>
      <c r="Q906" s="30" t="n">
        <v>-43.2074427</v>
      </c>
      <c r="R906" s="14" t="inlineStr">
        <is>
          <t>FÓRUM PROFESSOR NESTOR DUARTE, SALÃO DO JÚRI, RUA PRINCIPAL, S/N, SÃO FRANCISCO, IBOTIRAMA/BA</t>
        </is>
      </c>
      <c r="S906" s="26">
        <f>IF(A906=A905,0,1)</f>
        <v>0</v>
      </c>
      <c r="T906" s="26">
        <f>IF(COUNTIF($B$4:B906,B906)=1,1,0)</f>
        <v>0</v>
      </c>
    </row>
    <row r="907">
      <c r="A907" s="14" t="inlineStr">
        <is>
          <t>IBOTIRAMA</t>
        </is>
      </c>
      <c r="B907" s="26" t="n">
        <v>173</v>
      </c>
      <c r="C907" s="26" t="n">
        <v>1376</v>
      </c>
      <c r="D907" s="14" t="inlineStr">
        <is>
          <t>ESCOLA MUNICIPAL CASTRO ALVES</t>
        </is>
      </c>
      <c r="E907" s="14" t="inlineStr">
        <is>
          <t>ALTO DO FUNDAO</t>
        </is>
      </c>
      <c r="F907" s="14" t="inlineStr">
        <is>
          <t>RUA TEIXEIRA LOTT - ZONA URBANA</t>
        </is>
      </c>
      <c r="G907" s="27" t="inlineStr">
        <is>
          <t>47520-000</t>
        </is>
      </c>
      <c r="H907" s="15" t="n">
        <v>3</v>
      </c>
      <c r="I907" s="28" t="inlineStr">
        <is>
          <t>NÃO</t>
        </is>
      </c>
      <c r="J907" s="29" t="n">
        <v>1213.1</v>
      </c>
      <c r="K907" s="14" t="str">
        <f>IF(J907="","7. Acima de 2 km",IF(J907&lt;=50,"1. Até 50 m",IF(J907&lt;=100,"2. De 50 a 100 m",IF(J907&lt;=200,"3. De 100 a 200 m",IF(J907&lt;=300,"4. De 200 a 300 m",IF(J907&lt;=500,"5. De 300 a 500 m","6. De 500 m a 2 km"))))))</f>
        <v>6. De 500 m a 2 km</v>
      </c>
      <c r="L907" s="26" t="n">
        <v>0</v>
      </c>
      <c r="M907" s="26" t="n">
        <v>0</v>
      </c>
      <c r="N907" s="26" t="n">
        <v>0</v>
      </c>
      <c r="O907" s="26" t="n">
        <v>0</v>
      </c>
      <c r="P907" s="30" t="n">
        <v>-12.168575</v>
      </c>
      <c r="Q907" s="30" t="n">
        <v>-43.2255819</v>
      </c>
      <c r="R907" s="14" t="inlineStr">
        <is>
          <t>FÓRUM PROFESSOR NESTOR DUARTE, SALÃO DO JÚRI, RUA PRINCIPAL, S/N, SÃO FRANCISCO, IBOTIRAMA/BA</t>
        </is>
      </c>
      <c r="S907" s="26">
        <f>IF(A907=A906,0,1)</f>
        <v>0</v>
      </c>
      <c r="T907" s="26">
        <f>IF(COUNTIF($B$4:B907,B907)=1,1,0)</f>
        <v>0</v>
      </c>
    </row>
    <row r="908">
      <c r="A908" s="14" t="inlineStr">
        <is>
          <t>IBOTIRAMA</t>
        </is>
      </c>
      <c r="B908" s="26" t="n">
        <v>173</v>
      </c>
      <c r="C908" s="26" t="n">
        <v>1406</v>
      </c>
      <c r="D908" s="14" t="inlineStr">
        <is>
          <t>ESCOLA MUNICIPAL PRESIDENTE COSTA E SILVA</t>
        </is>
      </c>
      <c r="E908" s="14" t="inlineStr">
        <is>
          <t>POVOADO SAPE</t>
        </is>
      </c>
      <c r="F908" s="14" t="inlineStr">
        <is>
          <t>POVOADO SAPE - ZONA RURAL</t>
        </is>
      </c>
      <c r="G908" s="27" t="inlineStr">
        <is>
          <t>47520-000</t>
        </is>
      </c>
      <c r="H908" s="15" t="n">
        <v>1</v>
      </c>
      <c r="I908" s="28" t="inlineStr">
        <is>
          <t>NÃO</t>
        </is>
      </c>
      <c r="J908" s="29" t="n"/>
      <c r="K908" s="14" t="str">
        <f>IF(J908="","7. Acima de 2 km",IF(J908&lt;=50,"1. Até 50 m",IF(J908&lt;=100,"2. De 50 a 100 m",IF(J908&lt;=200,"3. De 100 a 200 m",IF(J908&lt;=300,"4. De 200 a 300 m",IF(J908&lt;=500,"5. De 300 a 500 m","6. De 500 m a 2 km"))))))</f>
        <v>7. Acima de 2 km</v>
      </c>
      <c r="L908" s="26" t="n">
        <v>0</v>
      </c>
      <c r="M908" s="26" t="n">
        <v>0</v>
      </c>
      <c r="N908" s="26" t="n">
        <v>0</v>
      </c>
      <c r="O908" s="26" t="n">
        <v>0</v>
      </c>
      <c r="P908" s="30" t="n">
        <v>-12.195455</v>
      </c>
      <c r="Q908" s="30" t="n">
        <v>-43.07119</v>
      </c>
      <c r="R908" s="14" t="inlineStr">
        <is>
          <t>FÓRUM PROFESSOR NESTOR DUARTE, SALÃO DO JÚRI, RUA PRINCIPAL, S/N, SÃO FRANCISCO, IBOTIRAMA/BA</t>
        </is>
      </c>
      <c r="S908" s="26">
        <f>IF(A908=A907,0,1)</f>
        <v>0</v>
      </c>
      <c r="T908" s="26">
        <f>IF(COUNTIF($B$4:B908,B908)=1,1,0)</f>
        <v>0</v>
      </c>
    </row>
    <row r="909">
      <c r="A909" s="14" t="inlineStr">
        <is>
          <t>IBOTIRAMA</t>
        </is>
      </c>
      <c r="B909" s="26" t="n">
        <v>173</v>
      </c>
      <c r="C909" s="26" t="n">
        <v>1414</v>
      </c>
      <c r="D909" s="14" t="inlineStr">
        <is>
          <t>COLEGIO MUNICIPAL RODOLFO DE QUEIROZ</t>
        </is>
      </c>
      <c r="E909" s="14" t="inlineStr">
        <is>
          <t>POVOADO BOQUEIRAO</t>
        </is>
      </c>
      <c r="F909" s="14" t="inlineStr">
        <is>
          <t>POVOADO BOQUEIRAO - ZONA RURAL</t>
        </is>
      </c>
      <c r="G909" s="27" t="inlineStr">
        <is>
          <t>47520-000</t>
        </is>
      </c>
      <c r="H909" s="15" t="n">
        <v>1</v>
      </c>
      <c r="I909" s="28" t="inlineStr">
        <is>
          <t>NÃO</t>
        </is>
      </c>
      <c r="J909" s="29" t="n"/>
      <c r="K909" s="14" t="str">
        <f>IF(J909="","7. Acima de 2 km",IF(J909&lt;=50,"1. Até 50 m",IF(J909&lt;=100,"2. De 50 a 100 m",IF(J909&lt;=200,"3. De 100 a 200 m",IF(J909&lt;=300,"4. De 200 a 300 m",IF(J909&lt;=500,"5. De 300 a 500 m","6. De 500 m a 2 km"))))))</f>
        <v>7. Acima de 2 km</v>
      </c>
      <c r="L909" s="26" t="n">
        <v>0</v>
      </c>
      <c r="M909" s="26" t="n">
        <v>0</v>
      </c>
      <c r="N909" s="26" t="n">
        <v>0</v>
      </c>
      <c r="O909" s="26" t="n">
        <v>0</v>
      </c>
      <c r="P909" s="30" t="n">
        <v>-12.18308193</v>
      </c>
      <c r="Q909" s="30" t="n">
        <v>-43.11560056</v>
      </c>
      <c r="R909" s="14" t="inlineStr">
        <is>
          <t>FÓRUM PROFESSOR NESTOR DUARTE, SALÃO DO JÚRI, RUA PRINCIPAL, S/N, SÃO FRANCISCO, IBOTIRAMA/BA</t>
        </is>
      </c>
      <c r="S909" s="26">
        <f>IF(A909=A908,0,1)</f>
        <v>0</v>
      </c>
      <c r="T909" s="26">
        <f>IF(COUNTIF($B$4:B909,B909)=1,1,0)</f>
        <v>0</v>
      </c>
    </row>
    <row r="910">
      <c r="A910" s="14" t="inlineStr">
        <is>
          <t>IBOTIRAMA</t>
        </is>
      </c>
      <c r="B910" s="26" t="n">
        <v>173</v>
      </c>
      <c r="C910" s="26" t="n">
        <v>1430</v>
      </c>
      <c r="D910" s="14" t="inlineStr">
        <is>
          <t>UNIVERSIDADE ABERTA DO BRASIL - POLO REGIONAL DE IBOTIRAMA</t>
        </is>
      </c>
      <c r="E910" s="14" t="inlineStr">
        <is>
          <t>IBOTIRAMINHA</t>
        </is>
      </c>
      <c r="F910" s="14" t="inlineStr">
        <is>
          <t>RUA BOQUIRA, S/N - ZONA URBANA</t>
        </is>
      </c>
      <c r="G910" s="27" t="inlineStr">
        <is>
          <t>47520-000</t>
        </is>
      </c>
      <c r="H910" s="15" t="n">
        <v>5</v>
      </c>
      <c r="I910" s="28" t="inlineStr">
        <is>
          <t>NÃO</t>
        </is>
      </c>
      <c r="J910" s="29" t="n">
        <v>238.6</v>
      </c>
      <c r="K910" s="14" t="str">
        <f>IF(J910="","7. Acima de 2 km",IF(J910&lt;=50,"1. Até 50 m",IF(J910&lt;=100,"2. De 50 a 100 m",IF(J910&lt;=200,"3. De 100 a 200 m",IF(J910&lt;=300,"4. De 200 a 300 m",IF(J910&lt;=500,"5. De 300 a 500 m","6. De 500 m a 2 km"))))))</f>
        <v>4. De 200 a 300 m</v>
      </c>
      <c r="L910" s="26" t="n">
        <v>0</v>
      </c>
      <c r="M910" s="26" t="n">
        <v>0</v>
      </c>
      <c r="N910" s="26" t="n">
        <v>0</v>
      </c>
      <c r="O910" s="26" t="n">
        <v>2</v>
      </c>
      <c r="P910" s="30" t="n">
        <v>-12.1769307</v>
      </c>
      <c r="Q910" s="30" t="n">
        <v>-43.221047</v>
      </c>
      <c r="R910" s="14" t="inlineStr">
        <is>
          <t>FÓRUM PROFESSOR NESTOR DUARTE, SALÃO DO JÚRI, RUA PRINCIPAL, S/N, SÃO FRANCISCO, IBOTIRAMA/BA</t>
        </is>
      </c>
      <c r="S910" s="26">
        <f>IF(A910=A909,0,1)</f>
        <v>0</v>
      </c>
      <c r="T910" s="26">
        <f>IF(COUNTIF($B$4:B910,B910)=1,1,0)</f>
        <v>0</v>
      </c>
    </row>
    <row r="911">
      <c r="A911" s="14" t="inlineStr">
        <is>
          <t>IBOTIRAMA</t>
        </is>
      </c>
      <c r="B911" s="26" t="n">
        <v>173</v>
      </c>
      <c r="C911" s="26" t="n">
        <v>1449</v>
      </c>
      <c r="D911" s="14" t="inlineStr">
        <is>
          <t>ESCOLA MUNICIPAL ANÍSIO TEIXEIRA</t>
        </is>
      </c>
      <c r="E911" s="14" t="inlineStr">
        <is>
          <t>SÃO JOÃO</t>
        </is>
      </c>
      <c r="F911" s="14" t="inlineStr">
        <is>
          <t>LOTEAMENTO JONAS ROMEIRO, S/N - ZONA URBANA</t>
        </is>
      </c>
      <c r="G911" s="27" t="inlineStr">
        <is>
          <t>47520-000</t>
        </is>
      </c>
      <c r="H911" s="15" t="n">
        <v>1</v>
      </c>
      <c r="I911" s="28" t="inlineStr">
        <is>
          <t>NÃO</t>
        </is>
      </c>
      <c r="J911" s="29" t="n">
        <v>610.4</v>
      </c>
      <c r="K911" s="14" t="str">
        <f>IF(J911="","7. Acima de 2 km",IF(J911&lt;=50,"1. Até 50 m",IF(J911&lt;=100,"2. De 50 a 100 m",IF(J911&lt;=200,"3. De 100 a 200 m",IF(J911&lt;=300,"4. De 200 a 300 m",IF(J911&lt;=500,"5. De 300 a 500 m","6. De 500 m a 2 km"))))))</f>
        <v>6. De 500 m a 2 km</v>
      </c>
      <c r="L911" s="26" t="n">
        <v>0</v>
      </c>
      <c r="M911" s="26" t="n">
        <v>0</v>
      </c>
      <c r="N911" s="26" t="n">
        <v>0</v>
      </c>
      <c r="O911" s="26" t="n">
        <v>0</v>
      </c>
      <c r="P911" s="30" t="n">
        <v>-12.1988238</v>
      </c>
      <c r="Q911" s="30" t="n">
        <v>-43.2112401</v>
      </c>
      <c r="R911" s="14" t="inlineStr">
        <is>
          <t>FÓRUM PROFESSOR NESTOR DUARTE, SALÃO DO JÚRI, RUA PRINCIPAL, S/N, SÃO FRANCISCO, IBOTIRAMA/BA</t>
        </is>
      </c>
      <c r="S911" s="26">
        <f>IF(A911=A910,0,1)</f>
        <v>0</v>
      </c>
      <c r="T911" s="26">
        <f>IF(COUNTIF($B$4:B911,B911)=1,1,0)</f>
        <v>0</v>
      </c>
    </row>
    <row r="912">
      <c r="A912" s="14" t="inlineStr">
        <is>
          <t>IBOTIRAMA</t>
        </is>
      </c>
      <c r="B912" s="26" t="n">
        <v>173</v>
      </c>
      <c r="C912" s="26" t="n">
        <v>1457</v>
      </c>
      <c r="D912" s="14" t="inlineStr">
        <is>
          <t>ESCOLA MUNICIPAL ALTO DO CRUZEIRO</t>
        </is>
      </c>
      <c r="E912" s="14" t="inlineStr">
        <is>
          <t>ALTO DO CRUZEIRO</t>
        </is>
      </c>
      <c r="F912" s="14" t="inlineStr">
        <is>
          <t>RUA R, S/N - ZONA URBANA</t>
        </is>
      </c>
      <c r="G912" s="27" t="inlineStr">
        <is>
          <t>47520-000</t>
        </is>
      </c>
      <c r="H912" s="15" t="n">
        <v>2</v>
      </c>
      <c r="I912" s="28" t="inlineStr">
        <is>
          <t>NÃO</t>
        </is>
      </c>
      <c r="J912" s="29" t="n">
        <v>1091.3</v>
      </c>
      <c r="K912" s="14" t="str">
        <f>IF(J912="","7. Acima de 2 km",IF(J912&lt;=50,"1. Até 50 m",IF(J912&lt;=100,"2. De 50 a 100 m",IF(J912&lt;=200,"3. De 100 a 200 m",IF(J912&lt;=300,"4. De 200 a 300 m",IF(J912&lt;=500,"5. De 300 a 500 m","6. De 500 m a 2 km"))))))</f>
        <v>6. De 500 m a 2 km</v>
      </c>
      <c r="L912" s="26" t="n">
        <v>0</v>
      </c>
      <c r="M912" s="26" t="n">
        <v>0</v>
      </c>
      <c r="N912" s="26" t="n">
        <v>0</v>
      </c>
      <c r="O912" s="26" t="n">
        <v>0</v>
      </c>
      <c r="P912" s="30" t="n">
        <v>-12.1804822</v>
      </c>
      <c r="Q912" s="30" t="n">
        <v>-43.1973837</v>
      </c>
      <c r="R912" s="14" t="inlineStr">
        <is>
          <t>FÓRUM PROFESSOR NESTOR DUARTE, SALÃO DO JÚRI, RUA PRINCIPAL, S/N, SÃO FRANCISCO, IBOTIRAMA/BA</t>
        </is>
      </c>
      <c r="S912" s="26">
        <f>IF(A912=A911,0,1)</f>
        <v>0</v>
      </c>
      <c r="T912" s="26">
        <f>IF(COUNTIF($B$4:B912,B912)=1,1,0)</f>
        <v>0</v>
      </c>
    </row>
    <row r="913">
      <c r="A913" s="14" t="inlineStr">
        <is>
          <t>IGUAÍ</t>
        </is>
      </c>
      <c r="B913" s="26" t="n">
        <v>146</v>
      </c>
      <c r="C913" s="26" t="n">
        <v>1015</v>
      </c>
      <c r="D913" s="14" t="inlineStr">
        <is>
          <t>COLÉGIO MUNICIPAL ARANI DE SOUZA</t>
        </is>
      </c>
      <c r="E913" s="14" t="inlineStr">
        <is>
          <t>CENTRO</t>
        </is>
      </c>
      <c r="F913" s="14" t="inlineStr">
        <is>
          <t>AV. SETE DE SETEMBRO S/N - ZONA URBANA</t>
        </is>
      </c>
      <c r="G913" s="27" t="inlineStr">
        <is>
          <t>45280-000</t>
        </is>
      </c>
      <c r="H913" s="15" t="n">
        <v>10</v>
      </c>
      <c r="I913" s="28" t="inlineStr">
        <is>
          <t>NÃO</t>
        </is>
      </c>
      <c r="J913" s="29" t="n">
        <v>441.6</v>
      </c>
      <c r="K913" s="14" t="str">
        <f>IF(J913="","7. Acima de 2 km",IF(J913&lt;=50,"1. Até 50 m",IF(J913&lt;=100,"2. De 50 a 100 m",IF(J913&lt;=200,"3. De 100 a 200 m",IF(J913&lt;=300,"4. De 200 a 300 m",IF(J913&lt;=500,"5. De 300 a 500 m","6. De 500 m a 2 km"))))))</f>
        <v>5. De 300 a 500 m</v>
      </c>
      <c r="L913" s="26" t="n">
        <v>0</v>
      </c>
      <c r="M913" s="26" t="n">
        <v>0</v>
      </c>
      <c r="N913" s="26" t="n">
        <v>0</v>
      </c>
      <c r="O913" s="26" t="n">
        <v>0</v>
      </c>
      <c r="P913" s="30" t="n">
        <v>-14.75364333</v>
      </c>
      <c r="Q913" s="30" t="n">
        <v>-40.09208167</v>
      </c>
      <c r="R913" s="14" t="inlineStr">
        <is>
          <t>SALÃO DO JÚRI, FÓRUM ARNALDO DA SILVEIRA, RUA CASTRO ALVES S/N, CENTRO, IGUAÍ/BA</t>
        </is>
      </c>
      <c r="S913" s="26">
        <f>IF(A913=A912,0,1)</f>
        <v>1</v>
      </c>
      <c r="T913" s="26">
        <f>IF(COUNTIF($B$4:B913,B913)=1,1,0)</f>
        <v>1</v>
      </c>
    </row>
    <row r="914">
      <c r="A914" s="14" t="inlineStr">
        <is>
          <t>IGUAÍ</t>
        </is>
      </c>
      <c r="B914" s="26" t="n">
        <v>146</v>
      </c>
      <c r="C914" s="26" t="n">
        <v>1023</v>
      </c>
      <c r="D914" s="14" t="inlineStr">
        <is>
          <t>COLÉGIO ESTADUAL DE TEMPO INTEGRAL MARIA ODÍLIA TEIXEIRA</t>
        </is>
      </c>
      <c r="E914" s="14" t="inlineStr">
        <is>
          <t>MARINHO DA SILVA FREITAS</t>
        </is>
      </c>
      <c r="F914" s="14" t="inlineStr">
        <is>
          <t>AVENIDA JUAREZ CARLOS GOMES, 1020</t>
        </is>
      </c>
      <c r="G914" s="27" t="inlineStr">
        <is>
          <t>45280-000</t>
        </is>
      </c>
      <c r="H914" s="15" t="n">
        <v>11</v>
      </c>
      <c r="I914" s="28" t="inlineStr">
        <is>
          <t>NÃO</t>
        </is>
      </c>
      <c r="J914" s="29" t="n">
        <v>169.8</v>
      </c>
      <c r="K914" s="14" t="str">
        <f>IF(J914="","7. Acima de 2 km",IF(J914&lt;=50,"1. Até 50 m",IF(J914&lt;=100,"2. De 50 a 100 m",IF(J914&lt;=200,"3. De 100 a 200 m",IF(J914&lt;=300,"4. De 200 a 300 m",IF(J914&lt;=500,"5. De 300 a 500 m","6. De 500 m a 2 km"))))))</f>
        <v>3. De 100 a 200 m</v>
      </c>
      <c r="L914" s="26" t="n">
        <v>0</v>
      </c>
      <c r="M914" s="26" t="n">
        <v>0</v>
      </c>
      <c r="N914" s="26" t="n">
        <v>2</v>
      </c>
      <c r="O914" s="26" t="n">
        <v>3</v>
      </c>
      <c r="P914" s="30" t="n">
        <v>-14.75877333</v>
      </c>
      <c r="Q914" s="30" t="n">
        <v>-40.08721833</v>
      </c>
      <c r="R914" s="14" t="inlineStr">
        <is>
          <t>SALÃO DO JÚRI, FÓRUM ARNALDO DA SILVEIRA, RUA CASTRO ALVES S/N, CENTRO, IGUAÍ/BA</t>
        </is>
      </c>
      <c r="S914" s="26">
        <f>IF(A914=A913,0,1)</f>
        <v>0</v>
      </c>
      <c r="T914" s="26">
        <f>IF(COUNTIF($B$4:B914,B914)=1,1,0)</f>
        <v>0</v>
      </c>
    </row>
    <row r="915">
      <c r="A915" s="14" t="inlineStr">
        <is>
          <t>IGUAÍ</t>
        </is>
      </c>
      <c r="B915" s="26" t="n">
        <v>146</v>
      </c>
      <c r="C915" s="26" t="n">
        <v>1040</v>
      </c>
      <c r="D915" s="14" t="inlineStr">
        <is>
          <t>ESCOLA MUNICIPAL RAMIRO MATOS</t>
        </is>
      </c>
      <c r="E915" s="14" t="inlineStr">
        <is>
          <t>CENTRO</t>
        </is>
      </c>
      <c r="F915" s="14" t="inlineStr">
        <is>
          <t>RUA RAMIRO MATOS, S/N - ZONA URBANA</t>
        </is>
      </c>
      <c r="G915" s="27" t="inlineStr">
        <is>
          <t>45280-000</t>
        </is>
      </c>
      <c r="H915" s="15" t="n">
        <v>2</v>
      </c>
      <c r="I915" s="28" t="inlineStr">
        <is>
          <t>NÃO</t>
        </is>
      </c>
      <c r="J915" s="29" t="n">
        <v>212.4</v>
      </c>
      <c r="K915" s="14" t="str">
        <f>IF(J915="","7. Acima de 2 km",IF(J915&lt;=50,"1. Até 50 m",IF(J915&lt;=100,"2. De 50 a 100 m",IF(J915&lt;=200,"3. De 100 a 200 m",IF(J915&lt;=300,"4. De 200 a 300 m",IF(J915&lt;=500,"5. De 300 a 500 m","6. De 500 m a 2 km"))))))</f>
        <v>4. De 200 a 300 m</v>
      </c>
      <c r="L915" s="26" t="n">
        <v>0</v>
      </c>
      <c r="M915" s="26" t="n">
        <v>0</v>
      </c>
      <c r="N915" s="26" t="n">
        <v>0</v>
      </c>
      <c r="O915" s="26" t="n">
        <v>1</v>
      </c>
      <c r="P915" s="30" t="n">
        <v>-14.7532338</v>
      </c>
      <c r="Q915" s="30" t="n">
        <v>-40.0893596</v>
      </c>
      <c r="R915" s="14" t="inlineStr">
        <is>
          <t>SALÃO DO JÚRI, FÓRUM ARNALDO DA SILVEIRA, RUA CASTRO ALVES S/N, CENTRO, IGUAÍ/BA</t>
        </is>
      </c>
      <c r="S915" s="26">
        <f>IF(A915=A914,0,1)</f>
        <v>0</v>
      </c>
      <c r="T915" s="26">
        <f>IF(COUNTIF($B$4:B915,B915)=1,1,0)</f>
        <v>0</v>
      </c>
    </row>
    <row r="916">
      <c r="A916" s="14" t="inlineStr">
        <is>
          <t>IGUAÍ</t>
        </is>
      </c>
      <c r="B916" s="26" t="n">
        <v>146</v>
      </c>
      <c r="C916" s="26" t="n">
        <v>1058</v>
      </c>
      <c r="D916" s="14" t="inlineStr">
        <is>
          <t>GRUPO ESCOLAR  MOISES DANTAS REGO</t>
        </is>
      </c>
      <c r="E916" s="14" t="inlineStr">
        <is>
          <t>CENTRO</t>
        </is>
      </c>
      <c r="F916" s="14" t="inlineStr">
        <is>
          <t>RUA DR. ALMIR FERREIRA - ZONA URBANA</t>
        </is>
      </c>
      <c r="G916" s="27" t="inlineStr">
        <is>
          <t>45280-000</t>
        </is>
      </c>
      <c r="H916" s="15" t="n">
        <v>4</v>
      </c>
      <c r="I916" s="28" t="inlineStr">
        <is>
          <t>NÃO</t>
        </is>
      </c>
      <c r="J916" s="29" t="n">
        <v>235.6</v>
      </c>
      <c r="K916" s="14" t="str">
        <f>IF(J916="","7. Acima de 2 km",IF(J916&lt;=50,"1. Até 50 m",IF(J916&lt;=100,"2. De 50 a 100 m",IF(J916&lt;=200,"3. De 100 a 200 m",IF(J916&lt;=300,"4. De 200 a 300 m",IF(J916&lt;=500,"5. De 300 a 500 m","6. De 500 m a 2 km"))))))</f>
        <v>4. De 200 a 300 m</v>
      </c>
      <c r="L916" s="26" t="n">
        <v>0</v>
      </c>
      <c r="M916" s="26" t="n">
        <v>0</v>
      </c>
      <c r="N916" s="26" t="n">
        <v>0</v>
      </c>
      <c r="O916" s="26" t="n">
        <v>1</v>
      </c>
      <c r="P916" s="30" t="n">
        <v>-14.75331833</v>
      </c>
      <c r="Q916" s="30" t="n">
        <v>-40.08763167</v>
      </c>
      <c r="R916" s="14" t="inlineStr">
        <is>
          <t>SALÃO DO JÚRI, FÓRUM ARNALDO DA SILVEIRA, RUA CASTRO ALVES S/N, CENTRO, IGUAÍ/BA</t>
        </is>
      </c>
      <c r="S916" s="26">
        <f>IF(A916=A915,0,1)</f>
        <v>0</v>
      </c>
      <c r="T916" s="26">
        <f>IF(COUNTIF($B$4:B916,B916)=1,1,0)</f>
        <v>0</v>
      </c>
    </row>
    <row r="917">
      <c r="A917" s="14" t="inlineStr">
        <is>
          <t>IGUAÍ</t>
        </is>
      </c>
      <c r="B917" s="26" t="n">
        <v>146</v>
      </c>
      <c r="C917" s="26" t="n">
        <v>1082</v>
      </c>
      <c r="D917" s="14" t="inlineStr">
        <is>
          <t>CENTRO DE EDUCAÇÃO NETANIAS ALVES VEIGA - CENAV</t>
        </is>
      </c>
      <c r="E917" s="14" t="inlineStr">
        <is>
          <t>CENTRO</t>
        </is>
      </c>
      <c r="F917" s="14" t="inlineStr">
        <is>
          <t>RUA IRACY, S/N - ZONA URBANA</t>
        </is>
      </c>
      <c r="G917" s="27" t="inlineStr">
        <is>
          <t>45280-000</t>
        </is>
      </c>
      <c r="H917" s="15" t="n">
        <v>9</v>
      </c>
      <c r="I917" s="28" t="inlineStr">
        <is>
          <t>NÃO</t>
        </is>
      </c>
      <c r="J917" s="29" t="n">
        <v>191</v>
      </c>
      <c r="K917" s="14" t="str">
        <f>IF(J917="","7. Acima de 2 km",IF(J917&lt;=50,"1. Até 50 m",IF(J917&lt;=100,"2. De 50 a 100 m",IF(J917&lt;=200,"3. De 100 a 200 m",IF(J917&lt;=300,"4. De 200 a 300 m",IF(J917&lt;=500,"5. De 300 a 500 m","6. De 500 m a 2 km"))))))</f>
        <v>3. De 100 a 200 m</v>
      </c>
      <c r="L917" s="26" t="n">
        <v>0</v>
      </c>
      <c r="M917" s="26" t="n">
        <v>0</v>
      </c>
      <c r="N917" s="26" t="n">
        <v>2</v>
      </c>
      <c r="O917" s="26" t="n">
        <v>3</v>
      </c>
      <c r="P917" s="30" t="n">
        <v>-14.75868333</v>
      </c>
      <c r="Q917" s="30" t="n">
        <v>-40.08748833</v>
      </c>
      <c r="R917" s="14" t="inlineStr">
        <is>
          <t>SALÃO DO JÚRI, FÓRUM ARNALDO DA SILVEIRA, RUA CASTRO ALVES S/N, CENTRO, IGUAÍ/BA</t>
        </is>
      </c>
      <c r="S917" s="26">
        <f>IF(A917=A916,0,1)</f>
        <v>0</v>
      </c>
      <c r="T917" s="26">
        <f>IF(COUNTIF($B$4:B917,B917)=1,1,0)</f>
        <v>0</v>
      </c>
    </row>
    <row r="918">
      <c r="A918" s="14" t="inlineStr">
        <is>
          <t>IGUAÍ</t>
        </is>
      </c>
      <c r="B918" s="26" t="n">
        <v>146</v>
      </c>
      <c r="C918" s="26" t="n">
        <v>1120</v>
      </c>
      <c r="D918" s="14" t="inlineStr">
        <is>
          <t>NUCLÉO ESCOLASSA ALMEIDA DE JESUS</t>
        </is>
      </c>
      <c r="E918" s="14" t="inlineStr">
        <is>
          <t>DISTRITO ALTAMIRA</t>
        </is>
      </c>
      <c r="F918" s="14" t="inlineStr">
        <is>
          <t>RUA DO CAMPO - ZONA RURAL</t>
        </is>
      </c>
      <c r="G918" s="27" t="inlineStr">
        <is>
          <t>45280-000</t>
        </is>
      </c>
      <c r="H918" s="15" t="n">
        <v>5</v>
      </c>
      <c r="I918" s="28" t="inlineStr">
        <is>
          <t>NÃO</t>
        </is>
      </c>
      <c r="J918" s="29" t="n"/>
      <c r="K918" s="14" t="str">
        <f>IF(J918="","7. Acima de 2 km",IF(J918&lt;=50,"1. Até 50 m",IF(J918&lt;=100,"2. De 50 a 100 m",IF(J918&lt;=200,"3. De 100 a 200 m",IF(J918&lt;=300,"4. De 200 a 300 m",IF(J918&lt;=500,"5. De 300 a 500 m","6. De 500 m a 2 km"))))))</f>
        <v>7. Acima de 2 km</v>
      </c>
      <c r="L918" s="26" t="n">
        <v>0</v>
      </c>
      <c r="M918" s="26" t="n">
        <v>0</v>
      </c>
      <c r="N918" s="26" t="n">
        <v>0</v>
      </c>
      <c r="O918" s="26" t="n">
        <v>0</v>
      </c>
      <c r="P918" s="30" t="n">
        <v>-14.53989375</v>
      </c>
      <c r="Q918" s="30" t="n">
        <v>-40.06489396</v>
      </c>
      <c r="R918" s="14" t="inlineStr">
        <is>
          <t>SALÃO DO JÚRI, FÓRUM ARNALDO DA SILVEIRA, RUA CASTRO ALVES S/N, CENTRO, IGUAÍ/BA</t>
        </is>
      </c>
      <c r="S918" s="26">
        <f>IF(A918=A917,0,1)</f>
        <v>0</v>
      </c>
      <c r="T918" s="26">
        <f>IF(COUNTIF($B$4:B918,B918)=1,1,0)</f>
        <v>0</v>
      </c>
    </row>
    <row r="919">
      <c r="A919" s="14" t="inlineStr">
        <is>
          <t>IGUAÍ</t>
        </is>
      </c>
      <c r="B919" s="26" t="n">
        <v>146</v>
      </c>
      <c r="C919" s="26" t="n">
        <v>1139</v>
      </c>
      <c r="D919" s="14" t="inlineStr">
        <is>
          <t>NUCLEO MUNICIPAL MIGUEL BENEDICTES</t>
        </is>
      </c>
      <c r="E919" s="14" t="inlineStr">
        <is>
          <t>DISTRITO IBIPORANGA</t>
        </is>
      </c>
      <c r="F919" s="14" t="inlineStr">
        <is>
          <t>RUA DE IGUAÍ, S/N  - ZONA RURAL</t>
        </is>
      </c>
      <c r="G919" s="27" t="inlineStr">
        <is>
          <t>45280-000</t>
        </is>
      </c>
      <c r="H919" s="15" t="n">
        <v>2</v>
      </c>
      <c r="I919" s="28" t="inlineStr">
        <is>
          <t>NÃO</t>
        </is>
      </c>
      <c r="J919" s="29" t="n"/>
      <c r="K919" s="14" t="str">
        <f>IF(J919="","7. Acima de 2 km",IF(J919&lt;=50,"1. Até 50 m",IF(J919&lt;=100,"2. De 50 a 100 m",IF(J919&lt;=200,"3. De 100 a 200 m",IF(J919&lt;=300,"4. De 200 a 300 m",IF(J919&lt;=500,"5. De 300 a 500 m","6. De 500 m a 2 km"))))))</f>
        <v>7. Acima de 2 km</v>
      </c>
      <c r="L919" s="26" t="n">
        <v>0</v>
      </c>
      <c r="M919" s="26" t="n">
        <v>0</v>
      </c>
      <c r="N919" s="26" t="n">
        <v>0</v>
      </c>
      <c r="O919" s="26" t="n">
        <v>0</v>
      </c>
      <c r="P919" s="30" t="n">
        <v>-14.63462242</v>
      </c>
      <c r="Q919" s="30" t="n">
        <v>-40.0626808</v>
      </c>
      <c r="R919" s="14" t="inlineStr">
        <is>
          <t>SALÃO DO JÚRI, FÓRUM ARNALDO DA SILVEIRA, RUA CASTRO ALVES S/N, CENTRO, IGUAÍ/BA</t>
        </is>
      </c>
      <c r="S919" s="26">
        <f>IF(A919=A918,0,1)</f>
        <v>0</v>
      </c>
      <c r="T919" s="26">
        <f>IF(COUNTIF($B$4:B919,B919)=1,1,0)</f>
        <v>0</v>
      </c>
    </row>
    <row r="920">
      <c r="A920" s="14" t="inlineStr">
        <is>
          <t>IGUAÍ</t>
        </is>
      </c>
      <c r="B920" s="26" t="n">
        <v>146</v>
      </c>
      <c r="C920" s="26" t="n">
        <v>1147</v>
      </c>
      <c r="D920" s="14" t="inlineStr">
        <is>
          <t>COLÉGIO MUNICIPAL DUQUE DE CAXIAS - (IGUAIBI)</t>
        </is>
      </c>
      <c r="E920" s="14" t="inlineStr">
        <is>
          <t>DISTRITO IGUAIBÍ</t>
        </is>
      </c>
      <c r="F920" s="14" t="inlineStr">
        <is>
          <t>RUA PRESIDENTE MEDICE, S/N - ZONA RURAL</t>
        </is>
      </c>
      <c r="G920" s="27" t="inlineStr">
        <is>
          <t>45280-000</t>
        </is>
      </c>
      <c r="H920" s="15" t="n">
        <v>3</v>
      </c>
      <c r="I920" s="28" t="inlineStr">
        <is>
          <t>NÃO</t>
        </is>
      </c>
      <c r="J920" s="29" t="n"/>
      <c r="K920" s="14" t="str">
        <f>IF(J920="","7. Acima de 2 km",IF(J920&lt;=50,"1. Até 50 m",IF(J920&lt;=100,"2. De 50 a 100 m",IF(J920&lt;=200,"3. De 100 a 200 m",IF(J920&lt;=300,"4. De 200 a 300 m",IF(J920&lt;=500,"5. De 300 a 500 m","6. De 500 m a 2 km"))))))</f>
        <v>7. Acima de 2 km</v>
      </c>
      <c r="L920" s="26" t="n">
        <v>0</v>
      </c>
      <c r="M920" s="26" t="n">
        <v>0</v>
      </c>
      <c r="N920" s="26" t="n">
        <v>0</v>
      </c>
      <c r="O920" s="26" t="n">
        <v>0</v>
      </c>
      <c r="P920" s="30" t="n">
        <v>-14.63737756</v>
      </c>
      <c r="Q920" s="30" t="n">
        <v>-40.03769549</v>
      </c>
      <c r="R920" s="14" t="inlineStr">
        <is>
          <t>SALÃO DO JÚRI, FÓRUM ARNALDO DA SILVEIRA, RUA CASTRO ALVES S/N, CENTRO, IGUAÍ/BA</t>
        </is>
      </c>
      <c r="S920" s="26">
        <f>IF(A920=A919,0,1)</f>
        <v>0</v>
      </c>
      <c r="T920" s="26">
        <f>IF(COUNTIF($B$4:B920,B920)=1,1,0)</f>
        <v>0</v>
      </c>
    </row>
    <row r="921">
      <c r="A921" s="14" t="inlineStr">
        <is>
          <t>IGUAÍ</t>
        </is>
      </c>
      <c r="B921" s="26" t="n">
        <v>146</v>
      </c>
      <c r="C921" s="26" t="n">
        <v>1155</v>
      </c>
      <c r="D921" s="14" t="inlineStr">
        <is>
          <t>ESCOLA MUNICIPAL DOIS DE JULHO</t>
        </is>
      </c>
      <c r="E921" s="14" t="inlineStr">
        <is>
          <t>DISTRITO PALMERINHA</t>
        </is>
      </c>
      <c r="F921" s="14" t="inlineStr">
        <is>
          <t>RUA ADELSON OLIVEIRA , S/N - ZONA RURAL</t>
        </is>
      </c>
      <c r="G921" s="27" t="inlineStr">
        <is>
          <t>45280-000</t>
        </is>
      </c>
      <c r="H921" s="15" t="n">
        <v>4</v>
      </c>
      <c r="I921" s="28" t="inlineStr">
        <is>
          <t>NÃO</t>
        </is>
      </c>
      <c r="J921" s="29" t="n"/>
      <c r="K921" s="14" t="str">
        <f>IF(J921="","7. Acima de 2 km",IF(J921&lt;=50,"1. Até 50 m",IF(J921&lt;=100,"2. De 50 a 100 m",IF(J921&lt;=200,"3. De 100 a 200 m",IF(J921&lt;=300,"4. De 200 a 300 m",IF(J921&lt;=500,"5. De 300 a 500 m","6. De 500 m a 2 km"))))))</f>
        <v>7. Acima de 2 km</v>
      </c>
      <c r="L921" s="26" t="n">
        <v>0</v>
      </c>
      <c r="M921" s="26" t="n">
        <v>0</v>
      </c>
      <c r="N921" s="26" t="n">
        <v>0</v>
      </c>
      <c r="O921" s="26" t="n">
        <v>0</v>
      </c>
      <c r="P921" s="30" t="n">
        <v>-14.62838254</v>
      </c>
      <c r="Q921" s="30" t="n">
        <v>-39.94636594</v>
      </c>
      <c r="R921" s="14" t="inlineStr">
        <is>
          <t>SALÃO DO JÚRI, FÓRUM ARNALDO DA SILVEIRA, RUA CASTRO ALVES S/N, CENTRO, IGUAÍ/BA</t>
        </is>
      </c>
      <c r="S921" s="26">
        <f>IF(A921=A920,0,1)</f>
        <v>0</v>
      </c>
      <c r="T921" s="26">
        <f>IF(COUNTIF($B$4:B921,B921)=1,1,0)</f>
        <v>0</v>
      </c>
    </row>
    <row r="922">
      <c r="A922" s="14" t="inlineStr">
        <is>
          <t>IGUAÍ</t>
        </is>
      </c>
      <c r="B922" s="26" t="n">
        <v>146</v>
      </c>
      <c r="C922" s="26" t="n">
        <v>1163</v>
      </c>
      <c r="D922" s="14" t="inlineStr">
        <is>
          <t>ESCOLA MUNICIPAL JOSÉ DE ANCHIETA</t>
        </is>
      </c>
      <c r="E922" s="14" t="inlineStr">
        <is>
          <t>DISTRITO PONTO CHIQUE</t>
        </is>
      </c>
      <c r="F922" s="14" t="inlineStr">
        <is>
          <t>RUA SETE DE SETEMBRO, S/N - ZONA RURAL</t>
        </is>
      </c>
      <c r="G922" s="27" t="inlineStr">
        <is>
          <t>45280-000</t>
        </is>
      </c>
      <c r="H922" s="15" t="n">
        <v>2</v>
      </c>
      <c r="I922" s="28" t="inlineStr">
        <is>
          <t>NÃO</t>
        </is>
      </c>
      <c r="J922" s="29" t="n"/>
      <c r="K922" s="14" t="str">
        <f>IF(J922="","7. Acima de 2 km",IF(J922&lt;=50,"1. Até 50 m",IF(J922&lt;=100,"2. De 50 a 100 m",IF(J922&lt;=200,"3. De 100 a 200 m",IF(J922&lt;=300,"4. De 200 a 300 m",IF(J922&lt;=500,"5. De 300 a 500 m","6. De 500 m a 2 km"))))))</f>
        <v>7. Acima de 2 km</v>
      </c>
      <c r="L922" s="26" t="n">
        <v>0</v>
      </c>
      <c r="M922" s="26" t="n">
        <v>0</v>
      </c>
      <c r="N922" s="26" t="n">
        <v>0</v>
      </c>
      <c r="O922" s="26" t="n">
        <v>0</v>
      </c>
      <c r="P922" s="30" t="n">
        <v>-14.56781325</v>
      </c>
      <c r="Q922" s="30" t="n">
        <v>-39.94629431</v>
      </c>
      <c r="R922" s="14" t="inlineStr">
        <is>
          <t>SALÃO DO JÚRI, FÓRUM ARNALDO DA SILVEIRA, RUA CASTRO ALVES S/N, CENTRO, IGUAÍ/BA</t>
        </is>
      </c>
      <c r="S922" s="26">
        <f>IF(A922=A921,0,1)</f>
        <v>0</v>
      </c>
      <c r="T922" s="26">
        <f>IF(COUNTIF($B$4:B922,B922)=1,1,0)</f>
        <v>0</v>
      </c>
    </row>
    <row r="923">
      <c r="A923" s="14" t="inlineStr">
        <is>
          <t>IGUAÍ</t>
        </is>
      </c>
      <c r="B923" s="26" t="n">
        <v>146</v>
      </c>
      <c r="C923" s="26" t="n">
        <v>1368</v>
      </c>
      <c r="D923" s="14" t="inlineStr">
        <is>
          <t>ESCOLA MUNICIPAL TEREZA ALMEIDA BORGES FREITAS</t>
        </is>
      </c>
      <c r="E923" s="14" t="inlineStr">
        <is>
          <t>ARNULFO ORFÃO</t>
        </is>
      </c>
      <c r="F923" s="14" t="inlineStr">
        <is>
          <t>PRAÇA IRAILDO PINTO, S/N - ZONA URBANA</t>
        </is>
      </c>
      <c r="G923" s="27" t="inlineStr">
        <is>
          <t>45280-000</t>
        </is>
      </c>
      <c r="H923" s="15" t="n">
        <v>2</v>
      </c>
      <c r="I923" s="28" t="inlineStr">
        <is>
          <t>NÃO</t>
        </is>
      </c>
      <c r="J923" s="29" t="n">
        <v>351.8</v>
      </c>
      <c r="K923" s="14" t="str">
        <f>IF(J923="","7. Acima de 2 km",IF(J923&lt;=50,"1. Até 50 m",IF(J923&lt;=100,"2. De 50 a 100 m",IF(J923&lt;=200,"3. De 100 a 200 m",IF(J923&lt;=300,"4. De 200 a 300 m",IF(J923&lt;=500,"5. De 300 a 500 m","6. De 500 m a 2 km"))))))</f>
        <v>5. De 300 a 500 m</v>
      </c>
      <c r="L923" s="26" t="n">
        <v>0</v>
      </c>
      <c r="M923" s="26" t="n">
        <v>0</v>
      </c>
      <c r="N923" s="26" t="n">
        <v>0</v>
      </c>
      <c r="O923" s="26" t="n">
        <v>0</v>
      </c>
      <c r="P923" s="30" t="n">
        <v>-14.7491</v>
      </c>
      <c r="Q923" s="30" t="n">
        <v>-40.08646667</v>
      </c>
      <c r="R923" s="14" t="inlineStr">
        <is>
          <t>SALÃO DO JÚRI, FÓRUM ARNALDO DA SILVEIRA, RUA CASTRO ALVES S/N, CENTRO, IGUAÍ/BA</t>
        </is>
      </c>
      <c r="S923" s="26">
        <f>IF(A923=A922,0,1)</f>
        <v>0</v>
      </c>
      <c r="T923" s="26">
        <f>IF(COUNTIF($B$4:B923,B923)=1,1,0)</f>
        <v>0</v>
      </c>
    </row>
    <row r="924">
      <c r="A924" s="14" t="inlineStr">
        <is>
          <t>IGUAÍ</t>
        </is>
      </c>
      <c r="B924" s="26" t="n">
        <v>146</v>
      </c>
      <c r="C924" s="26" t="n">
        <v>1376</v>
      </c>
      <c r="D924" s="14" t="inlineStr">
        <is>
          <t>ESCOLA MUNICIPAL JABES DE SOUZA</t>
        </is>
      </c>
      <c r="E924" s="14" t="inlineStr">
        <is>
          <t>MARINHO DA SILVA FREITAS</t>
        </is>
      </c>
      <c r="F924" s="14" t="inlineStr">
        <is>
          <t>TRAVESSA BELA VISTA, N 2 - ZONA URBANA</t>
        </is>
      </c>
      <c r="G924" s="27" t="inlineStr">
        <is>
          <t>45280-000</t>
        </is>
      </c>
      <c r="H924" s="15" t="n">
        <v>2</v>
      </c>
      <c r="I924" s="28" t="inlineStr">
        <is>
          <t>NÃO</t>
        </is>
      </c>
      <c r="J924" s="29" t="n">
        <v>335.3</v>
      </c>
      <c r="K924" s="14" t="str">
        <f>IF(J924="","7. Acima de 2 km",IF(J924&lt;=50,"1. Até 50 m",IF(J924&lt;=100,"2. De 50 a 100 m",IF(J924&lt;=200,"3. De 100 a 200 m",IF(J924&lt;=300,"4. De 200 a 300 m",IF(J924&lt;=500,"5. De 300 a 500 m","6. De 500 m a 2 km"))))))</f>
        <v>5. De 300 a 500 m</v>
      </c>
      <c r="L924" s="26" t="n">
        <v>0</v>
      </c>
      <c r="M924" s="26" t="n">
        <v>0</v>
      </c>
      <c r="N924" s="26" t="n">
        <v>0</v>
      </c>
      <c r="O924" s="26" t="n">
        <v>0</v>
      </c>
      <c r="P924" s="30" t="n">
        <v>-14.75967333</v>
      </c>
      <c r="Q924" s="30" t="n">
        <v>-40.09240833</v>
      </c>
      <c r="R924" s="14" t="inlineStr">
        <is>
          <t>SALÃO DO JÚRI, FÓRUM ARNALDO DA SILVEIRA, RUA CASTRO ALVES S/N, CENTRO, IGUAÍ/BA</t>
        </is>
      </c>
      <c r="S924" s="26">
        <f>IF(A924=A923,0,1)</f>
        <v>0</v>
      </c>
      <c r="T924" s="26">
        <f>IF(COUNTIF($B$4:B924,B924)=1,1,0)</f>
        <v>0</v>
      </c>
    </row>
    <row r="925">
      <c r="A925" s="14" t="inlineStr">
        <is>
          <t>IGUAÍ</t>
        </is>
      </c>
      <c r="B925" s="26" t="n">
        <v>146</v>
      </c>
      <c r="C925" s="26" t="n">
        <v>1384</v>
      </c>
      <c r="D925" s="14" t="inlineStr">
        <is>
          <t>FACULDADE UNOPAR (ANEXO AO ARANI)</t>
        </is>
      </c>
      <c r="E925" s="14" t="inlineStr">
        <is>
          <t>CENTRO</t>
        </is>
      </c>
      <c r="F925" s="14" t="inlineStr">
        <is>
          <t>RUA FULGENCIO TEIXEIRA, S/N - ZONA URBANA</t>
        </is>
      </c>
      <c r="G925" s="27" t="inlineStr">
        <is>
          <t>45280-000</t>
        </is>
      </c>
      <c r="H925" s="15" t="n">
        <v>8</v>
      </c>
      <c r="I925" s="28" t="inlineStr">
        <is>
          <t>NÃO</t>
        </is>
      </c>
      <c r="J925" s="29" t="n">
        <v>161.2</v>
      </c>
      <c r="K925" s="14" t="str">
        <f>IF(J925="","7. Acima de 2 km",IF(J925&lt;=50,"1. Até 50 m",IF(J925&lt;=100,"2. De 50 a 100 m",IF(J925&lt;=200,"3. De 100 a 200 m",IF(J925&lt;=300,"4. De 200 a 300 m",IF(J925&lt;=500,"5. De 300 a 500 m","6. De 500 m a 2 km"))))))</f>
        <v>3. De 100 a 200 m</v>
      </c>
      <c r="L925" s="26" t="n">
        <v>0</v>
      </c>
      <c r="M925" s="26" t="n">
        <v>0</v>
      </c>
      <c r="N925" s="26" t="n">
        <v>2</v>
      </c>
      <c r="O925" s="26" t="n">
        <v>2</v>
      </c>
      <c r="P925" s="30" t="n">
        <v>-14.7599</v>
      </c>
      <c r="Q925" s="30" t="n">
        <v>-40.08961833</v>
      </c>
      <c r="R925" s="14" t="inlineStr">
        <is>
          <t>SALÃO DO JÚRI, FÓRUM ARNALDO DA SILVEIRA, RUA CASTRO ALVES S/N, CENTRO, IGUAÍ/BA</t>
        </is>
      </c>
      <c r="S925" s="26">
        <f>IF(A925=A924,0,1)</f>
        <v>0</v>
      </c>
      <c r="T925" s="26">
        <f>IF(COUNTIF($B$4:B925,B925)=1,1,0)</f>
        <v>0</v>
      </c>
    </row>
    <row r="926">
      <c r="A926" s="14" t="inlineStr">
        <is>
          <t>IGUAÍ</t>
        </is>
      </c>
      <c r="B926" s="26" t="n">
        <v>146</v>
      </c>
      <c r="C926" s="26" t="n">
        <v>1430</v>
      </c>
      <c r="D926" s="14" t="inlineStr">
        <is>
          <t>CEI - CENTRO EDUCACIONAL DE IGUAI</t>
        </is>
      </c>
      <c r="E926" s="14" t="inlineStr">
        <is>
          <t>DOUTOR TINHO</t>
        </is>
      </c>
      <c r="F926" s="14" t="inlineStr">
        <is>
          <t>RUA MARIA ROCHA SANTOS S/N - ZONA URBANA</t>
        </is>
      </c>
      <c r="G926" s="27" t="inlineStr">
        <is>
          <t>45280-000</t>
        </is>
      </c>
      <c r="H926" s="15" t="n">
        <v>7</v>
      </c>
      <c r="I926" s="28" t="inlineStr">
        <is>
          <t>NÃO</t>
        </is>
      </c>
      <c r="J926" s="29" t="n">
        <v>482.1</v>
      </c>
      <c r="K926" s="14" t="str">
        <f>IF(J926="","7. Acima de 2 km",IF(J926&lt;=50,"1. Até 50 m",IF(J926&lt;=100,"2. De 50 a 100 m",IF(J926&lt;=200,"3. De 100 a 200 m",IF(J926&lt;=300,"4. De 200 a 300 m",IF(J926&lt;=500,"5. De 300 a 500 m","6. De 500 m a 2 km"))))))</f>
        <v>5. De 300 a 500 m</v>
      </c>
      <c r="L926" s="26" t="n">
        <v>0</v>
      </c>
      <c r="M926" s="26" t="n">
        <v>0</v>
      </c>
      <c r="N926" s="26" t="n">
        <v>0</v>
      </c>
      <c r="O926" s="26" t="n">
        <v>0</v>
      </c>
      <c r="P926" s="30" t="n">
        <v>-14.75111833</v>
      </c>
      <c r="Q926" s="30" t="n">
        <v>-40.08419</v>
      </c>
      <c r="R926" s="14" t="inlineStr">
        <is>
          <t>SALÃO DO JÚRI, FÓRUM ARNALDO DA SILVEIRA, RUA CASTRO ALVES S/N, CENTRO, IGUAÍ/BA</t>
        </is>
      </c>
      <c r="S926" s="26">
        <f>IF(A926=A925,0,1)</f>
        <v>0</v>
      </c>
      <c r="T926" s="26">
        <f>IF(COUNTIF($B$4:B926,B926)=1,1,0)</f>
        <v>0</v>
      </c>
    </row>
    <row r="927">
      <c r="A927" s="14" t="inlineStr">
        <is>
          <t>IGUAÍ</t>
        </is>
      </c>
      <c r="B927" s="26" t="n">
        <v>146</v>
      </c>
      <c r="C927" s="26" t="n">
        <v>1449</v>
      </c>
      <c r="D927" s="14" t="inlineStr">
        <is>
          <t>COLÉGIO MANOEL LOBO</t>
        </is>
      </c>
      <c r="E927" s="14" t="inlineStr">
        <is>
          <t>CENTRO</t>
        </is>
      </c>
      <c r="F927" s="14" t="inlineStr">
        <is>
          <t>RUA FULGENCIO  TEIXEIRA, N. 268 - ZONA URBANA</t>
        </is>
      </c>
      <c r="G927" s="27" t="inlineStr">
        <is>
          <t>45280-000</t>
        </is>
      </c>
      <c r="H927" s="15" t="n">
        <v>4</v>
      </c>
      <c r="I927" s="28" t="inlineStr">
        <is>
          <t>NÃO</t>
        </is>
      </c>
      <c r="J927" s="29" t="n">
        <v>123.7</v>
      </c>
      <c r="K927" s="14" t="str">
        <f>IF(J927="","7. Acima de 2 km",IF(J927&lt;=50,"1. Até 50 m",IF(J927&lt;=100,"2. De 50 a 100 m",IF(J927&lt;=200,"3. De 100 a 200 m",IF(J927&lt;=300,"4. De 200 a 300 m",IF(J927&lt;=500,"5. De 300 a 500 m","6. De 500 m a 2 km"))))))</f>
        <v>3. De 100 a 200 m</v>
      </c>
      <c r="L927" s="26" t="n">
        <v>0</v>
      </c>
      <c r="M927" s="26" t="n">
        <v>0</v>
      </c>
      <c r="N927" s="26" t="n">
        <v>2</v>
      </c>
      <c r="O927" s="26" t="n">
        <v>3</v>
      </c>
      <c r="P927" s="30" t="n">
        <v>-14.75920167</v>
      </c>
      <c r="Q927" s="30" t="n">
        <v>-40.08870833</v>
      </c>
      <c r="R927" s="14" t="inlineStr">
        <is>
          <t>SALÃO DO JÚRI, FÓRUM ARNALDO DA SILVEIRA, RUA CASTRO ALVES S/N, CENTRO, IGUAÍ/BA</t>
        </is>
      </c>
      <c r="S927" s="26">
        <f>IF(A927=A926,0,1)</f>
        <v>0</v>
      </c>
      <c r="T927" s="26">
        <f>IF(COUNTIF($B$4:B927,B927)=1,1,0)</f>
        <v>0</v>
      </c>
    </row>
    <row r="928">
      <c r="A928" s="14" t="inlineStr">
        <is>
          <t>ILHÉUS</t>
        </is>
      </c>
      <c r="B928" s="26" t="n">
        <v>25</v>
      </c>
      <c r="C928" s="26" t="n">
        <v>1015</v>
      </c>
      <c r="D928" s="14" t="inlineStr">
        <is>
          <t>COLÉGIO IMPÁCTO</t>
        </is>
      </c>
      <c r="E928" s="14" t="inlineStr">
        <is>
          <t>CENTRO</t>
        </is>
      </c>
      <c r="F928" s="14" t="inlineStr">
        <is>
          <t>RUA RAMIRO DE CASTRO 63 - ZONA URBANA</t>
        </is>
      </c>
      <c r="G928" s="27" t="inlineStr">
        <is>
          <t>45653-610</t>
        </is>
      </c>
      <c r="H928" s="15" t="n">
        <v>14</v>
      </c>
      <c r="I928" s="28" t="inlineStr">
        <is>
          <t>SIM</t>
        </is>
      </c>
      <c r="J928" s="29" t="n">
        <v>43.5</v>
      </c>
      <c r="K928" s="14" t="str">
        <f>IF(J928="","7. Acima de 2 km",IF(J928&lt;=50,"1. Até 50 m",IF(J928&lt;=100,"2. De 50 a 100 m",IF(J928&lt;=200,"3. De 100 a 200 m",IF(J928&lt;=300,"4. De 200 a 300 m",IF(J928&lt;=500,"5. De 300 a 500 m","6. De 500 m a 2 km"))))))</f>
        <v>1. Até 50 m</v>
      </c>
      <c r="L928" s="26" t="n">
        <v>1</v>
      </c>
      <c r="M928" s="26" t="n">
        <v>1</v>
      </c>
      <c r="N928" s="26" t="n">
        <v>1</v>
      </c>
      <c r="O928" s="26" t="n">
        <v>3</v>
      </c>
      <c r="P928" s="30" t="n">
        <v>-14.7985393</v>
      </c>
      <c r="Q928" s="30" t="n">
        <v>-39.0383793</v>
      </c>
      <c r="R928" s="14" t="inlineStr">
        <is>
          <t>AV. GOVERNADOR ROBERTO SANTOS, S/N, BAIRRO ESPERANÇA, ILHÉUS-BA</t>
        </is>
      </c>
      <c r="S928" s="26">
        <f>IF(A928=A927,0,1)</f>
        <v>1</v>
      </c>
      <c r="T928" s="26">
        <f>IF(COUNTIF($B$4:B928,B928)=1,1,0)</f>
        <v>1</v>
      </c>
    </row>
    <row r="929">
      <c r="A929" s="14" t="inlineStr">
        <is>
          <t>ILHÉUS</t>
        </is>
      </c>
      <c r="B929" s="26" t="n">
        <v>25</v>
      </c>
      <c r="C929" s="26" t="n">
        <v>1023</v>
      </c>
      <c r="D929" s="14" t="inlineStr">
        <is>
          <t>CENTRO EDUCACIONAL ÁLVARO MELO VIEIRA</t>
        </is>
      </c>
      <c r="E929" s="14" t="inlineStr">
        <is>
          <t>CENTRO</t>
        </is>
      </c>
      <c r="F929" s="14" t="inlineStr">
        <is>
          <t>AV. CANAVIEIRAS, 92 - ZONA URBANA</t>
        </is>
      </c>
      <c r="G929" s="27" t="inlineStr">
        <is>
          <t>45652-125</t>
        </is>
      </c>
      <c r="H929" s="15" t="n">
        <v>6</v>
      </c>
      <c r="I929" s="28" t="inlineStr">
        <is>
          <t>NÃO</t>
        </is>
      </c>
      <c r="J929" s="29" t="n">
        <v>226</v>
      </c>
      <c r="K929" s="14" t="str">
        <f>IF(J929="","7. Acima de 2 km",IF(J929&lt;=50,"1. Até 50 m",IF(J929&lt;=100,"2. De 50 a 100 m",IF(J929&lt;=200,"3. De 100 a 200 m",IF(J929&lt;=300,"4. De 200 a 300 m",IF(J929&lt;=500,"5. De 300 a 500 m","6. De 500 m a 2 km"))))))</f>
        <v>4. De 200 a 300 m</v>
      </c>
      <c r="L929" s="26" t="n">
        <v>0</v>
      </c>
      <c r="M929" s="26" t="n">
        <v>0</v>
      </c>
      <c r="N929" s="26" t="n">
        <v>0</v>
      </c>
      <c r="O929" s="26" t="n">
        <v>1</v>
      </c>
      <c r="P929" s="30" t="n">
        <v>-14.7922991</v>
      </c>
      <c r="Q929" s="30" t="n">
        <v>-39.0339072</v>
      </c>
      <c r="R929" s="14" t="inlineStr">
        <is>
          <t>AV. GOVERNADOR ROBERTO SANTOS, S/N, BAIRRO ESPERANÇA, ILHÉUS-BA</t>
        </is>
      </c>
      <c r="S929" s="26">
        <f>IF(A929=A928,0,1)</f>
        <v>0</v>
      </c>
      <c r="T929" s="26">
        <f>IF(COUNTIF($B$4:B929,B929)=1,1,0)</f>
        <v>0</v>
      </c>
    </row>
    <row r="930">
      <c r="A930" s="14" t="inlineStr">
        <is>
          <t>ILHÉUS</t>
        </is>
      </c>
      <c r="B930" s="26" t="n">
        <v>25</v>
      </c>
      <c r="C930" s="26" t="n">
        <v>1074</v>
      </c>
      <c r="D930" s="14" t="inlineStr">
        <is>
          <t>ESCOLA MUNICIPAL HEITOR DIAS</t>
        </is>
      </c>
      <c r="E930" s="14" t="inlineStr">
        <is>
          <t>CENTRO</t>
        </is>
      </c>
      <c r="F930" s="14" t="inlineStr">
        <is>
          <t>AV. CANAVIEIRAS, S/N - ZONA URBANA</t>
        </is>
      </c>
      <c r="G930" s="27" t="inlineStr">
        <is>
          <t>45652-476</t>
        </is>
      </c>
      <c r="H930" s="15" t="n">
        <v>14</v>
      </c>
      <c r="I930" s="28" t="inlineStr">
        <is>
          <t>NÃO</t>
        </is>
      </c>
      <c r="J930" s="29" t="n">
        <v>221.7</v>
      </c>
      <c r="K930" s="14" t="str">
        <f>IF(J930="","7. Acima de 2 km",IF(J930&lt;=50,"1. Até 50 m",IF(J930&lt;=100,"2. De 50 a 100 m",IF(J930&lt;=200,"3. De 100 a 200 m",IF(J930&lt;=300,"4. De 200 a 300 m",IF(J930&lt;=500,"5. De 300 a 500 m","6. De 500 m a 2 km"))))))</f>
        <v>4. De 200 a 300 m</v>
      </c>
      <c r="L930" s="26" t="n">
        <v>0</v>
      </c>
      <c r="M930" s="26" t="n">
        <v>0</v>
      </c>
      <c r="N930" s="26" t="n">
        <v>0</v>
      </c>
      <c r="O930" s="26" t="n">
        <v>1</v>
      </c>
      <c r="P930" s="30" t="n">
        <v>-14.7919078</v>
      </c>
      <c r="Q930" s="30" t="n">
        <v>-39.0340415</v>
      </c>
      <c r="R930" s="14" t="inlineStr">
        <is>
          <t>AV. GOVERNADOR ROBERTO SANTOS, S/N, BAIRRO ESPERANÇA, ILHÉUS-BA</t>
        </is>
      </c>
      <c r="S930" s="26">
        <f>IF(A930=A929,0,1)</f>
        <v>0</v>
      </c>
      <c r="T930" s="26">
        <f>IF(COUNTIF($B$4:B930,B930)=1,1,0)</f>
        <v>0</v>
      </c>
    </row>
    <row r="931">
      <c r="A931" s="14" t="inlineStr">
        <is>
          <t>ILHÉUS</t>
        </is>
      </c>
      <c r="B931" s="26" t="n">
        <v>25</v>
      </c>
      <c r="C931" s="26" t="n">
        <v>1082</v>
      </c>
      <c r="D931" s="14" t="inlineStr">
        <is>
          <t>INSTITUTO MUNICIPAL DE EDUCAÇÃO</t>
        </is>
      </c>
      <c r="E931" s="14" t="inlineStr">
        <is>
          <t>CENTRO</t>
        </is>
      </c>
      <c r="F931" s="14" t="inlineStr">
        <is>
          <t>AV CANAVIEIRAS S/N - ZONA URBANA</t>
        </is>
      </c>
      <c r="G931" s="27" t="inlineStr">
        <is>
          <t>45652-400</t>
        </is>
      </c>
      <c r="H931" s="15" t="n">
        <v>13</v>
      </c>
      <c r="I931" s="28" t="inlineStr">
        <is>
          <t>NÃO</t>
        </is>
      </c>
      <c r="J931" s="29" t="n">
        <v>171.9</v>
      </c>
      <c r="K931" s="14" t="str">
        <f>IF(J931="","7. Acima de 2 km",IF(J931&lt;=50,"1. Até 50 m",IF(J931&lt;=100,"2. De 50 a 100 m",IF(J931&lt;=200,"3. De 100 a 200 m",IF(J931&lt;=300,"4. De 200 a 300 m",IF(J931&lt;=500,"5. De 300 a 500 m","6. De 500 m a 2 km"))))))</f>
        <v>3. De 100 a 200 m</v>
      </c>
      <c r="L931" s="26" t="n">
        <v>0</v>
      </c>
      <c r="M931" s="26" t="n">
        <v>0</v>
      </c>
      <c r="N931" s="26" t="n">
        <v>1</v>
      </c>
      <c r="O931" s="26" t="n">
        <v>1</v>
      </c>
      <c r="P931" s="30" t="n">
        <v>-14.791799</v>
      </c>
      <c r="Q931" s="30" t="n">
        <v>-39.0335907</v>
      </c>
      <c r="R931" s="14" t="inlineStr">
        <is>
          <t>AV. GOVERNADOR ROBERTO SANTOS, S/N, BAIRRO ESPERANÇA, ILHÉUS-BA</t>
        </is>
      </c>
      <c r="S931" s="26">
        <f>IF(A931=A930,0,1)</f>
        <v>0</v>
      </c>
      <c r="T931" s="26">
        <f>IF(COUNTIF($B$4:B931,B931)=1,1,0)</f>
        <v>0</v>
      </c>
    </row>
    <row r="932">
      <c r="A932" s="14" t="inlineStr">
        <is>
          <t>ILHÉUS</t>
        </is>
      </c>
      <c r="B932" s="26" t="n">
        <v>25</v>
      </c>
      <c r="C932" s="26" t="n">
        <v>1120</v>
      </c>
      <c r="D932" s="14" t="inlineStr">
        <is>
          <t>SINDICATO DOS BANCÁRIOS</t>
        </is>
      </c>
      <c r="E932" s="14" t="inlineStr">
        <is>
          <t>CENTRO</t>
        </is>
      </c>
      <c r="F932" s="14" t="inlineStr">
        <is>
          <t>RUA ANA NERY 140 - ZONA URBANA</t>
        </is>
      </c>
      <c r="G932" s="27" t="inlineStr">
        <is>
          <t>45653-630</t>
        </is>
      </c>
      <c r="H932" s="15" t="n">
        <v>4</v>
      </c>
      <c r="I932" s="28" t="inlineStr">
        <is>
          <t>NÃO</t>
        </is>
      </c>
      <c r="J932" s="29" t="n">
        <v>157.1</v>
      </c>
      <c r="K932" s="14" t="str">
        <f>IF(J932="","7. Acima de 2 km",IF(J932&lt;=50,"1. Até 50 m",IF(J932&lt;=100,"2. De 50 a 100 m",IF(J932&lt;=200,"3. De 100 a 200 m",IF(J932&lt;=300,"4. De 200 a 300 m",IF(J932&lt;=500,"5. De 300 a 500 m","6. De 500 m a 2 km"))))))</f>
        <v>3. De 100 a 200 m</v>
      </c>
      <c r="L932" s="26" t="n">
        <v>0</v>
      </c>
      <c r="M932" s="26" t="n">
        <v>0</v>
      </c>
      <c r="N932" s="26" t="n">
        <v>1</v>
      </c>
      <c r="O932" s="26" t="n">
        <v>4</v>
      </c>
      <c r="P932" s="30" t="n">
        <v>-14.7971146</v>
      </c>
      <c r="Q932" s="30" t="n">
        <v>-39.0385037</v>
      </c>
      <c r="R932" s="14" t="inlineStr">
        <is>
          <t>AV. GOVERNADOR ROBERTO SANTOS, S/N, BAIRRO ESPERANÇA, ILHÉUS-BA</t>
        </is>
      </c>
      <c r="S932" s="26">
        <f>IF(A932=A931,0,1)</f>
        <v>0</v>
      </c>
      <c r="T932" s="26">
        <f>IF(COUNTIF($B$4:B932,B932)=1,1,0)</f>
        <v>0</v>
      </c>
    </row>
    <row r="933">
      <c r="A933" s="14" t="inlineStr">
        <is>
          <t>ILHÉUS</t>
        </is>
      </c>
      <c r="B933" s="26" t="n">
        <v>25</v>
      </c>
      <c r="C933" s="26" t="n">
        <v>1155</v>
      </c>
      <c r="D933" s="14" t="inlineStr">
        <is>
          <t>ESCOLA MUNICIPAL PEQUENO DAVI</t>
        </is>
      </c>
      <c r="E933" s="14" t="inlineStr">
        <is>
          <t>MALHADO</t>
        </is>
      </c>
      <c r="F933" s="14" t="inlineStr">
        <is>
          <t>AVENIDA ANTONIO CARLOS MAGALHÃES, N. 1694 - ZONA URBANA</t>
        </is>
      </c>
      <c r="G933" s="27" t="inlineStr">
        <is>
          <t>45651-621</t>
        </is>
      </c>
      <c r="H933" s="15" t="n">
        <v>5</v>
      </c>
      <c r="I933" s="28" t="inlineStr">
        <is>
          <t>SIM</t>
        </is>
      </c>
      <c r="J933" s="29" t="n">
        <v>21.7</v>
      </c>
      <c r="K933" s="14" t="str">
        <f>IF(J933="","7. Acima de 2 km",IF(J933&lt;=50,"1. Até 50 m",IF(J933&lt;=100,"2. De 50 a 100 m",IF(J933&lt;=200,"3. De 100 a 200 m",IF(J933&lt;=300,"4. De 200 a 300 m",IF(J933&lt;=500,"5. De 300 a 500 m","6. De 500 m a 2 km"))))))</f>
        <v>1. Até 50 m</v>
      </c>
      <c r="L933" s="26" t="n">
        <v>1</v>
      </c>
      <c r="M933" s="26" t="n">
        <v>1</v>
      </c>
      <c r="N933" s="26" t="n">
        <v>1</v>
      </c>
      <c r="O933" s="26" t="n">
        <v>2</v>
      </c>
      <c r="P933" s="30" t="n">
        <v>-14.7828843</v>
      </c>
      <c r="Q933" s="30" t="n">
        <v>-39.0511579</v>
      </c>
      <c r="R933" s="14" t="inlineStr">
        <is>
          <t>AV. GOVERNADOR ROBERTO SANTOS, S/N, BAIRRO ESPERANÇA, ILHÉUS-BA</t>
        </is>
      </c>
      <c r="S933" s="26">
        <f>IF(A933=A932,0,1)</f>
        <v>0</v>
      </c>
      <c r="T933" s="26">
        <f>IF(COUNTIF($B$4:B933,B933)=1,1,0)</f>
        <v>0</v>
      </c>
    </row>
    <row r="934">
      <c r="A934" s="14" t="inlineStr">
        <is>
          <t>ILHÉUS</t>
        </is>
      </c>
      <c r="B934" s="26" t="n">
        <v>25</v>
      </c>
      <c r="C934" s="26" t="n">
        <v>1171</v>
      </c>
      <c r="D934" s="14" t="inlineStr">
        <is>
          <t>CCEP DO CHOCOLATE - NELSON SCHAUN</t>
        </is>
      </c>
      <c r="E934" s="14" t="inlineStr">
        <is>
          <t>MALHADO</t>
        </is>
      </c>
      <c r="F934" s="14" t="inlineStr">
        <is>
          <t>AV. ANTÔNIO CARLOS MAGALHÃES, N 756 - ZONA URBANA</t>
        </is>
      </c>
      <c r="G934" s="27" t="inlineStr">
        <is>
          <t>45651-195</t>
        </is>
      </c>
      <c r="H934" s="15" t="n">
        <v>22</v>
      </c>
      <c r="I934" s="28" t="inlineStr">
        <is>
          <t>NÃO</t>
        </is>
      </c>
      <c r="J934" s="29" t="n">
        <v>108.6</v>
      </c>
      <c r="K934" s="14" t="str">
        <f>IF(J934="","7. Acima de 2 km",IF(J934&lt;=50,"1. Até 50 m",IF(J934&lt;=100,"2. De 50 a 100 m",IF(J934&lt;=200,"3. De 100 a 200 m",IF(J934&lt;=300,"4. De 200 a 300 m",IF(J934&lt;=500,"5. De 300 a 500 m","6. De 500 m a 2 km"))))))</f>
        <v>3. De 100 a 200 m</v>
      </c>
      <c r="L934" s="26" t="n">
        <v>0</v>
      </c>
      <c r="M934" s="26" t="n">
        <v>0</v>
      </c>
      <c r="N934" s="26" t="n">
        <v>1</v>
      </c>
      <c r="O934" s="26" t="n">
        <v>2</v>
      </c>
      <c r="P934" s="30" t="n">
        <v>-14.7850296</v>
      </c>
      <c r="Q934" s="30" t="n">
        <v>-39.0440503</v>
      </c>
      <c r="R934" s="14" t="inlineStr">
        <is>
          <t>AV. GOVERNADOR ROBERTO SANTOS, S/N, BAIRRO ESPERANÇA, ILHÉUS-BA</t>
        </is>
      </c>
      <c r="S934" s="26">
        <f>IF(A934=A933,0,1)</f>
        <v>0</v>
      </c>
      <c r="T934" s="26">
        <f>IF(COUNTIF($B$4:B934,B934)=1,1,0)</f>
        <v>0</v>
      </c>
    </row>
    <row r="935">
      <c r="A935" s="14" t="inlineStr">
        <is>
          <t>ILHÉUS</t>
        </is>
      </c>
      <c r="B935" s="26" t="n">
        <v>25</v>
      </c>
      <c r="C935" s="26" t="n">
        <v>1201</v>
      </c>
      <c r="D935" s="14" t="inlineStr">
        <is>
          <t>POLO BASE DA SAÚDE INDÍGENA (COLÉGIO SÃO SEBASTIÃO)</t>
        </is>
      </c>
      <c r="E935" s="14" t="inlineStr">
        <is>
          <t>ALTO SÃO SEBASTIÃO</t>
        </is>
      </c>
      <c r="F935" s="14" t="inlineStr">
        <is>
          <t>RUA EPITÁCIO PESSOA, 42 - ZONA URBANA</t>
        </is>
      </c>
      <c r="G935" s="27" t="inlineStr">
        <is>
          <t>45653-050</t>
        </is>
      </c>
      <c r="H935" s="15" t="n">
        <v>2</v>
      </c>
      <c r="I935" s="28" t="inlineStr">
        <is>
          <t>NÃO</t>
        </is>
      </c>
      <c r="J935" s="29" t="n">
        <v>331.9</v>
      </c>
      <c r="K935" s="14" t="str">
        <f>IF(J935="","7. Acima de 2 km",IF(J935&lt;=50,"1. Até 50 m",IF(J935&lt;=100,"2. De 50 a 100 m",IF(J935&lt;=200,"3. De 100 a 200 m",IF(J935&lt;=300,"4. De 200 a 300 m",IF(J935&lt;=500,"5. De 300 a 500 m","6. De 500 m a 2 km"))))))</f>
        <v>5. De 300 a 500 m</v>
      </c>
      <c r="L935" s="26" t="n">
        <v>0</v>
      </c>
      <c r="M935" s="26" t="n">
        <v>0</v>
      </c>
      <c r="N935" s="26" t="n">
        <v>0</v>
      </c>
      <c r="O935" s="26" t="n">
        <v>0</v>
      </c>
      <c r="P935" s="30" t="n">
        <v>-14.8021827</v>
      </c>
      <c r="Q935" s="30" t="n">
        <v>-39.03244</v>
      </c>
      <c r="R935" s="14" t="inlineStr">
        <is>
          <t>AV. GOVERNADOR ROBERTO SANTOS, S/N, BAIRRO ESPERANÇA, ILHÉUS-BA</t>
        </is>
      </c>
      <c r="S935" s="26">
        <f>IF(A935=A934,0,1)</f>
        <v>0</v>
      </c>
      <c r="T935" s="26">
        <f>IF(COUNTIF($B$4:B935,B935)=1,1,0)</f>
        <v>0</v>
      </c>
    </row>
    <row r="936">
      <c r="A936" s="14" t="inlineStr">
        <is>
          <t>ILHÉUS</t>
        </is>
      </c>
      <c r="B936" s="26" t="n">
        <v>25</v>
      </c>
      <c r="C936" s="26" t="n">
        <v>1430</v>
      </c>
      <c r="D936" s="14" t="inlineStr">
        <is>
          <t>ESCOLA VOVÔ ISAAC</t>
        </is>
      </c>
      <c r="E936" s="14" t="inlineStr">
        <is>
          <t>MALHADO</t>
        </is>
      </c>
      <c r="F936" s="14" t="inlineStr">
        <is>
          <t>RUA DO CANO, S/N, PARQUE INFANTIL - ZONA URBANA</t>
        </is>
      </c>
      <c r="G936" s="27" t="inlineStr">
        <is>
          <t>45650-000</t>
        </is>
      </c>
      <c r="H936" s="15" t="n">
        <v>8</v>
      </c>
      <c r="I936" s="28" t="inlineStr">
        <is>
          <t>NÃO</t>
        </is>
      </c>
      <c r="J936" s="29" t="n">
        <v>260.4</v>
      </c>
      <c r="K936" s="14" t="str">
        <f>IF(J936="","7. Acima de 2 km",IF(J936&lt;=50,"1. Até 50 m",IF(J936&lt;=100,"2. De 50 a 100 m",IF(J936&lt;=200,"3. De 100 a 200 m",IF(J936&lt;=300,"4. De 200 a 300 m",IF(J936&lt;=500,"5. De 300 a 500 m","6. De 500 m a 2 km"))))))</f>
        <v>4. De 200 a 300 m</v>
      </c>
      <c r="L936" s="26" t="n">
        <v>0</v>
      </c>
      <c r="M936" s="26" t="n">
        <v>0</v>
      </c>
      <c r="N936" s="26" t="n">
        <v>0</v>
      </c>
      <c r="O936" s="26" t="n">
        <v>1</v>
      </c>
      <c r="P936" s="30" t="n">
        <v>-14.7834838</v>
      </c>
      <c r="Q936" s="30" t="n">
        <v>-39.0547441</v>
      </c>
      <c r="R936" s="14" t="inlineStr">
        <is>
          <t>AV. GOVERNADOR ROBERTO SANTOS, S/N, BAIRRO ESPERANÇA, ILHÉUS-BA</t>
        </is>
      </c>
      <c r="S936" s="26">
        <f>IF(A936=A935,0,1)</f>
        <v>0</v>
      </c>
      <c r="T936" s="26">
        <f>IF(COUNTIF($B$4:B936,B936)=1,1,0)</f>
        <v>0</v>
      </c>
    </row>
    <row r="937">
      <c r="A937" s="14" t="inlineStr">
        <is>
          <t>ILHÉUS</t>
        </is>
      </c>
      <c r="B937" s="26" t="n">
        <v>25</v>
      </c>
      <c r="C937" s="26" t="n">
        <v>1457</v>
      </c>
      <c r="D937" s="14" t="inlineStr">
        <is>
          <t>COLÉGIO ESTADUAL JORGE AMADO (ANTIGO COLÉGIO MODELO)</t>
        </is>
      </c>
      <c r="E937" s="14" t="inlineStr">
        <is>
          <t>MALHADO</t>
        </is>
      </c>
      <c r="F937" s="14" t="inlineStr">
        <is>
          <t>AV ESPERANÇA S/N - ZONA URBANA</t>
        </is>
      </c>
      <c r="G937" s="27" t="inlineStr">
        <is>
          <t>45658-630</t>
        </is>
      </c>
      <c r="H937" s="15" t="n">
        <v>14</v>
      </c>
      <c r="I937" s="28" t="inlineStr">
        <is>
          <t>NÃO</t>
        </is>
      </c>
      <c r="J937" s="29" t="n">
        <v>711.8</v>
      </c>
      <c r="K937" s="14" t="str">
        <f>IF(J937="","7. Acima de 2 km",IF(J937&lt;=50,"1. Até 50 m",IF(J937&lt;=100,"2. De 50 a 100 m",IF(J937&lt;=200,"3. De 100 a 200 m",IF(J937&lt;=300,"4. De 200 a 300 m",IF(J937&lt;=500,"5. De 300 a 500 m","6. De 500 m a 2 km"))))))</f>
        <v>6. De 500 m a 2 km</v>
      </c>
      <c r="L937" s="26" t="n">
        <v>0</v>
      </c>
      <c r="M937" s="26" t="n">
        <v>0</v>
      </c>
      <c r="N937" s="26" t="n">
        <v>0</v>
      </c>
      <c r="O937" s="26" t="n">
        <v>0</v>
      </c>
      <c r="P937" s="30" t="n">
        <v>-14.7884587</v>
      </c>
      <c r="Q937" s="30" t="n">
        <v>-39.0605802</v>
      </c>
      <c r="R937" s="14" t="inlineStr">
        <is>
          <t>AV. GOVERNADOR ROBERTO SANTOS, S/N, BAIRRO ESPERANÇA, ILHÉUS-BA</t>
        </is>
      </c>
      <c r="S937" s="26">
        <f>IF(A937=A936,0,1)</f>
        <v>0</v>
      </c>
      <c r="T937" s="26">
        <f>IF(COUNTIF($B$4:B937,B937)=1,1,0)</f>
        <v>0</v>
      </c>
    </row>
    <row r="938">
      <c r="A938" s="14" t="inlineStr">
        <is>
          <t>ILHÉUS</t>
        </is>
      </c>
      <c r="B938" s="26" t="n">
        <v>25</v>
      </c>
      <c r="C938" s="26" t="n">
        <v>1473</v>
      </c>
      <c r="D938" s="14" t="inlineStr">
        <is>
          <t>ESCOLA MUNICIPAL DE CASTELO NOVO</t>
        </is>
      </c>
      <c r="E938" s="14" t="inlineStr">
        <is>
          <t>DISTRITO CASTELO NOVO</t>
        </is>
      </c>
      <c r="F938" s="14" t="inlineStr">
        <is>
          <t>RUA SALGADO FILHO - ZONA RURAL</t>
        </is>
      </c>
      <c r="G938" s="27" t="inlineStr">
        <is>
          <t>45650-000</t>
        </is>
      </c>
      <c r="H938" s="15" t="n">
        <v>4</v>
      </c>
      <c r="I938" s="28" t="inlineStr">
        <is>
          <t>NÃO</t>
        </is>
      </c>
      <c r="J938" s="29" t="n"/>
      <c r="K938" s="14" t="str">
        <f>IF(J938="","7. Acima de 2 km",IF(J938&lt;=50,"1. Até 50 m",IF(J938&lt;=100,"2. De 50 a 100 m",IF(J938&lt;=200,"3. De 100 a 200 m",IF(J938&lt;=300,"4. De 200 a 300 m",IF(J938&lt;=500,"5. De 300 a 500 m","6. De 500 m a 2 km"))))))</f>
        <v>7. Acima de 2 km</v>
      </c>
      <c r="L938" s="26" t="n">
        <v>0</v>
      </c>
      <c r="M938" s="26" t="n">
        <v>0</v>
      </c>
      <c r="N938" s="26" t="n">
        <v>0</v>
      </c>
      <c r="O938" s="26" t="n">
        <v>0</v>
      </c>
      <c r="P938" s="30" t="n">
        <v>-14.6553487</v>
      </c>
      <c r="Q938" s="30" t="n">
        <v>-39.190335</v>
      </c>
      <c r="R938" s="14" t="inlineStr">
        <is>
          <t>AV. GOVERNADOR ROBERTO SANTOS, S/N, BAIRRO ESPERANÇA, ILHÉUS-BA</t>
        </is>
      </c>
      <c r="S938" s="26">
        <f>IF(A938=A937,0,1)</f>
        <v>0</v>
      </c>
      <c r="T938" s="26">
        <f>IF(COUNTIF($B$4:B938,B938)=1,1,0)</f>
        <v>0</v>
      </c>
    </row>
    <row r="939">
      <c r="A939" s="14" t="inlineStr">
        <is>
          <t>ILHÉUS</t>
        </is>
      </c>
      <c r="B939" s="26" t="n">
        <v>25</v>
      </c>
      <c r="C939" s="26" t="n">
        <v>1481</v>
      </c>
      <c r="D939" s="14" t="inlineStr">
        <is>
          <t>ESCOLA MUNICIPAL DO IGUAPE (CENTRO COMUNITARIO)</t>
        </is>
      </c>
      <c r="E939" s="14" t="inlineStr">
        <is>
          <t>IGUAPE</t>
        </is>
      </c>
      <c r="F939" s="14" t="inlineStr">
        <is>
          <t>RUA MARIA LUIZA LAVIGNE, S/N - ZONA URBANA</t>
        </is>
      </c>
      <c r="G939" s="27" t="inlineStr">
        <is>
          <t>45658-350</t>
        </is>
      </c>
      <c r="H939" s="15" t="n">
        <v>8</v>
      </c>
      <c r="I939" s="28" t="inlineStr">
        <is>
          <t>NÃO</t>
        </is>
      </c>
      <c r="J939" s="29" t="n">
        <v>205.9</v>
      </c>
      <c r="K939" s="14" t="str">
        <f>IF(J939="","7. Acima de 2 km",IF(J939&lt;=50,"1. Até 50 m",IF(J939&lt;=100,"2. De 50 a 100 m",IF(J939&lt;=200,"3. De 100 a 200 m",IF(J939&lt;=300,"4. De 200 a 300 m",IF(J939&lt;=500,"5. De 300 a 500 m","6. De 500 m a 2 km"))))))</f>
        <v>4. De 200 a 300 m</v>
      </c>
      <c r="L939" s="26" t="n">
        <v>0</v>
      </c>
      <c r="M939" s="26" t="n">
        <v>0</v>
      </c>
      <c r="N939" s="26" t="n">
        <v>0</v>
      </c>
      <c r="O939" s="26" t="n">
        <v>2</v>
      </c>
      <c r="P939" s="30" t="n">
        <v>-14.743409</v>
      </c>
      <c r="Q939" s="30" t="n">
        <v>-39.0687638</v>
      </c>
      <c r="R939" s="14" t="inlineStr">
        <is>
          <t>AV. GOVERNADOR ROBERTO SANTOS, S/N, BAIRRO ESPERANÇA, ILHÉUS-BA</t>
        </is>
      </c>
      <c r="S939" s="26">
        <f>IF(A939=A938,0,1)</f>
        <v>0</v>
      </c>
      <c r="T939" s="26">
        <f>IF(COUNTIF($B$4:B939,B939)=1,1,0)</f>
        <v>0</v>
      </c>
    </row>
    <row r="940">
      <c r="A940" s="14" t="inlineStr">
        <is>
          <t>ILHÉUS</t>
        </is>
      </c>
      <c r="B940" s="26" t="n">
        <v>25</v>
      </c>
      <c r="C940" s="26" t="n">
        <v>1490</v>
      </c>
      <c r="D940" s="14" t="inlineStr">
        <is>
          <t>ESCOLA MUNICIPAL DE SAMBAITUBA</t>
        </is>
      </c>
      <c r="E940" s="14" t="inlineStr">
        <is>
          <t>DISTRITO SAMBAITUBA</t>
        </is>
      </c>
      <c r="F940" s="14" t="inlineStr">
        <is>
          <t>DISTRITO SAMBAITUBA - ZONA RURAL</t>
        </is>
      </c>
      <c r="G940" s="27" t="inlineStr">
        <is>
          <t>45650-000</t>
        </is>
      </c>
      <c r="H940" s="15" t="n">
        <v>7</v>
      </c>
      <c r="I940" s="28" t="inlineStr">
        <is>
          <t>SIM</t>
        </is>
      </c>
      <c r="J940" s="29" t="n">
        <v>41.9</v>
      </c>
      <c r="K940" s="14" t="str">
        <f>IF(J940="","7. Acima de 2 km",IF(J940&lt;=50,"1. Até 50 m",IF(J940&lt;=100,"2. De 50 a 100 m",IF(J940&lt;=200,"3. De 100 a 200 m",IF(J940&lt;=300,"4. De 200 a 300 m",IF(J940&lt;=500,"5. De 300 a 500 m","6. De 500 m a 2 km"))))))</f>
        <v>1. Até 50 m</v>
      </c>
      <c r="L940" s="26" t="n">
        <v>1</v>
      </c>
      <c r="M940" s="26" t="n">
        <v>1</v>
      </c>
      <c r="N940" s="26" t="n">
        <v>2</v>
      </c>
      <c r="O940" s="26" t="n">
        <v>2</v>
      </c>
      <c r="P940" s="30" t="n">
        <v>-14.6591576</v>
      </c>
      <c r="Q940" s="30" t="n">
        <v>-39.0995548</v>
      </c>
      <c r="R940" s="14" t="inlineStr">
        <is>
          <t>AV. GOVERNADOR ROBERTO SANTOS, S/N, BAIRRO ESPERANÇA, ILHÉUS-BA</t>
        </is>
      </c>
      <c r="S940" s="26">
        <f>IF(A940=A939,0,1)</f>
        <v>0</v>
      </c>
      <c r="T940" s="26">
        <f>IF(COUNTIF($B$4:B940,B940)=1,1,0)</f>
        <v>0</v>
      </c>
    </row>
    <row r="941">
      <c r="A941" s="14" t="inlineStr">
        <is>
          <t>ILHÉUS</t>
        </is>
      </c>
      <c r="B941" s="26" t="n">
        <v>25</v>
      </c>
      <c r="C941" s="26" t="n">
        <v>1503</v>
      </c>
      <c r="D941" s="14" t="inlineStr">
        <is>
          <t>ESCOLA MUNICIPAL DE CAROBEIRA</t>
        </is>
      </c>
      <c r="E941" s="14" t="inlineStr">
        <is>
          <t>DISTRITO CAROBEIRA</t>
        </is>
      </c>
      <c r="F941" s="14" t="inlineStr">
        <is>
          <t>DISTRITO CAROBEIRA - ZONA RURAL</t>
        </is>
      </c>
      <c r="G941" s="27" t="inlineStr">
        <is>
          <t>45650-000</t>
        </is>
      </c>
      <c r="H941" s="15" t="n">
        <v>1</v>
      </c>
      <c r="I941" s="28" t="inlineStr">
        <is>
          <t>NÃO</t>
        </is>
      </c>
      <c r="J941" s="29" t="n"/>
      <c r="K941" s="14" t="str">
        <f>IF(J941="","7. Acima de 2 km",IF(J941&lt;=50,"1. Até 50 m",IF(J941&lt;=100,"2. De 50 a 100 m",IF(J941&lt;=200,"3. De 100 a 200 m",IF(J941&lt;=300,"4. De 200 a 300 m",IF(J941&lt;=500,"5. De 300 a 500 m","6. De 500 m a 2 km"))))))</f>
        <v>7. Acima de 2 km</v>
      </c>
      <c r="L941" s="26" t="n">
        <v>0</v>
      </c>
      <c r="M941" s="26" t="n">
        <v>0</v>
      </c>
      <c r="N941" s="26" t="n">
        <v>0</v>
      </c>
      <c r="O941" s="26" t="n">
        <v>0</v>
      </c>
      <c r="P941" s="30" t="n">
        <v>-14.7193211</v>
      </c>
      <c r="Q941" s="30" t="n">
        <v>-39.0983107</v>
      </c>
      <c r="R941" s="14" t="inlineStr">
        <is>
          <t>AV. GOVERNADOR ROBERTO SANTOS, S/N, BAIRRO ESPERANÇA, ILHÉUS-BA</t>
        </is>
      </c>
      <c r="S941" s="26">
        <f>IF(A941=A940,0,1)</f>
        <v>0</v>
      </c>
      <c r="T941" s="26">
        <f>IF(COUNTIF($B$4:B941,B941)=1,1,0)</f>
        <v>0</v>
      </c>
    </row>
    <row r="942">
      <c r="A942" s="14" t="inlineStr">
        <is>
          <t>ILHÉUS</t>
        </is>
      </c>
      <c r="B942" s="26" t="n">
        <v>25</v>
      </c>
      <c r="C942" s="26" t="n">
        <v>1511</v>
      </c>
      <c r="D942" s="14" t="inlineStr">
        <is>
          <t>ESCOLA MUNICIPAL DE LAGOA ENCANTADA</t>
        </is>
      </c>
      <c r="E942" s="14" t="inlineStr">
        <is>
          <t>POVOADO LAGOA ENCANTADA</t>
        </is>
      </c>
      <c r="F942" s="14" t="inlineStr">
        <is>
          <t>POVOADO LAGOA ENCANTADA - ZONA RURAL</t>
        </is>
      </c>
      <c r="G942" s="27" t="inlineStr">
        <is>
          <t>45650-000</t>
        </is>
      </c>
      <c r="H942" s="15" t="n">
        <v>2</v>
      </c>
      <c r="I942" s="28" t="inlineStr">
        <is>
          <t>NÃO</t>
        </is>
      </c>
      <c r="J942" s="29" t="n"/>
      <c r="K942" s="14" t="str">
        <f>IF(J942="","7. Acima de 2 km",IF(J942&lt;=50,"1. Até 50 m",IF(J942&lt;=100,"2. De 50 a 100 m",IF(J942&lt;=200,"3. De 100 a 200 m",IF(J942&lt;=300,"4. De 200 a 300 m",IF(J942&lt;=500,"5. De 300 a 500 m","6. De 500 m a 2 km"))))))</f>
        <v>7. Acima de 2 km</v>
      </c>
      <c r="L942" s="26" t="n">
        <v>0</v>
      </c>
      <c r="M942" s="26" t="n">
        <v>0</v>
      </c>
      <c r="N942" s="26" t="n">
        <v>0</v>
      </c>
      <c r="O942" s="26" t="n">
        <v>0</v>
      </c>
      <c r="P942" s="30" t="n">
        <v>-14.6221552</v>
      </c>
      <c r="Q942" s="30" t="n">
        <v>-39.1444957</v>
      </c>
      <c r="R942" s="14" t="inlineStr">
        <is>
          <t>AV. GOVERNADOR ROBERTO SANTOS, S/N, BAIRRO ESPERANÇA, ILHÉUS-BA</t>
        </is>
      </c>
      <c r="S942" s="26">
        <f>IF(A942=A941,0,1)</f>
        <v>0</v>
      </c>
      <c r="T942" s="26">
        <f>IF(COUNTIF($B$4:B942,B942)=1,1,0)</f>
        <v>0</v>
      </c>
    </row>
    <row r="943">
      <c r="A943" s="14" t="inlineStr">
        <is>
          <t>ILHÉUS</t>
        </is>
      </c>
      <c r="B943" s="26" t="n">
        <v>25</v>
      </c>
      <c r="C943" s="26" t="n">
        <v>1520</v>
      </c>
      <c r="D943" s="14" t="inlineStr">
        <is>
          <t>ESCOLA MUNICIPAL DE INEMA (JOSE ANTONIO DE BRITO)</t>
        </is>
      </c>
      <c r="E943" s="14" t="inlineStr">
        <is>
          <t>DISTRITO INEMA</t>
        </is>
      </c>
      <c r="F943" s="14" t="inlineStr">
        <is>
          <t>DISTRITO INEMA - ZONA RURAL</t>
        </is>
      </c>
      <c r="G943" s="27" t="inlineStr">
        <is>
          <t>45650-000</t>
        </is>
      </c>
      <c r="H943" s="15" t="n">
        <v>6</v>
      </c>
      <c r="I943" s="28" t="inlineStr">
        <is>
          <t>NÃO</t>
        </is>
      </c>
      <c r="J943" s="29" t="n"/>
      <c r="K943" s="14" t="str">
        <f>IF(J943="","7. Acima de 2 km",IF(J943&lt;=50,"1. Até 50 m",IF(J943&lt;=100,"2. De 50 a 100 m",IF(J943&lt;=200,"3. De 100 a 200 m",IF(J943&lt;=300,"4. De 200 a 300 m",IF(J943&lt;=500,"5. De 300 a 500 m","6. De 500 m a 2 km"))))))</f>
        <v>7. Acima de 2 km</v>
      </c>
      <c r="L943" s="26" t="n">
        <v>0</v>
      </c>
      <c r="M943" s="26" t="n">
        <v>0</v>
      </c>
      <c r="N943" s="26" t="n">
        <v>0</v>
      </c>
      <c r="O943" s="26" t="n">
        <v>0</v>
      </c>
      <c r="P943" s="30" t="n">
        <v>-14.5055184</v>
      </c>
      <c r="Q943" s="30" t="n">
        <v>-39.4740416</v>
      </c>
      <c r="R943" s="14" t="inlineStr">
        <is>
          <t>AV. GOVERNADOR ROBERTO SANTOS, S/N, BAIRRO ESPERANÇA, ILHÉUS-BA</t>
        </is>
      </c>
      <c r="S943" s="26">
        <f>IF(A943=A942,0,1)</f>
        <v>0</v>
      </c>
      <c r="T943" s="26">
        <f>IF(COUNTIF($B$4:B943,B943)=1,1,0)</f>
        <v>0</v>
      </c>
    </row>
    <row r="944">
      <c r="A944" s="14" t="inlineStr">
        <is>
          <t>ILHÉUS</t>
        </is>
      </c>
      <c r="B944" s="26" t="n">
        <v>25</v>
      </c>
      <c r="C944" s="26" t="n">
        <v>1538</v>
      </c>
      <c r="D944" s="14" t="inlineStr">
        <is>
          <t xml:space="preserve">ESCOLA MUNICIPAL DE BANCO CENTRAL </t>
        </is>
      </c>
      <c r="E944" s="14" t="inlineStr">
        <is>
          <t>DISTRITO BANCO CENTRAL</t>
        </is>
      </c>
      <c r="F944" s="14" t="inlineStr">
        <is>
          <t>DISTRITO BANCO CENTRAL - ZONA RURAL</t>
        </is>
      </c>
      <c r="G944" s="27" t="inlineStr">
        <is>
          <t>45662-810</t>
        </is>
      </c>
      <c r="H944" s="15" t="n">
        <v>6</v>
      </c>
      <c r="I944" s="28" t="inlineStr">
        <is>
          <t>NÃO</t>
        </is>
      </c>
      <c r="J944" s="29" t="n"/>
      <c r="K944" s="14" t="str">
        <f>IF(J944="","7. Acima de 2 km",IF(J944&lt;=50,"1. Até 50 m",IF(J944&lt;=100,"2. De 50 a 100 m",IF(J944&lt;=200,"3. De 100 a 200 m",IF(J944&lt;=300,"4. De 200 a 300 m",IF(J944&lt;=500,"5. De 300 a 500 m","6. De 500 m a 2 km"))))))</f>
        <v>7. Acima de 2 km</v>
      </c>
      <c r="L944" s="26" t="n">
        <v>0</v>
      </c>
      <c r="M944" s="26" t="n">
        <v>0</v>
      </c>
      <c r="N944" s="26" t="n">
        <v>0</v>
      </c>
      <c r="O944" s="26" t="n">
        <v>0</v>
      </c>
      <c r="P944" s="30" t="n">
        <v>-14.453858</v>
      </c>
      <c r="Q944" s="30" t="n">
        <v>-39.4008908</v>
      </c>
      <c r="R944" s="14" t="inlineStr">
        <is>
          <t>AV. GOVERNADOR ROBERTO SANTOS, S/N, BAIRRO ESPERANÇA, ILHÉUS-BA</t>
        </is>
      </c>
      <c r="S944" s="26">
        <f>IF(A944=A943,0,1)</f>
        <v>0</v>
      </c>
      <c r="T944" s="26">
        <f>IF(COUNTIF($B$4:B944,B944)=1,1,0)</f>
        <v>0</v>
      </c>
    </row>
    <row r="945">
      <c r="A945" s="14" t="inlineStr">
        <is>
          <t>ILHÉUS</t>
        </is>
      </c>
      <c r="B945" s="26" t="n">
        <v>25</v>
      </c>
      <c r="C945" s="26" t="n">
        <v>1546</v>
      </c>
      <c r="D945" s="14" t="inlineStr">
        <is>
          <t>PREDIO ESCOLAR DE PONTA DO RAMO</t>
        </is>
      </c>
      <c r="E945" s="14" t="inlineStr">
        <is>
          <t>DISTRITO PONTA DO RAMO</t>
        </is>
      </c>
      <c r="F945" s="14" t="inlineStr">
        <is>
          <t>DISTRITO PONTA DO RAMO - ZONA RURAL</t>
        </is>
      </c>
      <c r="G945" s="27" t="inlineStr">
        <is>
          <t>45650-000</t>
        </is>
      </c>
      <c r="H945" s="15" t="n">
        <v>2</v>
      </c>
      <c r="I945" s="28" t="inlineStr">
        <is>
          <t>NÃO</t>
        </is>
      </c>
      <c r="J945" s="29" t="n"/>
      <c r="K945" s="14" t="str">
        <f>IF(J945="","7. Acima de 2 km",IF(J945&lt;=50,"1. Até 50 m",IF(J945&lt;=100,"2. De 50 a 100 m",IF(J945&lt;=200,"3. De 100 a 200 m",IF(J945&lt;=300,"4. De 200 a 300 m",IF(J945&lt;=500,"5. De 300 a 500 m","6. De 500 m a 2 km"))))))</f>
        <v>7. Acima de 2 km</v>
      </c>
      <c r="L945" s="26" t="n">
        <v>0</v>
      </c>
      <c r="M945" s="26" t="n">
        <v>0</v>
      </c>
      <c r="N945" s="26" t="n">
        <v>0</v>
      </c>
      <c r="O945" s="26" t="n">
        <v>0</v>
      </c>
      <c r="P945" s="30" t="n">
        <v>-14.5285435</v>
      </c>
      <c r="Q945" s="30" t="n">
        <v>-39.0495632</v>
      </c>
      <c r="R945" s="14" t="inlineStr">
        <is>
          <t>AV. GOVERNADOR ROBERTO SANTOS, S/N, BAIRRO ESPERANÇA, ILHÉUS-BA</t>
        </is>
      </c>
      <c r="S945" s="26">
        <f>IF(A945=A944,0,1)</f>
        <v>0</v>
      </c>
      <c r="T945" s="26">
        <f>IF(COUNTIF($B$4:B945,B945)=1,1,0)</f>
        <v>0</v>
      </c>
    </row>
    <row r="946">
      <c r="A946" s="14" t="inlineStr">
        <is>
          <t>ILHÉUS</t>
        </is>
      </c>
      <c r="B946" s="26" t="n">
        <v>25</v>
      </c>
      <c r="C946" s="26" t="n">
        <v>1554</v>
      </c>
      <c r="D946" s="14" t="inlineStr">
        <is>
          <t>ESCOLA MUNICIPAL MANOEL MALAQUIAS REIS II</t>
        </is>
      </c>
      <c r="E946" s="14" t="inlineStr">
        <is>
          <t>DISTRITO PONTA DA TULHA</t>
        </is>
      </c>
      <c r="F946" s="14" t="inlineStr">
        <is>
          <t>AVENIDA PRINCIPAL, RUA GELENO FRANCO</t>
        </is>
      </c>
      <c r="G946" s="27" t="inlineStr">
        <is>
          <t>45650-000</t>
        </is>
      </c>
      <c r="H946" s="15" t="n">
        <v>5</v>
      </c>
      <c r="I946" s="28" t="inlineStr">
        <is>
          <t>NÃO</t>
        </is>
      </c>
      <c r="J946" s="29" t="n"/>
      <c r="K946" s="14" t="str">
        <f>IF(J946="","7. Acima de 2 km",IF(J946&lt;=50,"1. Até 50 m",IF(J946&lt;=100,"2. De 50 a 100 m",IF(J946&lt;=200,"3. De 100 a 200 m",IF(J946&lt;=300,"4. De 200 a 300 m",IF(J946&lt;=500,"5. De 300 a 500 m","6. De 500 m a 2 km"))))))</f>
        <v>7. Acima de 2 km</v>
      </c>
      <c r="L946" s="26" t="n">
        <v>0</v>
      </c>
      <c r="M946" s="26" t="n">
        <v>0</v>
      </c>
      <c r="N946" s="26" t="n">
        <v>0</v>
      </c>
      <c r="O946" s="26" t="n">
        <v>0</v>
      </c>
      <c r="P946" s="30" t="n">
        <v>-14.5936832</v>
      </c>
      <c r="Q946" s="30" t="n">
        <v>-39.0555229</v>
      </c>
      <c r="R946" s="14" t="inlineStr">
        <is>
          <t>AV. GOVERNADOR ROBERTO SANTOS, S/N, BAIRRO ESPERANÇA, ILHÉUS-BA</t>
        </is>
      </c>
      <c r="S946" s="26">
        <f>IF(A946=A945,0,1)</f>
        <v>0</v>
      </c>
      <c r="T946" s="26">
        <f>IF(COUNTIF($B$4:B946,B946)=1,1,0)</f>
        <v>0</v>
      </c>
    </row>
    <row r="947">
      <c r="A947" s="14" t="inlineStr">
        <is>
          <t>ILHÉUS</t>
        </is>
      </c>
      <c r="B947" s="26" t="n">
        <v>25</v>
      </c>
      <c r="C947" s="26" t="n">
        <v>1570</v>
      </c>
      <c r="D947" s="14" t="inlineStr">
        <is>
          <t>COLÉGIO PROF CARLOS ROBERTO ARLEO BARBOSA (ANTIGO CSU)</t>
        </is>
      </c>
      <c r="E947" s="14" t="inlineStr">
        <is>
          <t>BARRA</t>
        </is>
      </c>
      <c r="F947" s="14" t="inlineStr">
        <is>
          <t>RUA JAZIEL MARTINS - ZONA URBANA</t>
        </is>
      </c>
      <c r="G947" s="27" t="inlineStr">
        <is>
          <t>45658-100</t>
        </is>
      </c>
      <c r="H947" s="15" t="n">
        <v>16</v>
      </c>
      <c r="I947" s="28" t="inlineStr">
        <is>
          <t>NÃO</t>
        </is>
      </c>
      <c r="J947" s="29" t="n">
        <v>447.4</v>
      </c>
      <c r="K947" s="14" t="str">
        <f>IF(J947="","7. Acima de 2 km",IF(J947&lt;=50,"1. Até 50 m",IF(J947&lt;=100,"2. De 50 a 100 m",IF(J947&lt;=200,"3. De 100 a 200 m",IF(J947&lt;=300,"4. De 200 a 300 m",IF(J947&lt;=500,"5. De 300 a 500 m","6. De 500 m a 2 km"))))))</f>
        <v>5. De 300 a 500 m</v>
      </c>
      <c r="L947" s="26" t="n">
        <v>0</v>
      </c>
      <c r="M947" s="26" t="n">
        <v>0</v>
      </c>
      <c r="N947" s="26" t="n">
        <v>0</v>
      </c>
      <c r="O947" s="26" t="n">
        <v>0</v>
      </c>
      <c r="P947" s="30" t="n">
        <v>-14.7788788</v>
      </c>
      <c r="Q947" s="30" t="n">
        <v>-39.060114</v>
      </c>
      <c r="R947" s="14" t="inlineStr">
        <is>
          <t>AV. GOVERNADOR ROBERTO SANTOS, S/N, BAIRRO ESPERANÇA, ILHÉUS-BA</t>
        </is>
      </c>
      <c r="S947" s="26">
        <f>IF(A947=A946,0,1)</f>
        <v>0</v>
      </c>
      <c r="T947" s="26">
        <f>IF(COUNTIF($B$4:B947,B947)=1,1,0)</f>
        <v>0</v>
      </c>
    </row>
    <row r="948">
      <c r="A948" s="14" t="inlineStr">
        <is>
          <t>ILHÉUS</t>
        </is>
      </c>
      <c r="B948" s="26" t="n">
        <v>25</v>
      </c>
      <c r="C948" s="26" t="n">
        <v>1589</v>
      </c>
      <c r="D948" s="14" t="inlineStr">
        <is>
          <t>ESCOLA ODETE SALMA MEDAUAR (ANTIGO PAULO AMÉRICO)</t>
        </is>
      </c>
      <c r="E948" s="14" t="inlineStr">
        <is>
          <t>BARRA</t>
        </is>
      </c>
      <c r="F948" s="14" t="inlineStr">
        <is>
          <t>RUA ENTROCAMENTOS, 1076-PARQUE INFANTIL - ZONA URBANA</t>
        </is>
      </c>
      <c r="G948" s="27" t="inlineStr">
        <is>
          <t>45650-000</t>
        </is>
      </c>
      <c r="H948" s="15" t="n">
        <v>11</v>
      </c>
      <c r="I948" s="28" t="inlineStr">
        <is>
          <t>SIM</t>
        </is>
      </c>
      <c r="J948" s="29" t="n">
        <v>33.2</v>
      </c>
      <c r="K948" s="14" t="str">
        <f>IF(J948="","7. Acima de 2 km",IF(J948&lt;=50,"1. Até 50 m",IF(J948&lt;=100,"2. De 50 a 100 m",IF(J948&lt;=200,"3. De 100 a 200 m",IF(J948&lt;=300,"4. De 200 a 300 m",IF(J948&lt;=500,"5. De 300 a 500 m","6. De 500 m a 2 km"))))))</f>
        <v>1. Até 50 m</v>
      </c>
      <c r="L948" s="26" t="n">
        <v>1</v>
      </c>
      <c r="M948" s="26" t="n">
        <v>1</v>
      </c>
      <c r="N948" s="26" t="n">
        <v>1</v>
      </c>
      <c r="O948" s="26" t="n">
        <v>2</v>
      </c>
      <c r="P948" s="30" t="n">
        <v>-14.7821161</v>
      </c>
      <c r="Q948" s="30" t="n">
        <v>-39.0530032</v>
      </c>
      <c r="R948" s="14" t="inlineStr">
        <is>
          <t>AV. GOVERNADOR ROBERTO SANTOS, S/N, BAIRRO ESPERANÇA, ILHÉUS-BA</t>
        </is>
      </c>
      <c r="S948" s="26">
        <f>IF(A948=A947,0,1)</f>
        <v>0</v>
      </c>
      <c r="T948" s="26">
        <f>IF(COUNTIF($B$4:B948,B948)=1,1,0)</f>
        <v>0</v>
      </c>
    </row>
    <row r="949">
      <c r="A949" s="14" t="inlineStr">
        <is>
          <t>ILHÉUS</t>
        </is>
      </c>
      <c r="B949" s="26" t="n">
        <v>25</v>
      </c>
      <c r="C949" s="26" t="n">
        <v>1597</v>
      </c>
      <c r="D949" s="14" t="inlineStr">
        <is>
          <t>PRÉDIO ESCOLAR DE ARITAGUÁ</t>
        </is>
      </c>
      <c r="E949" s="14" t="inlineStr">
        <is>
          <t>DISTRITO ARITAGUÁ</t>
        </is>
      </c>
      <c r="F949" s="14" t="inlineStr">
        <is>
          <t>DISTRITO ARITAGUA - ZONA RURAL</t>
        </is>
      </c>
      <c r="G949" s="27" t="inlineStr">
        <is>
          <t>45650-000</t>
        </is>
      </c>
      <c r="H949" s="15" t="n">
        <v>4</v>
      </c>
      <c r="I949" s="28" t="inlineStr">
        <is>
          <t>NÃO</t>
        </is>
      </c>
      <c r="J949" s="29" t="n"/>
      <c r="K949" s="14" t="str">
        <f>IF(J949="","7. Acima de 2 km",IF(J949&lt;=50,"1. Até 50 m",IF(J949&lt;=100,"2. De 50 a 100 m",IF(J949&lt;=200,"3. De 100 a 200 m",IF(J949&lt;=300,"4. De 200 a 300 m",IF(J949&lt;=500,"5. De 300 a 500 m","6. De 500 m a 2 km"))))))</f>
        <v>7. Acima de 2 km</v>
      </c>
      <c r="L949" s="26" t="n">
        <v>0</v>
      </c>
      <c r="M949" s="26" t="n">
        <v>0</v>
      </c>
      <c r="N949" s="26" t="n">
        <v>0</v>
      </c>
      <c r="O949" s="26" t="n">
        <v>0</v>
      </c>
      <c r="P949" s="30" t="n">
        <v>-14.693315</v>
      </c>
      <c r="Q949" s="30" t="n">
        <v>-39.0766115</v>
      </c>
      <c r="R949" s="14" t="inlineStr">
        <is>
          <t>AV. GOVERNADOR ROBERTO SANTOS, S/N, BAIRRO ESPERANÇA, ILHÉUS-BA</t>
        </is>
      </c>
      <c r="S949" s="26">
        <f>IF(A949=A948,0,1)</f>
        <v>0</v>
      </c>
      <c r="T949" s="26">
        <f>IF(COUNTIF($B$4:B949,B949)=1,1,0)</f>
        <v>0</v>
      </c>
    </row>
    <row r="950">
      <c r="A950" s="14" t="inlineStr">
        <is>
          <t>ILHÉUS</t>
        </is>
      </c>
      <c r="B950" s="26" t="n">
        <v>25</v>
      </c>
      <c r="C950" s="26" t="n">
        <v>1619</v>
      </c>
      <c r="D950" s="14" t="inlineStr">
        <is>
          <t>ESCOLA MUNICIPAL DO BANCO DO PEDRO (SEDE)</t>
        </is>
      </c>
      <c r="E950" s="14" t="inlineStr">
        <is>
          <t>DISTRITO BANCO DO PEDRO</t>
        </is>
      </c>
      <c r="F950" s="14" t="inlineStr">
        <is>
          <t>RUA SULAMÉRICA S/N</t>
        </is>
      </c>
      <c r="G950" s="27" t="inlineStr">
        <is>
          <t>45650-000</t>
        </is>
      </c>
      <c r="H950" s="15" t="n">
        <v>8</v>
      </c>
      <c r="I950" s="28" t="inlineStr">
        <is>
          <t>SIM</t>
        </is>
      </c>
      <c r="J950" s="29" t="n">
        <v>68.40000000000001</v>
      </c>
      <c r="K950" s="14" t="str">
        <f>IF(J950="","7. Acima de 2 km",IF(J950&lt;=50,"1. Até 50 m",IF(J950&lt;=100,"2. De 50 a 100 m",IF(J950&lt;=200,"3. De 100 a 200 m",IF(J950&lt;=300,"4. De 200 a 300 m",IF(J950&lt;=500,"5. De 300 a 500 m","6. De 500 m a 2 km"))))))</f>
        <v>2. De 50 a 100 m</v>
      </c>
      <c r="L950" s="26" t="n">
        <v>0</v>
      </c>
      <c r="M950" s="26" t="n">
        <v>1</v>
      </c>
      <c r="N950" s="26" t="n">
        <v>1</v>
      </c>
      <c r="O950" s="26" t="n">
        <v>1</v>
      </c>
      <c r="P950" s="30" t="n">
        <v>-14.65583656</v>
      </c>
      <c r="Q950" s="30" t="n">
        <v>-39.26609615</v>
      </c>
      <c r="R950" s="14" t="inlineStr">
        <is>
          <t>AV. GOVERNADOR ROBERTO SANTOS, S/N, BAIRRO ESPERANÇA, ILHÉUS-BA</t>
        </is>
      </c>
      <c r="S950" s="26">
        <f>IF(A950=A949,0,1)</f>
        <v>0</v>
      </c>
      <c r="T950" s="26">
        <f>IF(COUNTIF($B$4:B950,B950)=1,1,0)</f>
        <v>0</v>
      </c>
    </row>
    <row r="951">
      <c r="A951" s="14" t="inlineStr">
        <is>
          <t>ILHÉUS</t>
        </is>
      </c>
      <c r="B951" s="26" t="n">
        <v>25</v>
      </c>
      <c r="C951" s="26" t="n">
        <v>1627</v>
      </c>
      <c r="D951" s="14" t="inlineStr">
        <is>
          <t>COLÉGIO ESTADUAL DO IGUAPE</t>
        </is>
      </c>
      <c r="E951" s="14" t="inlineStr">
        <is>
          <t>IGUAPE</t>
        </is>
      </c>
      <c r="F951" s="14" t="inlineStr">
        <is>
          <t>RUA MARIA LUIZA LAVIGNE, S/N - ZONA URBANA</t>
        </is>
      </c>
      <c r="G951" s="27" t="inlineStr">
        <is>
          <t>45658-350</t>
        </is>
      </c>
      <c r="H951" s="15" t="n">
        <v>6</v>
      </c>
      <c r="I951" s="28" t="inlineStr">
        <is>
          <t>NÃO</t>
        </is>
      </c>
      <c r="J951" s="29" t="n">
        <v>283.9</v>
      </c>
      <c r="K951" s="14" t="str">
        <f>IF(J951="","7. Acima de 2 km",IF(J951&lt;=50,"1. Até 50 m",IF(J951&lt;=100,"2. De 50 a 100 m",IF(J951&lt;=200,"3. De 100 a 200 m",IF(J951&lt;=300,"4. De 200 a 300 m",IF(J951&lt;=500,"5. De 300 a 500 m","6. De 500 m a 2 km"))))))</f>
        <v>4. De 200 a 300 m</v>
      </c>
      <c r="L951" s="26" t="n">
        <v>0</v>
      </c>
      <c r="M951" s="26" t="n">
        <v>0</v>
      </c>
      <c r="N951" s="26" t="n">
        <v>0</v>
      </c>
      <c r="O951" s="26" t="n">
        <v>1</v>
      </c>
      <c r="P951" s="30" t="n">
        <v>-14.7420786</v>
      </c>
      <c r="Q951" s="30" t="n">
        <v>-39.0697152</v>
      </c>
      <c r="R951" s="14" t="inlineStr">
        <is>
          <t>AV. GOVERNADOR ROBERTO SANTOS, S/N, BAIRRO ESPERANÇA, ILHÉUS-BA</t>
        </is>
      </c>
      <c r="S951" s="26">
        <f>IF(A951=A950,0,1)</f>
        <v>0</v>
      </c>
      <c r="T951" s="26">
        <f>IF(COUNTIF($B$4:B951,B951)=1,1,0)</f>
        <v>0</v>
      </c>
    </row>
    <row r="952">
      <c r="A952" s="14" t="inlineStr">
        <is>
          <t>ILHÉUS</t>
        </is>
      </c>
      <c r="B952" s="26" t="n">
        <v>25</v>
      </c>
      <c r="C952" s="26" t="n">
        <v>1635</v>
      </c>
      <c r="D952" s="14" t="inlineStr">
        <is>
          <t>ESCOLA  MUNICIPAL RAIMUNDO CORREA</t>
        </is>
      </c>
      <c r="E952" s="14" t="inlineStr">
        <is>
          <t>DISTRITO PIMENTEIRA</t>
        </is>
      </c>
      <c r="F952" s="14" t="inlineStr">
        <is>
          <t>DISTRITO PIMENTEIRA - ZONA RURAL</t>
        </is>
      </c>
      <c r="G952" s="27" t="inlineStr">
        <is>
          <t>45672-000</t>
        </is>
      </c>
      <c r="H952" s="15" t="n">
        <v>3</v>
      </c>
      <c r="I952" s="28" t="inlineStr">
        <is>
          <t>NÃO</t>
        </is>
      </c>
      <c r="J952" s="29" t="n"/>
      <c r="K952" s="14" t="str">
        <f>IF(J952="","7. Acima de 2 km",IF(J952&lt;=50,"1. Até 50 m",IF(J952&lt;=100,"2. De 50 a 100 m",IF(J952&lt;=200,"3. De 100 a 200 m",IF(J952&lt;=300,"4. De 200 a 300 m",IF(J952&lt;=500,"5. De 300 a 500 m","6. De 500 m a 2 km"))))))</f>
        <v>7. Acima de 2 km</v>
      </c>
      <c r="L952" s="26" t="n">
        <v>0</v>
      </c>
      <c r="M952" s="26" t="n">
        <v>0</v>
      </c>
      <c r="N952" s="26" t="n">
        <v>0</v>
      </c>
      <c r="O952" s="26" t="n">
        <v>0</v>
      </c>
      <c r="P952" s="30" t="n">
        <v>-14.5687014</v>
      </c>
      <c r="Q952" s="30" t="n">
        <v>-39.4412635</v>
      </c>
      <c r="R952" s="14" t="inlineStr">
        <is>
          <t>AV. GOVERNADOR ROBERTO SANTOS, S/N, BAIRRO ESPERANÇA, ILHÉUS-BA</t>
        </is>
      </c>
      <c r="S952" s="26">
        <f>IF(A952=A951,0,1)</f>
        <v>0</v>
      </c>
      <c r="T952" s="26">
        <f>IF(COUNTIF($B$4:B952,B952)=1,1,0)</f>
        <v>0</v>
      </c>
    </row>
    <row r="953">
      <c r="A953" s="14" t="inlineStr">
        <is>
          <t>ILHÉUS</t>
        </is>
      </c>
      <c r="B953" s="26" t="n">
        <v>25</v>
      </c>
      <c r="C953" s="26" t="n">
        <v>1643</v>
      </c>
      <c r="D953" s="14" t="inlineStr">
        <is>
          <t>GRUPO ESCOLAR NOSSA SENHORA DAS NEVES</t>
        </is>
      </c>
      <c r="E953" s="14" t="inlineStr">
        <is>
          <t>DISTRITO DE SÃO JOSÉ</t>
        </is>
      </c>
      <c r="F953" s="14" t="inlineStr">
        <is>
          <t>DISTRITO DE SAO JOSE - ZONA RURAL</t>
        </is>
      </c>
      <c r="G953" s="27" t="inlineStr">
        <is>
          <t>45650-000</t>
        </is>
      </c>
      <c r="H953" s="15" t="n">
        <v>4</v>
      </c>
      <c r="I953" s="28" t="inlineStr">
        <is>
          <t>NÃO</t>
        </is>
      </c>
      <c r="J953" s="29" t="n"/>
      <c r="K953" s="14" t="str">
        <f>IF(J953="","7. Acima de 2 km",IF(J953&lt;=50,"1. Até 50 m",IF(J953&lt;=100,"2. De 50 a 100 m",IF(J953&lt;=200,"3. De 100 a 200 m",IF(J953&lt;=300,"4. De 200 a 300 m",IF(J953&lt;=500,"5. De 300 a 500 m","6. De 500 m a 2 km"))))))</f>
        <v>7. Acima de 2 km</v>
      </c>
      <c r="L953" s="26" t="n">
        <v>0</v>
      </c>
      <c r="M953" s="26" t="n">
        <v>0</v>
      </c>
      <c r="N953" s="26" t="n">
        <v>0</v>
      </c>
      <c r="O953" s="26" t="n">
        <v>0</v>
      </c>
      <c r="P953" s="30" t="n">
        <v>-14.74353386</v>
      </c>
      <c r="Q953" s="30" t="n">
        <v>-39.12791039</v>
      </c>
      <c r="R953" s="14" t="inlineStr">
        <is>
          <t>AV. GOVERNADOR ROBERTO SANTOS, S/N, BAIRRO ESPERANÇA, ILHÉUS-BA</t>
        </is>
      </c>
      <c r="S953" s="26">
        <f>IF(A953=A952,0,1)</f>
        <v>0</v>
      </c>
      <c r="T953" s="26">
        <f>IF(COUNTIF($B$4:B953,B953)=1,1,0)</f>
        <v>0</v>
      </c>
    </row>
    <row r="954">
      <c r="A954" s="14" t="inlineStr">
        <is>
          <t>ILHÉUS</t>
        </is>
      </c>
      <c r="B954" s="26" t="n">
        <v>25</v>
      </c>
      <c r="C954" s="26" t="n">
        <v>1708</v>
      </c>
      <c r="D954" s="14" t="inlineStr">
        <is>
          <t>COLÉGIO IDEAL</t>
        </is>
      </c>
      <c r="E954" s="14" t="inlineStr">
        <is>
          <t>CIDADE NOVA</t>
        </is>
      </c>
      <c r="F954" s="14" t="inlineStr">
        <is>
          <t>AV. SOARES LOPES, S/N - ZONA URBANA</t>
        </is>
      </c>
      <c r="G954" s="27" t="inlineStr">
        <is>
          <t>45652-057</t>
        </is>
      </c>
      <c r="H954" s="15" t="n">
        <v>6</v>
      </c>
      <c r="I954" s="28" t="inlineStr">
        <is>
          <t>NÃO</t>
        </is>
      </c>
      <c r="J954" s="29" t="n">
        <v>136.6</v>
      </c>
      <c r="K954" s="14" t="str">
        <f>IF(J954="","7. Acima de 2 km",IF(J954&lt;=50,"1. Até 50 m",IF(J954&lt;=100,"2. De 50 a 100 m",IF(J954&lt;=200,"3. De 100 a 200 m",IF(J954&lt;=300,"4. De 200 a 300 m",IF(J954&lt;=500,"5. De 300 a 500 m","6. De 500 m a 2 km"))))))</f>
        <v>3. De 100 a 200 m</v>
      </c>
      <c r="L954" s="26" t="n">
        <v>0</v>
      </c>
      <c r="M954" s="26" t="n">
        <v>0</v>
      </c>
      <c r="N954" s="26" t="n">
        <v>1</v>
      </c>
      <c r="O954" s="26" t="n">
        <v>1</v>
      </c>
      <c r="P954" s="30" t="n">
        <v>-14.7925231</v>
      </c>
      <c r="Q954" s="30" t="n">
        <v>-39.0321031</v>
      </c>
      <c r="R954" s="14" t="inlineStr">
        <is>
          <t>AV. GOVERNADOR ROBERTO SANTOS, S/N, BAIRRO ESPERANÇA, ILHÉUS-BA</t>
        </is>
      </c>
      <c r="S954" s="26">
        <f>IF(A954=A953,0,1)</f>
        <v>0</v>
      </c>
      <c r="T954" s="26">
        <f>IF(COUNTIF($B$4:B954,B954)=1,1,0)</f>
        <v>0</v>
      </c>
    </row>
    <row r="955">
      <c r="A955" s="14" t="inlineStr">
        <is>
          <t>ILHÉUS</t>
        </is>
      </c>
      <c r="B955" s="26" t="n">
        <v>25</v>
      </c>
      <c r="C955" s="26" t="n">
        <v>1716</v>
      </c>
      <c r="D955" s="14" t="inlineStr">
        <is>
          <t>ESCOLA MUNICIPAL DO BASÍLIO</t>
        </is>
      </c>
      <c r="E955" s="14" t="inlineStr">
        <is>
          <t>BASÍLIO</t>
        </is>
      </c>
      <c r="F955" s="14" t="inlineStr">
        <is>
          <t>RUA NOSSA SENHORA DE FÁTIMA, S/N - ZONA URBANA</t>
        </is>
      </c>
      <c r="G955" s="27" t="inlineStr">
        <is>
          <t>45658-590</t>
        </is>
      </c>
      <c r="H955" s="15" t="n">
        <v>7</v>
      </c>
      <c r="I955" s="28" t="inlineStr">
        <is>
          <t>NÃO</t>
        </is>
      </c>
      <c r="J955" s="29" t="n">
        <v>339.5</v>
      </c>
      <c r="K955" s="14" t="str">
        <f>IF(J955="","7. Acima de 2 km",IF(J955&lt;=50,"1. Até 50 m",IF(J955&lt;=100,"2. De 50 a 100 m",IF(J955&lt;=200,"3. De 100 a 200 m",IF(J955&lt;=300,"4. De 200 a 300 m",IF(J955&lt;=500,"5. De 300 a 500 m","6. De 500 m a 2 km"))))))</f>
        <v>5. De 300 a 500 m</v>
      </c>
      <c r="L955" s="26" t="n">
        <v>0</v>
      </c>
      <c r="M955" s="26" t="n">
        <v>0</v>
      </c>
      <c r="N955" s="26" t="n">
        <v>0</v>
      </c>
      <c r="O955" s="26" t="n">
        <v>0</v>
      </c>
      <c r="P955" s="30" t="n">
        <v>-14.7920067</v>
      </c>
      <c r="Q955" s="30" t="n">
        <v>-39.053905</v>
      </c>
      <c r="R955" s="14" t="inlineStr">
        <is>
          <t>AV. GOVERNADOR ROBERTO SANTOS, S/N, BAIRRO ESPERANÇA, ILHÉUS-BA</t>
        </is>
      </c>
      <c r="S955" s="26">
        <f>IF(A955=A954,0,1)</f>
        <v>0</v>
      </c>
      <c r="T955" s="26">
        <f>IF(COUNTIF($B$4:B955,B955)=1,1,0)</f>
        <v>0</v>
      </c>
    </row>
    <row r="956">
      <c r="A956" s="14" t="inlineStr">
        <is>
          <t>ILHÉUS</t>
        </is>
      </c>
      <c r="B956" s="26" t="n">
        <v>25</v>
      </c>
      <c r="C956" s="26" t="n">
        <v>1775</v>
      </c>
      <c r="D956" s="14" t="inlineStr">
        <is>
          <t>COLÉGIO FÊNIX</t>
        </is>
      </c>
      <c r="E956" s="14" t="inlineStr">
        <is>
          <t>MALHADO</t>
        </is>
      </c>
      <c r="F956" s="14" t="inlineStr">
        <is>
          <t>AV. ANTÔNIO CARLOS MAGALHÃES, S/N - ZONA URBANA</t>
        </is>
      </c>
      <c r="G956" s="27" t="inlineStr">
        <is>
          <t>45651-620</t>
        </is>
      </c>
      <c r="H956" s="15" t="n">
        <v>8</v>
      </c>
      <c r="I956" s="28" t="inlineStr">
        <is>
          <t>NÃO</t>
        </is>
      </c>
      <c r="J956" s="29" t="n">
        <v>150.5</v>
      </c>
      <c r="K956" s="14" t="str">
        <f>IF(J956="","7. Acima de 2 km",IF(J956&lt;=50,"1. Até 50 m",IF(J956&lt;=100,"2. De 50 a 100 m",IF(J956&lt;=200,"3. De 100 a 200 m",IF(J956&lt;=300,"4. De 200 a 300 m",IF(J956&lt;=500,"5. De 300 a 500 m","6. De 500 m a 2 km"))))))</f>
        <v>3. De 100 a 200 m</v>
      </c>
      <c r="L956" s="26" t="n">
        <v>0</v>
      </c>
      <c r="M956" s="26" t="n">
        <v>0</v>
      </c>
      <c r="N956" s="26" t="n">
        <v>1</v>
      </c>
      <c r="O956" s="26" t="n">
        <v>2</v>
      </c>
      <c r="P956" s="30" t="n">
        <v>-14.7854851</v>
      </c>
      <c r="Q956" s="30" t="n">
        <v>-39.0425627</v>
      </c>
      <c r="R956" s="14" t="inlineStr">
        <is>
          <t>AV. GOVERNADOR ROBERTO SANTOS, S/N, BAIRRO ESPERANÇA, ILHÉUS-BA</t>
        </is>
      </c>
      <c r="S956" s="26">
        <f>IF(A956=A955,0,1)</f>
        <v>0</v>
      </c>
      <c r="T956" s="26">
        <f>IF(COUNTIF($B$4:B956,B956)=1,1,0)</f>
        <v>0</v>
      </c>
    </row>
    <row r="957">
      <c r="A957" s="14" t="inlineStr">
        <is>
          <t>ILHÉUS</t>
        </is>
      </c>
      <c r="B957" s="26" t="n">
        <v>25</v>
      </c>
      <c r="C957" s="26" t="n">
        <v>1813</v>
      </c>
      <c r="D957" s="14" t="inlineStr">
        <is>
          <t>ESCOLA MUNICIPAL DE JUERANA</t>
        </is>
      </c>
      <c r="E957" s="14" t="inlineStr">
        <is>
          <t>POVOADO JUERANA</t>
        </is>
      </c>
      <c r="F957" s="14" t="inlineStr">
        <is>
          <t>VILA JUERANA - ROD ILHÉUS-ITACARÉ , KM 10 - ZONA RURAL</t>
        </is>
      </c>
      <c r="G957" s="27" t="inlineStr">
        <is>
          <t>45658-059</t>
        </is>
      </c>
      <c r="H957" s="15" t="n">
        <v>1</v>
      </c>
      <c r="I957" s="28" t="inlineStr">
        <is>
          <t>NÃO</t>
        </is>
      </c>
      <c r="J957" s="29" t="n"/>
      <c r="K957" s="14" t="str">
        <f>IF(J957="","7. Acima de 2 km",IF(J957&lt;=50,"1. Até 50 m",IF(J957&lt;=100,"2. De 50 a 100 m",IF(J957&lt;=200,"3. De 100 a 200 m",IF(J957&lt;=300,"4. De 200 a 300 m",IF(J957&lt;=500,"5. De 300 a 500 m","6. De 500 m a 2 km"))))))</f>
        <v>7. Acima de 2 km</v>
      </c>
      <c r="L957" s="26" t="n">
        <v>0</v>
      </c>
      <c r="M957" s="26" t="n">
        <v>0</v>
      </c>
      <c r="N957" s="26" t="n">
        <v>0</v>
      </c>
      <c r="O957" s="26" t="n">
        <v>0</v>
      </c>
      <c r="P957" s="30" t="n">
        <v>-14.6695903</v>
      </c>
      <c r="Q957" s="30" t="n">
        <v>-39.0741604</v>
      </c>
      <c r="R957" s="14" t="inlineStr">
        <is>
          <t>AV. GOVERNADOR ROBERTO SANTOS, S/N, BAIRRO ESPERANÇA, ILHÉUS-BA</t>
        </is>
      </c>
      <c r="S957" s="26">
        <f>IF(A957=A956,0,1)</f>
        <v>0</v>
      </c>
      <c r="T957" s="26">
        <f>IF(COUNTIF($B$4:B957,B957)=1,1,0)</f>
        <v>0</v>
      </c>
    </row>
    <row r="958">
      <c r="A958" s="14" t="inlineStr">
        <is>
          <t>ILHÉUS</t>
        </is>
      </c>
      <c r="B958" s="26" t="n">
        <v>25</v>
      </c>
      <c r="C958" s="26" t="n">
        <v>1821</v>
      </c>
      <c r="D958" s="14" t="inlineStr">
        <is>
          <t>ESCOLA DO POVOADO RETIRO</t>
        </is>
      </c>
      <c r="E958" s="14" t="inlineStr">
        <is>
          <t>POVOADO RETIRO</t>
        </is>
      </c>
      <c r="F958" s="14" t="inlineStr">
        <is>
          <t>POVOADO RETIRO - ZONA RURAL</t>
        </is>
      </c>
      <c r="G958" s="27" t="inlineStr">
        <is>
          <t>45658-565</t>
        </is>
      </c>
      <c r="H958" s="15" t="n">
        <v>1</v>
      </c>
      <c r="I958" s="28" t="inlineStr">
        <is>
          <t>NÃO</t>
        </is>
      </c>
      <c r="J958" s="29" t="n"/>
      <c r="K958" s="14" t="str">
        <f>IF(J958="","7. Acima de 2 km",IF(J958&lt;=50,"1. Até 50 m",IF(J958&lt;=100,"2. De 50 a 100 m",IF(J958&lt;=200,"3. De 100 a 200 m",IF(J958&lt;=300,"4. De 200 a 300 m",IF(J958&lt;=500,"5. De 300 a 500 m","6. De 500 m a 2 km"))))))</f>
        <v>7. Acima de 2 km</v>
      </c>
      <c r="L958" s="26" t="n">
        <v>0</v>
      </c>
      <c r="M958" s="26" t="n">
        <v>0</v>
      </c>
      <c r="N958" s="26" t="n">
        <v>0</v>
      </c>
      <c r="O958" s="26" t="n">
        <v>0</v>
      </c>
      <c r="P958" s="30" t="n">
        <v>-14.5873354</v>
      </c>
      <c r="Q958" s="30" t="n">
        <v>-39.0802686</v>
      </c>
      <c r="R958" s="14" t="inlineStr">
        <is>
          <t>AV. GOVERNADOR ROBERTO SANTOS, S/N, BAIRRO ESPERANÇA, ILHÉUS-BA</t>
        </is>
      </c>
      <c r="S958" s="26">
        <f>IF(A958=A957,0,1)</f>
        <v>0</v>
      </c>
      <c r="T958" s="26">
        <f>IF(COUNTIF($B$4:B958,B958)=1,1,0)</f>
        <v>0</v>
      </c>
    </row>
    <row r="959">
      <c r="A959" s="14" t="inlineStr">
        <is>
          <t>ILHÉUS</t>
        </is>
      </c>
      <c r="B959" s="26" t="n">
        <v>25</v>
      </c>
      <c r="C959" s="26" t="n">
        <v>1848</v>
      </c>
      <c r="D959" s="14" t="inlineStr">
        <is>
          <t>SALA ANEXA HUMBERTO CAMPOS (RIBEIRA DAS PEDRAS)</t>
        </is>
      </c>
      <c r="E959" s="14" t="inlineStr">
        <is>
          <t>POVOADO RIBEIRA DAS PEDRAS</t>
        </is>
      </c>
      <c r="F959" s="14" t="inlineStr">
        <is>
          <t>DISTRITO RIBEIRA DAS PEDRAS - ZONA RURAL</t>
        </is>
      </c>
      <c r="G959" s="27" t="inlineStr">
        <is>
          <t>45667-000</t>
        </is>
      </c>
      <c r="H959" s="15" t="n">
        <v>1</v>
      </c>
      <c r="I959" s="28" t="inlineStr">
        <is>
          <t>NÃO</t>
        </is>
      </c>
      <c r="J959" s="29" t="n"/>
      <c r="K959" s="14" t="str">
        <f>IF(J959="","7. Acima de 2 km",IF(J959&lt;=50,"1. Até 50 m",IF(J959&lt;=100,"2. De 50 a 100 m",IF(J959&lt;=200,"3. De 100 a 200 m",IF(J959&lt;=300,"4. De 200 a 300 m",IF(J959&lt;=500,"5. De 300 a 500 m","6. De 500 m a 2 km"))))))</f>
        <v>7. Acima de 2 km</v>
      </c>
      <c r="L959" s="26" t="n">
        <v>0</v>
      </c>
      <c r="M959" s="26" t="n">
        <v>0</v>
      </c>
      <c r="N959" s="26" t="n">
        <v>0</v>
      </c>
      <c r="O959" s="26" t="n">
        <v>0</v>
      </c>
      <c r="P959" s="30" t="n">
        <v>-14.665677</v>
      </c>
      <c r="Q959" s="30" t="n">
        <v>-39.1728762</v>
      </c>
      <c r="R959" s="14" t="inlineStr">
        <is>
          <t>AV. GOVERNADOR ROBERTO SANTOS, S/N, BAIRRO ESPERANÇA, ILHÉUS-BA</t>
        </is>
      </c>
      <c r="S959" s="26">
        <f>IF(A959=A958,0,1)</f>
        <v>0</v>
      </c>
      <c r="T959" s="26">
        <f>IF(COUNTIF($B$4:B959,B959)=1,1,0)</f>
        <v>0</v>
      </c>
    </row>
    <row r="960">
      <c r="A960" s="14" t="inlineStr">
        <is>
          <t>ILHÉUS</t>
        </is>
      </c>
      <c r="B960" s="26" t="n">
        <v>25</v>
      </c>
      <c r="C960" s="26" t="n">
        <v>1856</v>
      </c>
      <c r="D960" s="14" t="inlineStr">
        <is>
          <t>ESCOLA ADVENTISTA DE ILHÉUS</t>
        </is>
      </c>
      <c r="E960" s="14" t="inlineStr">
        <is>
          <t>MALHADO</t>
        </is>
      </c>
      <c r="F960" s="14" t="inlineStr">
        <is>
          <t>AV. ANTÔNIO CARLOS MAGALHÃES, 519</t>
        </is>
      </c>
      <c r="G960" s="27" t="inlineStr">
        <is>
          <t>45651-620</t>
        </is>
      </c>
      <c r="H960" s="15" t="n">
        <v>8</v>
      </c>
      <c r="I960" s="28" t="inlineStr">
        <is>
          <t>NÃO</t>
        </is>
      </c>
      <c r="J960" s="29" t="n">
        <v>143.5</v>
      </c>
      <c r="K960" s="14" t="str">
        <f>IF(J960="","7. Acima de 2 km",IF(J960&lt;=50,"1. Até 50 m",IF(J960&lt;=100,"2. De 50 a 100 m",IF(J960&lt;=200,"3. De 100 a 200 m",IF(J960&lt;=300,"4. De 200 a 300 m",IF(J960&lt;=500,"5. De 300 a 500 m","6. De 500 m a 2 km"))))))</f>
        <v>3. De 100 a 200 m</v>
      </c>
      <c r="L960" s="26" t="n">
        <v>0</v>
      </c>
      <c r="M960" s="26" t="n">
        <v>0</v>
      </c>
      <c r="N960" s="26" t="n">
        <v>1</v>
      </c>
      <c r="O960" s="26" t="n">
        <v>2</v>
      </c>
      <c r="P960" s="30" t="n">
        <v>-14.7856534</v>
      </c>
      <c r="Q960" s="30" t="n">
        <v>-39.0423798</v>
      </c>
      <c r="R960" s="14" t="inlineStr">
        <is>
          <t>AV. GOVERNADOR ROBERTO SANTOS, S/N, BAIRRO ESPERANÇA, ILHÉUS-BA</t>
        </is>
      </c>
      <c r="S960" s="26">
        <f>IF(A960=A959,0,1)</f>
        <v>0</v>
      </c>
      <c r="T960" s="26">
        <f>IF(COUNTIF($B$4:B960,B960)=1,1,0)</f>
        <v>0</v>
      </c>
    </row>
    <row r="961">
      <c r="A961" s="14" t="inlineStr">
        <is>
          <t>ILHÉUS</t>
        </is>
      </c>
      <c r="B961" s="26" t="n">
        <v>26</v>
      </c>
      <c r="C961" s="26" t="n">
        <v>1040</v>
      </c>
      <c r="D961" s="14" t="inlineStr">
        <is>
          <t>ESCOLA MUNICIPAL DO BANCO DA VITORIA</t>
        </is>
      </c>
      <c r="E961" s="14" t="inlineStr">
        <is>
          <t>BANCO DA VITÓRIA</t>
        </is>
      </c>
      <c r="F961" s="14" t="inlineStr">
        <is>
          <t xml:space="preserve">LOTEAMENTO ÁGUA SANTA CLARA S/N - ZONA URBANA BANCO DA VITÓRIA </t>
        </is>
      </c>
      <c r="G961" s="27" t="inlineStr">
        <is>
          <t>45661-244</t>
        </is>
      </c>
      <c r="H961" s="15" t="n">
        <v>6</v>
      </c>
      <c r="I961" s="28" t="inlineStr">
        <is>
          <t>NÃO</t>
        </is>
      </c>
      <c r="J961" s="29" t="n">
        <v>1588.4</v>
      </c>
      <c r="K961" s="14" t="str">
        <f>IF(J961="","7. Acima de 2 km",IF(J961&lt;=50,"1. Até 50 m",IF(J961&lt;=100,"2. De 50 a 100 m",IF(J961&lt;=200,"3. De 100 a 200 m",IF(J961&lt;=300,"4. De 200 a 300 m",IF(J961&lt;=500,"5. De 300 a 500 m","6. De 500 m a 2 km"))))))</f>
        <v>6. De 500 m a 2 km</v>
      </c>
      <c r="L961" s="26" t="n">
        <v>0</v>
      </c>
      <c r="M961" s="26" t="n">
        <v>0</v>
      </c>
      <c r="N961" s="26" t="n">
        <v>0</v>
      </c>
      <c r="O961" s="26" t="n">
        <v>0</v>
      </c>
      <c r="P961" s="30" t="n">
        <v>-14.805602</v>
      </c>
      <c r="Q961" s="30" t="n">
        <v>-39.1405225</v>
      </c>
      <c r="R961" s="14" t="inlineStr">
        <is>
          <t>AV. GOVERNADOR ROBERTO SANTOS, S/N, BAIRRO ESPERANÇA, ILHÉUS-BA</t>
        </is>
      </c>
      <c r="S961" s="26">
        <f>IF(A961=A960,0,1)</f>
        <v>0</v>
      </c>
      <c r="T961" s="26">
        <f>IF(COUNTIF($B$4:B961,B961)=1,1,0)</f>
        <v>1</v>
      </c>
    </row>
    <row r="962">
      <c r="A962" s="14" t="inlineStr">
        <is>
          <t>ILHÉUS</t>
        </is>
      </c>
      <c r="B962" s="26" t="n">
        <v>26</v>
      </c>
      <c r="C962" s="26" t="n">
        <v>1325</v>
      </c>
      <c r="D962" s="14" t="inlineStr">
        <is>
          <t>COLÉGIO DA POLÍCIA MILITAR RÔMULO GALVAO - CIERG</t>
        </is>
      </c>
      <c r="E962" s="14" t="inlineStr">
        <is>
          <t>PONTAL</t>
        </is>
      </c>
      <c r="F962" s="14" t="inlineStr">
        <is>
          <t>RUA EDUARDO BRIGADEIRO GOMES, S/N -  PONTAL - ZONA URBANA</t>
        </is>
      </c>
      <c r="G962" s="27" t="inlineStr">
        <is>
          <t>45654-070</t>
        </is>
      </c>
      <c r="H962" s="15" t="n">
        <v>21</v>
      </c>
      <c r="I962" s="28" t="inlineStr">
        <is>
          <t>NÃO</t>
        </is>
      </c>
      <c r="J962" s="29" t="n">
        <v>736.4</v>
      </c>
      <c r="K962" s="14" t="str">
        <f>IF(J962="","7. Acima de 2 km",IF(J962&lt;=50,"1. Até 50 m",IF(J962&lt;=100,"2. De 50 a 100 m",IF(J962&lt;=200,"3. De 100 a 200 m",IF(J962&lt;=300,"4. De 200 a 300 m",IF(J962&lt;=500,"5. De 300 a 500 m","6. De 500 m a 2 km"))))))</f>
        <v>6. De 500 m a 2 km</v>
      </c>
      <c r="L962" s="26" t="n">
        <v>0</v>
      </c>
      <c r="M962" s="26" t="n">
        <v>0</v>
      </c>
      <c r="N962" s="26" t="n">
        <v>0</v>
      </c>
      <c r="O962" s="26" t="n">
        <v>0</v>
      </c>
      <c r="P962" s="30" t="n">
        <v>-14.8112658</v>
      </c>
      <c r="Q962" s="30" t="n">
        <v>-39.0362069</v>
      </c>
      <c r="R962" s="14" t="inlineStr">
        <is>
          <t>AV. GOVERNADOR ROBERTO SANTOS, S/N, BAIRRO ESPERANÇA, ILHÉUS-BA</t>
        </is>
      </c>
      <c r="S962" s="26">
        <f>IF(A962=A961,0,1)</f>
        <v>0</v>
      </c>
      <c r="T962" s="26">
        <f>IF(COUNTIF($B$4:B962,B962)=1,1,0)</f>
        <v>0</v>
      </c>
    </row>
    <row r="963">
      <c r="A963" s="14" t="inlineStr">
        <is>
          <t>ILHÉUS</t>
        </is>
      </c>
      <c r="B963" s="26" t="n">
        <v>26</v>
      </c>
      <c r="C963" s="26" t="n">
        <v>1341</v>
      </c>
      <c r="D963" s="14" t="inlineStr">
        <is>
          <t>ESCOLA NUCLEADA DE JAPU</t>
        </is>
      </c>
      <c r="E963" s="14" t="inlineStr">
        <is>
          <t>DISTRITO JAPU</t>
        </is>
      </c>
      <c r="F963" s="14" t="inlineStr">
        <is>
          <t>DISTRITO DE JAPU SN - ZONA RURAL</t>
        </is>
      </c>
      <c r="G963" s="27" t="inlineStr">
        <is>
          <t>45650-000</t>
        </is>
      </c>
      <c r="H963" s="15" t="n">
        <v>4</v>
      </c>
      <c r="I963" s="28" t="inlineStr">
        <is>
          <t>NÃO</t>
        </is>
      </c>
      <c r="J963" s="29" t="n"/>
      <c r="K963" s="14" t="str">
        <f>IF(J963="","7. Acima de 2 km",IF(J963&lt;=50,"1. Até 50 m",IF(J963&lt;=100,"2. De 50 a 100 m",IF(J963&lt;=200,"3. De 100 a 200 m",IF(J963&lt;=300,"4. De 200 a 300 m",IF(J963&lt;=500,"5. De 300 a 500 m","6. De 500 m a 2 km"))))))</f>
        <v>7. Acima de 2 km</v>
      </c>
      <c r="L963" s="26" t="n">
        <v>0</v>
      </c>
      <c r="M963" s="26" t="n">
        <v>0</v>
      </c>
      <c r="N963" s="26" t="n">
        <v>0</v>
      </c>
      <c r="O963" s="26" t="n">
        <v>0</v>
      </c>
      <c r="P963" s="30" t="n">
        <v>-14.90053904</v>
      </c>
      <c r="Q963" s="30" t="n">
        <v>-39.17193421</v>
      </c>
      <c r="R963" s="14" t="inlineStr">
        <is>
          <t>AV. GOVERNADOR ROBERTO SANTOS, S/N, BAIRRO ESPERANÇA, ILHÉUS-BA</t>
        </is>
      </c>
      <c r="S963" s="26">
        <f>IF(A963=A962,0,1)</f>
        <v>0</v>
      </c>
      <c r="T963" s="26">
        <f>IF(COUNTIF($B$4:B963,B963)=1,1,0)</f>
        <v>0</v>
      </c>
    </row>
    <row r="964">
      <c r="A964" s="14" t="inlineStr">
        <is>
          <t>ILHÉUS</t>
        </is>
      </c>
      <c r="B964" s="26" t="n">
        <v>26</v>
      </c>
      <c r="C964" s="26" t="n">
        <v>1368</v>
      </c>
      <c r="D964" s="14" t="inlineStr">
        <is>
          <t>ESCOLA MUNICIPAL DO COUTO ANTIGA (ESCOLA NUCLEADA DE COUTO)</t>
        </is>
      </c>
      <c r="E964" s="14" t="inlineStr">
        <is>
          <t>DISTRITO COUTO</t>
        </is>
      </c>
      <c r="F964" s="14" t="inlineStr">
        <is>
          <t>AVENIDA COUTOS, S/N, KM 5 - DISTRITO COUTO SN - ZONA RURAL</t>
        </is>
      </c>
      <c r="G964" s="27" t="inlineStr">
        <is>
          <t>45662-500</t>
        </is>
      </c>
      <c r="H964" s="15" t="n">
        <v>4</v>
      </c>
      <c r="I964" s="28" t="inlineStr">
        <is>
          <t>NÃO</t>
        </is>
      </c>
      <c r="J964" s="29" t="n"/>
      <c r="K964" s="14" t="str">
        <f>IF(J964="","7. Acima de 2 km",IF(J964&lt;=50,"1. Até 50 m",IF(J964&lt;=100,"2. De 50 a 100 m",IF(J964&lt;=200,"3. De 100 a 200 m",IF(J964&lt;=300,"4. De 200 a 300 m",IF(J964&lt;=500,"5. De 300 a 500 m","6. De 500 m a 2 km"))))))</f>
        <v>7. Acima de 2 km</v>
      </c>
      <c r="L964" s="26" t="n">
        <v>0</v>
      </c>
      <c r="M964" s="26" t="n">
        <v>0</v>
      </c>
      <c r="N964" s="26" t="n">
        <v>0</v>
      </c>
      <c r="O964" s="26" t="n">
        <v>0</v>
      </c>
      <c r="P964" s="30" t="n">
        <v>-14.8706973</v>
      </c>
      <c r="Q964" s="30" t="n">
        <v>-39.0516327</v>
      </c>
      <c r="R964" s="14" t="inlineStr">
        <is>
          <t>AV. GOVERNADOR ROBERTO SANTOS, S/N, BAIRRO ESPERANÇA, ILHÉUS-BA</t>
        </is>
      </c>
      <c r="S964" s="26">
        <f>IF(A964=A963,0,1)</f>
        <v>0</v>
      </c>
      <c r="T964" s="26">
        <f>IF(COUNTIF($B$4:B964,B964)=1,1,0)</f>
        <v>0</v>
      </c>
    </row>
    <row r="965">
      <c r="A965" s="14" t="inlineStr">
        <is>
          <t>ILHÉUS</t>
        </is>
      </c>
      <c r="B965" s="26" t="n">
        <v>26</v>
      </c>
      <c r="C965" s="26" t="n">
        <v>1392</v>
      </c>
      <c r="D965" s="14" t="inlineStr">
        <is>
          <t>CRECHE MUNICIPAL DOM EDUARDO ANTIGO GRUPO ESCOLAR DA PROA</t>
        </is>
      </c>
      <c r="E965" s="14" t="inlineStr">
        <is>
          <t>PROA</t>
        </is>
      </c>
      <c r="F965" s="14" t="inlineStr">
        <is>
          <t>RUA OSMUNDO MARQUES S/N - ZONA URBANA</t>
        </is>
      </c>
      <c r="G965" s="27" t="inlineStr">
        <is>
          <t>45650-000</t>
        </is>
      </c>
      <c r="H965" s="15" t="n">
        <v>6</v>
      </c>
      <c r="I965" s="28" t="inlineStr">
        <is>
          <t>NÃO</t>
        </is>
      </c>
      <c r="J965" s="29" t="n">
        <v>134.3</v>
      </c>
      <c r="K965" s="14" t="str">
        <f>IF(J965="","7. Acima de 2 km",IF(J965&lt;=50,"1. Até 50 m",IF(J965&lt;=100,"2. De 50 a 100 m",IF(J965&lt;=200,"3. De 100 a 200 m",IF(J965&lt;=300,"4. De 200 a 300 m",IF(J965&lt;=500,"5. De 300 a 500 m","6. De 500 m a 2 km"))))))</f>
        <v>3. De 100 a 200 m</v>
      </c>
      <c r="L965" s="26" t="n">
        <v>0</v>
      </c>
      <c r="M965" s="26" t="n">
        <v>0</v>
      </c>
      <c r="N965" s="26" t="n">
        <v>1</v>
      </c>
      <c r="O965" s="26" t="n">
        <v>1</v>
      </c>
      <c r="P965" s="30" t="n">
        <v>-14.8193034</v>
      </c>
      <c r="Q965" s="30" t="n">
        <v>-39.0285699</v>
      </c>
      <c r="R965" s="14" t="inlineStr">
        <is>
          <t>AV. GOVERNADOR ROBERTO SANTOS, S/N, BAIRRO ESPERANÇA, ILHÉUS-BA</t>
        </is>
      </c>
      <c r="S965" s="26">
        <f>IF(A965=A964,0,1)</f>
        <v>0</v>
      </c>
      <c r="T965" s="26">
        <f>IF(COUNTIF($B$4:B965,B965)=1,1,0)</f>
        <v>0</v>
      </c>
    </row>
    <row r="966">
      <c r="A966" s="14" t="inlineStr">
        <is>
          <t>ILHÉUS</t>
        </is>
      </c>
      <c r="B966" s="26" t="n">
        <v>26</v>
      </c>
      <c r="C966" s="26" t="n">
        <v>1406</v>
      </c>
      <c r="D966" s="14" t="inlineStr">
        <is>
          <t>ESCOLA MUNICIPAL GISÉLIA SOARES</t>
        </is>
      </c>
      <c r="E966" s="14" t="inlineStr">
        <is>
          <t>BARREIRA</t>
        </is>
      </c>
      <c r="F966" s="14" t="inlineStr">
        <is>
          <t>AV NOSSA SENHORA APARECIDA, S/N - ZONA URBANA</t>
        </is>
      </c>
      <c r="G966" s="27" t="inlineStr">
        <is>
          <t>45650-000</t>
        </is>
      </c>
      <c r="H966" s="15" t="n">
        <v>7</v>
      </c>
      <c r="I966" s="28" t="inlineStr">
        <is>
          <t>NÃO</t>
        </is>
      </c>
      <c r="J966" s="29" t="n">
        <v>476.6</v>
      </c>
      <c r="K966" s="14" t="str">
        <f>IF(J966="","7. Acima de 2 km",IF(J966&lt;=50,"1. Até 50 m",IF(J966&lt;=100,"2. De 50 a 100 m",IF(J966&lt;=200,"3. De 100 a 200 m",IF(J966&lt;=300,"4. De 200 a 300 m",IF(J966&lt;=500,"5. De 300 a 500 m","6. De 500 m a 2 km"))))))</f>
        <v>5. De 300 a 500 m</v>
      </c>
      <c r="L966" s="26" t="n">
        <v>0</v>
      </c>
      <c r="M966" s="26" t="n">
        <v>0</v>
      </c>
      <c r="N966" s="26" t="n">
        <v>0</v>
      </c>
      <c r="O966" s="26" t="n">
        <v>0</v>
      </c>
      <c r="P966" s="30" t="n">
        <v>-14.8252346</v>
      </c>
      <c r="Q966" s="30" t="n">
        <v>-39.0289347</v>
      </c>
      <c r="R966" s="14" t="inlineStr">
        <is>
          <t>AV. GOVERNADOR ROBERTO SANTOS, S/N, BAIRRO ESPERANÇA, ILHÉUS-BA</t>
        </is>
      </c>
      <c r="S966" s="26">
        <f>IF(A966=A965,0,1)</f>
        <v>0</v>
      </c>
      <c r="T966" s="26">
        <f>IF(COUNTIF($B$4:B966,B966)=1,1,0)</f>
        <v>0</v>
      </c>
    </row>
    <row r="967">
      <c r="A967" s="14" t="inlineStr">
        <is>
          <t>ILHÉUS</t>
        </is>
      </c>
      <c r="B967" s="26" t="n">
        <v>26</v>
      </c>
      <c r="C967" s="26" t="n">
        <v>1422</v>
      </c>
      <c r="D967" s="14" t="inlineStr">
        <is>
          <t>UNIVERSIDADE ESTADUAL DE SANTA CRUZ - UESC</t>
        </is>
      </c>
      <c r="E967" s="14" t="inlineStr">
        <is>
          <t>SALOBRINHO</t>
        </is>
      </c>
      <c r="F967" s="14" t="inlineStr">
        <is>
          <t>RODOVIA JORGE AMADO (BR- 415) KM 16  SALOBRINHO- ZONA URBANA</t>
        </is>
      </c>
      <c r="G967" s="27" t="inlineStr">
        <is>
          <t>45662-900</t>
        </is>
      </c>
      <c r="H967" s="15" t="n">
        <v>11</v>
      </c>
      <c r="I967" s="28" t="inlineStr">
        <is>
          <t>SIM</t>
        </is>
      </c>
      <c r="J967" s="29" t="n">
        <v>23.4</v>
      </c>
      <c r="K967" s="14" t="str">
        <f>IF(J967="","7. Acima de 2 km",IF(J967&lt;=50,"1. Até 50 m",IF(J967&lt;=100,"2. De 50 a 100 m",IF(J967&lt;=200,"3. De 100 a 200 m",IF(J967&lt;=300,"4. De 200 a 300 m",IF(J967&lt;=500,"5. De 300 a 500 m","6. De 500 m a 2 km"))))))</f>
        <v>1. Até 50 m</v>
      </c>
      <c r="L967" s="26" t="n">
        <v>1</v>
      </c>
      <c r="M967" s="26" t="n">
        <v>1</v>
      </c>
      <c r="N967" s="26" t="n">
        <v>1</v>
      </c>
      <c r="O967" s="26" t="n">
        <v>1</v>
      </c>
      <c r="P967" s="30" t="n">
        <v>-14.7968589</v>
      </c>
      <c r="Q967" s="30" t="n">
        <v>-39.1723535</v>
      </c>
      <c r="R967" s="14" t="inlineStr">
        <is>
          <t>AV. GOVERNADOR ROBERTO SANTOS, S/N, BAIRRO ESPERANÇA, ILHÉUS-BA</t>
        </is>
      </c>
      <c r="S967" s="26">
        <f>IF(A967=A966,0,1)</f>
        <v>0</v>
      </c>
      <c r="T967" s="26">
        <f>IF(COUNTIF($B$4:B967,B967)=1,1,0)</f>
        <v>0</v>
      </c>
    </row>
    <row r="968">
      <c r="A968" s="14" t="inlineStr">
        <is>
          <t>ILHÉUS</t>
        </is>
      </c>
      <c r="B968" s="26" t="n">
        <v>26</v>
      </c>
      <c r="C968" s="26" t="n">
        <v>1465</v>
      </c>
      <c r="D968" s="14" t="inlineStr">
        <is>
          <t>CAIC DARCY RIBEIRO</t>
        </is>
      </c>
      <c r="E968" s="14" t="inlineStr">
        <is>
          <t>HERNANI SÁ</t>
        </is>
      </c>
      <c r="F968" s="14" t="inlineStr">
        <is>
          <t>EIXO PRINCIPAL, S/N - ZONA URBANA</t>
        </is>
      </c>
      <c r="G968" s="27" t="inlineStr">
        <is>
          <t>45650-000</t>
        </is>
      </c>
      <c r="H968" s="15" t="n">
        <v>1</v>
      </c>
      <c r="I968" s="28" t="inlineStr">
        <is>
          <t>SIM</t>
        </is>
      </c>
      <c r="J968" s="29" t="n">
        <v>50.9</v>
      </c>
      <c r="K968" s="14" t="str">
        <f>IF(J968="","7. Acima de 2 km",IF(J968&lt;=50,"1. Até 50 m",IF(J968&lt;=100,"2. De 50 a 100 m",IF(J968&lt;=200,"3. De 100 a 200 m",IF(J968&lt;=300,"4. De 200 a 300 m",IF(J968&lt;=500,"5. De 300 a 500 m","6. De 500 m a 2 km"))))))</f>
        <v>2. De 50 a 100 m</v>
      </c>
      <c r="L968" s="26" t="n">
        <v>0</v>
      </c>
      <c r="M968" s="26" t="n">
        <v>1</v>
      </c>
      <c r="N968" s="26" t="n">
        <v>1</v>
      </c>
      <c r="O968" s="26" t="n">
        <v>1</v>
      </c>
      <c r="P968" s="30" t="n">
        <v>-14.82703026</v>
      </c>
      <c r="Q968" s="30" t="n">
        <v>-39.03251906</v>
      </c>
      <c r="R968" s="14" t="inlineStr">
        <is>
          <t>AV. GOVERNADOR ROBERTO SANTOS, S/N, BAIRRO ESPERANÇA, ILHÉUS-BA</t>
        </is>
      </c>
      <c r="S968" s="26">
        <f>IF(A968=A967,0,1)</f>
        <v>0</v>
      </c>
      <c r="T968" s="26">
        <f>IF(COUNTIF($B$4:B968,B968)=1,1,0)</f>
        <v>0</v>
      </c>
    </row>
    <row r="969">
      <c r="A969" s="14" t="inlineStr">
        <is>
          <t>ILHÉUS</t>
        </is>
      </c>
      <c r="B969" s="26" t="n">
        <v>26</v>
      </c>
      <c r="C969" s="26" t="n">
        <v>1511</v>
      </c>
      <c r="D969" s="14" t="inlineStr">
        <is>
          <t>ESCOLA MUNICIPAL DR. NELSON DOLIVEIRA</t>
        </is>
      </c>
      <c r="E969" s="14" t="inlineStr">
        <is>
          <t>NELSON COSTA</t>
        </is>
      </c>
      <c r="F969" s="14" t="inlineStr">
        <is>
          <t>RUA GARDÊNIA, S/N - NELSON COSTA - ZONA URBANA</t>
        </is>
      </c>
      <c r="G969" s="27" t="inlineStr">
        <is>
          <t>45656-240</t>
        </is>
      </c>
      <c r="H969" s="15" t="n">
        <v>8</v>
      </c>
      <c r="I969" s="28" t="inlineStr">
        <is>
          <t>NÃO</t>
        </is>
      </c>
      <c r="J969" s="29" t="n">
        <v>443.8</v>
      </c>
      <c r="K969" s="14" t="str">
        <f>IF(J969="","7. Acima de 2 km",IF(J969&lt;=50,"1. Até 50 m",IF(J969&lt;=100,"2. De 50 a 100 m",IF(J969&lt;=200,"3. De 100 a 200 m",IF(J969&lt;=300,"4. De 200 a 300 m",IF(J969&lt;=500,"5. De 300 a 500 m","6. De 500 m a 2 km"))))))</f>
        <v>5. De 300 a 500 m</v>
      </c>
      <c r="L969" s="26" t="n">
        <v>0</v>
      </c>
      <c r="M969" s="26" t="n">
        <v>0</v>
      </c>
      <c r="N969" s="26" t="n">
        <v>0</v>
      </c>
      <c r="O969" s="26" t="n">
        <v>0</v>
      </c>
      <c r="P969" s="30" t="n">
        <v>-14.8204633</v>
      </c>
      <c r="Q969" s="30" t="n">
        <v>-39.0333643</v>
      </c>
      <c r="R969" s="14" t="inlineStr">
        <is>
          <t>AV. GOVERNADOR ROBERTO SANTOS, S/N, BAIRRO ESPERANÇA, ILHÉUS-BA</t>
        </is>
      </c>
      <c r="S969" s="26">
        <f>IF(A969=A968,0,1)</f>
        <v>0</v>
      </c>
      <c r="T969" s="26">
        <f>IF(COUNTIF($B$4:B969,B969)=1,1,0)</f>
        <v>0</v>
      </c>
    </row>
    <row r="970">
      <c r="A970" s="14" t="inlineStr">
        <is>
          <t>ILHÉUS</t>
        </is>
      </c>
      <c r="B970" s="26" t="n">
        <v>26</v>
      </c>
      <c r="C970" s="26" t="n">
        <v>1570</v>
      </c>
      <c r="D970" s="14" t="inlineStr">
        <is>
          <t>ESCOLA MUNICIPAL THEMISTOCLES ANDRADE</t>
        </is>
      </c>
      <c r="E970" s="14" t="inlineStr">
        <is>
          <t>TEOTÔNIO VILELA</t>
        </is>
      </c>
      <c r="F970" s="14" t="inlineStr">
        <is>
          <t>RUA SANTA LUZIA, S/N - ZONA URBANA</t>
        </is>
      </c>
      <c r="G970" s="27" t="inlineStr">
        <is>
          <t>45650-000</t>
        </is>
      </c>
      <c r="H970" s="15" t="n">
        <v>9</v>
      </c>
      <c r="I970" s="28" t="inlineStr">
        <is>
          <t>NÃO</t>
        </is>
      </c>
      <c r="J970" s="29" t="n">
        <v>185.2</v>
      </c>
      <c r="K970" s="14" t="str">
        <f>IF(J970="","7. Acima de 2 km",IF(J970&lt;=50,"1. Até 50 m",IF(J970&lt;=100,"2. De 50 a 100 m",IF(J970&lt;=200,"3. De 100 a 200 m",IF(J970&lt;=300,"4. De 200 a 300 m",IF(J970&lt;=500,"5. De 300 a 500 m","6. De 500 m a 2 km"))))))</f>
        <v>3. De 100 a 200 m</v>
      </c>
      <c r="L970" s="26" t="n">
        <v>0</v>
      </c>
      <c r="M970" s="26" t="n">
        <v>0</v>
      </c>
      <c r="N970" s="26" t="n">
        <v>1</v>
      </c>
      <c r="O970" s="26" t="n">
        <v>1</v>
      </c>
      <c r="P970" s="30" t="n">
        <v>-14.8064133</v>
      </c>
      <c r="Q970" s="30" t="n">
        <v>-39.0611559</v>
      </c>
      <c r="R970" s="14" t="inlineStr">
        <is>
          <t>AV. GOVERNADOR ROBERTO SANTOS, S/N, BAIRRO ESPERANÇA, ILHÉUS-BA</t>
        </is>
      </c>
      <c r="S970" s="26">
        <f>IF(A970=A969,0,1)</f>
        <v>0</v>
      </c>
      <c r="T970" s="26">
        <f>IF(COUNTIF($B$4:B970,B970)=1,1,0)</f>
        <v>0</v>
      </c>
    </row>
    <row r="971">
      <c r="A971" s="14" t="inlineStr">
        <is>
          <t>ILHÉUS</t>
        </is>
      </c>
      <c r="B971" s="26" t="n">
        <v>26</v>
      </c>
      <c r="C971" s="26" t="n">
        <v>1589</v>
      </c>
      <c r="D971" s="14" t="inlineStr">
        <is>
          <t>COLÉGIO NOSSA SENHORA DA VITÓRIA</t>
        </is>
      </c>
      <c r="E971" s="14" t="inlineStr">
        <is>
          <t>CONQUISTA</t>
        </is>
      </c>
      <c r="F971" s="14" t="inlineStr">
        <is>
          <t>AV LUIZ VIANA FILHO S/N - ZONA URBANA</t>
        </is>
      </c>
      <c r="G971" s="27" t="inlineStr">
        <is>
          <t>45650-000</t>
        </is>
      </c>
      <c r="H971" s="15" t="n">
        <v>14</v>
      </c>
      <c r="I971" s="28" t="inlineStr">
        <is>
          <t>NÃO</t>
        </is>
      </c>
      <c r="J971" s="29" t="n">
        <v>372</v>
      </c>
      <c r="K971" s="14" t="str">
        <f>IF(J971="","7. Acima de 2 km",IF(J971&lt;=50,"1. Até 50 m",IF(J971&lt;=100,"2. De 50 a 100 m",IF(J971&lt;=200,"3. De 100 a 200 m",IF(J971&lt;=300,"4. De 200 a 300 m",IF(J971&lt;=500,"5. De 300 a 500 m","6. De 500 m a 2 km"))))))</f>
        <v>5. De 300 a 500 m</v>
      </c>
      <c r="L971" s="26" t="n">
        <v>0</v>
      </c>
      <c r="M971" s="26" t="n">
        <v>0</v>
      </c>
      <c r="N971" s="26" t="n">
        <v>0</v>
      </c>
      <c r="O971" s="26" t="n">
        <v>0</v>
      </c>
      <c r="P971" s="30" t="n">
        <v>-14.796092</v>
      </c>
      <c r="Q971" s="30" t="n">
        <v>-39.04582</v>
      </c>
      <c r="R971" s="14" t="inlineStr">
        <is>
          <t>AV. GOVERNADOR ROBERTO SANTOS, S/N, BAIRRO ESPERANÇA, ILHÉUS-BA</t>
        </is>
      </c>
      <c r="S971" s="26">
        <f>IF(A971=A970,0,1)</f>
        <v>0</v>
      </c>
      <c r="T971" s="26">
        <f>IF(COUNTIF($B$4:B971,B971)=1,1,0)</f>
        <v>0</v>
      </c>
    </row>
    <row r="972">
      <c r="A972" s="14" t="inlineStr">
        <is>
          <t>ILHÉUS</t>
        </is>
      </c>
      <c r="B972" s="26" t="n">
        <v>26</v>
      </c>
      <c r="C972" s="26" t="n">
        <v>1597</v>
      </c>
      <c r="D972" s="14" t="inlineStr">
        <is>
          <t>ESCOLA MUNICIPAL ANTÔNIO SÁ PEREIRA ANTIGO (GRUPO ESCOLAR SÁ PEREIRA)</t>
        </is>
      </c>
      <c r="E972" s="14" t="inlineStr">
        <is>
          <t>CONQUISTA</t>
        </is>
      </c>
      <c r="F972" s="14" t="inlineStr">
        <is>
          <t>RUA AVELINO FERNANDES S/N - ZONA URBANA</t>
        </is>
      </c>
      <c r="G972" s="27" t="inlineStr">
        <is>
          <t>45650-080</t>
        </is>
      </c>
      <c r="H972" s="15" t="n">
        <v>12</v>
      </c>
      <c r="I972" s="28" t="inlineStr">
        <is>
          <t>NÃO</t>
        </is>
      </c>
      <c r="J972" s="29" t="n">
        <v>120.8</v>
      </c>
      <c r="K972" s="14" t="str">
        <f>IF(J972="","7. Acima de 2 km",IF(J972&lt;=50,"1. Até 50 m",IF(J972&lt;=100,"2. De 50 a 100 m",IF(J972&lt;=200,"3. De 100 a 200 m",IF(J972&lt;=300,"4. De 200 a 300 m",IF(J972&lt;=500,"5. De 300 a 500 m","6. De 500 m a 2 km"))))))</f>
        <v>3. De 100 a 200 m</v>
      </c>
      <c r="L972" s="26" t="n">
        <v>0</v>
      </c>
      <c r="M972" s="26" t="n">
        <v>0</v>
      </c>
      <c r="N972" s="26" t="n">
        <v>1</v>
      </c>
      <c r="O972" s="26" t="n">
        <v>1</v>
      </c>
      <c r="P972" s="30" t="n">
        <v>-14.7987538</v>
      </c>
      <c r="Q972" s="30" t="n">
        <v>-39.0437686</v>
      </c>
      <c r="R972" s="14" t="inlineStr">
        <is>
          <t>AV. GOVERNADOR ROBERTO SANTOS, S/N, BAIRRO ESPERANÇA, ILHÉUS-BA</t>
        </is>
      </c>
      <c r="S972" s="26">
        <f>IF(A972=A971,0,1)</f>
        <v>0</v>
      </c>
      <c r="T972" s="26">
        <f>IF(COUNTIF($B$4:B972,B972)=1,1,0)</f>
        <v>0</v>
      </c>
    </row>
    <row r="973">
      <c r="A973" s="14" t="inlineStr">
        <is>
          <t>ILHÉUS</t>
        </is>
      </c>
      <c r="B973" s="26" t="n">
        <v>26</v>
      </c>
      <c r="C973" s="26" t="n">
        <v>1600</v>
      </c>
      <c r="D973" s="14" t="inlineStr">
        <is>
          <t>CEMIT LITORAL SUL ANTIGO (GRUPO ESCOLAR EDUARDO CATALÃO)</t>
        </is>
      </c>
      <c r="E973" s="14" t="inlineStr">
        <is>
          <t>CENTRO</t>
        </is>
      </c>
      <c r="F973" s="14" t="inlineStr">
        <is>
          <t>RUA SANTARÉM, S/N AV. ITABUNA - ZONA URBANA</t>
        </is>
      </c>
      <c r="G973" s="27" t="inlineStr">
        <is>
          <t>45650-700</t>
        </is>
      </c>
      <c r="H973" s="15" t="n">
        <v>4</v>
      </c>
      <c r="I973" s="28" t="inlineStr">
        <is>
          <t>NÃO</t>
        </is>
      </c>
      <c r="J973" s="29" t="n">
        <v>420.2</v>
      </c>
      <c r="K973" s="14" t="str">
        <f>IF(J973="","7. Acima de 2 km",IF(J973&lt;=50,"1. Até 50 m",IF(J973&lt;=100,"2. De 50 a 100 m",IF(J973&lt;=200,"3. De 100 a 200 m",IF(J973&lt;=300,"4. De 200 a 300 m",IF(J973&lt;=500,"5. De 300 a 500 m","6. De 500 m a 2 km"))))))</f>
        <v>5. De 300 a 500 m</v>
      </c>
      <c r="L973" s="26" t="n">
        <v>0</v>
      </c>
      <c r="M973" s="26" t="n">
        <v>0</v>
      </c>
      <c r="N973" s="26" t="n">
        <v>0</v>
      </c>
      <c r="O973" s="26" t="n">
        <v>0</v>
      </c>
      <c r="P973" s="30" t="n">
        <v>-14.7920008</v>
      </c>
      <c r="Q973" s="30" t="n">
        <v>-39.0411854</v>
      </c>
      <c r="R973" s="14" t="inlineStr">
        <is>
          <t>AV. GOVERNADOR ROBERTO SANTOS, S/N, BAIRRO ESPERANÇA, ILHÉUS-BA</t>
        </is>
      </c>
      <c r="S973" s="26">
        <f>IF(A973=A972,0,1)</f>
        <v>0</v>
      </c>
      <c r="T973" s="26">
        <f>IF(COUNTIF($B$4:B973,B973)=1,1,0)</f>
        <v>0</v>
      </c>
    </row>
    <row r="974">
      <c r="A974" s="14" t="inlineStr">
        <is>
          <t>ILHÉUS</t>
        </is>
      </c>
      <c r="B974" s="26" t="n">
        <v>26</v>
      </c>
      <c r="C974" s="26" t="n">
        <v>1619</v>
      </c>
      <c r="D974" s="14" t="inlineStr">
        <is>
          <t xml:space="preserve">ESCOLA MUNICIPAL PEQUENO PRÍNCIPE </t>
        </is>
      </c>
      <c r="E974" s="14" t="inlineStr">
        <is>
          <t>CONQUISTA</t>
        </is>
      </c>
      <c r="F974" s="14" t="inlineStr">
        <is>
          <t xml:space="preserve">AV. PAULISTA, S/N  ZONA URBANA </t>
        </is>
      </c>
      <c r="G974" s="27" t="inlineStr">
        <is>
          <t>45650-210</t>
        </is>
      </c>
      <c r="H974" s="15" t="n">
        <v>4</v>
      </c>
      <c r="I974" s="28" t="inlineStr">
        <is>
          <t>NÃO</t>
        </is>
      </c>
      <c r="J974" s="29" t="n">
        <v>300</v>
      </c>
      <c r="K974" s="14" t="str">
        <f>IF(J974="","7. Acima de 2 km",IF(J974&lt;=50,"1. Até 50 m",IF(J974&lt;=100,"2. De 50 a 100 m",IF(J974&lt;=200,"3. De 100 a 200 m",IF(J974&lt;=300,"4. De 200 a 300 m",IF(J974&lt;=500,"5. De 300 a 500 m","6. De 500 m a 2 km"))))))</f>
        <v>4. De 200 a 300 m</v>
      </c>
      <c r="L974" s="26" t="n">
        <v>0</v>
      </c>
      <c r="M974" s="26" t="n">
        <v>0</v>
      </c>
      <c r="N974" s="26" t="n">
        <v>0</v>
      </c>
      <c r="O974" s="26" t="n">
        <v>0</v>
      </c>
      <c r="P974" s="30" t="n">
        <v>-14.796259</v>
      </c>
      <c r="Q974" s="30" t="n">
        <v>-39.0451108</v>
      </c>
      <c r="R974" s="14" t="inlineStr">
        <is>
          <t>AV. GOVERNADOR ROBERTO SANTOS, S/N, BAIRRO ESPERANÇA, ILHÉUS-BA</t>
        </is>
      </c>
      <c r="S974" s="26">
        <f>IF(A974=A973,0,1)</f>
        <v>0</v>
      </c>
      <c r="T974" s="26">
        <f>IF(COUNTIF($B$4:B974,B974)=1,1,0)</f>
        <v>0</v>
      </c>
    </row>
    <row r="975">
      <c r="A975" s="14" t="inlineStr">
        <is>
          <t>ILHÉUS</t>
        </is>
      </c>
      <c r="B975" s="26" t="n">
        <v>26</v>
      </c>
      <c r="C975" s="26" t="n">
        <v>1635</v>
      </c>
      <c r="D975" s="14" t="inlineStr">
        <is>
          <t>ESCOLA MUNICIPAL PROFESSOR PAULO FREIRE</t>
        </is>
      </c>
      <c r="E975" s="14" t="inlineStr">
        <is>
          <t>TEOTÔNIO VILELA</t>
        </is>
      </c>
      <c r="F975" s="14" t="inlineStr">
        <is>
          <t>RUA PRIMAVERA 10 - ZONA URBANA</t>
        </is>
      </c>
      <c r="G975" s="27" t="inlineStr">
        <is>
          <t>45650-000</t>
        </is>
      </c>
      <c r="H975" s="15" t="n">
        <v>13</v>
      </c>
      <c r="I975" s="28" t="inlineStr">
        <is>
          <t>NÃO</t>
        </is>
      </c>
      <c r="J975" s="29" t="n">
        <v>149.3</v>
      </c>
      <c r="K975" s="14" t="str">
        <f>IF(J975="","7. Acima de 2 km",IF(J975&lt;=50,"1. Até 50 m",IF(J975&lt;=100,"2. De 50 a 100 m",IF(J975&lt;=200,"3. De 100 a 200 m",IF(J975&lt;=300,"4. De 200 a 300 m",IF(J975&lt;=500,"5. De 300 a 500 m","6. De 500 m a 2 km"))))))</f>
        <v>3. De 100 a 200 m</v>
      </c>
      <c r="L975" s="26" t="n">
        <v>0</v>
      </c>
      <c r="M975" s="26" t="n">
        <v>0</v>
      </c>
      <c r="N975" s="26" t="n">
        <v>1</v>
      </c>
      <c r="O975" s="26" t="n">
        <v>1</v>
      </c>
      <c r="P975" s="30" t="n">
        <v>-14.8064399</v>
      </c>
      <c r="Q975" s="30" t="n">
        <v>-39.0604905</v>
      </c>
      <c r="R975" s="14" t="inlineStr">
        <is>
          <t>AV. GOVERNADOR ROBERTO SANTOS, S/N, BAIRRO ESPERANÇA, ILHÉUS-BA</t>
        </is>
      </c>
      <c r="S975" s="26">
        <f>IF(A975=A974,0,1)</f>
        <v>0</v>
      </c>
      <c r="T975" s="26">
        <f>IF(COUNTIF($B$4:B975,B975)=1,1,0)</f>
        <v>0</v>
      </c>
    </row>
    <row r="976">
      <c r="A976" s="14" t="inlineStr">
        <is>
          <t>ILHÉUS</t>
        </is>
      </c>
      <c r="B976" s="26" t="n">
        <v>26</v>
      </c>
      <c r="C976" s="26" t="n">
        <v>1643</v>
      </c>
      <c r="D976" s="14" t="inlineStr">
        <is>
          <t>ESCOLA MUNICIPAL PROFESSOR OSVALDO RAMOS</t>
        </is>
      </c>
      <c r="E976" s="14" t="inlineStr">
        <is>
          <t>CENTRO</t>
        </is>
      </c>
      <c r="F976" s="14" t="inlineStr">
        <is>
          <t>RUA 31 DE MARÇO, S/N, AV. ITABUNA - ZONA URBANA</t>
        </is>
      </c>
      <c r="G976" s="27" t="inlineStr">
        <is>
          <t>45650-330</t>
        </is>
      </c>
      <c r="H976" s="15" t="n">
        <v>6</v>
      </c>
      <c r="I976" s="28" t="inlineStr">
        <is>
          <t>NÃO</t>
        </is>
      </c>
      <c r="J976" s="29" t="n">
        <v>284.3</v>
      </c>
      <c r="K976" s="14" t="str">
        <f>IF(J976="","7. Acima de 2 km",IF(J976&lt;=50,"1. Até 50 m",IF(J976&lt;=100,"2. De 50 a 100 m",IF(J976&lt;=200,"3. De 100 a 200 m",IF(J976&lt;=300,"4. De 200 a 300 m",IF(J976&lt;=500,"5. De 300 a 500 m","6. De 500 m a 2 km"))))))</f>
        <v>4. De 200 a 300 m</v>
      </c>
      <c r="L976" s="26" t="n">
        <v>0</v>
      </c>
      <c r="M976" s="26" t="n">
        <v>0</v>
      </c>
      <c r="N976" s="26" t="n">
        <v>0</v>
      </c>
      <c r="O976" s="26" t="n">
        <v>1</v>
      </c>
      <c r="P976" s="30" t="n">
        <v>-14.7940387</v>
      </c>
      <c r="Q976" s="30" t="n">
        <v>-39.0427114</v>
      </c>
      <c r="R976" s="14" t="inlineStr">
        <is>
          <t>AV. GOVERNADOR ROBERTO SANTOS, S/N, BAIRRO ESPERANÇA, ILHÉUS-BA</t>
        </is>
      </c>
      <c r="S976" s="26">
        <f>IF(A976=A975,0,1)</f>
        <v>0</v>
      </c>
      <c r="T976" s="26">
        <f>IF(COUNTIF($B$4:B976,B976)=1,1,0)</f>
        <v>0</v>
      </c>
    </row>
    <row r="977">
      <c r="A977" s="14" t="inlineStr">
        <is>
          <t>ILHÉUS</t>
        </is>
      </c>
      <c r="B977" s="26" t="n">
        <v>26</v>
      </c>
      <c r="C977" s="26" t="n">
        <v>1651</v>
      </c>
      <c r="D977" s="14" t="inlineStr">
        <is>
          <t>GRUPO ESCOLAR D. EDUARDO</t>
        </is>
      </c>
      <c r="E977" s="14" t="inlineStr">
        <is>
          <t>CENTRO</t>
        </is>
      </c>
      <c r="F977" s="14" t="inlineStr">
        <is>
          <t>AV PRINCESA ISABEL S/N - ZONA URBANA</t>
        </is>
      </c>
      <c r="G977" s="27" t="inlineStr">
        <is>
          <t>45653-660</t>
        </is>
      </c>
      <c r="H977" s="15" t="n">
        <v>6</v>
      </c>
      <c r="I977" s="28" t="inlineStr">
        <is>
          <t>NÃO</t>
        </is>
      </c>
      <c r="J977" s="29" t="n">
        <v>408.1</v>
      </c>
      <c r="K977" s="14" t="str">
        <f>IF(J977="","7. Acima de 2 km",IF(J977&lt;=50,"1. Até 50 m",IF(J977&lt;=100,"2. De 50 a 100 m",IF(J977&lt;=200,"3. De 100 a 200 m",IF(J977&lt;=300,"4. De 200 a 300 m",IF(J977&lt;=500,"5. De 300 a 500 m","6. De 500 m a 2 km"))))))</f>
        <v>5. De 300 a 500 m</v>
      </c>
      <c r="L977" s="26" t="n">
        <v>0</v>
      </c>
      <c r="M977" s="26" t="n">
        <v>0</v>
      </c>
      <c r="N977" s="26" t="n">
        <v>0</v>
      </c>
      <c r="O977" s="26" t="n">
        <v>0</v>
      </c>
      <c r="P977" s="30" t="n">
        <v>-14.8000756</v>
      </c>
      <c r="Q977" s="30" t="n">
        <v>-39.0460938</v>
      </c>
      <c r="R977" s="14" t="inlineStr">
        <is>
          <t>AV. GOVERNADOR ROBERTO SANTOS, S/N, BAIRRO ESPERANÇA, ILHÉUS-BA</t>
        </is>
      </c>
      <c r="S977" s="26">
        <f>IF(A977=A976,0,1)</f>
        <v>0</v>
      </c>
      <c r="T977" s="26">
        <f>IF(COUNTIF($B$4:B977,B977)=1,1,0)</f>
        <v>0</v>
      </c>
    </row>
    <row r="978">
      <c r="A978" s="14" t="inlineStr">
        <is>
          <t>ILHÉUS</t>
        </is>
      </c>
      <c r="B978" s="26" t="n">
        <v>26</v>
      </c>
      <c r="C978" s="26" t="n">
        <v>1660</v>
      </c>
      <c r="D978" s="14" t="inlineStr">
        <is>
          <t>ESCOLA MUNICIPAL PRINCESA ISABEL</t>
        </is>
      </c>
      <c r="E978" s="14" t="inlineStr">
        <is>
          <t>CENTRO</t>
        </is>
      </c>
      <c r="F978" s="14" t="inlineStr">
        <is>
          <t>AV PRINCESA ISABEL 1490 - ZONA URBANA</t>
        </is>
      </c>
      <c r="G978" s="27" t="inlineStr">
        <is>
          <t>45650-000</t>
        </is>
      </c>
      <c r="H978" s="15" t="n">
        <v>7</v>
      </c>
      <c r="I978" s="28" t="inlineStr">
        <is>
          <t>NÃO</t>
        </is>
      </c>
      <c r="J978" s="29" t="n">
        <v>583.7</v>
      </c>
      <c r="K978" s="14" t="str">
        <f>IF(J978="","7. Acima de 2 km",IF(J978&lt;=50,"1. Até 50 m",IF(J978&lt;=100,"2. De 50 a 100 m",IF(J978&lt;=200,"3. De 100 a 200 m",IF(J978&lt;=300,"4. De 200 a 300 m",IF(J978&lt;=500,"5. De 300 a 500 m","6. De 500 m a 2 km"))))))</f>
        <v>6. De 500 m a 2 km</v>
      </c>
      <c r="L978" s="26" t="n">
        <v>0</v>
      </c>
      <c r="M978" s="26" t="n">
        <v>0</v>
      </c>
      <c r="N978" s="26" t="n">
        <v>0</v>
      </c>
      <c r="O978" s="26" t="n">
        <v>0</v>
      </c>
      <c r="P978" s="30" t="n">
        <v>-14.7985101</v>
      </c>
      <c r="Q978" s="30" t="n">
        <v>-39.0506233</v>
      </c>
      <c r="R978" s="14" t="inlineStr">
        <is>
          <t>AV. GOVERNADOR ROBERTO SANTOS, S/N, BAIRRO ESPERANÇA, ILHÉUS-BA</t>
        </is>
      </c>
      <c r="S978" s="26">
        <f>IF(A978=A977,0,1)</f>
        <v>0</v>
      </c>
      <c r="T978" s="26">
        <f>IF(COUNTIF($B$4:B978,B978)=1,1,0)</f>
        <v>0</v>
      </c>
    </row>
    <row r="979">
      <c r="A979" s="14" t="inlineStr">
        <is>
          <t>ILHÉUS</t>
        </is>
      </c>
      <c r="B979" s="26" t="n">
        <v>26</v>
      </c>
      <c r="C979" s="26" t="n">
        <v>1708</v>
      </c>
      <c r="D979" s="14" t="inlineStr">
        <is>
          <t>ESCOLA MUNICIPAL VILA NAZARÉ</t>
        </is>
      </c>
      <c r="E979" s="14" t="inlineStr">
        <is>
          <t>TEOTÔNIO VILELA</t>
        </is>
      </c>
      <c r="F979" s="14" t="inlineStr">
        <is>
          <t>RODOVIA ILHÉUS / ITABUNA - KM 0 - ZONA URBANA</t>
        </is>
      </c>
      <c r="G979" s="27" t="inlineStr">
        <is>
          <t>45657-322</t>
        </is>
      </c>
      <c r="H979" s="15" t="n">
        <v>3</v>
      </c>
      <c r="I979" s="28" t="inlineStr">
        <is>
          <t>SIM</t>
        </is>
      </c>
      <c r="J979" s="29" t="n">
        <v>51.4</v>
      </c>
      <c r="K979" s="14" t="str">
        <f>IF(J979="","7. Acima de 2 km",IF(J979&lt;=50,"1. Até 50 m",IF(J979&lt;=100,"2. De 50 a 100 m",IF(J979&lt;=200,"3. De 100 a 200 m",IF(J979&lt;=300,"4. De 200 a 300 m",IF(J979&lt;=500,"5. De 300 a 500 m","6. De 500 m a 2 km"))))))</f>
        <v>2. De 50 a 100 m</v>
      </c>
      <c r="L979" s="26" t="n">
        <v>0</v>
      </c>
      <c r="M979" s="26" t="n">
        <v>1</v>
      </c>
      <c r="N979" s="26" t="n">
        <v>2</v>
      </c>
      <c r="O979" s="26" t="n">
        <v>2</v>
      </c>
      <c r="P979" s="30" t="n">
        <v>-14.7995342</v>
      </c>
      <c r="Q979" s="30" t="n">
        <v>-39.0654379</v>
      </c>
      <c r="R979" s="14" t="inlineStr">
        <is>
          <t>AV. GOVERNADOR ROBERTO SANTOS, S/N, BAIRRO ESPERANÇA, ILHÉUS-BA</t>
        </is>
      </c>
      <c r="S979" s="26">
        <f>IF(A979=A978,0,1)</f>
        <v>0</v>
      </c>
      <c r="T979" s="26">
        <f>IF(COUNTIF($B$4:B979,B979)=1,1,0)</f>
        <v>0</v>
      </c>
    </row>
    <row r="980">
      <c r="A980" s="14" t="inlineStr">
        <is>
          <t>ILHÉUS</t>
        </is>
      </c>
      <c r="B980" s="26" t="n">
        <v>26</v>
      </c>
      <c r="C980" s="26" t="n">
        <v>1724</v>
      </c>
      <c r="D980" s="14" t="inlineStr">
        <is>
          <t>ESCOLA EMÍLIA DE BRITO CORREIA</t>
        </is>
      </c>
      <c r="E980" s="14" t="inlineStr">
        <is>
          <t>TEOTÔNIO VILELA</t>
        </is>
      </c>
      <c r="F980" s="14" t="inlineStr">
        <is>
          <t>RUA PADRE JOÃO BORGES, 74 - ZONA URBANA</t>
        </is>
      </c>
      <c r="G980" s="27" t="inlineStr">
        <is>
          <t>45657-260</t>
        </is>
      </c>
      <c r="H980" s="15" t="n">
        <v>5</v>
      </c>
      <c r="I980" s="28" t="inlineStr">
        <is>
          <t>NÃO</t>
        </is>
      </c>
      <c r="J980" s="29" t="n">
        <v>139.4</v>
      </c>
      <c r="K980" s="14" t="str">
        <f>IF(J980="","7. Acima de 2 km",IF(J980&lt;=50,"1. Até 50 m",IF(J980&lt;=100,"2. De 50 a 100 m",IF(J980&lt;=200,"3. De 100 a 200 m",IF(J980&lt;=300,"4. De 200 a 300 m",IF(J980&lt;=500,"5. De 300 a 500 m","6. De 500 m a 2 km"))))))</f>
        <v>3. De 100 a 200 m</v>
      </c>
      <c r="L980" s="26" t="n">
        <v>0</v>
      </c>
      <c r="M980" s="26" t="n">
        <v>0</v>
      </c>
      <c r="N980" s="26" t="n">
        <v>1</v>
      </c>
      <c r="O980" s="26" t="n">
        <v>1</v>
      </c>
      <c r="P980" s="30" t="n">
        <v>-14.807095</v>
      </c>
      <c r="Q980" s="30" t="n">
        <v>-39.0589806</v>
      </c>
      <c r="R980" s="14" t="inlineStr">
        <is>
          <t>AV. GOVERNADOR ROBERTO SANTOS, S/N, BAIRRO ESPERANÇA, ILHÉUS-BA</t>
        </is>
      </c>
      <c r="S980" s="26">
        <f>IF(A980=A979,0,1)</f>
        <v>0</v>
      </c>
      <c r="T980" s="26">
        <f>IF(COUNTIF($B$4:B980,B980)=1,1,0)</f>
        <v>0</v>
      </c>
    </row>
    <row r="981">
      <c r="A981" s="14" t="inlineStr">
        <is>
          <t>ILHÉUS</t>
        </is>
      </c>
      <c r="B981" s="26" t="n">
        <v>26</v>
      </c>
      <c r="C981" s="26" t="n">
        <v>1759</v>
      </c>
      <c r="D981" s="14" t="inlineStr">
        <is>
          <t>FACULDADE DE ILHÉUS</t>
        </is>
      </c>
      <c r="E981" s="14" t="inlineStr">
        <is>
          <t>JARDIM ATLÂNTICO</t>
        </is>
      </c>
      <c r="F981" s="14" t="inlineStr">
        <is>
          <t>AV TANCREDO NEVES S/N</t>
        </is>
      </c>
      <c r="G981" s="27" t="inlineStr">
        <is>
          <t>45655-120</t>
        </is>
      </c>
      <c r="H981" s="15" t="n">
        <v>28</v>
      </c>
      <c r="I981" s="28" t="inlineStr">
        <is>
          <t>NÃO</t>
        </is>
      </c>
      <c r="J981" s="29" t="n">
        <v>550.6</v>
      </c>
      <c r="K981" s="14" t="str">
        <f>IF(J981="","7. Acima de 2 km",IF(J981&lt;=50,"1. Até 50 m",IF(J981&lt;=100,"2. De 50 a 100 m",IF(J981&lt;=200,"3. De 100 a 200 m",IF(J981&lt;=300,"4. De 200 a 300 m",IF(J981&lt;=500,"5. De 300 a 500 m","6. De 500 m a 2 km"))))))</f>
        <v>6. De 500 m a 2 km</v>
      </c>
      <c r="L981" s="26" t="n">
        <v>0</v>
      </c>
      <c r="M981" s="26" t="n">
        <v>0</v>
      </c>
      <c r="N981" s="26" t="n">
        <v>0</v>
      </c>
      <c r="O981" s="26" t="n">
        <v>0</v>
      </c>
      <c r="P981" s="30" t="n">
        <v>-14.8288534</v>
      </c>
      <c r="Q981" s="30" t="n">
        <v>-39.0282517</v>
      </c>
      <c r="R981" s="14" t="inlineStr">
        <is>
          <t>AV. GOVERNADOR ROBERTO SANTOS, S/N, BAIRRO ESPERANÇA, ILHÉUS-BA</t>
        </is>
      </c>
      <c r="S981" s="26">
        <f>IF(A981=A980,0,1)</f>
        <v>0</v>
      </c>
      <c r="T981" s="26">
        <f>IF(COUNTIF($B$4:B981,B981)=1,1,0)</f>
        <v>0</v>
      </c>
    </row>
    <row r="982">
      <c r="A982" s="14" t="inlineStr">
        <is>
          <t>ILHÉUS</t>
        </is>
      </c>
      <c r="B982" s="26" t="n">
        <v>26</v>
      </c>
      <c r="C982" s="26" t="n">
        <v>1767</v>
      </c>
      <c r="D982" s="14" t="inlineStr">
        <is>
          <t>ESCOLA ESTADUAL INDÍGENA TUPINAMBÁ AMOTARA</t>
        </is>
      </c>
      <c r="E982" s="14" t="inlineStr">
        <is>
          <t>OLIVENÇA</t>
        </is>
      </c>
      <c r="F982" s="14" t="inlineStr">
        <is>
          <t>RODOVIA BA 001 - KM 24 - ALDEIA ITAPOÃ - ZONA RURAL</t>
        </is>
      </c>
      <c r="G982" s="27" t="inlineStr">
        <is>
          <t>45660-704</t>
        </is>
      </c>
      <c r="H982" s="15" t="n">
        <v>1</v>
      </c>
      <c r="I982" s="28" t="inlineStr">
        <is>
          <t>NÃO</t>
        </is>
      </c>
      <c r="J982" s="29" t="n"/>
      <c r="K982" s="14" t="str">
        <f>IF(J982="","7. Acima de 2 km",IF(J982&lt;=50,"1. Até 50 m",IF(J982&lt;=100,"2. De 50 a 100 m",IF(J982&lt;=200,"3. De 100 a 200 m",IF(J982&lt;=300,"4. De 200 a 300 m",IF(J982&lt;=500,"5. De 300 a 500 m","6. De 500 m a 2 km"))))))</f>
        <v>7. Acima de 2 km</v>
      </c>
      <c r="L982" s="26" t="n">
        <v>0</v>
      </c>
      <c r="M982" s="26" t="n">
        <v>0</v>
      </c>
      <c r="N982" s="26" t="n">
        <v>0</v>
      </c>
      <c r="O982" s="26" t="n">
        <v>0</v>
      </c>
      <c r="P982" s="30" t="n">
        <v>-15.0019398</v>
      </c>
      <c r="Q982" s="30" t="n">
        <v>-39.0015564</v>
      </c>
      <c r="R982" s="14" t="inlineStr">
        <is>
          <t>AV. GOVERNADOR ROBERTO SANTOS, S/N, BAIRRO ESPERANÇA, ILHÉUS-BA</t>
        </is>
      </c>
      <c r="S982" s="26">
        <f>IF(A982=A981,0,1)</f>
        <v>0</v>
      </c>
      <c r="T982" s="26">
        <f>IF(COUNTIF($B$4:B982,B982)=1,1,0)</f>
        <v>0</v>
      </c>
    </row>
    <row r="983">
      <c r="A983" s="14" t="inlineStr">
        <is>
          <t>ILHÉUS</t>
        </is>
      </c>
      <c r="B983" s="26" t="n">
        <v>26</v>
      </c>
      <c r="C983" s="26" t="n">
        <v>1775</v>
      </c>
      <c r="D983" s="14" t="inlineStr">
        <is>
          <t>COLÉGIO ESTADUAL INDÍGENA TUPINAMBÁ DO ACUÍPE DE BAIXO</t>
        </is>
      </c>
      <c r="E983" s="14" t="inlineStr">
        <is>
          <t>OLIVENÇA</t>
        </is>
      </c>
      <c r="F983" s="14" t="inlineStr">
        <is>
          <t>RODOVIA ILHÉUS / UNA - KM 30</t>
        </is>
      </c>
      <c r="G983" s="27" t="inlineStr">
        <is>
          <t>45660-015</t>
        </is>
      </c>
      <c r="H983" s="15" t="n">
        <v>1</v>
      </c>
      <c r="I983" s="28" t="inlineStr">
        <is>
          <t>NÃO</t>
        </is>
      </c>
      <c r="J983" s="29" t="n"/>
      <c r="K983" s="14" t="str">
        <f>IF(J983="","7. Acima de 2 km",IF(J983&lt;=50,"1. Até 50 m",IF(J983&lt;=100,"2. De 50 a 100 m",IF(J983&lt;=200,"3. De 100 a 200 m",IF(J983&lt;=300,"4. De 200 a 300 m",IF(J983&lt;=500,"5. De 300 a 500 m","6. De 500 m a 2 km"))))))</f>
        <v>7. Acima de 2 km</v>
      </c>
      <c r="L983" s="26" t="n">
        <v>0</v>
      </c>
      <c r="M983" s="26" t="n">
        <v>0</v>
      </c>
      <c r="N983" s="26" t="n">
        <v>0</v>
      </c>
      <c r="O983" s="26" t="n">
        <v>0</v>
      </c>
      <c r="P983" s="30" t="n">
        <v>-15.078921</v>
      </c>
      <c r="Q983" s="30" t="n">
        <v>-38.9994504</v>
      </c>
      <c r="R983" s="14" t="inlineStr">
        <is>
          <t>AV. GOVERNADOR ROBERTO SANTOS, S/N, BAIRRO ESPERANÇA, ILHÉUS-BA</t>
        </is>
      </c>
      <c r="S983" s="26">
        <f>IF(A983=A982,0,1)</f>
        <v>0</v>
      </c>
      <c r="T983" s="26">
        <f>IF(COUNTIF($B$4:B983,B983)=1,1,0)</f>
        <v>0</v>
      </c>
    </row>
    <row r="984">
      <c r="A984" s="14" t="inlineStr">
        <is>
          <t>ILHÉUS</t>
        </is>
      </c>
      <c r="B984" s="26" t="n">
        <v>26</v>
      </c>
      <c r="C984" s="26" t="n">
        <v>1805</v>
      </c>
      <c r="D984" s="14" t="inlineStr">
        <is>
          <t>INSTITUTO DE ENSINO JOANA D'ARC</t>
        </is>
      </c>
      <c r="E984" s="14" t="inlineStr">
        <is>
          <t>CENTRO</t>
        </is>
      </c>
      <c r="F984" s="14" t="inlineStr">
        <is>
          <t>AVENIDA ITABUNA, 2147</t>
        </is>
      </c>
      <c r="G984" s="27" t="inlineStr">
        <is>
          <t>45658-565</t>
        </is>
      </c>
      <c r="H984" s="15" t="n">
        <v>1</v>
      </c>
      <c r="I984" s="28" t="inlineStr">
        <is>
          <t>NÃO</t>
        </is>
      </c>
      <c r="J984" s="29" t="n">
        <v>142.3</v>
      </c>
      <c r="K984" s="14" t="str">
        <f>IF(J984="","7. Acima de 2 km",IF(J984&lt;=50,"1. Até 50 m",IF(J984&lt;=100,"2. De 50 a 100 m",IF(J984&lt;=200,"3. De 100 a 200 m",IF(J984&lt;=300,"4. De 200 a 300 m",IF(J984&lt;=500,"5. De 300 a 500 m","6. De 500 m a 2 km"))))))</f>
        <v>3. De 100 a 200 m</v>
      </c>
      <c r="L984" s="26" t="n">
        <v>0</v>
      </c>
      <c r="M984" s="26" t="n">
        <v>0</v>
      </c>
      <c r="N984" s="26" t="n">
        <v>2</v>
      </c>
      <c r="O984" s="26" t="n">
        <v>2</v>
      </c>
      <c r="P984" s="30" t="n">
        <v>-14.7940155</v>
      </c>
      <c r="Q984" s="30" t="n">
        <v>-39.0537648</v>
      </c>
      <c r="R984" s="14" t="inlineStr">
        <is>
          <t>AV. GOVERNADOR ROBERTO SANTOS, S/N, BAIRRO ESPERANÇA, ILHÉUS-BA</t>
        </is>
      </c>
      <c r="S984" s="26">
        <f>IF(A984=A983,0,1)</f>
        <v>0</v>
      </c>
      <c r="T984" s="26">
        <f>IF(COUNTIF($B$4:B984,B984)=1,1,0)</f>
        <v>0</v>
      </c>
    </row>
    <row r="985">
      <c r="A985" s="14" t="inlineStr">
        <is>
          <t>IRECÊ</t>
        </is>
      </c>
      <c r="B985" s="26" t="n">
        <v>95</v>
      </c>
      <c r="C985" s="26" t="n">
        <v>1023</v>
      </c>
      <c r="D985" s="14" t="inlineStr">
        <is>
          <t>COPERIL - COOPERATIVA DE ENSINO DA REGIÃO DE IRECÊ</t>
        </is>
      </c>
      <c r="E985" s="14" t="inlineStr">
        <is>
          <t>CENTRO</t>
        </is>
      </c>
      <c r="F985" s="14" t="inlineStr">
        <is>
          <t>RUA DOM BOSCO, S/N - ZONA URBANA</t>
        </is>
      </c>
      <c r="G985" s="27" t="inlineStr">
        <is>
          <t>44900-000</t>
        </is>
      </c>
      <c r="H985" s="15" t="n">
        <v>3</v>
      </c>
      <c r="I985" s="28" t="inlineStr">
        <is>
          <t>NÃO</t>
        </is>
      </c>
      <c r="J985" s="29" t="n">
        <v>100.3</v>
      </c>
      <c r="K985" s="14" t="str">
        <f>IF(J985="","7. Acima de 2 km",IF(J985&lt;=50,"1. Até 50 m",IF(J985&lt;=100,"2. De 50 a 100 m",IF(J985&lt;=200,"3. De 100 a 200 m",IF(J985&lt;=300,"4. De 200 a 300 m",IF(J985&lt;=500,"5. De 300 a 500 m","6. De 500 m a 2 km"))))))</f>
        <v>3. De 100 a 200 m</v>
      </c>
      <c r="L985" s="26" t="n">
        <v>0</v>
      </c>
      <c r="M985" s="26" t="n">
        <v>0</v>
      </c>
      <c r="N985" s="26" t="n">
        <v>1</v>
      </c>
      <c r="O985" s="26" t="n">
        <v>3</v>
      </c>
      <c r="P985" s="30" t="n">
        <v>-11.30701572</v>
      </c>
      <c r="Q985" s="30" t="n">
        <v>-41.85207541</v>
      </c>
      <c r="R985" s="14" t="inlineStr">
        <is>
          <t>RUA FORTALEZA, 500, BAIRRO FÓRUM, IRECÊ (BA).</t>
        </is>
      </c>
      <c r="S985" s="26">
        <f>IF(A985=A984,0,1)</f>
        <v>1</v>
      </c>
      <c r="T985" s="26">
        <f>IF(COUNTIF($B$4:B985,B985)=1,1,0)</f>
        <v>1</v>
      </c>
    </row>
    <row r="986">
      <c r="A986" s="14" t="inlineStr">
        <is>
          <t>IRECÊ</t>
        </is>
      </c>
      <c r="B986" s="26" t="n">
        <v>95</v>
      </c>
      <c r="C986" s="26" t="n">
        <v>1031</v>
      </c>
      <c r="D986" s="14" t="inlineStr">
        <is>
          <t>ESCOLA MUNICIPAL MARCIONÍLIO ROSA</t>
        </is>
      </c>
      <c r="E986" s="14" t="inlineStr">
        <is>
          <t>BOA VISTA</t>
        </is>
      </c>
      <c r="F986" s="14" t="inlineStr">
        <is>
          <t>TRAVESSA COSTA E SILVA, S/N - ZONA URBANA</t>
        </is>
      </c>
      <c r="G986" s="27" t="inlineStr">
        <is>
          <t>44900-000</t>
        </is>
      </c>
      <c r="H986" s="15" t="n">
        <v>6</v>
      </c>
      <c r="I986" s="28" t="inlineStr">
        <is>
          <t>NÃO</t>
        </is>
      </c>
      <c r="J986" s="29" t="n">
        <v>792.6</v>
      </c>
      <c r="K986" s="14" t="str">
        <f>IF(J986="","7. Acima de 2 km",IF(J986&lt;=50,"1. Até 50 m",IF(J986&lt;=100,"2. De 50 a 100 m",IF(J986&lt;=200,"3. De 100 a 200 m",IF(J986&lt;=300,"4. De 200 a 300 m",IF(J986&lt;=500,"5. De 300 a 500 m","6. De 500 m a 2 km"))))))</f>
        <v>6. De 500 m a 2 km</v>
      </c>
      <c r="L986" s="26" t="n">
        <v>0</v>
      </c>
      <c r="M986" s="26" t="n">
        <v>0</v>
      </c>
      <c r="N986" s="26" t="n">
        <v>0</v>
      </c>
      <c r="O986" s="26" t="n">
        <v>0</v>
      </c>
      <c r="P986" s="30" t="n">
        <v>-11.30199519</v>
      </c>
      <c r="Q986" s="30" t="n">
        <v>-41.87284545</v>
      </c>
      <c r="R986" s="14" t="inlineStr">
        <is>
          <t>RUA FORTALEZA, 500, BAIRRO FÓRUM, IRECÊ (BA).</t>
        </is>
      </c>
      <c r="S986" s="26">
        <f>IF(A986=A985,0,1)</f>
        <v>0</v>
      </c>
      <c r="T986" s="26">
        <f>IF(COUNTIF($B$4:B986,B986)=1,1,0)</f>
        <v>0</v>
      </c>
    </row>
    <row r="987">
      <c r="A987" s="14" t="inlineStr">
        <is>
          <t>IRECÊ</t>
        </is>
      </c>
      <c r="B987" s="26" t="n">
        <v>95</v>
      </c>
      <c r="C987" s="26" t="n">
        <v>1058</v>
      </c>
      <c r="D987" s="14" t="inlineStr">
        <is>
          <t>CODEVASF</t>
        </is>
      </c>
      <c r="E987" s="14" t="inlineStr">
        <is>
          <t>CENTRO</t>
        </is>
      </c>
      <c r="F987" s="14" t="inlineStr">
        <is>
          <t>RUA SÃO FRANCISCO - ZONA URBANA</t>
        </is>
      </c>
      <c r="G987" s="27" t="inlineStr">
        <is>
          <t>44900-000</t>
        </is>
      </c>
      <c r="H987" s="15" t="n">
        <v>4</v>
      </c>
      <c r="I987" s="28" t="inlineStr">
        <is>
          <t>SIM</t>
        </is>
      </c>
      <c r="J987" s="29" t="n">
        <v>57.7</v>
      </c>
      <c r="K987" s="14" t="str">
        <f>IF(J987="","7. Acima de 2 km",IF(J987&lt;=50,"1. Até 50 m",IF(J987&lt;=100,"2. De 50 a 100 m",IF(J987&lt;=200,"3. De 100 a 200 m",IF(J987&lt;=300,"4. De 200 a 300 m",IF(J987&lt;=500,"5. De 300 a 500 m","6. De 500 m a 2 km"))))))</f>
        <v>2. De 50 a 100 m</v>
      </c>
      <c r="L987" s="26" t="n">
        <v>0</v>
      </c>
      <c r="M987" s="26" t="n">
        <v>2</v>
      </c>
      <c r="N987" s="26" t="n">
        <v>2</v>
      </c>
      <c r="O987" s="26" t="n">
        <v>4</v>
      </c>
      <c r="P987" s="30" t="n">
        <v>-11.30558848</v>
      </c>
      <c r="Q987" s="30" t="n">
        <v>-41.85826485</v>
      </c>
      <c r="R987" s="14" t="inlineStr">
        <is>
          <t>RUA FORTALEZA, 500, BAIRRO FÓRUM, IRECÊ (BA).</t>
        </is>
      </c>
      <c r="S987" s="26">
        <f>IF(A987=A986,0,1)</f>
        <v>0</v>
      </c>
      <c r="T987" s="26">
        <f>IF(COUNTIF($B$4:B987,B987)=1,1,0)</f>
        <v>0</v>
      </c>
    </row>
    <row r="988">
      <c r="A988" s="14" t="inlineStr">
        <is>
          <t>IRECÊ</t>
        </is>
      </c>
      <c r="B988" s="26" t="n">
        <v>95</v>
      </c>
      <c r="C988" s="26" t="n">
        <v>1066</v>
      </c>
      <c r="D988" s="14" t="inlineStr">
        <is>
          <t>COLÉGIO ESTADUAL LUIZ VIANA FILHO</t>
        </is>
      </c>
      <c r="E988" s="14" t="inlineStr">
        <is>
          <t>CENTRO</t>
        </is>
      </c>
      <c r="F988" s="14" t="inlineStr">
        <is>
          <t>AV. CARAÍBAS - ZONA URBANA</t>
        </is>
      </c>
      <c r="G988" s="27" t="inlineStr">
        <is>
          <t>44900-000</t>
        </is>
      </c>
      <c r="H988" s="15" t="n">
        <v>7</v>
      </c>
      <c r="I988" s="28" t="inlineStr">
        <is>
          <t>SIM</t>
        </is>
      </c>
      <c r="J988" s="29" t="n">
        <v>86.59999999999999</v>
      </c>
      <c r="K988" s="14" t="str">
        <f>IF(J988="","7. Acima de 2 km",IF(J988&lt;=50,"1. Até 50 m",IF(J988&lt;=100,"2. De 50 a 100 m",IF(J988&lt;=200,"3. De 100 a 200 m",IF(J988&lt;=300,"4. De 200 a 300 m",IF(J988&lt;=500,"5. De 300 a 500 m","6. De 500 m a 2 km"))))))</f>
        <v>2. De 50 a 100 m</v>
      </c>
      <c r="L988" s="26" t="n">
        <v>0</v>
      </c>
      <c r="M988" s="26" t="n">
        <v>1</v>
      </c>
      <c r="N988" s="26" t="n">
        <v>3</v>
      </c>
      <c r="O988" s="26" t="n">
        <v>3</v>
      </c>
      <c r="P988" s="30" t="n">
        <v>-11.30247913</v>
      </c>
      <c r="Q988" s="30" t="n">
        <v>-41.85374153</v>
      </c>
      <c r="R988" s="14" t="inlineStr">
        <is>
          <t>RUA FORTALEZA, 500, BAIRRO FÓRUM, IRECÊ (BA).</t>
        </is>
      </c>
      <c r="S988" s="26">
        <f>IF(A988=A987,0,1)</f>
        <v>0</v>
      </c>
      <c r="T988" s="26">
        <f>IF(COUNTIF($B$4:B988,B988)=1,1,0)</f>
        <v>0</v>
      </c>
    </row>
    <row r="989">
      <c r="A989" s="14" t="inlineStr">
        <is>
          <t>IRECÊ</t>
        </is>
      </c>
      <c r="B989" s="26" t="n">
        <v>95</v>
      </c>
      <c r="C989" s="26" t="n">
        <v>1074</v>
      </c>
      <c r="D989" s="14" t="inlineStr">
        <is>
          <t>CENTRO JUVENIL DE CIÊNCIA E CULTURA</t>
        </is>
      </c>
      <c r="E989" s="14" t="inlineStr">
        <is>
          <t>CENTRO</t>
        </is>
      </c>
      <c r="F989" s="14" t="inlineStr">
        <is>
          <t>AV. CARAÍBAS - ZONA URBANA</t>
        </is>
      </c>
      <c r="G989" s="27" t="inlineStr">
        <is>
          <t>44900-000</t>
        </is>
      </c>
      <c r="H989" s="15" t="n">
        <v>5</v>
      </c>
      <c r="I989" s="28" t="inlineStr">
        <is>
          <t>NÃO</t>
        </is>
      </c>
      <c r="J989" s="29" t="n">
        <v>103.4</v>
      </c>
      <c r="K989" s="14" t="str">
        <f>IF(J989="","7. Acima de 2 km",IF(J989&lt;=50,"1. Até 50 m",IF(J989&lt;=100,"2. De 50 a 100 m",IF(J989&lt;=200,"3. De 100 a 200 m",IF(J989&lt;=300,"4. De 200 a 300 m",IF(J989&lt;=500,"5. De 300 a 500 m","6. De 500 m a 2 km"))))))</f>
        <v>3. De 100 a 200 m</v>
      </c>
      <c r="L989" s="26" t="n">
        <v>0</v>
      </c>
      <c r="M989" s="26" t="n">
        <v>0</v>
      </c>
      <c r="N989" s="26" t="n">
        <v>3</v>
      </c>
      <c r="O989" s="26" t="n">
        <v>3</v>
      </c>
      <c r="P989" s="30" t="n">
        <v>-11.30255286</v>
      </c>
      <c r="Q989" s="30" t="n">
        <v>-41.85355904</v>
      </c>
      <c r="R989" s="14" t="inlineStr">
        <is>
          <t>RUA FORTALEZA, 500, BAIRRO FÓRUM, IRECÊ (BA).</t>
        </is>
      </c>
      <c r="S989" s="26">
        <f>IF(A989=A988,0,1)</f>
        <v>0</v>
      </c>
      <c r="T989" s="26">
        <f>IF(COUNTIF($B$4:B989,B989)=1,1,0)</f>
        <v>0</v>
      </c>
    </row>
    <row r="990">
      <c r="A990" s="14" t="inlineStr">
        <is>
          <t>IRECÊ</t>
        </is>
      </c>
      <c r="B990" s="26" t="n">
        <v>95</v>
      </c>
      <c r="C990" s="26" t="n">
        <v>1082</v>
      </c>
      <c r="D990" s="14" t="inlineStr">
        <is>
          <t>ESCOLA MUNICIPAL JOEL AMERICANO LOPES</t>
        </is>
      </c>
      <c r="E990" s="14" t="inlineStr">
        <is>
          <t>SÃO JOSÉ</t>
        </is>
      </c>
      <c r="F990" s="14" t="inlineStr">
        <is>
          <t>RUA TREZE DE JANEIRO - ZONA URBANA</t>
        </is>
      </c>
      <c r="G990" s="27" t="inlineStr">
        <is>
          <t>44900-000</t>
        </is>
      </c>
      <c r="H990" s="15" t="n">
        <v>5</v>
      </c>
      <c r="I990" s="28" t="inlineStr">
        <is>
          <t>NÃO</t>
        </is>
      </c>
      <c r="J990" s="29" t="n">
        <v>357.1</v>
      </c>
      <c r="K990" s="14" t="str">
        <f>IF(J990="","7. Acima de 2 km",IF(J990&lt;=50,"1. Até 50 m",IF(J990&lt;=100,"2. De 50 a 100 m",IF(J990&lt;=200,"3. De 100 a 200 m",IF(J990&lt;=300,"4. De 200 a 300 m",IF(J990&lt;=500,"5. De 300 a 500 m","6. De 500 m a 2 km"))))))</f>
        <v>5. De 300 a 500 m</v>
      </c>
      <c r="L990" s="26" t="n">
        <v>0</v>
      </c>
      <c r="M990" s="26" t="n">
        <v>0</v>
      </c>
      <c r="N990" s="26" t="n">
        <v>0</v>
      </c>
      <c r="O990" s="26" t="n">
        <v>0</v>
      </c>
      <c r="P990" s="30" t="n">
        <v>-11.30510821</v>
      </c>
      <c r="Q990" s="30" t="n">
        <v>-41.84631702</v>
      </c>
      <c r="R990" s="14" t="inlineStr">
        <is>
          <t>RUA FORTALEZA, 500, BAIRRO FÓRUM, IRECÊ (BA).</t>
        </is>
      </c>
      <c r="S990" s="26">
        <f>IF(A990=A989,0,1)</f>
        <v>0</v>
      </c>
      <c r="T990" s="26">
        <f>IF(COUNTIF($B$4:B990,B990)=1,1,0)</f>
        <v>0</v>
      </c>
    </row>
    <row r="991">
      <c r="A991" s="14" t="inlineStr">
        <is>
          <t>IRECÊ</t>
        </is>
      </c>
      <c r="B991" s="26" t="n">
        <v>95</v>
      </c>
      <c r="C991" s="26" t="n">
        <v>1090</v>
      </c>
      <c r="D991" s="14" t="inlineStr">
        <is>
          <t>COLÉGIO EDIMASTER</t>
        </is>
      </c>
      <c r="E991" s="14" t="inlineStr">
        <is>
          <t>CENTRO</t>
        </is>
      </c>
      <c r="F991" s="14" t="inlineStr">
        <is>
          <t>RUA MARIA DA CONCEIÇÃO LORDELO NUNES, 87 - ZONA URBANA</t>
        </is>
      </c>
      <c r="G991" s="27" t="inlineStr">
        <is>
          <t>44900-000</t>
        </is>
      </c>
      <c r="H991" s="15" t="n">
        <v>6</v>
      </c>
      <c r="I991" s="28" t="inlineStr">
        <is>
          <t>NÃO</t>
        </is>
      </c>
      <c r="J991" s="29" t="n">
        <v>291.5</v>
      </c>
      <c r="K991" s="14" t="str">
        <f>IF(J991="","7. Acima de 2 km",IF(J991&lt;=50,"1. Até 50 m",IF(J991&lt;=100,"2. De 50 a 100 m",IF(J991&lt;=200,"3. De 100 a 200 m",IF(J991&lt;=300,"4. De 200 a 300 m",IF(J991&lt;=500,"5. De 300 a 500 m","6. De 500 m a 2 km"))))))</f>
        <v>4. De 200 a 300 m</v>
      </c>
      <c r="L991" s="26" t="n">
        <v>0</v>
      </c>
      <c r="M991" s="26" t="n">
        <v>0</v>
      </c>
      <c r="N991" s="26" t="n">
        <v>0</v>
      </c>
      <c r="O991" s="26" t="n">
        <v>1</v>
      </c>
      <c r="P991" s="30" t="n">
        <v>-11.29974168</v>
      </c>
      <c r="Q991" s="30" t="n">
        <v>-41.8585079</v>
      </c>
      <c r="R991" s="14" t="inlineStr">
        <is>
          <t>RUA FORTALEZA, 500, BAIRRO FÓRUM, IRECÊ (BA).</t>
        </is>
      </c>
      <c r="S991" s="26">
        <f>IF(A991=A990,0,1)</f>
        <v>0</v>
      </c>
      <c r="T991" s="26">
        <f>IF(COUNTIF($B$4:B991,B991)=1,1,0)</f>
        <v>0</v>
      </c>
    </row>
    <row r="992">
      <c r="A992" s="14" t="inlineStr">
        <is>
          <t>IRECÊ</t>
        </is>
      </c>
      <c r="B992" s="26" t="n">
        <v>95</v>
      </c>
      <c r="C992" s="26" t="n">
        <v>1147</v>
      </c>
      <c r="D992" s="14" t="inlineStr">
        <is>
          <t>COLÉGIO ESTADUAL PROF. JORGE RODRIGUES DOS SANTOS</t>
        </is>
      </c>
      <c r="E992" s="14" t="inlineStr">
        <is>
          <t>COOPIRECE</t>
        </is>
      </c>
      <c r="F992" s="14" t="inlineStr">
        <is>
          <t>AVENIDA RAIMUNDO BONFIM, S/N - ZONA URBANA</t>
        </is>
      </c>
      <c r="G992" s="27" t="inlineStr">
        <is>
          <t>44900-000</t>
        </is>
      </c>
      <c r="H992" s="15" t="n">
        <v>10</v>
      </c>
      <c r="I992" s="28" t="inlineStr">
        <is>
          <t>NÃO</t>
        </is>
      </c>
      <c r="J992" s="29" t="n">
        <v>213.4</v>
      </c>
      <c r="K992" s="14" t="str">
        <f>IF(J992="","7. Acima de 2 km",IF(J992&lt;=50,"1. Até 50 m",IF(J992&lt;=100,"2. De 50 a 100 m",IF(J992&lt;=200,"3. De 100 a 200 m",IF(J992&lt;=300,"4. De 200 a 300 m",IF(J992&lt;=500,"5. De 300 a 500 m","6. De 500 m a 2 km"))))))</f>
        <v>4. De 200 a 300 m</v>
      </c>
      <c r="L992" s="26" t="n">
        <v>0</v>
      </c>
      <c r="M992" s="26" t="n">
        <v>0</v>
      </c>
      <c r="N992" s="26" t="n">
        <v>0</v>
      </c>
      <c r="O992" s="26" t="n">
        <v>1</v>
      </c>
      <c r="P992" s="30" t="n">
        <v>-11.31026875</v>
      </c>
      <c r="Q992" s="30" t="n">
        <v>-41.8583192</v>
      </c>
      <c r="R992" s="14" t="inlineStr">
        <is>
          <t>RUA FORTALEZA, 500, BAIRRO FÓRUM, IRECÊ (BA).</t>
        </is>
      </c>
      <c r="S992" s="26">
        <f>IF(A992=A991,0,1)</f>
        <v>0</v>
      </c>
      <c r="T992" s="26">
        <f>IF(COUNTIF($B$4:B992,B992)=1,1,0)</f>
        <v>0</v>
      </c>
    </row>
    <row r="993">
      <c r="A993" s="14" t="inlineStr">
        <is>
          <t>IRECÊ</t>
        </is>
      </c>
      <c r="B993" s="26" t="n">
        <v>95</v>
      </c>
      <c r="C993" s="26" t="n">
        <v>1155</v>
      </c>
      <c r="D993" s="14" t="inlineStr">
        <is>
          <t>ESCOLA MUNICIPAL PROF. LUIZ MARIO DOURADO</t>
        </is>
      </c>
      <c r="E993" s="14" t="inlineStr">
        <is>
          <t>CENTRO</t>
        </is>
      </c>
      <c r="F993" s="14" t="inlineStr">
        <is>
          <t>PRAÇA LARGO DA RODOVIÁRIA, S/N - ZONA URBANA</t>
        </is>
      </c>
      <c r="G993" s="27" t="inlineStr">
        <is>
          <t>44900-000</t>
        </is>
      </c>
      <c r="H993" s="15" t="n">
        <v>7</v>
      </c>
      <c r="I993" s="28" t="inlineStr">
        <is>
          <t>SIM</t>
        </is>
      </c>
      <c r="J993" s="29" t="n">
        <v>85.09999999999999</v>
      </c>
      <c r="K993" s="14" t="str">
        <f>IF(J993="","7. Acima de 2 km",IF(J993&lt;=50,"1. Até 50 m",IF(J993&lt;=100,"2. De 50 a 100 m",IF(J993&lt;=200,"3. De 100 a 200 m",IF(J993&lt;=300,"4. De 200 a 300 m",IF(J993&lt;=500,"5. De 300 a 500 m","6. De 500 m a 2 km"))))))</f>
        <v>2. De 50 a 100 m</v>
      </c>
      <c r="L993" s="26" t="n">
        <v>0</v>
      </c>
      <c r="M993" s="26" t="n">
        <v>1</v>
      </c>
      <c r="N993" s="26" t="n">
        <v>1</v>
      </c>
      <c r="O993" s="26" t="n">
        <v>2</v>
      </c>
      <c r="P993" s="30" t="n">
        <v>-11.3035706</v>
      </c>
      <c r="Q993" s="30" t="n">
        <v>-41.84921663</v>
      </c>
      <c r="R993" s="14" t="inlineStr">
        <is>
          <t>RUA FORTALEZA, 500, BAIRRO FÓRUM, IRECÊ (BA).</t>
        </is>
      </c>
      <c r="S993" s="26">
        <f>IF(A993=A992,0,1)</f>
        <v>0</v>
      </c>
      <c r="T993" s="26">
        <f>IF(COUNTIF($B$4:B993,B993)=1,1,0)</f>
        <v>0</v>
      </c>
    </row>
    <row r="994">
      <c r="A994" s="14" t="inlineStr">
        <is>
          <t>IRECÊ</t>
        </is>
      </c>
      <c r="B994" s="26" t="n">
        <v>95</v>
      </c>
      <c r="C994" s="26" t="n">
        <v>1163</v>
      </c>
      <c r="D994" s="14" t="inlineStr">
        <is>
          <t>ESCOLA BRADESCO</t>
        </is>
      </c>
      <c r="E994" s="14" t="inlineStr">
        <is>
          <t>FUNDAÇÃO BRADESCO</t>
        </is>
      </c>
      <c r="F994" s="14" t="inlineStr">
        <is>
          <t>RUA FUNDAÇÃO BRADESCO - ZONA URBANA</t>
        </is>
      </c>
      <c r="G994" s="27" t="inlineStr">
        <is>
          <t>44900-000</t>
        </is>
      </c>
      <c r="H994" s="15" t="n">
        <v>7</v>
      </c>
      <c r="I994" s="28" t="inlineStr">
        <is>
          <t>NÃO</t>
        </is>
      </c>
      <c r="J994" s="29" t="n">
        <v>301.2</v>
      </c>
      <c r="K994" s="14" t="str">
        <f>IF(J994="","7. Acima de 2 km",IF(J994&lt;=50,"1. Até 50 m",IF(J994&lt;=100,"2. De 50 a 100 m",IF(J994&lt;=200,"3. De 100 a 200 m",IF(J994&lt;=300,"4. De 200 a 300 m",IF(J994&lt;=500,"5. De 300 a 500 m","6. De 500 m a 2 km"))))))</f>
        <v>5. De 300 a 500 m</v>
      </c>
      <c r="L994" s="26" t="n">
        <v>0</v>
      </c>
      <c r="M994" s="26" t="n">
        <v>0</v>
      </c>
      <c r="N994" s="26" t="n">
        <v>0</v>
      </c>
      <c r="O994" s="26" t="n">
        <v>0</v>
      </c>
      <c r="P994" s="30" t="n">
        <v>-11.30546545</v>
      </c>
      <c r="Q994" s="30" t="n">
        <v>-41.86935035</v>
      </c>
      <c r="R994" s="14" t="inlineStr">
        <is>
          <t>RUA FORTALEZA, 500, BAIRRO FÓRUM, IRECÊ (BA).</t>
        </is>
      </c>
      <c r="S994" s="26">
        <f>IF(A994=A993,0,1)</f>
        <v>0</v>
      </c>
      <c r="T994" s="26">
        <f>IF(COUNTIF($B$4:B994,B994)=1,1,0)</f>
        <v>0</v>
      </c>
    </row>
    <row r="995">
      <c r="A995" s="14" t="inlineStr">
        <is>
          <t>IRECÊ</t>
        </is>
      </c>
      <c r="B995" s="26" t="n">
        <v>95</v>
      </c>
      <c r="C995" s="26" t="n">
        <v>1171</v>
      </c>
      <c r="D995" s="14" t="inlineStr">
        <is>
          <t>ESCOLA MUNICIPAL ODETE NUNES DOURADO</t>
        </is>
      </c>
      <c r="E995" s="14" t="inlineStr">
        <is>
          <t>FUNDAÇÃO BRADESCO</t>
        </is>
      </c>
      <c r="F995" s="14" t="inlineStr">
        <is>
          <t>PRACA DA BIBLIA, S/N - ZONA URBANA</t>
        </is>
      </c>
      <c r="G995" s="27" t="inlineStr">
        <is>
          <t>44900-000</t>
        </is>
      </c>
      <c r="H995" s="15" t="n">
        <v>8</v>
      </c>
      <c r="I995" s="28" t="inlineStr">
        <is>
          <t>NÃO</t>
        </is>
      </c>
      <c r="J995" s="29" t="n">
        <v>104.2</v>
      </c>
      <c r="K995" s="14" t="str">
        <f>IF(J995="","7. Acima de 2 km",IF(J995&lt;=50,"1. Até 50 m",IF(J995&lt;=100,"2. De 50 a 100 m",IF(J995&lt;=200,"3. De 100 a 200 m",IF(J995&lt;=300,"4. De 200 a 300 m",IF(J995&lt;=500,"5. De 300 a 500 m","6. De 500 m a 2 km"))))))</f>
        <v>3. De 100 a 200 m</v>
      </c>
      <c r="L995" s="26" t="n">
        <v>0</v>
      </c>
      <c r="M995" s="26" t="n">
        <v>0</v>
      </c>
      <c r="N995" s="26" t="n">
        <v>1</v>
      </c>
      <c r="O995" s="26" t="n">
        <v>2</v>
      </c>
      <c r="P995" s="30" t="n">
        <v>-11.30654404</v>
      </c>
      <c r="Q995" s="30" t="n">
        <v>-41.86637647</v>
      </c>
      <c r="R995" s="14" t="inlineStr">
        <is>
          <t>RUA FORTALEZA, 500, BAIRRO FÓRUM, IRECÊ (BA).</t>
        </is>
      </c>
      <c r="S995" s="26">
        <f>IF(A995=A994,0,1)</f>
        <v>0</v>
      </c>
      <c r="T995" s="26">
        <f>IF(COUNTIF($B$4:B995,B995)=1,1,0)</f>
        <v>0</v>
      </c>
    </row>
    <row r="996">
      <c r="A996" s="14" t="inlineStr">
        <is>
          <t>IRECÊ</t>
        </is>
      </c>
      <c r="B996" s="26" t="n">
        <v>95</v>
      </c>
      <c r="C996" s="26" t="n">
        <v>1180</v>
      </c>
      <c r="D996" s="14" t="inlineStr">
        <is>
          <t>CENTRO DE EDUCAÇÃO INTEGRADO DE IRECÊ - CEII</t>
        </is>
      </c>
      <c r="E996" s="14" t="inlineStr">
        <is>
          <t>CENTRO</t>
        </is>
      </c>
      <c r="F996" s="14" t="inlineStr">
        <is>
          <t>RUA 02, LOT. ARNÓBIO BATISTA - ZONA URBANA</t>
        </is>
      </c>
      <c r="G996" s="27" t="inlineStr">
        <is>
          <t>44900-000</t>
        </is>
      </c>
      <c r="H996" s="15" t="n">
        <v>4</v>
      </c>
      <c r="I996" s="28" t="inlineStr">
        <is>
          <t>NÃO</t>
        </is>
      </c>
      <c r="J996" s="29" t="n">
        <v>254</v>
      </c>
      <c r="K996" s="14" t="str">
        <f>IF(J996="","7. Acima de 2 km",IF(J996&lt;=50,"1. Até 50 m",IF(J996&lt;=100,"2. De 50 a 100 m",IF(J996&lt;=200,"3. De 100 a 200 m",IF(J996&lt;=300,"4. De 200 a 300 m",IF(J996&lt;=500,"5. De 300 a 500 m","6. De 500 m a 2 km"))))))</f>
        <v>4. De 200 a 300 m</v>
      </c>
      <c r="L996" s="26" t="n">
        <v>0</v>
      </c>
      <c r="M996" s="26" t="n">
        <v>0</v>
      </c>
      <c r="N996" s="26" t="n">
        <v>0</v>
      </c>
      <c r="O996" s="26" t="n">
        <v>1</v>
      </c>
      <c r="P996" s="30" t="n">
        <v>-11.30530917</v>
      </c>
      <c r="Q996" s="30" t="n">
        <v>-41.86428653</v>
      </c>
      <c r="R996" s="14" t="inlineStr">
        <is>
          <t>RUA FORTALEZA, 500, BAIRRO FÓRUM, IRECÊ (BA).</t>
        </is>
      </c>
      <c r="S996" s="26">
        <f>IF(A996=A995,0,1)</f>
        <v>0</v>
      </c>
      <c r="T996" s="26">
        <f>IF(COUNTIF($B$4:B996,B996)=1,1,0)</f>
        <v>0</v>
      </c>
    </row>
    <row r="997">
      <c r="A997" s="14" t="inlineStr">
        <is>
          <t>IRECÊ</t>
        </is>
      </c>
      <c r="B997" s="26" t="n">
        <v>95</v>
      </c>
      <c r="C997" s="26" t="n">
        <v>1198</v>
      </c>
      <c r="D997" s="14" t="inlineStr">
        <is>
          <t>ESCOLA MUNICIPAL TENENTE WILSON</t>
        </is>
      </c>
      <c r="E997" s="14" t="inlineStr">
        <is>
          <t>COOPIRECE</t>
        </is>
      </c>
      <c r="F997" s="14" t="inlineStr">
        <is>
          <t>RUA SÃO FRANCISCO, S/N  - ZONA URBANA</t>
        </is>
      </c>
      <c r="G997" s="27" t="inlineStr">
        <is>
          <t>44900-000</t>
        </is>
      </c>
      <c r="H997" s="15" t="n">
        <v>6</v>
      </c>
      <c r="I997" s="28" t="inlineStr">
        <is>
          <t>NÃO</t>
        </is>
      </c>
      <c r="J997" s="29" t="n">
        <v>387.5</v>
      </c>
      <c r="K997" s="14" t="str">
        <f>IF(J997="","7. Acima de 2 km",IF(J997&lt;=50,"1. Até 50 m",IF(J997&lt;=100,"2. De 50 a 100 m",IF(J997&lt;=200,"3. De 100 a 200 m",IF(J997&lt;=300,"4. De 200 a 300 m",IF(J997&lt;=500,"5. De 300 a 500 m","6. De 500 m a 2 km"))))))</f>
        <v>5. De 300 a 500 m</v>
      </c>
      <c r="L997" s="26" t="n">
        <v>0</v>
      </c>
      <c r="M997" s="26" t="n">
        <v>0</v>
      </c>
      <c r="N997" s="26" t="n">
        <v>0</v>
      </c>
      <c r="O997" s="26" t="n">
        <v>0</v>
      </c>
      <c r="P997" s="30" t="n">
        <v>-11.30567506</v>
      </c>
      <c r="Q997" s="30" t="n">
        <v>-41.86175978</v>
      </c>
      <c r="R997" s="14" t="inlineStr">
        <is>
          <t>RUA FORTALEZA, 500, BAIRRO FÓRUM, IRECÊ (BA).</t>
        </is>
      </c>
      <c r="S997" s="26">
        <f>IF(A997=A996,0,1)</f>
        <v>0</v>
      </c>
      <c r="T997" s="26">
        <f>IF(COUNTIF($B$4:B997,B997)=1,1,0)</f>
        <v>0</v>
      </c>
    </row>
    <row r="998">
      <c r="A998" s="14" t="inlineStr">
        <is>
          <t>IRECÊ</t>
        </is>
      </c>
      <c r="B998" s="26" t="n">
        <v>95</v>
      </c>
      <c r="C998" s="26" t="n">
        <v>1228</v>
      </c>
      <c r="D998" s="14" t="inlineStr">
        <is>
          <t>ESCOLA MUNICIPAL ADOLFO MOITINHO DOURADO</t>
        </is>
      </c>
      <c r="E998" s="14" t="inlineStr">
        <is>
          <t>POVOADO ACHADO</t>
        </is>
      </c>
      <c r="F998" s="14" t="inlineStr">
        <is>
          <t>PRAÇA ADELMO DOURADO, S/N - ZONA RURAL</t>
        </is>
      </c>
      <c r="G998" s="27" t="inlineStr">
        <is>
          <t>44900-000</t>
        </is>
      </c>
      <c r="H998" s="15" t="n">
        <v>2</v>
      </c>
      <c r="I998" s="28" t="inlineStr">
        <is>
          <t>NÃO</t>
        </is>
      </c>
      <c r="J998" s="29" t="n">
        <v>122.5</v>
      </c>
      <c r="K998" s="14" t="str">
        <f>IF(J998="","7. Acima de 2 km",IF(J998&lt;=50,"1. Até 50 m",IF(J998&lt;=100,"2. De 50 a 100 m",IF(J998&lt;=200,"3. De 100 a 200 m",IF(J998&lt;=300,"4. De 200 a 300 m",IF(J998&lt;=500,"5. De 300 a 500 m","6. De 500 m a 2 km"))))))</f>
        <v>3. De 100 a 200 m</v>
      </c>
      <c r="L998" s="26" t="n">
        <v>0</v>
      </c>
      <c r="M998" s="26" t="n">
        <v>0</v>
      </c>
      <c r="N998" s="26" t="n">
        <v>1</v>
      </c>
      <c r="O998" s="26" t="n">
        <v>1</v>
      </c>
      <c r="P998" s="30" t="n">
        <v>-11.33243503</v>
      </c>
      <c r="Q998" s="30" t="n">
        <v>-41.77819189</v>
      </c>
      <c r="R998" s="14" t="inlineStr">
        <is>
          <t>RUA FORTALEZA, 500, BAIRRO FÓRUM, IRECÊ (BA).</t>
        </is>
      </c>
      <c r="S998" s="26">
        <f>IF(A998=A997,0,1)</f>
        <v>0</v>
      </c>
      <c r="T998" s="26">
        <f>IF(COUNTIF($B$4:B998,B998)=1,1,0)</f>
        <v>0</v>
      </c>
    </row>
    <row r="999">
      <c r="A999" s="14" t="inlineStr">
        <is>
          <t>IRECÊ</t>
        </is>
      </c>
      <c r="B999" s="26" t="n">
        <v>95</v>
      </c>
      <c r="C999" s="26" t="n">
        <v>1236</v>
      </c>
      <c r="D999" s="14" t="inlineStr">
        <is>
          <t>ESCOLA MUNICIPAL VALDELICE ALECRIM DA SILVA</t>
        </is>
      </c>
      <c r="E999" s="14" t="inlineStr">
        <is>
          <t>DISTRITO ANGICAL</t>
        </is>
      </c>
      <c r="F999" s="14" t="inlineStr">
        <is>
          <t>RUA DA FIGUEIRA, S/N - ZONA RURAL</t>
        </is>
      </c>
      <c r="G999" s="27" t="inlineStr">
        <is>
          <t>44900-000</t>
        </is>
      </c>
      <c r="H999" s="15" t="n">
        <v>4</v>
      </c>
      <c r="I999" s="28" t="inlineStr">
        <is>
          <t>NÃO</t>
        </is>
      </c>
      <c r="J999" s="29" t="n"/>
      <c r="K999" s="14" t="str">
        <f>IF(J999="","7. Acima de 2 km",IF(J999&lt;=50,"1. Até 50 m",IF(J999&lt;=100,"2. De 50 a 100 m",IF(J999&lt;=200,"3. De 100 a 200 m",IF(J999&lt;=300,"4. De 200 a 300 m",IF(J999&lt;=500,"5. De 300 a 500 m","6. De 500 m a 2 km"))))))</f>
        <v>7. Acima de 2 km</v>
      </c>
      <c r="L999" s="26" t="n">
        <v>0</v>
      </c>
      <c r="M999" s="26" t="n">
        <v>0</v>
      </c>
      <c r="N999" s="26" t="n">
        <v>0</v>
      </c>
      <c r="O999" s="26" t="n">
        <v>0</v>
      </c>
      <c r="P999" s="30" t="n">
        <v>-11.23801463</v>
      </c>
      <c r="Q999" s="30" t="n">
        <v>-41.75226191</v>
      </c>
      <c r="R999" s="14" t="inlineStr">
        <is>
          <t>RUA FORTALEZA, 500, BAIRRO FÓRUM, IRECÊ (BA).</t>
        </is>
      </c>
      <c r="S999" s="26">
        <f>IF(A999=A998,0,1)</f>
        <v>0</v>
      </c>
      <c r="T999" s="26">
        <f>IF(COUNTIF($B$4:B999,B999)=1,1,0)</f>
        <v>0</v>
      </c>
    </row>
    <row r="1000">
      <c r="A1000" s="14" t="inlineStr">
        <is>
          <t>IRECÊ</t>
        </is>
      </c>
      <c r="B1000" s="26" t="n">
        <v>95</v>
      </c>
      <c r="C1000" s="26" t="n">
        <v>1244</v>
      </c>
      <c r="D1000" s="14" t="inlineStr">
        <is>
          <t>ESCOLA MUNICIPAL JOSE PEREIRA DURVAL</t>
        </is>
      </c>
      <c r="E1000" s="14" t="inlineStr">
        <is>
          <t>POVOADO UMBUZEIRO</t>
        </is>
      </c>
      <c r="F1000" s="14" t="inlineStr">
        <is>
          <t>RUA DA IGREJA, S/N - ZONA RURAL</t>
        </is>
      </c>
      <c r="G1000" s="27" t="inlineStr">
        <is>
          <t>44900-000</t>
        </is>
      </c>
      <c r="H1000" s="15" t="n">
        <v>2</v>
      </c>
      <c r="I1000" s="28" t="inlineStr">
        <is>
          <t>NÃO</t>
        </is>
      </c>
      <c r="J1000" s="29" t="n"/>
      <c r="K1000" s="14" t="str">
        <f>IF(J1000="","7. Acima de 2 km",IF(J1000&lt;=50,"1. Até 50 m",IF(J1000&lt;=100,"2. De 50 a 100 m",IF(J1000&lt;=200,"3. De 100 a 200 m",IF(J1000&lt;=300,"4. De 200 a 300 m",IF(J1000&lt;=500,"5. De 300 a 500 m","6. De 500 m a 2 km"))))))</f>
        <v>7. Acima de 2 km</v>
      </c>
      <c r="L1000" s="26" t="n">
        <v>0</v>
      </c>
      <c r="M1000" s="26" t="n">
        <v>0</v>
      </c>
      <c r="N1000" s="26" t="n">
        <v>0</v>
      </c>
      <c r="O1000" s="26" t="n">
        <v>0</v>
      </c>
      <c r="P1000" s="30" t="n">
        <v>-11.31750129</v>
      </c>
      <c r="Q1000" s="30" t="n">
        <v>-41.92195634</v>
      </c>
      <c r="R1000" s="14" t="inlineStr">
        <is>
          <t>RUA FORTALEZA, 500, BAIRRO FÓRUM, IRECÊ (BA).</t>
        </is>
      </c>
      <c r="S1000" s="26">
        <f>IF(A1000=A999,0,1)</f>
        <v>0</v>
      </c>
      <c r="T1000" s="26">
        <f>IF(COUNTIF($B$4:B1000,B1000)=1,1,0)</f>
        <v>0</v>
      </c>
    </row>
    <row r="1001">
      <c r="A1001" s="14" t="inlineStr">
        <is>
          <t>IRECÊ</t>
        </is>
      </c>
      <c r="B1001" s="26" t="n">
        <v>95</v>
      </c>
      <c r="C1001" s="26" t="n">
        <v>1260</v>
      </c>
      <c r="D1001" s="14" t="inlineStr">
        <is>
          <t>ESCOLA MUNICIPAL JOSE FRANCISCO NUNES</t>
        </is>
      </c>
      <c r="E1001" s="14" t="inlineStr">
        <is>
          <t>POVOADO ITAPICURU</t>
        </is>
      </c>
      <c r="F1001" s="14" t="inlineStr">
        <is>
          <t>RUA DOS CRENTES, S/N  - ZONA RURAL</t>
        </is>
      </c>
      <c r="G1001" s="27" t="inlineStr">
        <is>
          <t>44900-000</t>
        </is>
      </c>
      <c r="H1001" s="15" t="n">
        <v>4</v>
      </c>
      <c r="I1001" s="28" t="inlineStr">
        <is>
          <t>NÃO</t>
        </is>
      </c>
      <c r="J1001" s="29" t="n"/>
      <c r="K1001" s="14" t="str">
        <f>IF(J1001="","7. Acima de 2 km",IF(J1001&lt;=50,"1. Até 50 m",IF(J1001&lt;=100,"2. De 50 a 100 m",IF(J1001&lt;=200,"3. De 100 a 200 m",IF(J1001&lt;=300,"4. De 200 a 300 m",IF(J1001&lt;=500,"5. De 300 a 500 m","6. De 500 m a 2 km"))))))</f>
        <v>7. Acima de 2 km</v>
      </c>
      <c r="L1001" s="26" t="n">
        <v>0</v>
      </c>
      <c r="M1001" s="26" t="n">
        <v>0</v>
      </c>
      <c r="N1001" s="26" t="n">
        <v>0</v>
      </c>
      <c r="O1001" s="26" t="n">
        <v>0</v>
      </c>
      <c r="P1001" s="30" t="n">
        <v>-11.33371768</v>
      </c>
      <c r="Q1001" s="30" t="n">
        <v>-41.92896607</v>
      </c>
      <c r="R1001" s="14" t="inlineStr">
        <is>
          <t>RUA FORTALEZA, 500, BAIRRO FÓRUM, IRECÊ (BA).</t>
        </is>
      </c>
      <c r="S1001" s="26">
        <f>IF(A1001=A1000,0,1)</f>
        <v>0</v>
      </c>
      <c r="T1001" s="26">
        <f>IF(COUNTIF($B$4:B1001,B1001)=1,1,0)</f>
        <v>0</v>
      </c>
    </row>
    <row r="1002">
      <c r="A1002" s="14" t="inlineStr">
        <is>
          <t>IRECÊ</t>
        </is>
      </c>
      <c r="B1002" s="26" t="n">
        <v>95</v>
      </c>
      <c r="C1002" s="26" t="n">
        <v>1279</v>
      </c>
      <c r="D1002" s="14" t="inlineStr">
        <is>
          <t>ESCOLA MUNICIPAL ANISIO TEIXEIRA</t>
        </is>
      </c>
      <c r="E1002" s="14" t="inlineStr">
        <is>
          <t>POVOADO LAGOA NOVA</t>
        </is>
      </c>
      <c r="F1002" s="14" t="inlineStr">
        <is>
          <t>RUA DA CAIXA D'ÁGUA - ZONA RURAL</t>
        </is>
      </c>
      <c r="G1002" s="27" t="inlineStr">
        <is>
          <t>44900-000</t>
        </is>
      </c>
      <c r="H1002" s="15" t="n">
        <v>3</v>
      </c>
      <c r="I1002" s="28" t="inlineStr">
        <is>
          <t>NÃO</t>
        </is>
      </c>
      <c r="J1002" s="29" t="n">
        <v>135.8</v>
      </c>
      <c r="K1002" s="14" t="str">
        <f>IF(J1002="","7. Acima de 2 km",IF(J1002&lt;=50,"1. Até 50 m",IF(J1002&lt;=100,"2. De 50 a 100 m",IF(J1002&lt;=200,"3. De 100 a 200 m",IF(J1002&lt;=300,"4. De 200 a 300 m",IF(J1002&lt;=500,"5. De 300 a 500 m","6. De 500 m a 2 km"))))))</f>
        <v>3. De 100 a 200 m</v>
      </c>
      <c r="L1002" s="26" t="n">
        <v>0</v>
      </c>
      <c r="M1002" s="26" t="n">
        <v>0</v>
      </c>
      <c r="N1002" s="26" t="n">
        <v>1</v>
      </c>
      <c r="O1002" s="26" t="n">
        <v>1</v>
      </c>
      <c r="P1002" s="30" t="n">
        <v>-11.34073631</v>
      </c>
      <c r="Q1002" s="30" t="n">
        <v>-41.74382237</v>
      </c>
      <c r="R1002" s="14" t="inlineStr">
        <is>
          <t>RUA FORTALEZA, 500, BAIRRO FÓRUM, IRECÊ (BA).</t>
        </is>
      </c>
      <c r="S1002" s="26">
        <f>IF(A1002=A1001,0,1)</f>
        <v>0</v>
      </c>
      <c r="T1002" s="26">
        <f>IF(COUNTIF($B$4:B1002,B1002)=1,1,0)</f>
        <v>0</v>
      </c>
    </row>
    <row r="1003">
      <c r="A1003" s="14" t="inlineStr">
        <is>
          <t>IRECÊ</t>
        </is>
      </c>
      <c r="B1003" s="26" t="n">
        <v>95</v>
      </c>
      <c r="C1003" s="26" t="n">
        <v>1287</v>
      </c>
      <c r="D1003" s="14" t="inlineStr">
        <is>
          <t>PRÉDIO ESCOLAR JOSÉ ALVES DE ANDRADE</t>
        </is>
      </c>
      <c r="E1003" s="14" t="inlineStr">
        <is>
          <t>POVOADO MOCOZEIRO</t>
        </is>
      </c>
      <c r="F1003" s="14" t="inlineStr">
        <is>
          <t>POVOADO DE MOCOZEIRO - ZONA RURAL</t>
        </is>
      </c>
      <c r="G1003" s="27" t="inlineStr">
        <is>
          <t>44900-000</t>
        </is>
      </c>
      <c r="H1003" s="15" t="n">
        <v>2</v>
      </c>
      <c r="I1003" s="28" t="inlineStr">
        <is>
          <t>NÃO</t>
        </is>
      </c>
      <c r="J1003" s="29" t="n"/>
      <c r="K1003" s="14" t="str">
        <f>IF(J1003="","7. Acima de 2 km",IF(J1003&lt;=50,"1. Até 50 m",IF(J1003&lt;=100,"2. De 50 a 100 m",IF(J1003&lt;=200,"3. De 100 a 200 m",IF(J1003&lt;=300,"4. De 200 a 300 m",IF(J1003&lt;=500,"5. De 300 a 500 m","6. De 500 m a 2 km"))))))</f>
        <v>7. Acima de 2 km</v>
      </c>
      <c r="L1003" s="26" t="n">
        <v>0</v>
      </c>
      <c r="M1003" s="26" t="n">
        <v>0</v>
      </c>
      <c r="N1003" s="26" t="n">
        <v>0</v>
      </c>
      <c r="O1003" s="26" t="n">
        <v>0</v>
      </c>
      <c r="P1003" s="30" t="n">
        <v>-11.25739589</v>
      </c>
      <c r="Q1003" s="30" t="n">
        <v>-41.82333022</v>
      </c>
      <c r="R1003" s="14" t="inlineStr">
        <is>
          <t>RUA FORTALEZA, 500, BAIRRO FÓRUM, IRECÊ (BA).</t>
        </is>
      </c>
      <c r="S1003" s="26">
        <f>IF(A1003=A1002,0,1)</f>
        <v>0</v>
      </c>
      <c r="T1003" s="26">
        <f>IF(COUNTIF($B$4:B1003,B1003)=1,1,0)</f>
        <v>0</v>
      </c>
    </row>
    <row r="1004">
      <c r="A1004" s="14" t="inlineStr">
        <is>
          <t>IRECÊ</t>
        </is>
      </c>
      <c r="B1004" s="26" t="n">
        <v>95</v>
      </c>
      <c r="C1004" s="26" t="n">
        <v>1295</v>
      </c>
      <c r="D1004" s="14" t="inlineStr">
        <is>
          <t>ESCOLA JOSÉ PEREIRA DE OLIVEIRA</t>
        </is>
      </c>
      <c r="E1004" s="14" t="inlineStr">
        <is>
          <t>POVOADO FAZENDA NOVA</t>
        </is>
      </c>
      <c r="F1004" s="14" t="inlineStr">
        <is>
          <t>POVOADO FAZENDA NOVA - ZONA RURAL</t>
        </is>
      </c>
      <c r="G1004" s="27" t="inlineStr">
        <is>
          <t>44900-000</t>
        </is>
      </c>
      <c r="H1004" s="15" t="n">
        <v>1</v>
      </c>
      <c r="I1004" s="28" t="inlineStr">
        <is>
          <t>NÃO</t>
        </is>
      </c>
      <c r="J1004" s="29" t="n"/>
      <c r="K1004" s="14" t="str">
        <f>IF(J1004="","7. Acima de 2 km",IF(J1004&lt;=50,"1. Até 50 m",IF(J1004&lt;=100,"2. De 50 a 100 m",IF(J1004&lt;=200,"3. De 100 a 200 m",IF(J1004&lt;=300,"4. De 200 a 300 m",IF(J1004&lt;=500,"5. De 300 a 500 m","6. De 500 m a 2 km"))))))</f>
        <v>7. Acima de 2 km</v>
      </c>
      <c r="L1004" s="26" t="n">
        <v>0</v>
      </c>
      <c r="M1004" s="26" t="n">
        <v>0</v>
      </c>
      <c r="N1004" s="26" t="n">
        <v>0</v>
      </c>
      <c r="O1004" s="26" t="n">
        <v>0</v>
      </c>
      <c r="P1004" s="30" t="n">
        <v>-11.34799338</v>
      </c>
      <c r="Q1004" s="30" t="n">
        <v>-41.96575361</v>
      </c>
      <c r="R1004" s="14" t="inlineStr">
        <is>
          <t>RUA FORTALEZA, 500, BAIRRO FÓRUM, IRECÊ (BA).</t>
        </is>
      </c>
      <c r="S1004" s="26">
        <f>IF(A1004=A1003,0,1)</f>
        <v>0</v>
      </c>
      <c r="T1004" s="26">
        <f>IF(COUNTIF($B$4:B1004,B1004)=1,1,0)</f>
        <v>0</v>
      </c>
    </row>
    <row r="1005">
      <c r="A1005" s="14" t="inlineStr">
        <is>
          <t>IRECÊ</t>
        </is>
      </c>
      <c r="B1005" s="26" t="n">
        <v>95</v>
      </c>
      <c r="C1005" s="26" t="n">
        <v>1309</v>
      </c>
      <c r="D1005" s="14" t="inlineStr">
        <is>
          <t>ESCOLA MUNICIPAL PROFA. ANITA MARQUES DOURADO</t>
        </is>
      </c>
      <c r="E1005" s="14" t="inlineStr">
        <is>
          <t>POVOADO MEIA HORA</t>
        </is>
      </c>
      <c r="F1005" s="14" t="inlineStr">
        <is>
          <t>RUA ANTONIO FRANCA DOURADO, 01- ZONA RURAL</t>
        </is>
      </c>
      <c r="G1005" s="27" t="inlineStr">
        <is>
          <t>44900-000</t>
        </is>
      </c>
      <c r="H1005" s="15" t="n">
        <v>2</v>
      </c>
      <c r="I1005" s="28" t="inlineStr">
        <is>
          <t>NÃO</t>
        </is>
      </c>
      <c r="J1005" s="29" t="n"/>
      <c r="K1005" s="14" t="str">
        <f>IF(J1005="","7. Acima de 2 km",IF(J1005&lt;=50,"1. Até 50 m",IF(J1005&lt;=100,"2. De 50 a 100 m",IF(J1005&lt;=200,"3. De 100 a 200 m",IF(J1005&lt;=300,"4. De 200 a 300 m",IF(J1005&lt;=500,"5. De 300 a 500 m","6. De 500 m a 2 km"))))))</f>
        <v>7. Acima de 2 km</v>
      </c>
      <c r="L1005" s="26" t="n">
        <v>0</v>
      </c>
      <c r="M1005" s="26" t="n">
        <v>0</v>
      </c>
      <c r="N1005" s="26" t="n">
        <v>0</v>
      </c>
      <c r="O1005" s="26" t="n">
        <v>0</v>
      </c>
      <c r="P1005" s="30" t="n">
        <v>-11.29509198</v>
      </c>
      <c r="Q1005" s="30" t="n">
        <v>-41.8194142</v>
      </c>
      <c r="R1005" s="14" t="inlineStr">
        <is>
          <t>RUA FORTALEZA, 500, BAIRRO FÓRUM, IRECÊ (BA).</t>
        </is>
      </c>
      <c r="S1005" s="26">
        <f>IF(A1005=A1004,0,1)</f>
        <v>0</v>
      </c>
      <c r="T1005" s="26">
        <f>IF(COUNTIF($B$4:B1005,B1005)=1,1,0)</f>
        <v>0</v>
      </c>
    </row>
    <row r="1006">
      <c r="A1006" s="14" t="inlineStr">
        <is>
          <t>IRECÊ</t>
        </is>
      </c>
      <c r="B1006" s="26" t="n">
        <v>95</v>
      </c>
      <c r="C1006" s="26" t="n">
        <v>1325</v>
      </c>
      <c r="D1006" s="14" t="inlineStr">
        <is>
          <t>ESCOLA MUNICIPAL QUILOMBOLA JOSE M. DA SILVA</t>
        </is>
      </c>
      <c r="E1006" s="14" t="inlineStr">
        <is>
          <t>POVOADO BAIXÃO ZÉ PRETO</t>
        </is>
      </c>
      <c r="F1006" s="14" t="inlineStr">
        <is>
          <t>RUA DAS FLORES, S/N - ZONA RURAL</t>
        </is>
      </c>
      <c r="G1006" s="27" t="inlineStr">
        <is>
          <t>44900-000</t>
        </is>
      </c>
      <c r="H1006" s="15" t="n">
        <v>2</v>
      </c>
      <c r="I1006" s="28" t="inlineStr">
        <is>
          <t>NÃO</t>
        </is>
      </c>
      <c r="J1006" s="29" t="n"/>
      <c r="K1006" s="14" t="str">
        <f>IF(J1006="","7. Acima de 2 km",IF(J1006&lt;=50,"1. Até 50 m",IF(J1006&lt;=100,"2. De 50 a 100 m",IF(J1006&lt;=200,"3. De 100 a 200 m",IF(J1006&lt;=300,"4. De 200 a 300 m",IF(J1006&lt;=500,"5. De 300 a 500 m","6. De 500 m a 2 km"))))))</f>
        <v>7. Acima de 2 km</v>
      </c>
      <c r="L1006" s="26" t="n">
        <v>0</v>
      </c>
      <c r="M1006" s="26" t="n">
        <v>0</v>
      </c>
      <c r="N1006" s="26" t="n">
        <v>0</v>
      </c>
      <c r="O1006" s="26" t="n">
        <v>0</v>
      </c>
      <c r="P1006" s="30" t="n">
        <v>-11.27046293</v>
      </c>
      <c r="Q1006" s="30" t="n">
        <v>-41.91899168</v>
      </c>
      <c r="R1006" s="14" t="inlineStr">
        <is>
          <t>RUA FORTALEZA, 500, BAIRRO FÓRUM, IRECÊ (BA).</t>
        </is>
      </c>
      <c r="S1006" s="26">
        <f>IF(A1006=A1005,0,1)</f>
        <v>0</v>
      </c>
      <c r="T1006" s="26">
        <f>IF(COUNTIF($B$4:B1006,B1006)=1,1,0)</f>
        <v>0</v>
      </c>
    </row>
    <row r="1007">
      <c r="A1007" s="14" t="inlineStr">
        <is>
          <t>IRECÊ</t>
        </is>
      </c>
      <c r="B1007" s="26" t="n">
        <v>95</v>
      </c>
      <c r="C1007" s="26" t="n">
        <v>1333</v>
      </c>
      <c r="D1007" s="14" t="inlineStr">
        <is>
          <t>ESCOLA MUNICIPAL SINÉSIA CALDEIRA BELA</t>
        </is>
      </c>
      <c r="E1007" s="14" t="inlineStr">
        <is>
          <t>BAIXÃO SINÉSIA</t>
        </is>
      </c>
      <c r="F1007" s="14" t="inlineStr">
        <is>
          <t>RUA BOA ESPERANÇA, S/N - ZONA URBANA</t>
        </is>
      </c>
      <c r="G1007" s="27" t="inlineStr">
        <is>
          <t>44900-000</t>
        </is>
      </c>
      <c r="H1007" s="15" t="n">
        <v>4</v>
      </c>
      <c r="I1007" s="28" t="inlineStr">
        <is>
          <t>NÃO</t>
        </is>
      </c>
      <c r="J1007" s="29" t="n">
        <v>1042.1</v>
      </c>
      <c r="K1007" s="14" t="str">
        <f>IF(J1007="","7. Acima de 2 km",IF(J1007&lt;=50,"1. Até 50 m",IF(J1007&lt;=100,"2. De 50 a 100 m",IF(J1007&lt;=200,"3. De 100 a 200 m",IF(J1007&lt;=300,"4. De 200 a 300 m",IF(J1007&lt;=500,"5. De 300 a 500 m","6. De 500 m a 2 km"))))))</f>
        <v>6. De 500 m a 2 km</v>
      </c>
      <c r="L1007" s="26" t="n">
        <v>0</v>
      </c>
      <c r="M1007" s="26" t="n">
        <v>0</v>
      </c>
      <c r="N1007" s="26" t="n">
        <v>0</v>
      </c>
      <c r="O1007" s="26" t="n">
        <v>0</v>
      </c>
      <c r="P1007" s="30" t="n">
        <v>-11.30432053</v>
      </c>
      <c r="Q1007" s="30" t="n">
        <v>-41.8371244</v>
      </c>
      <c r="R1007" s="14" t="inlineStr">
        <is>
          <t>RUA FORTALEZA, 500, BAIRRO FÓRUM, IRECÊ (BA).</t>
        </is>
      </c>
      <c r="S1007" s="26">
        <f>IF(A1007=A1006,0,1)</f>
        <v>0</v>
      </c>
      <c r="T1007" s="26">
        <f>IF(COUNTIF($B$4:B1007,B1007)=1,1,0)</f>
        <v>0</v>
      </c>
    </row>
    <row r="1008">
      <c r="A1008" s="14" t="inlineStr">
        <is>
          <t>IRECÊ</t>
        </is>
      </c>
      <c r="B1008" s="26" t="n">
        <v>95</v>
      </c>
      <c r="C1008" s="26" t="n">
        <v>1341</v>
      </c>
      <c r="D1008" s="14" t="inlineStr">
        <is>
          <t>ESCOLA ANTONIO RODRIGUES DA ROCHA</t>
        </is>
      </c>
      <c r="E1008" s="14" t="inlineStr">
        <is>
          <t>POVOADO QUEIMADA DOS RODRIGUES</t>
        </is>
      </c>
      <c r="F1008" s="14" t="inlineStr">
        <is>
          <t>POVOADO QUEIMADA DOS RODRIGUES - ZONA RURAL</t>
        </is>
      </c>
      <c r="G1008" s="27" t="inlineStr">
        <is>
          <t>44900-000</t>
        </is>
      </c>
      <c r="H1008" s="15" t="n">
        <v>1</v>
      </c>
      <c r="I1008" s="28" t="inlineStr">
        <is>
          <t>NÃO</t>
        </is>
      </c>
      <c r="J1008" s="29" t="n"/>
      <c r="K1008" s="14" t="str">
        <f>IF(J1008="","7. Acima de 2 km",IF(J1008&lt;=50,"1. Até 50 m",IF(J1008&lt;=100,"2. De 50 a 100 m",IF(J1008&lt;=200,"3. De 100 a 200 m",IF(J1008&lt;=300,"4. De 200 a 300 m",IF(J1008&lt;=500,"5. De 300 a 500 m","6. De 500 m a 2 km"))))))</f>
        <v>7. Acima de 2 km</v>
      </c>
      <c r="L1008" s="26" t="n">
        <v>0</v>
      </c>
      <c r="M1008" s="26" t="n">
        <v>0</v>
      </c>
      <c r="N1008" s="26" t="n">
        <v>0</v>
      </c>
      <c r="O1008" s="26" t="n">
        <v>0</v>
      </c>
      <c r="P1008" s="30" t="n">
        <v>-11.35751889</v>
      </c>
      <c r="Q1008" s="30" t="n">
        <v>-41.92471734</v>
      </c>
      <c r="R1008" s="14" t="inlineStr">
        <is>
          <t>RUA FORTALEZA, 500, BAIRRO FÓRUM, IRECÊ (BA).</t>
        </is>
      </c>
      <c r="S1008" s="26">
        <f>IF(A1008=A1007,0,1)</f>
        <v>0</v>
      </c>
      <c r="T1008" s="26">
        <f>IF(COUNTIF($B$4:B1008,B1008)=1,1,0)</f>
        <v>0</v>
      </c>
    </row>
    <row r="1009">
      <c r="A1009" s="14" t="inlineStr">
        <is>
          <t>IRECÊ</t>
        </is>
      </c>
      <c r="B1009" s="26" t="n">
        <v>95</v>
      </c>
      <c r="C1009" s="26" t="n">
        <v>1350</v>
      </c>
      <c r="D1009" s="14" t="inlineStr">
        <is>
          <t>ESCOLA MUNICIPAL EDIVANILSON ALECRIM MACHADO</t>
        </is>
      </c>
      <c r="E1009" s="14" t="inlineStr">
        <is>
          <t>SÃO FRANCISCO</t>
        </is>
      </c>
      <c r="F1009" s="14" t="inlineStr">
        <is>
          <t>RUA HORÁCIO FERNANDES, S/N - ZONA URBANA</t>
        </is>
      </c>
      <c r="G1009" s="27" t="inlineStr">
        <is>
          <t>44900-000</t>
        </is>
      </c>
      <c r="H1009" s="15" t="n">
        <v>3</v>
      </c>
      <c r="I1009" s="28" t="inlineStr">
        <is>
          <t>NÃO</t>
        </is>
      </c>
      <c r="J1009" s="29" t="n">
        <v>1085.8</v>
      </c>
      <c r="K1009" s="14" t="str">
        <f>IF(J1009="","7. Acima de 2 km",IF(J1009&lt;=50,"1. Até 50 m",IF(J1009&lt;=100,"2. De 50 a 100 m",IF(J1009&lt;=200,"3. De 100 a 200 m",IF(J1009&lt;=300,"4. De 200 a 300 m",IF(J1009&lt;=500,"5. De 300 a 500 m","6. De 500 m a 2 km"))))))</f>
        <v>6. De 500 m a 2 km</v>
      </c>
      <c r="L1009" s="26" t="n">
        <v>0</v>
      </c>
      <c r="M1009" s="26" t="n">
        <v>0</v>
      </c>
      <c r="N1009" s="26" t="n">
        <v>0</v>
      </c>
      <c r="O1009" s="26" t="n">
        <v>0</v>
      </c>
      <c r="P1009" s="30" t="n">
        <v>-11.29729668</v>
      </c>
      <c r="Q1009" s="30" t="n">
        <v>-41.8751702</v>
      </c>
      <c r="R1009" s="14" t="inlineStr">
        <is>
          <t>RUA FORTALEZA, 500, BAIRRO FÓRUM, IRECÊ (BA).</t>
        </is>
      </c>
      <c r="S1009" s="26">
        <f>IF(A1009=A1008,0,1)</f>
        <v>0</v>
      </c>
      <c r="T1009" s="26">
        <f>IF(COUNTIF($B$4:B1009,B1009)=1,1,0)</f>
        <v>0</v>
      </c>
    </row>
    <row r="1010">
      <c r="A1010" s="14" t="inlineStr">
        <is>
          <t>IRECÊ</t>
        </is>
      </c>
      <c r="B1010" s="26" t="n">
        <v>95</v>
      </c>
      <c r="C1010" s="26" t="n">
        <v>1376</v>
      </c>
      <c r="D1010" s="14" t="inlineStr">
        <is>
          <t>ESCOLA FLORIANO DOURADO</t>
        </is>
      </c>
      <c r="E1010" s="14" t="inlineStr">
        <is>
          <t>POVOADO QUEIMADA DO FLORIANO</t>
        </is>
      </c>
      <c r="F1010" s="14" t="inlineStr">
        <is>
          <t>POVOADO DE QUEIMADA DO FLORIANO - ZONA RURAL</t>
        </is>
      </c>
      <c r="G1010" s="27" t="inlineStr">
        <is>
          <t>44900-000</t>
        </is>
      </c>
      <c r="H1010" s="15" t="n">
        <v>1</v>
      </c>
      <c r="I1010" s="28" t="inlineStr">
        <is>
          <t>NÃO</t>
        </is>
      </c>
      <c r="J1010" s="29" t="n"/>
      <c r="K1010" s="14" t="str">
        <f>IF(J1010="","7. Acima de 2 km",IF(J1010&lt;=50,"1. Até 50 m",IF(J1010&lt;=100,"2. De 50 a 100 m",IF(J1010&lt;=200,"3. De 100 a 200 m",IF(J1010&lt;=300,"4. De 200 a 300 m",IF(J1010&lt;=500,"5. De 300 a 500 m","6. De 500 m a 2 km"))))))</f>
        <v>7. Acima de 2 km</v>
      </c>
      <c r="L1010" s="26" t="n">
        <v>0</v>
      </c>
      <c r="M1010" s="26" t="n">
        <v>0</v>
      </c>
      <c r="N1010" s="26" t="n">
        <v>0</v>
      </c>
      <c r="O1010" s="26" t="n">
        <v>0</v>
      </c>
      <c r="P1010" s="30" t="n">
        <v>-11.2766486</v>
      </c>
      <c r="Q1010" s="30" t="n">
        <v>-41.75580397</v>
      </c>
      <c r="R1010" s="14" t="inlineStr">
        <is>
          <t>RUA FORTALEZA, 500, BAIRRO FÓRUM, IRECÊ (BA).</t>
        </is>
      </c>
      <c r="S1010" s="26">
        <f>IF(A1010=A1009,0,1)</f>
        <v>0</v>
      </c>
      <c r="T1010" s="26">
        <f>IF(COUNTIF($B$4:B1010,B1010)=1,1,0)</f>
        <v>0</v>
      </c>
    </row>
    <row r="1011">
      <c r="A1011" s="14" t="inlineStr">
        <is>
          <t>IRECÊ</t>
        </is>
      </c>
      <c r="B1011" s="26" t="n">
        <v>95</v>
      </c>
      <c r="C1011" s="26" t="n">
        <v>1384</v>
      </c>
      <c r="D1011" s="14" t="inlineStr">
        <is>
          <t>ESCOLA MUNICIPAL SÃO PEDRO</t>
        </is>
      </c>
      <c r="E1011" s="14" t="inlineStr">
        <is>
          <t>FUNDAÇÃO BRADESCO</t>
        </is>
      </c>
      <c r="F1011" s="14" t="inlineStr">
        <is>
          <t>RUA XIQUE-XIQUE, 150 - ZONA URBANA</t>
        </is>
      </c>
      <c r="G1011" s="27" t="inlineStr">
        <is>
          <t>44900-000</t>
        </is>
      </c>
      <c r="H1011" s="15" t="n">
        <v>3</v>
      </c>
      <c r="I1011" s="28" t="inlineStr">
        <is>
          <t>NÃO</t>
        </is>
      </c>
      <c r="J1011" s="29" t="n">
        <v>590.8</v>
      </c>
      <c r="K1011" s="14" t="str">
        <f>IF(J1011="","7. Acima de 2 km",IF(J1011&lt;=50,"1. Até 50 m",IF(J1011&lt;=100,"2. De 50 a 100 m",IF(J1011&lt;=200,"3. De 100 a 200 m",IF(J1011&lt;=300,"4. De 200 a 300 m",IF(J1011&lt;=500,"5. De 300 a 500 m","6. De 500 m a 2 km"))))))</f>
        <v>6. De 500 m a 2 km</v>
      </c>
      <c r="L1011" s="26" t="n">
        <v>0</v>
      </c>
      <c r="M1011" s="26" t="n">
        <v>0</v>
      </c>
      <c r="N1011" s="26" t="n">
        <v>0</v>
      </c>
      <c r="O1011" s="26" t="n">
        <v>0</v>
      </c>
      <c r="P1011" s="30" t="n">
        <v>-11.3060754</v>
      </c>
      <c r="Q1011" s="30" t="n">
        <v>-41.87199234</v>
      </c>
      <c r="R1011" s="14" t="inlineStr">
        <is>
          <t>RUA FORTALEZA, 500, BAIRRO FÓRUM, IRECÊ (BA).</t>
        </is>
      </c>
      <c r="S1011" s="26">
        <f>IF(A1011=A1010,0,1)</f>
        <v>0</v>
      </c>
      <c r="T1011" s="26">
        <f>IF(COUNTIF($B$4:B1011,B1011)=1,1,0)</f>
        <v>0</v>
      </c>
    </row>
    <row r="1012">
      <c r="A1012" s="14" t="inlineStr">
        <is>
          <t>IRECÊ</t>
        </is>
      </c>
      <c r="B1012" s="26" t="n">
        <v>95</v>
      </c>
      <c r="C1012" s="26" t="n">
        <v>1392</v>
      </c>
      <c r="D1012" s="14" t="inlineStr">
        <is>
          <t>ESCOLA MUNICIPAL PROFA. IRINALVA DIAS</t>
        </is>
      </c>
      <c r="E1012" s="14" t="inlineStr">
        <is>
          <t>PARAISO</t>
        </is>
      </c>
      <c r="F1012" s="14" t="inlineStr">
        <is>
          <t>CAMINHO 17, S/N - ZONA URBANA</t>
        </is>
      </c>
      <c r="G1012" s="27" t="inlineStr">
        <is>
          <t>44900-000</t>
        </is>
      </c>
      <c r="H1012" s="15" t="n">
        <v>2</v>
      </c>
      <c r="I1012" s="28" t="inlineStr">
        <is>
          <t>NÃO</t>
        </is>
      </c>
      <c r="J1012" s="29" t="n">
        <v>318.6</v>
      </c>
      <c r="K1012" s="14" t="str">
        <f>IF(J1012="","7. Acima de 2 km",IF(J1012&lt;=50,"1. Até 50 m",IF(J1012&lt;=100,"2. De 50 a 100 m",IF(J1012&lt;=200,"3. De 100 a 200 m",IF(J1012&lt;=300,"4. De 200 a 300 m",IF(J1012&lt;=500,"5. De 300 a 500 m","6. De 500 m a 2 km"))))))</f>
        <v>5. De 300 a 500 m</v>
      </c>
      <c r="L1012" s="26" t="n">
        <v>0</v>
      </c>
      <c r="M1012" s="26" t="n">
        <v>0</v>
      </c>
      <c r="N1012" s="26" t="n">
        <v>0</v>
      </c>
      <c r="O1012" s="26" t="n">
        <v>0</v>
      </c>
      <c r="P1012" s="30" t="n">
        <v>-11.31139121</v>
      </c>
      <c r="Q1012" s="30" t="n">
        <v>-41.8745527</v>
      </c>
      <c r="R1012" s="14" t="inlineStr">
        <is>
          <t>RUA FORTALEZA, 500, BAIRRO FÓRUM, IRECÊ (BA).</t>
        </is>
      </c>
      <c r="S1012" s="26">
        <f>IF(A1012=A1011,0,1)</f>
        <v>0</v>
      </c>
      <c r="T1012" s="26">
        <f>IF(COUNTIF($B$4:B1012,B1012)=1,1,0)</f>
        <v>0</v>
      </c>
    </row>
    <row r="1013">
      <c r="A1013" s="14" t="inlineStr">
        <is>
          <t>IRECÊ</t>
        </is>
      </c>
      <c r="B1013" s="26" t="n">
        <v>95</v>
      </c>
      <c r="C1013" s="26" t="n">
        <v>1406</v>
      </c>
      <c r="D1013" s="14" t="inlineStr">
        <is>
          <t>ESCOLA MUNICIPAL NOSSA INFÂNCIA</t>
        </is>
      </c>
      <c r="E1013" s="14" t="inlineStr">
        <is>
          <t>ARNÓBIO BATISTA</t>
        </is>
      </c>
      <c r="F1013" s="14" t="inlineStr">
        <is>
          <t>RUA ÍNDIO MAMEDE, S/N - ZONA URBANA</t>
        </is>
      </c>
      <c r="G1013" s="27" t="inlineStr">
        <is>
          <t>44900-000</t>
        </is>
      </c>
      <c r="H1013" s="15" t="n">
        <v>3</v>
      </c>
      <c r="I1013" s="28" t="inlineStr">
        <is>
          <t>NÃO</t>
        </is>
      </c>
      <c r="J1013" s="29" t="n">
        <v>376.5</v>
      </c>
      <c r="K1013" s="14" t="str">
        <f>IF(J1013="","7. Acima de 2 km",IF(J1013&lt;=50,"1. Até 50 m",IF(J1013&lt;=100,"2. De 50 a 100 m",IF(J1013&lt;=200,"3. De 100 a 200 m",IF(J1013&lt;=300,"4. De 200 a 300 m",IF(J1013&lt;=500,"5. De 300 a 500 m","6. De 500 m a 2 km"))))))</f>
        <v>5. De 300 a 500 m</v>
      </c>
      <c r="L1013" s="26" t="n">
        <v>0</v>
      </c>
      <c r="M1013" s="26" t="n">
        <v>0</v>
      </c>
      <c r="N1013" s="26" t="n">
        <v>0</v>
      </c>
      <c r="O1013" s="26" t="n">
        <v>0</v>
      </c>
      <c r="P1013" s="30" t="n">
        <v>-11.30648865</v>
      </c>
      <c r="Q1013" s="30" t="n">
        <v>-41.86325263</v>
      </c>
      <c r="R1013" s="14" t="inlineStr">
        <is>
          <t>RUA FORTALEZA, 500, BAIRRO FÓRUM, IRECÊ (BA).</t>
        </is>
      </c>
      <c r="S1013" s="26">
        <f>IF(A1013=A1012,0,1)</f>
        <v>0</v>
      </c>
      <c r="T1013" s="26">
        <f>IF(COUNTIF($B$4:B1013,B1013)=1,1,0)</f>
        <v>0</v>
      </c>
    </row>
    <row r="1014">
      <c r="A1014" s="14" t="inlineStr">
        <is>
          <t>IRECÊ</t>
        </is>
      </c>
      <c r="B1014" s="26" t="n">
        <v>95</v>
      </c>
      <c r="C1014" s="26" t="n">
        <v>1414</v>
      </c>
      <c r="D1014" s="14" t="inlineStr">
        <is>
          <t>ESCOLA MUNICIPAL MARCONDES BATISTA FÉLIX</t>
        </is>
      </c>
      <c r="E1014" s="14" t="inlineStr">
        <is>
          <t>LOTEAMENTO FÉLIX</t>
        </is>
      </c>
      <c r="F1014" s="14" t="inlineStr">
        <is>
          <t>RUA ALTO DO MOURA, S/N - LOTEAMENTO FÉLIX - ZONA URBANA</t>
        </is>
      </c>
      <c r="G1014" s="27" t="inlineStr">
        <is>
          <t>44900-000</t>
        </is>
      </c>
      <c r="H1014" s="15" t="n">
        <v>2</v>
      </c>
      <c r="I1014" s="28" t="inlineStr">
        <is>
          <t>NÃO</t>
        </is>
      </c>
      <c r="J1014" s="29" t="n">
        <v>448.8</v>
      </c>
      <c r="K1014" s="14" t="str">
        <f>IF(J1014="","7. Acima de 2 km",IF(J1014&lt;=50,"1. Até 50 m",IF(J1014&lt;=100,"2. De 50 a 100 m",IF(J1014&lt;=200,"3. De 100 a 200 m",IF(J1014&lt;=300,"4. De 200 a 300 m",IF(J1014&lt;=500,"5. De 300 a 500 m","6. De 500 m a 2 km"))))))</f>
        <v>5. De 300 a 500 m</v>
      </c>
      <c r="L1014" s="26" t="n">
        <v>0</v>
      </c>
      <c r="M1014" s="26" t="n">
        <v>0</v>
      </c>
      <c r="N1014" s="26" t="n">
        <v>0</v>
      </c>
      <c r="O1014" s="26" t="n">
        <v>0</v>
      </c>
      <c r="P1014" s="30" t="n">
        <v>-11.30639918</v>
      </c>
      <c r="Q1014" s="30" t="n">
        <v>-41.87575754</v>
      </c>
      <c r="R1014" s="14" t="inlineStr">
        <is>
          <t>RUA FORTALEZA, 500, BAIRRO FÓRUM, IRECÊ (BA).</t>
        </is>
      </c>
      <c r="S1014" s="26">
        <f>IF(A1014=A1013,0,1)</f>
        <v>0</v>
      </c>
      <c r="T1014" s="26">
        <f>IF(COUNTIF($B$4:B1014,B1014)=1,1,0)</f>
        <v>0</v>
      </c>
    </row>
    <row r="1015">
      <c r="A1015" s="14" t="inlineStr">
        <is>
          <t>IRECÊ</t>
        </is>
      </c>
      <c r="B1015" s="26" t="n">
        <v>95</v>
      </c>
      <c r="C1015" s="26" t="n">
        <v>1465</v>
      </c>
      <c r="D1015" s="14" t="inlineStr">
        <is>
          <t>ESCOLA PARQUE MUNICIPAL INENY NUNES DOURADO</t>
        </is>
      </c>
      <c r="E1015" s="14" t="inlineStr">
        <is>
          <t>SÃO JOSÉ</t>
        </is>
      </c>
      <c r="F1015" s="14" t="inlineStr">
        <is>
          <t>AVENIDA GUARARAPES, S/N - ZONA URBANA</t>
        </is>
      </c>
      <c r="G1015" s="27" t="inlineStr">
        <is>
          <t>44900-000</t>
        </is>
      </c>
      <c r="H1015" s="15" t="n">
        <v>5</v>
      </c>
      <c r="I1015" s="28" t="inlineStr">
        <is>
          <t>NÃO</t>
        </is>
      </c>
      <c r="J1015" s="29" t="n">
        <v>735.1</v>
      </c>
      <c r="K1015" s="14" t="str">
        <f>IF(J1015="","7. Acima de 2 km",IF(J1015&lt;=50,"1. Até 50 m",IF(J1015&lt;=100,"2. De 50 a 100 m",IF(J1015&lt;=200,"3. De 100 a 200 m",IF(J1015&lt;=300,"4. De 200 a 300 m",IF(J1015&lt;=500,"5. De 300 a 500 m","6. De 500 m a 2 km"))))))</f>
        <v>6. De 500 m a 2 km</v>
      </c>
      <c r="L1015" s="26" t="n">
        <v>0</v>
      </c>
      <c r="M1015" s="26" t="n">
        <v>0</v>
      </c>
      <c r="N1015" s="26" t="n">
        <v>0</v>
      </c>
      <c r="O1015" s="26" t="n">
        <v>0</v>
      </c>
      <c r="P1015" s="30" t="n">
        <v>-11.30360899</v>
      </c>
      <c r="Q1015" s="30" t="n">
        <v>-41.84204065</v>
      </c>
      <c r="R1015" s="14" t="inlineStr">
        <is>
          <t>RUA FORTALEZA, 500, BAIRRO FÓRUM, IRECÊ (BA).</t>
        </is>
      </c>
      <c r="S1015" s="26">
        <f>IF(A1015=A1014,0,1)</f>
        <v>0</v>
      </c>
      <c r="T1015" s="26">
        <f>IF(COUNTIF($B$4:B1015,B1015)=1,1,0)</f>
        <v>0</v>
      </c>
    </row>
    <row r="1016">
      <c r="A1016" s="14" t="inlineStr">
        <is>
          <t>IRECÊ</t>
        </is>
      </c>
      <c r="B1016" s="26" t="n">
        <v>95</v>
      </c>
      <c r="C1016" s="26" t="n">
        <v>1473</v>
      </c>
      <c r="D1016" s="14" t="inlineStr">
        <is>
          <t>ESCOLA MUNICIPAL PADRE CÍCERO</t>
        </is>
      </c>
      <c r="E1016" s="14" t="inlineStr">
        <is>
          <t>SILVA PEREIRA</t>
        </is>
      </c>
      <c r="F1016" s="14" t="inlineStr">
        <is>
          <t>RUA MAJOR RUBENS VAZ, S/N - ZONA URBANA</t>
        </is>
      </c>
      <c r="G1016" s="27" t="inlineStr">
        <is>
          <t>44900-000</t>
        </is>
      </c>
      <c r="H1016" s="15" t="n">
        <v>2</v>
      </c>
      <c r="I1016" s="28" t="inlineStr">
        <is>
          <t>NÃO</t>
        </is>
      </c>
      <c r="J1016" s="29" t="n">
        <v>242.8</v>
      </c>
      <c r="K1016" s="14" t="str">
        <f>IF(J1016="","7. Acima de 2 km",IF(J1016&lt;=50,"1. Até 50 m",IF(J1016&lt;=100,"2. De 50 a 100 m",IF(J1016&lt;=200,"3. De 100 a 200 m",IF(J1016&lt;=300,"4. De 200 a 300 m",IF(J1016&lt;=500,"5. De 300 a 500 m","6. De 500 m a 2 km"))))))</f>
        <v>4. De 200 a 300 m</v>
      </c>
      <c r="L1016" s="26" t="n">
        <v>0</v>
      </c>
      <c r="M1016" s="26" t="n">
        <v>0</v>
      </c>
      <c r="N1016" s="26" t="n">
        <v>0</v>
      </c>
      <c r="O1016" s="26" t="n">
        <v>1</v>
      </c>
      <c r="P1016" s="30" t="n">
        <v>-11.29190961</v>
      </c>
      <c r="Q1016" s="30" t="n">
        <v>-41.85309001</v>
      </c>
      <c r="R1016" s="14" t="inlineStr">
        <is>
          <t>RUA FORTALEZA, 500, BAIRRO FÓRUM, IRECÊ (BA).</t>
        </is>
      </c>
      <c r="S1016" s="26">
        <f>IF(A1016=A1015,0,1)</f>
        <v>0</v>
      </c>
      <c r="T1016" s="26">
        <f>IF(COUNTIF($B$4:B1016,B1016)=1,1,0)</f>
        <v>0</v>
      </c>
    </row>
    <row r="1017">
      <c r="A1017" s="14" t="inlineStr">
        <is>
          <t>IRECÊ</t>
        </is>
      </c>
      <c r="B1017" s="26" t="n">
        <v>95</v>
      </c>
      <c r="C1017" s="26" t="n">
        <v>1481</v>
      </c>
      <c r="D1017" s="14" t="inlineStr">
        <is>
          <t>INSTITUTO FEDERAL DE EDUCAÇÃO, CIÊNCIA E TECNOLOGIA DA BAHIA - IFBA</t>
        </is>
      </c>
      <c r="E1017" s="14" t="inlineStr">
        <is>
          <t>VILA ESPERANÇA</t>
        </is>
      </c>
      <c r="F1017" s="14" t="inlineStr">
        <is>
          <t>RODOVIA 148, KM 04, N 1800 - ZONA URBANA</t>
        </is>
      </c>
      <c r="G1017" s="27" t="inlineStr">
        <is>
          <t>44900-000</t>
        </is>
      </c>
      <c r="H1017" s="15" t="n">
        <v>3</v>
      </c>
      <c r="I1017" s="28" t="inlineStr">
        <is>
          <t>NÃO</t>
        </is>
      </c>
      <c r="J1017" s="29" t="n">
        <v>180.6</v>
      </c>
      <c r="K1017" s="14" t="str">
        <f>IF(J1017="","7. Acima de 2 km",IF(J1017&lt;=50,"1. Até 50 m",IF(J1017&lt;=100,"2. De 50 a 100 m",IF(J1017&lt;=200,"3. De 100 a 200 m",IF(J1017&lt;=300,"4. De 200 a 300 m",IF(J1017&lt;=500,"5. De 300 a 500 m","6. De 500 m a 2 km"))))))</f>
        <v>3. De 100 a 200 m</v>
      </c>
      <c r="L1017" s="26" t="n">
        <v>0</v>
      </c>
      <c r="M1017" s="26" t="n">
        <v>0</v>
      </c>
      <c r="N1017" s="26" t="n">
        <v>1</v>
      </c>
      <c r="O1017" s="26" t="n">
        <v>1</v>
      </c>
      <c r="P1017" s="30" t="n">
        <v>-11.32761713</v>
      </c>
      <c r="Q1017" s="30" t="n">
        <v>-41.86397238</v>
      </c>
      <c r="R1017" s="14" t="inlineStr">
        <is>
          <t>RUA FORTALEZA, 500, BAIRRO FÓRUM, IRECÊ (BA).</t>
        </is>
      </c>
      <c r="S1017" s="26">
        <f>IF(A1017=A1016,0,1)</f>
        <v>0</v>
      </c>
      <c r="T1017" s="26">
        <f>IF(COUNTIF($B$4:B1017,B1017)=1,1,0)</f>
        <v>0</v>
      </c>
    </row>
    <row r="1018">
      <c r="A1018" s="14" t="inlineStr">
        <is>
          <t>IRECÊ</t>
        </is>
      </c>
      <c r="B1018" s="26" t="n">
        <v>95</v>
      </c>
      <c r="C1018" s="26" t="n">
        <v>1490</v>
      </c>
      <c r="D1018" s="14" t="inlineStr">
        <is>
          <t>COLÉGIO COMETA</t>
        </is>
      </c>
      <c r="E1018" s="14" t="inlineStr">
        <is>
          <t>RECANTO DAS ÁRVORES</t>
        </is>
      </c>
      <c r="F1018" s="14" t="inlineStr">
        <is>
          <t>RUA RIO IGUAÇU, 397 - ZONA URBANA</t>
        </is>
      </c>
      <c r="G1018" s="27" t="inlineStr">
        <is>
          <t>44900-000</t>
        </is>
      </c>
      <c r="H1018" s="15" t="n">
        <v>5</v>
      </c>
      <c r="I1018" s="28" t="inlineStr">
        <is>
          <t>NÃO</t>
        </is>
      </c>
      <c r="J1018" s="29" t="n">
        <v>402.8</v>
      </c>
      <c r="K1018" s="14" t="str">
        <f>IF(J1018="","7. Acima de 2 km",IF(J1018&lt;=50,"1. Até 50 m",IF(J1018&lt;=100,"2. De 50 a 100 m",IF(J1018&lt;=200,"3. De 100 a 200 m",IF(J1018&lt;=300,"4. De 200 a 300 m",IF(J1018&lt;=500,"5. De 300 a 500 m","6. De 500 m a 2 km"))))))</f>
        <v>5. De 300 a 500 m</v>
      </c>
      <c r="L1018" s="26" t="n">
        <v>0</v>
      </c>
      <c r="M1018" s="26" t="n">
        <v>0</v>
      </c>
      <c r="N1018" s="26" t="n">
        <v>0</v>
      </c>
      <c r="O1018" s="26" t="n">
        <v>0</v>
      </c>
      <c r="P1018" s="30" t="n">
        <v>-11.31220797</v>
      </c>
      <c r="Q1018" s="30" t="n">
        <v>-41.85055982</v>
      </c>
      <c r="R1018" s="14" t="inlineStr">
        <is>
          <t>RUA FORTALEZA, 500, BAIRRO FÓRUM, IRECÊ (BA).</t>
        </is>
      </c>
      <c r="S1018" s="26">
        <f>IF(A1018=A1017,0,1)</f>
        <v>0</v>
      </c>
      <c r="T1018" s="26">
        <f>IF(COUNTIF($B$4:B1018,B1018)=1,1,0)</f>
        <v>0</v>
      </c>
    </row>
    <row r="1019">
      <c r="A1019" s="14" t="inlineStr">
        <is>
          <t>IRECÊ</t>
        </is>
      </c>
      <c r="B1019" s="26" t="n">
        <v>95</v>
      </c>
      <c r="C1019" s="26" t="n">
        <v>1503</v>
      </c>
      <c r="D1019" s="14" t="inlineStr">
        <is>
          <t>ESCOLA MUNICIPAL ANTÔNIO CARLOS MAGALHÃES</t>
        </is>
      </c>
      <c r="E1019" s="14" t="inlineStr">
        <is>
          <t>RECANTO DAS ÁRVORES</t>
        </is>
      </c>
      <c r="F1019" s="14" t="inlineStr">
        <is>
          <t>RUA RIO AMAZONAS, S/N - ZONA URBANA</t>
        </is>
      </c>
      <c r="G1019" s="27" t="inlineStr">
        <is>
          <t>44900-000</t>
        </is>
      </c>
      <c r="H1019" s="15" t="n">
        <v>4</v>
      </c>
      <c r="I1019" s="28" t="inlineStr">
        <is>
          <t>NÃO</t>
        </is>
      </c>
      <c r="J1019" s="29" t="n">
        <v>188.5</v>
      </c>
      <c r="K1019" s="14" t="str">
        <f>IF(J1019="","7. Acima de 2 km",IF(J1019&lt;=50,"1. Até 50 m",IF(J1019&lt;=100,"2. De 50 a 100 m",IF(J1019&lt;=200,"3. De 100 a 200 m",IF(J1019&lt;=300,"4. De 200 a 300 m",IF(J1019&lt;=500,"5. De 300 a 500 m","6. De 500 m a 2 km"))))))</f>
        <v>3. De 100 a 200 m</v>
      </c>
      <c r="L1019" s="26" t="n">
        <v>0</v>
      </c>
      <c r="M1019" s="26" t="n">
        <v>0</v>
      </c>
      <c r="N1019" s="26" t="n">
        <v>1</v>
      </c>
      <c r="O1019" s="26" t="n">
        <v>2</v>
      </c>
      <c r="P1019" s="30" t="n">
        <v>-11.30909838</v>
      </c>
      <c r="Q1019" s="30" t="n">
        <v>-41.8512343</v>
      </c>
      <c r="R1019" s="14" t="inlineStr">
        <is>
          <t>RUA FORTALEZA, 500, BAIRRO FÓRUM, IRECÊ (BA).</t>
        </is>
      </c>
      <c r="S1019" s="26">
        <f>IF(A1019=A1018,0,1)</f>
        <v>0</v>
      </c>
      <c r="T1019" s="26">
        <f>IF(COUNTIF($B$4:B1019,B1019)=1,1,0)</f>
        <v>0</v>
      </c>
    </row>
    <row r="1020">
      <c r="A1020" s="14" t="inlineStr">
        <is>
          <t>IRECÊ</t>
        </is>
      </c>
      <c r="B1020" s="26" t="n">
        <v>95</v>
      </c>
      <c r="C1020" s="26" t="n">
        <v>1511</v>
      </c>
      <c r="D1020" s="14" t="inlineStr">
        <is>
          <t>ESCOLA DE EDUCAÇÃO INFANTIL PROFA. RENA MARQUES DOURADO</t>
        </is>
      </c>
      <c r="E1020" s="14" t="inlineStr">
        <is>
          <t>VILA ESPERANÇA</t>
        </is>
      </c>
      <c r="F1020" s="14" t="inlineStr">
        <is>
          <t>RUA JOÃO DE BARRO, S/N - ZONA URBANA</t>
        </is>
      </c>
      <c r="G1020" s="27" t="inlineStr">
        <is>
          <t>44900-000</t>
        </is>
      </c>
      <c r="H1020" s="15" t="n">
        <v>3</v>
      </c>
      <c r="I1020" s="28" t="inlineStr">
        <is>
          <t>NÃO</t>
        </is>
      </c>
      <c r="J1020" s="29" t="n">
        <v>116</v>
      </c>
      <c r="K1020" s="14" t="str">
        <f>IF(J1020="","7. Acima de 2 km",IF(J1020&lt;=50,"1. Até 50 m",IF(J1020&lt;=100,"2. De 50 a 100 m",IF(J1020&lt;=200,"3. De 100 a 200 m",IF(J1020&lt;=300,"4. De 200 a 300 m",IF(J1020&lt;=500,"5. De 300 a 500 m","6. De 500 m a 2 km"))))))</f>
        <v>3. De 100 a 200 m</v>
      </c>
      <c r="L1020" s="26" t="n">
        <v>0</v>
      </c>
      <c r="M1020" s="26" t="n">
        <v>0</v>
      </c>
      <c r="N1020" s="26" t="n">
        <v>1</v>
      </c>
      <c r="O1020" s="26" t="n">
        <v>1</v>
      </c>
      <c r="P1020" s="30" t="n">
        <v>-11.32550513</v>
      </c>
      <c r="Q1020" s="30" t="n">
        <v>-41.8629541</v>
      </c>
      <c r="R1020" s="14" t="inlineStr">
        <is>
          <t>RUA FORTALEZA, 500, BAIRRO FÓRUM, IRECÊ (BA).</t>
        </is>
      </c>
      <c r="S1020" s="26">
        <f>IF(A1020=A1019,0,1)</f>
        <v>0</v>
      </c>
      <c r="T1020" s="26">
        <f>IF(COUNTIF($B$4:B1020,B1020)=1,1,0)</f>
        <v>0</v>
      </c>
    </row>
    <row r="1021">
      <c r="A1021" s="14" t="inlineStr">
        <is>
          <t>IRECÊ</t>
        </is>
      </c>
      <c r="B1021" s="26" t="n">
        <v>95</v>
      </c>
      <c r="C1021" s="26" t="n">
        <v>1520</v>
      </c>
      <c r="D1021" s="14" t="inlineStr">
        <is>
          <t>CRECHE ESCOLA LIONESS</t>
        </is>
      </c>
      <c r="E1021" s="14" t="inlineStr">
        <is>
          <t>FUNDAÇÃO BRADESCO</t>
        </is>
      </c>
      <c r="F1021" s="14" t="inlineStr">
        <is>
          <t>RUA UIBAÍ, 05 (EM FRENTE A FUNDAÇÃO BRADESCO) - ZONA URBANA</t>
        </is>
      </c>
      <c r="G1021" s="27" t="inlineStr">
        <is>
          <t>44900-000</t>
        </is>
      </c>
      <c r="H1021" s="15" t="n">
        <v>1</v>
      </c>
      <c r="I1021" s="28" t="inlineStr">
        <is>
          <t>NÃO</t>
        </is>
      </c>
      <c r="J1021" s="29" t="n">
        <v>225.8</v>
      </c>
      <c r="K1021" s="14" t="str">
        <f>IF(J1021="","7. Acima de 2 km",IF(J1021&lt;=50,"1. Até 50 m",IF(J1021&lt;=100,"2. De 50 a 100 m",IF(J1021&lt;=200,"3. De 100 a 200 m",IF(J1021&lt;=300,"4. De 200 a 300 m",IF(J1021&lt;=500,"5. De 300 a 500 m","6. De 500 m a 2 km"))))))</f>
        <v>4. De 200 a 300 m</v>
      </c>
      <c r="L1021" s="26" t="n">
        <v>0</v>
      </c>
      <c r="M1021" s="26" t="n">
        <v>0</v>
      </c>
      <c r="N1021" s="26" t="n">
        <v>0</v>
      </c>
      <c r="O1021" s="26" t="n">
        <v>1</v>
      </c>
      <c r="P1021" s="30" t="n">
        <v>-11.30517385</v>
      </c>
      <c r="Q1021" s="30" t="n">
        <v>-41.86861031</v>
      </c>
      <c r="R1021" s="14" t="inlineStr">
        <is>
          <t>RUA FORTALEZA, 500, BAIRRO FÓRUM, IRECÊ (BA).</t>
        </is>
      </c>
      <c r="S1021" s="26">
        <f>IF(A1021=A1020,0,1)</f>
        <v>0</v>
      </c>
      <c r="T1021" s="26">
        <f>IF(COUNTIF($B$4:B1021,B1021)=1,1,0)</f>
        <v>0</v>
      </c>
    </row>
    <row r="1022">
      <c r="A1022" s="14" t="inlineStr">
        <is>
          <t>IRECÊ</t>
        </is>
      </c>
      <c r="B1022" s="26" t="n">
        <v>95</v>
      </c>
      <c r="C1022" s="26" t="n">
        <v>1546</v>
      </c>
      <c r="D1022" s="14" t="inlineStr">
        <is>
          <t>ESCOLA DE EDUCAÇÃO INFANTIL PROFA. SILVIA MENDES PEREIRA</t>
        </is>
      </c>
      <c r="E1022" s="14" t="inlineStr">
        <is>
          <t>GINÁSIO DE ESPORTE</t>
        </is>
      </c>
      <c r="F1022" s="14" t="inlineStr">
        <is>
          <t>RUA F, S/N FUNDO DO PSF DO BAIRRO - ZONA URBANA</t>
        </is>
      </c>
      <c r="G1022" s="27" t="inlineStr">
        <is>
          <t>44900-000</t>
        </is>
      </c>
      <c r="H1022" s="15" t="n">
        <v>2</v>
      </c>
      <c r="I1022" s="28" t="inlineStr">
        <is>
          <t>NÃO</t>
        </is>
      </c>
      <c r="J1022" s="29" t="n">
        <v>419.1</v>
      </c>
      <c r="K1022" s="14" t="str">
        <f>IF(J1022="","7. Acima de 2 km",IF(J1022&lt;=50,"1. Até 50 m",IF(J1022&lt;=100,"2. De 50 a 100 m",IF(J1022&lt;=200,"3. De 100 a 200 m",IF(J1022&lt;=300,"4. De 200 a 300 m",IF(J1022&lt;=500,"5. De 300 a 500 m","6. De 500 m a 2 km"))))))</f>
        <v>5. De 300 a 500 m</v>
      </c>
      <c r="L1022" s="26" t="n">
        <v>0</v>
      </c>
      <c r="M1022" s="26" t="n">
        <v>0</v>
      </c>
      <c r="N1022" s="26" t="n">
        <v>0</v>
      </c>
      <c r="O1022" s="26" t="n">
        <v>0</v>
      </c>
      <c r="P1022" s="30" t="n">
        <v>-11.29520154</v>
      </c>
      <c r="Q1022" s="30" t="n">
        <v>-41.85425927</v>
      </c>
      <c r="R1022" s="14" t="inlineStr">
        <is>
          <t>RUA FORTALEZA, 500, BAIRRO FÓRUM, IRECÊ (BA).</t>
        </is>
      </c>
      <c r="S1022" s="26">
        <f>IF(A1022=A1021,0,1)</f>
        <v>0</v>
      </c>
      <c r="T1022" s="26">
        <f>IF(COUNTIF($B$4:B1022,B1022)=1,1,0)</f>
        <v>0</v>
      </c>
    </row>
    <row r="1023">
      <c r="A1023" s="14" t="inlineStr">
        <is>
          <t>IRECÊ</t>
        </is>
      </c>
      <c r="B1023" s="26" t="n">
        <v>95</v>
      </c>
      <c r="C1023" s="26" t="n">
        <v>1570</v>
      </c>
      <c r="D1023" s="14" t="inlineStr">
        <is>
          <t>ESCOLA DE EDUCAÇÃO INFANTIL ALICE CARDOSO DOURADO</t>
        </is>
      </c>
      <c r="E1023" s="14" t="inlineStr">
        <is>
          <t>PARAISO</t>
        </is>
      </c>
      <c r="F1023" s="14" t="inlineStr">
        <is>
          <t>AVENIDA A LOT. EDSON JOSÉ, 529 - ZONA URBANA</t>
        </is>
      </c>
      <c r="G1023" s="27" t="inlineStr">
        <is>
          <t>44900-000</t>
        </is>
      </c>
      <c r="H1023" s="15" t="n">
        <v>4</v>
      </c>
      <c r="I1023" s="28" t="inlineStr">
        <is>
          <t>NÃO</t>
        </is>
      </c>
      <c r="J1023" s="29" t="n">
        <v>276.9</v>
      </c>
      <c r="K1023" s="14" t="str">
        <f>IF(J1023="","7. Acima de 2 km",IF(J1023&lt;=50,"1. Até 50 m",IF(J1023&lt;=100,"2. De 50 a 100 m",IF(J1023&lt;=200,"3. De 100 a 200 m",IF(J1023&lt;=300,"4. De 200 a 300 m",IF(J1023&lt;=500,"5. De 300 a 500 m","6. De 500 m a 2 km"))))))</f>
        <v>4. De 200 a 300 m</v>
      </c>
      <c r="L1023" s="26" t="n">
        <v>0</v>
      </c>
      <c r="M1023" s="26" t="n">
        <v>0</v>
      </c>
      <c r="N1023" s="26" t="n">
        <v>0</v>
      </c>
      <c r="O1023" s="26" t="n">
        <v>1</v>
      </c>
      <c r="P1023" s="30" t="n">
        <v>-11.31318746</v>
      </c>
      <c r="Q1023" s="30" t="n">
        <v>-41.87332607</v>
      </c>
      <c r="R1023" s="14" t="inlineStr">
        <is>
          <t>RUA FORTALEZA, 500, BAIRRO FÓRUM, IRECÊ (BA).</t>
        </is>
      </c>
      <c r="S1023" s="26">
        <f>IF(A1023=A1022,0,1)</f>
        <v>0</v>
      </c>
      <c r="T1023" s="26">
        <f>IF(COUNTIF($B$4:B1023,B1023)=1,1,0)</f>
        <v>0</v>
      </c>
    </row>
    <row r="1024">
      <c r="A1024" s="14" t="inlineStr">
        <is>
          <t>ITABERABA</t>
        </is>
      </c>
      <c r="B1024" s="26" t="n">
        <v>42</v>
      </c>
      <c r="C1024" s="26" t="n">
        <v>1031</v>
      </c>
      <c r="D1024" s="14" t="inlineStr">
        <is>
          <t>CETEP (CENTRO TERRITORIAL DE EDUCAÇÃO) PIEMONTE DO PARAGUAÇU</t>
        </is>
      </c>
      <c r="E1024" s="14" t="inlineStr">
        <is>
          <t>CENTRO</t>
        </is>
      </c>
      <c r="F1024" s="14" t="inlineStr">
        <is>
          <t>RUA GOES CALMON. S/N -  ZONA URBANA</t>
        </is>
      </c>
      <c r="G1024" s="27" t="inlineStr">
        <is>
          <t>46880-000</t>
        </is>
      </c>
      <c r="H1024" s="15" t="n">
        <v>19</v>
      </c>
      <c r="I1024" s="28" t="inlineStr">
        <is>
          <t>NÃO</t>
        </is>
      </c>
      <c r="J1024" s="29" t="n">
        <v>368.5</v>
      </c>
      <c r="K1024" s="14" t="str">
        <f>IF(J1024="","7. Acima de 2 km",IF(J1024&lt;=50,"1. Até 50 m",IF(J1024&lt;=100,"2. De 50 a 100 m",IF(J1024&lt;=200,"3. De 100 a 200 m",IF(J1024&lt;=300,"4. De 200 a 300 m",IF(J1024&lt;=500,"5. De 300 a 500 m","6. De 500 m a 2 km"))))))</f>
        <v>5. De 300 a 500 m</v>
      </c>
      <c r="L1024" s="26" t="n">
        <v>0</v>
      </c>
      <c r="M1024" s="26" t="n">
        <v>0</v>
      </c>
      <c r="N1024" s="26" t="n">
        <v>0</v>
      </c>
      <c r="O1024" s="26" t="n">
        <v>0</v>
      </c>
      <c r="P1024" s="30" t="n">
        <v>-12.5281289</v>
      </c>
      <c r="Q1024" s="30" t="n">
        <v>-40.3086951</v>
      </c>
      <c r="R1024" s="14" t="inlineStr">
        <is>
          <t>FÓRUM DES. HÉLIO LANZA, RUA DR. ORMAN RIBEIRO DOS SANTOS, S/N, BARRO VERMELHO, ITABERABA/BA</t>
        </is>
      </c>
      <c r="S1024" s="26">
        <f>IF(A1024=A1023,0,1)</f>
        <v>1</v>
      </c>
      <c r="T1024" s="26">
        <f>IF(COUNTIF($B$4:B1024,B1024)=1,1,0)</f>
        <v>1</v>
      </c>
    </row>
    <row r="1025">
      <c r="A1025" s="14" t="inlineStr">
        <is>
          <t>ITABERABA</t>
        </is>
      </c>
      <c r="B1025" s="26" t="n">
        <v>42</v>
      </c>
      <c r="C1025" s="26" t="n">
        <v>1074</v>
      </c>
      <c r="D1025" s="14" t="inlineStr">
        <is>
          <t>ESCOLA MUNICIPAL ANTÔNIO CARLOS MAGALHÃES</t>
        </is>
      </c>
      <c r="E1025" s="14" t="inlineStr">
        <is>
          <t>POVOADO IPOEIRA</t>
        </is>
      </c>
      <c r="F1025" s="14" t="inlineStr">
        <is>
          <t>POVOADO IPOEIRA -  ZONA RURAL</t>
        </is>
      </c>
      <c r="G1025" s="27" t="inlineStr">
        <is>
          <t>46880-000</t>
        </is>
      </c>
      <c r="H1025" s="15" t="n">
        <v>1</v>
      </c>
      <c r="I1025" s="28" t="inlineStr">
        <is>
          <t>NÃO</t>
        </is>
      </c>
      <c r="J1025" s="29" t="n"/>
      <c r="K1025" s="14" t="str">
        <f>IF(J1025="","7. Acima de 2 km",IF(J1025&lt;=50,"1. Até 50 m",IF(J1025&lt;=100,"2. De 50 a 100 m",IF(J1025&lt;=200,"3. De 100 a 200 m",IF(J1025&lt;=300,"4. De 200 a 300 m",IF(J1025&lt;=500,"5. De 300 a 500 m","6. De 500 m a 2 km"))))))</f>
        <v>7. Acima de 2 km</v>
      </c>
      <c r="L1025" s="26" t="n">
        <v>0</v>
      </c>
      <c r="M1025" s="26" t="n">
        <v>0</v>
      </c>
      <c r="N1025" s="26" t="n">
        <v>0</v>
      </c>
      <c r="O1025" s="26" t="n">
        <v>0</v>
      </c>
      <c r="P1025" s="30" t="n">
        <v>-12.3566224</v>
      </c>
      <c r="Q1025" s="30" t="n">
        <v>-40.3285374</v>
      </c>
      <c r="R1025" s="14" t="inlineStr">
        <is>
          <t>FÓRUM DES. HÉLIO LANZA, RUA DR. ORMAN RIBEIRO DOS SANTOS, S/N, BARRO VERMELHO, ITABERABA/BA</t>
        </is>
      </c>
      <c r="S1025" s="26">
        <f>IF(A1025=A1024,0,1)</f>
        <v>0</v>
      </c>
      <c r="T1025" s="26">
        <f>IF(COUNTIF($B$4:B1025,B1025)=1,1,0)</f>
        <v>0</v>
      </c>
    </row>
    <row r="1026">
      <c r="A1026" s="14" t="inlineStr">
        <is>
          <t>ITABERABA</t>
        </is>
      </c>
      <c r="B1026" s="26" t="n">
        <v>42</v>
      </c>
      <c r="C1026" s="26" t="n">
        <v>1082</v>
      </c>
      <c r="D1026" s="14" t="inlineStr">
        <is>
          <t>ESCOLA MUNICIPAL DARCY RIBEIRO</t>
        </is>
      </c>
      <c r="E1026" s="14" t="inlineStr">
        <is>
          <t>SAO JOAO</t>
        </is>
      </c>
      <c r="F1026" s="14" t="inlineStr">
        <is>
          <t>RUA DEPUTADO HENRIQUE DE BRITO, S/N -  ZONA URBANA</t>
        </is>
      </c>
      <c r="G1026" s="27" t="inlineStr">
        <is>
          <t>46880-000</t>
        </is>
      </c>
      <c r="H1026" s="15" t="n">
        <v>5</v>
      </c>
      <c r="I1026" s="28" t="inlineStr">
        <is>
          <t>NÃO</t>
        </is>
      </c>
      <c r="J1026" s="29" t="n">
        <v>528</v>
      </c>
      <c r="K1026" s="14" t="str">
        <f>IF(J1026="","7. Acima de 2 km",IF(J1026&lt;=50,"1. Até 50 m",IF(J1026&lt;=100,"2. De 50 a 100 m",IF(J1026&lt;=200,"3. De 100 a 200 m",IF(J1026&lt;=300,"4. De 200 a 300 m",IF(J1026&lt;=500,"5. De 300 a 500 m","6. De 500 m a 2 km"))))))</f>
        <v>6. De 500 m a 2 km</v>
      </c>
      <c r="L1026" s="26" t="n">
        <v>0</v>
      </c>
      <c r="M1026" s="26" t="n">
        <v>0</v>
      </c>
      <c r="N1026" s="26" t="n">
        <v>0</v>
      </c>
      <c r="O1026" s="26" t="n">
        <v>0</v>
      </c>
      <c r="P1026" s="30" t="n">
        <v>-12.5315789</v>
      </c>
      <c r="Q1026" s="30" t="n">
        <v>-40.2987136</v>
      </c>
      <c r="R1026" s="14" t="inlineStr">
        <is>
          <t>FÓRUM DES. HÉLIO LANZA, RUA DR. ORMAN RIBEIRO DOS SANTOS, S/N, BARRO VERMELHO, ITABERABA/BA</t>
        </is>
      </c>
      <c r="S1026" s="26">
        <f>IF(A1026=A1025,0,1)</f>
        <v>0</v>
      </c>
      <c r="T1026" s="26">
        <f>IF(COUNTIF($B$4:B1026,B1026)=1,1,0)</f>
        <v>0</v>
      </c>
    </row>
    <row r="1027">
      <c r="A1027" s="14" t="inlineStr">
        <is>
          <t>ITABERABA</t>
        </is>
      </c>
      <c r="B1027" s="26" t="n">
        <v>42</v>
      </c>
      <c r="C1027" s="26" t="n">
        <v>1112</v>
      </c>
      <c r="D1027" s="14" t="inlineStr">
        <is>
          <t>CENTRO MUNICIPAL DE EDUCAÇÃO BÁSICA</t>
        </is>
      </c>
      <c r="E1027" s="14" t="inlineStr">
        <is>
          <t>PAROQUIAL</t>
        </is>
      </c>
      <c r="F1027" s="14" t="inlineStr">
        <is>
          <t>RUA CÔNEGO GILBERTO CARNEIRO LEÃO  -  ZONA URBANA</t>
        </is>
      </c>
      <c r="G1027" s="27" t="inlineStr">
        <is>
          <t>46880-000</t>
        </is>
      </c>
      <c r="H1027" s="15" t="n">
        <v>6</v>
      </c>
      <c r="I1027" s="28" t="inlineStr">
        <is>
          <t>NÃO</t>
        </is>
      </c>
      <c r="J1027" s="29" t="n">
        <v>354.7</v>
      </c>
      <c r="K1027" s="14" t="str">
        <f>IF(J1027="","7. Acima de 2 km",IF(J1027&lt;=50,"1. Até 50 m",IF(J1027&lt;=100,"2. De 50 a 100 m",IF(J1027&lt;=200,"3. De 100 a 200 m",IF(J1027&lt;=300,"4. De 200 a 300 m",IF(J1027&lt;=500,"5. De 300 a 500 m","6. De 500 m a 2 km"))))))</f>
        <v>5. De 300 a 500 m</v>
      </c>
      <c r="L1027" s="26" t="n">
        <v>0</v>
      </c>
      <c r="M1027" s="26" t="n">
        <v>0</v>
      </c>
      <c r="N1027" s="26" t="n">
        <v>0</v>
      </c>
      <c r="O1027" s="26" t="n">
        <v>0</v>
      </c>
      <c r="P1027" s="30" t="n">
        <v>-12.5263798</v>
      </c>
      <c r="Q1027" s="30" t="n">
        <v>-40.3048753</v>
      </c>
      <c r="R1027" s="14" t="inlineStr">
        <is>
          <t>FÓRUM DES. HÉLIO LANZA, RUA DR. ORMAN RIBEIRO DOS SANTOS, S/N, BARRO VERMELHO, ITABERABA/BA</t>
        </is>
      </c>
      <c r="S1027" s="26">
        <f>IF(A1027=A1026,0,1)</f>
        <v>0</v>
      </c>
      <c r="T1027" s="26">
        <f>IF(COUNTIF($B$4:B1027,B1027)=1,1,0)</f>
        <v>0</v>
      </c>
    </row>
    <row r="1028">
      <c r="A1028" s="14" t="inlineStr">
        <is>
          <t>ITABERABA</t>
        </is>
      </c>
      <c r="B1028" s="26" t="n">
        <v>42</v>
      </c>
      <c r="C1028" s="26" t="n">
        <v>1120</v>
      </c>
      <c r="D1028" s="14" t="inlineStr">
        <is>
          <t>ESCOLA EVERALDO BACELAR</t>
        </is>
      </c>
      <c r="E1028" s="14" t="inlineStr">
        <is>
          <t>CENTRO</t>
        </is>
      </c>
      <c r="F1028" s="14" t="inlineStr">
        <is>
          <t>PRACA DO ROSARIO, S/N -  ZONA URBANA</t>
        </is>
      </c>
      <c r="G1028" s="27" t="inlineStr">
        <is>
          <t>46880-000</t>
        </is>
      </c>
      <c r="H1028" s="15" t="n">
        <v>3</v>
      </c>
      <c r="I1028" s="28" t="inlineStr">
        <is>
          <t>NÃO</t>
        </is>
      </c>
      <c r="J1028" s="29" t="n">
        <v>138.3</v>
      </c>
      <c r="K1028" s="14" t="str">
        <f>IF(J1028="","7. Acima de 2 km",IF(J1028&lt;=50,"1. Até 50 m",IF(J1028&lt;=100,"2. De 50 a 100 m",IF(J1028&lt;=200,"3. De 100 a 200 m",IF(J1028&lt;=300,"4. De 200 a 300 m",IF(J1028&lt;=500,"5. De 300 a 500 m","6. De 500 m a 2 km"))))))</f>
        <v>3. De 100 a 200 m</v>
      </c>
      <c r="L1028" s="26" t="n">
        <v>0</v>
      </c>
      <c r="M1028" s="26" t="n">
        <v>0</v>
      </c>
      <c r="N1028" s="26" t="n">
        <v>1</v>
      </c>
      <c r="O1028" s="26" t="n">
        <v>1</v>
      </c>
      <c r="P1028" s="30" t="n">
        <v>-12.5339971</v>
      </c>
      <c r="Q1028" s="30" t="n">
        <v>-40.3101433</v>
      </c>
      <c r="R1028" s="14" t="inlineStr">
        <is>
          <t>FÓRUM DES. HÉLIO LANZA, RUA DR. ORMAN RIBEIRO DOS SANTOS, S/N, BARRO VERMELHO, ITABERABA/BA</t>
        </is>
      </c>
      <c r="S1028" s="26">
        <f>IF(A1028=A1027,0,1)</f>
        <v>0</v>
      </c>
      <c r="T1028" s="26">
        <f>IF(COUNTIF($B$4:B1028,B1028)=1,1,0)</f>
        <v>0</v>
      </c>
    </row>
    <row r="1029">
      <c r="A1029" s="14" t="inlineStr">
        <is>
          <t>ITABERABA</t>
        </is>
      </c>
      <c r="B1029" s="26" t="n">
        <v>42</v>
      </c>
      <c r="C1029" s="26" t="n">
        <v>1139</v>
      </c>
      <c r="D1029" s="14" t="inlineStr">
        <is>
          <t>ESCOLA DA 5 RESIDENCIA DO  DERBA</t>
        </is>
      </c>
      <c r="E1029" s="14" t="inlineStr">
        <is>
          <t>URBIS</t>
        </is>
      </c>
      <c r="F1029" s="14" t="inlineStr">
        <is>
          <t>RUA JAIME CORTES CEZAR, S/N  - URBIS-  ZONA URBANA</t>
        </is>
      </c>
      <c r="G1029" s="27" t="inlineStr">
        <is>
          <t>46880-000</t>
        </is>
      </c>
      <c r="H1029" s="15" t="n">
        <v>4</v>
      </c>
      <c r="I1029" s="28" t="inlineStr">
        <is>
          <t>NÃO</t>
        </is>
      </c>
      <c r="J1029" s="29" t="n">
        <v>702.6</v>
      </c>
      <c r="K1029" s="14" t="str">
        <f>IF(J1029="","7. Acima de 2 km",IF(J1029&lt;=50,"1. Até 50 m",IF(J1029&lt;=100,"2. De 50 a 100 m",IF(J1029&lt;=200,"3. De 100 a 200 m",IF(J1029&lt;=300,"4. De 200 a 300 m",IF(J1029&lt;=500,"5. De 300 a 500 m","6. De 500 m a 2 km"))))))</f>
        <v>6. De 500 m a 2 km</v>
      </c>
      <c r="L1029" s="26" t="n">
        <v>0</v>
      </c>
      <c r="M1029" s="26" t="n">
        <v>0</v>
      </c>
      <c r="N1029" s="26" t="n">
        <v>0</v>
      </c>
      <c r="O1029" s="26" t="n">
        <v>0</v>
      </c>
      <c r="P1029" s="30" t="n">
        <v>-12.5174628</v>
      </c>
      <c r="Q1029" s="30" t="n">
        <v>-40.3076785</v>
      </c>
      <c r="R1029" s="14" t="inlineStr">
        <is>
          <t>FÓRUM DES. HÉLIO LANZA, RUA DR. ORMAN RIBEIRO DOS SANTOS, S/N, BARRO VERMELHO, ITABERABA/BA</t>
        </is>
      </c>
      <c r="S1029" s="26">
        <f>IF(A1029=A1028,0,1)</f>
        <v>0</v>
      </c>
      <c r="T1029" s="26">
        <f>IF(COUNTIF($B$4:B1029,B1029)=1,1,0)</f>
        <v>0</v>
      </c>
    </row>
    <row r="1030">
      <c r="A1030" s="14" t="inlineStr">
        <is>
          <t>ITABERABA</t>
        </is>
      </c>
      <c r="B1030" s="26" t="n">
        <v>42</v>
      </c>
      <c r="C1030" s="26" t="n">
        <v>1155</v>
      </c>
      <c r="D1030" s="14" t="inlineStr">
        <is>
          <t>ESCOLA GOES CALMON</t>
        </is>
      </c>
      <c r="E1030" s="14" t="inlineStr">
        <is>
          <t>CENTRO</t>
        </is>
      </c>
      <c r="F1030" s="14" t="inlineStr">
        <is>
          <t>RUA GOES CALMON -  ZONA URBANA</t>
        </is>
      </c>
      <c r="G1030" s="27" t="inlineStr">
        <is>
          <t>46550-000</t>
        </is>
      </c>
      <c r="H1030" s="15" t="n">
        <v>5</v>
      </c>
      <c r="I1030" s="28" t="inlineStr">
        <is>
          <t>NÃO</t>
        </is>
      </c>
      <c r="J1030" s="29" t="n">
        <v>344</v>
      </c>
      <c r="K1030" s="14" t="str">
        <f>IF(J1030="","7. Acima de 2 km",IF(J1030&lt;=50,"1. Até 50 m",IF(J1030&lt;=100,"2. De 50 a 100 m",IF(J1030&lt;=200,"3. De 100 a 200 m",IF(J1030&lt;=300,"4. De 200 a 300 m",IF(J1030&lt;=500,"5. De 300 a 500 m","6. De 500 m a 2 km"))))))</f>
        <v>5. De 300 a 500 m</v>
      </c>
      <c r="L1030" s="26" t="n">
        <v>0</v>
      </c>
      <c r="M1030" s="26" t="n">
        <v>0</v>
      </c>
      <c r="N1030" s="26" t="n">
        <v>0</v>
      </c>
      <c r="O1030" s="26" t="n">
        <v>0</v>
      </c>
      <c r="P1030" s="30" t="n">
        <v>-12.529076</v>
      </c>
      <c r="Q1030" s="30" t="n">
        <v>-40.3090486</v>
      </c>
      <c r="R1030" s="14" t="inlineStr">
        <is>
          <t>FÓRUM DES. HÉLIO LANZA, RUA DR. ORMAN RIBEIRO DOS SANTOS, S/N, BARRO VERMELHO, ITABERABA/BA</t>
        </is>
      </c>
      <c r="S1030" s="26">
        <f>IF(A1030=A1029,0,1)</f>
        <v>0</v>
      </c>
      <c r="T1030" s="26">
        <f>IF(COUNTIF($B$4:B1030,B1030)=1,1,0)</f>
        <v>0</v>
      </c>
    </row>
    <row r="1031">
      <c r="A1031" s="14" t="inlineStr">
        <is>
          <t>ITABERABA</t>
        </is>
      </c>
      <c r="B1031" s="26" t="n">
        <v>42</v>
      </c>
      <c r="C1031" s="26" t="n">
        <v>1180</v>
      </c>
      <c r="D1031" s="14" t="inlineStr">
        <is>
          <t>CEAPE - CENTRO DE APOIO PEDAGÓGICO</t>
        </is>
      </c>
      <c r="E1031" s="14" t="inlineStr">
        <is>
          <t>CENTRO</t>
        </is>
      </c>
      <c r="F1031" s="14" t="inlineStr">
        <is>
          <t>RUA 18 DE MAIO, S/N -  ZONA URBANA</t>
        </is>
      </c>
      <c r="G1031" s="27" t="inlineStr">
        <is>
          <t>46880-000</t>
        </is>
      </c>
      <c r="H1031" s="15" t="n">
        <v>6</v>
      </c>
      <c r="I1031" s="28" t="inlineStr">
        <is>
          <t>NÃO</t>
        </is>
      </c>
      <c r="J1031" s="29" t="n">
        <v>291.2</v>
      </c>
      <c r="K1031" s="14" t="str">
        <f>IF(J1031="","7. Acima de 2 km",IF(J1031&lt;=50,"1. Até 50 m",IF(J1031&lt;=100,"2. De 50 a 100 m",IF(J1031&lt;=200,"3. De 100 a 200 m",IF(J1031&lt;=300,"4. De 200 a 300 m",IF(J1031&lt;=500,"5. De 300 a 500 m","6. De 500 m a 2 km"))))))</f>
        <v>4. De 200 a 300 m</v>
      </c>
      <c r="L1031" s="26" t="n">
        <v>0</v>
      </c>
      <c r="M1031" s="26" t="n">
        <v>0</v>
      </c>
      <c r="N1031" s="26" t="n">
        <v>0</v>
      </c>
      <c r="O1031" s="26" t="n">
        <v>2</v>
      </c>
      <c r="P1031" s="30" t="n">
        <v>-12.5341449</v>
      </c>
      <c r="Q1031" s="30" t="n">
        <v>-40.3058482</v>
      </c>
      <c r="R1031" s="14" t="inlineStr">
        <is>
          <t>FÓRUM DES. HÉLIO LANZA, RUA DR. ORMAN RIBEIRO DOS SANTOS, S/N, BARRO VERMELHO, ITABERABA/BA</t>
        </is>
      </c>
      <c r="S1031" s="26">
        <f>IF(A1031=A1030,0,1)</f>
        <v>0</v>
      </c>
      <c r="T1031" s="26">
        <f>IF(COUNTIF($B$4:B1031,B1031)=1,1,0)</f>
        <v>0</v>
      </c>
    </row>
    <row r="1032">
      <c r="A1032" s="14" t="inlineStr">
        <is>
          <t>ITABERABA</t>
        </is>
      </c>
      <c r="B1032" s="26" t="n">
        <v>42</v>
      </c>
      <c r="C1032" s="26" t="n">
        <v>1210</v>
      </c>
      <c r="D1032" s="14" t="inlineStr">
        <is>
          <t>CENACON - CENTRO DE ATEND. A EDUC. BASICA E FORM. CONTINUADA</t>
        </is>
      </c>
      <c r="E1032" s="14" t="inlineStr">
        <is>
          <t>INDEPENDENTE</t>
        </is>
      </c>
      <c r="F1032" s="14" t="inlineStr">
        <is>
          <t>RUA EDGARD SANTOS, S/N  -  ZONA URBANA</t>
        </is>
      </c>
      <c r="G1032" s="27" t="inlineStr">
        <is>
          <t>46880-000</t>
        </is>
      </c>
      <c r="H1032" s="15" t="n">
        <v>2</v>
      </c>
      <c r="I1032" s="28" t="inlineStr">
        <is>
          <t>NÃO</t>
        </is>
      </c>
      <c r="J1032" s="29" t="n">
        <v>628.1</v>
      </c>
      <c r="K1032" s="14" t="str">
        <f>IF(J1032="","7. Acima de 2 km",IF(J1032&lt;=50,"1. Até 50 m",IF(J1032&lt;=100,"2. De 50 a 100 m",IF(J1032&lt;=200,"3. De 100 a 200 m",IF(J1032&lt;=300,"4. De 200 a 300 m",IF(J1032&lt;=500,"5. De 300 a 500 m","6. De 500 m a 2 km"))))))</f>
        <v>6. De 500 m a 2 km</v>
      </c>
      <c r="L1032" s="26" t="n">
        <v>0</v>
      </c>
      <c r="M1032" s="26" t="n">
        <v>0</v>
      </c>
      <c r="N1032" s="26" t="n">
        <v>0</v>
      </c>
      <c r="O1032" s="26" t="n">
        <v>0</v>
      </c>
      <c r="P1032" s="30" t="n">
        <v>-12.5260719</v>
      </c>
      <c r="Q1032" s="30" t="n">
        <v>-40.3102072</v>
      </c>
      <c r="R1032" s="14" t="inlineStr">
        <is>
          <t>FÓRUM DES. HÉLIO LANZA, RUA DR. ORMAN RIBEIRO DOS SANTOS, S/N, BARRO VERMELHO, ITABERABA/BA</t>
        </is>
      </c>
      <c r="S1032" s="26">
        <f>IF(A1032=A1031,0,1)</f>
        <v>0</v>
      </c>
      <c r="T1032" s="26">
        <f>IF(COUNTIF($B$4:B1032,B1032)=1,1,0)</f>
        <v>0</v>
      </c>
    </row>
    <row r="1033">
      <c r="A1033" s="14" t="inlineStr">
        <is>
          <t>ITABERABA</t>
        </is>
      </c>
      <c r="B1033" s="26" t="n">
        <v>42</v>
      </c>
      <c r="C1033" s="26" t="n">
        <v>1228</v>
      </c>
      <c r="D1033" s="14" t="inlineStr">
        <is>
          <t>UNEB - CAMPUS XIII</t>
        </is>
      </c>
      <c r="E1033" s="14" t="inlineStr">
        <is>
          <t>BATALHAO</t>
        </is>
      </c>
      <c r="F1033" s="14" t="inlineStr">
        <is>
          <t>AVENIDA LUÍS VIANA FILHO, S/N -  ZONA URBANA</t>
        </is>
      </c>
      <c r="G1033" s="27" t="inlineStr">
        <is>
          <t>46880-000</t>
        </is>
      </c>
      <c r="H1033" s="15" t="n">
        <v>7</v>
      </c>
      <c r="I1033" s="28" t="inlineStr">
        <is>
          <t>NÃO</t>
        </is>
      </c>
      <c r="J1033" s="29" t="n">
        <v>546.8</v>
      </c>
      <c r="K1033" s="14" t="str">
        <f>IF(J1033="","7. Acima de 2 km",IF(J1033&lt;=50,"1. Até 50 m",IF(J1033&lt;=100,"2. De 50 a 100 m",IF(J1033&lt;=200,"3. De 100 a 200 m",IF(J1033&lt;=300,"4. De 200 a 300 m",IF(J1033&lt;=500,"5. De 300 a 500 m","6. De 500 m a 2 km"))))))</f>
        <v>6. De 500 m a 2 km</v>
      </c>
      <c r="L1033" s="26" t="n">
        <v>0</v>
      </c>
      <c r="M1033" s="26" t="n">
        <v>0</v>
      </c>
      <c r="N1033" s="26" t="n">
        <v>0</v>
      </c>
      <c r="O1033" s="26" t="n">
        <v>0</v>
      </c>
      <c r="P1033" s="30" t="n">
        <v>-12.5219143</v>
      </c>
      <c r="Q1033" s="30" t="n">
        <v>-40.2884578</v>
      </c>
      <c r="R1033" s="14" t="inlineStr">
        <is>
          <t>FÓRUM DES. HÉLIO LANZA, RUA DR. ORMAN RIBEIRO DOS SANTOS, S/N, BARRO VERMELHO, ITABERABA/BA</t>
        </is>
      </c>
      <c r="S1033" s="26">
        <f>IF(A1033=A1032,0,1)</f>
        <v>0</v>
      </c>
      <c r="T1033" s="26">
        <f>IF(COUNTIF($B$4:B1033,B1033)=1,1,0)</f>
        <v>0</v>
      </c>
    </row>
    <row r="1034">
      <c r="A1034" s="14" t="inlineStr">
        <is>
          <t>ITABERABA</t>
        </is>
      </c>
      <c r="B1034" s="26" t="n">
        <v>42</v>
      </c>
      <c r="C1034" s="26" t="n">
        <v>1236</v>
      </c>
      <c r="D1034" s="14" t="inlineStr">
        <is>
          <t>COLÉGIO ESTADUAL CENTENÁRIO</t>
        </is>
      </c>
      <c r="E1034" s="14" t="inlineStr">
        <is>
          <t>URBIS</t>
        </is>
      </c>
      <c r="F1034" s="14" t="inlineStr">
        <is>
          <t>RUA FRANCISCO GIL, S/N -  ZONA URBANA</t>
        </is>
      </c>
      <c r="G1034" s="27" t="inlineStr">
        <is>
          <t>46880-000</t>
        </is>
      </c>
      <c r="H1034" s="15" t="n">
        <v>9</v>
      </c>
      <c r="I1034" s="28" t="inlineStr">
        <is>
          <t>NÃO</t>
        </is>
      </c>
      <c r="J1034" s="29" t="n">
        <v>884.7</v>
      </c>
      <c r="K1034" s="14" t="str">
        <f>IF(J1034="","7. Acima de 2 km",IF(J1034&lt;=50,"1. Até 50 m",IF(J1034&lt;=100,"2. De 50 a 100 m",IF(J1034&lt;=200,"3. De 100 a 200 m",IF(J1034&lt;=300,"4. De 200 a 300 m",IF(J1034&lt;=500,"5. De 300 a 500 m","6. De 500 m a 2 km"))))))</f>
        <v>6. De 500 m a 2 km</v>
      </c>
      <c r="L1034" s="26" t="n">
        <v>0</v>
      </c>
      <c r="M1034" s="26" t="n">
        <v>0</v>
      </c>
      <c r="N1034" s="26" t="n">
        <v>0</v>
      </c>
      <c r="O1034" s="26" t="n">
        <v>0</v>
      </c>
      <c r="P1034" s="30" t="n">
        <v>-12.5187563</v>
      </c>
      <c r="Q1034" s="30" t="n">
        <v>-40.3092917</v>
      </c>
      <c r="R1034" s="14" t="inlineStr">
        <is>
          <t>FÓRUM DES. HÉLIO LANZA, RUA DR. ORMAN RIBEIRO DOS SANTOS, S/N, BARRO VERMELHO, ITABERABA/BA</t>
        </is>
      </c>
      <c r="S1034" s="26">
        <f>IF(A1034=A1033,0,1)</f>
        <v>0</v>
      </c>
      <c r="T1034" s="26">
        <f>IF(COUNTIF($B$4:B1034,B1034)=1,1,0)</f>
        <v>0</v>
      </c>
    </row>
    <row r="1035">
      <c r="A1035" s="14" t="inlineStr">
        <is>
          <t>ITABERABA</t>
        </is>
      </c>
      <c r="B1035" s="26" t="n">
        <v>42</v>
      </c>
      <c r="C1035" s="26" t="n">
        <v>1244</v>
      </c>
      <c r="D1035" s="14" t="inlineStr">
        <is>
          <t>GRUPO ESCOLAR ODULPHO SANTOS BRITO</t>
        </is>
      </c>
      <c r="E1035" s="14" t="inlineStr">
        <is>
          <t>BARRO VERMELHO</t>
        </is>
      </c>
      <c r="F1035" s="14" t="inlineStr">
        <is>
          <t>RUA DOUTOR MÁRIO ARAÚJO, S/N-  ZONA URBANA</t>
        </is>
      </c>
      <c r="G1035" s="27" t="inlineStr">
        <is>
          <t>46880-000</t>
        </is>
      </c>
      <c r="H1035" s="15" t="n">
        <v>3</v>
      </c>
      <c r="I1035" s="28" t="inlineStr">
        <is>
          <t>NÃO</t>
        </is>
      </c>
      <c r="J1035" s="29" t="n">
        <v>213.9</v>
      </c>
      <c r="K1035" s="14" t="str">
        <f>IF(J1035="","7. Acima de 2 km",IF(J1035&lt;=50,"1. Até 50 m",IF(J1035&lt;=100,"2. De 50 a 100 m",IF(J1035&lt;=200,"3. De 100 a 200 m",IF(J1035&lt;=300,"4. De 200 a 300 m",IF(J1035&lt;=500,"5. De 300 a 500 m","6. De 500 m a 2 km"))))))</f>
        <v>4. De 200 a 300 m</v>
      </c>
      <c r="L1035" s="26" t="n">
        <v>0</v>
      </c>
      <c r="M1035" s="26" t="n">
        <v>0</v>
      </c>
      <c r="N1035" s="26" t="n">
        <v>0</v>
      </c>
      <c r="O1035" s="26" t="n">
        <v>1</v>
      </c>
      <c r="P1035" s="30" t="n">
        <v>-12.5384735</v>
      </c>
      <c r="Q1035" s="30" t="n">
        <v>-40.2993402</v>
      </c>
      <c r="R1035" s="14" t="inlineStr">
        <is>
          <t>FÓRUM DES. HÉLIO LANZA, RUA DR. ORMAN RIBEIRO DOS SANTOS, S/N, BARRO VERMELHO, ITABERABA/BA</t>
        </is>
      </c>
      <c r="S1035" s="26">
        <f>IF(A1035=A1034,0,1)</f>
        <v>0</v>
      </c>
      <c r="T1035" s="26">
        <f>IF(COUNTIF($B$4:B1035,B1035)=1,1,0)</f>
        <v>0</v>
      </c>
    </row>
    <row r="1036">
      <c r="A1036" s="14" t="inlineStr">
        <is>
          <t>ITABERABA</t>
        </is>
      </c>
      <c r="B1036" s="26" t="n">
        <v>42</v>
      </c>
      <c r="C1036" s="26" t="n">
        <v>1287</v>
      </c>
      <c r="D1036" s="14" t="inlineStr">
        <is>
          <t>ESCOLA MUNICIPAL  CARLOS ESPINOLA</t>
        </is>
      </c>
      <c r="E1036" s="14" t="inlineStr">
        <is>
          <t>POVOADO GUARIBAS</t>
        </is>
      </c>
      <c r="F1036" s="14" t="inlineStr">
        <is>
          <t>POVOADO DE GUARIBAS -  ZONA RURAL</t>
        </is>
      </c>
      <c r="G1036" s="27" t="inlineStr">
        <is>
          <t>46880-000</t>
        </is>
      </c>
      <c r="H1036" s="15" t="n">
        <v>3</v>
      </c>
      <c r="I1036" s="28" t="inlineStr">
        <is>
          <t>NÃO</t>
        </is>
      </c>
      <c r="J1036" s="29" t="n"/>
      <c r="K1036" s="14" t="str">
        <f>IF(J1036="","7. Acima de 2 km",IF(J1036&lt;=50,"1. Até 50 m",IF(J1036&lt;=100,"2. De 50 a 100 m",IF(J1036&lt;=200,"3. De 100 a 200 m",IF(J1036&lt;=300,"4. De 200 a 300 m",IF(J1036&lt;=500,"5. De 300 a 500 m","6. De 500 m a 2 km"))))))</f>
        <v>7. Acima de 2 km</v>
      </c>
      <c r="L1036" s="26" t="n">
        <v>0</v>
      </c>
      <c r="M1036" s="26" t="n">
        <v>0</v>
      </c>
      <c r="N1036" s="26" t="n">
        <v>0</v>
      </c>
      <c r="O1036" s="26" t="n">
        <v>0</v>
      </c>
      <c r="P1036" s="30" t="n">
        <v>-12.355151</v>
      </c>
      <c r="Q1036" s="30" t="n">
        <v>-40.2761221</v>
      </c>
      <c r="R1036" s="14" t="inlineStr">
        <is>
          <t>FÓRUM DES. HÉLIO LANZA, RUA DR. ORMAN RIBEIRO DOS SANTOS, S/N, BARRO VERMELHO, ITABERABA/BA</t>
        </is>
      </c>
      <c r="S1036" s="26">
        <f>IF(A1036=A1035,0,1)</f>
        <v>0</v>
      </c>
      <c r="T1036" s="26">
        <f>IF(COUNTIF($B$4:B1036,B1036)=1,1,0)</f>
        <v>0</v>
      </c>
    </row>
    <row r="1037">
      <c r="A1037" s="14" t="inlineStr">
        <is>
          <t>ITABERABA</t>
        </is>
      </c>
      <c r="B1037" s="26" t="n">
        <v>42</v>
      </c>
      <c r="C1037" s="26" t="n">
        <v>1295</v>
      </c>
      <c r="D1037" s="14" t="inlineStr">
        <is>
          <t>GRUPO ESCOLAR MUNICIPAL MARIA JOSE DA COSTA RAMOS</t>
        </is>
      </c>
      <c r="E1037" s="14" t="inlineStr">
        <is>
          <t>POVOADO SANTA QUITERIA</t>
        </is>
      </c>
      <c r="F1037" s="14" t="inlineStr">
        <is>
          <t>POVOADO SANTA QUITERIA -  ZONA RURAL</t>
        </is>
      </c>
      <c r="G1037" s="27" t="inlineStr">
        <is>
          <t>46880-000</t>
        </is>
      </c>
      <c r="H1037" s="15" t="n">
        <v>3</v>
      </c>
      <c r="I1037" s="28" t="inlineStr">
        <is>
          <t>NÃO</t>
        </is>
      </c>
      <c r="J1037" s="29" t="n"/>
      <c r="K1037" s="14" t="str">
        <f>IF(J1037="","7. Acima de 2 km",IF(J1037&lt;=50,"1. Até 50 m",IF(J1037&lt;=100,"2. De 50 a 100 m",IF(J1037&lt;=200,"3. De 100 a 200 m",IF(J1037&lt;=300,"4. De 200 a 300 m",IF(J1037&lt;=500,"5. De 300 a 500 m","6. De 500 m a 2 km"))))))</f>
        <v>7. Acima de 2 km</v>
      </c>
      <c r="L1037" s="26" t="n">
        <v>0</v>
      </c>
      <c r="M1037" s="26" t="n">
        <v>0</v>
      </c>
      <c r="N1037" s="26" t="n">
        <v>0</v>
      </c>
      <c r="O1037" s="26" t="n">
        <v>0</v>
      </c>
      <c r="P1037" s="30" t="n">
        <v>-12.3643414</v>
      </c>
      <c r="Q1037" s="30" t="n">
        <v>-40.0444899</v>
      </c>
      <c r="R1037" s="14" t="inlineStr">
        <is>
          <t>FÓRUM DES. HÉLIO LANZA, RUA DR. ORMAN RIBEIRO DOS SANTOS, S/N, BARRO VERMELHO, ITABERABA/BA</t>
        </is>
      </c>
      <c r="S1037" s="26">
        <f>IF(A1037=A1036,0,1)</f>
        <v>0</v>
      </c>
      <c r="T1037" s="26">
        <f>IF(COUNTIF($B$4:B1037,B1037)=1,1,0)</f>
        <v>0</v>
      </c>
    </row>
    <row r="1038">
      <c r="A1038" s="14" t="inlineStr">
        <is>
          <t>ITABERABA</t>
        </is>
      </c>
      <c r="B1038" s="26" t="n">
        <v>42</v>
      </c>
      <c r="C1038" s="26" t="n">
        <v>1309</v>
      </c>
      <c r="D1038" s="14" t="inlineStr">
        <is>
          <t>GRUPO ESCOLAR SANTA HELENA</t>
        </is>
      </c>
      <c r="E1038" s="14" t="inlineStr">
        <is>
          <t>POVOADO SANTA HELENA</t>
        </is>
      </c>
      <c r="F1038" s="14" t="inlineStr">
        <is>
          <t>POVOADO SANTA HELENA -  ZONA RURAL</t>
        </is>
      </c>
      <c r="G1038" s="27" t="inlineStr">
        <is>
          <t>46880-000</t>
        </is>
      </c>
      <c r="H1038" s="15" t="n">
        <v>2</v>
      </c>
      <c r="I1038" s="28" t="inlineStr">
        <is>
          <t>NÃO</t>
        </is>
      </c>
      <c r="J1038" s="29" t="n"/>
      <c r="K1038" s="14" t="str">
        <f>IF(J1038="","7. Acima de 2 km",IF(J1038&lt;=50,"1. Até 50 m",IF(J1038&lt;=100,"2. De 50 a 100 m",IF(J1038&lt;=200,"3. De 100 a 200 m",IF(J1038&lt;=300,"4. De 200 a 300 m",IF(J1038&lt;=500,"5. De 300 a 500 m","6. De 500 m a 2 km"))))))</f>
        <v>7. Acima de 2 km</v>
      </c>
      <c r="L1038" s="26" t="n">
        <v>0</v>
      </c>
      <c r="M1038" s="26" t="n">
        <v>0</v>
      </c>
      <c r="N1038" s="26" t="n">
        <v>0</v>
      </c>
      <c r="O1038" s="26" t="n">
        <v>0</v>
      </c>
      <c r="P1038" s="30" t="n">
        <v>-12.3095638</v>
      </c>
      <c r="Q1038" s="30" t="n">
        <v>-40.2190946</v>
      </c>
      <c r="R1038" s="14" t="inlineStr">
        <is>
          <t>FÓRUM DES. HÉLIO LANZA, RUA DR. ORMAN RIBEIRO DOS SANTOS, S/N, BARRO VERMELHO, ITABERABA/BA</t>
        </is>
      </c>
      <c r="S1038" s="26">
        <f>IF(A1038=A1037,0,1)</f>
        <v>0</v>
      </c>
      <c r="T1038" s="26">
        <f>IF(COUNTIF($B$4:B1038,B1038)=1,1,0)</f>
        <v>0</v>
      </c>
    </row>
    <row r="1039">
      <c r="A1039" s="14" t="inlineStr">
        <is>
          <t>ITABERABA</t>
        </is>
      </c>
      <c r="B1039" s="26" t="n">
        <v>42</v>
      </c>
      <c r="C1039" s="26" t="n">
        <v>1317</v>
      </c>
      <c r="D1039" s="14" t="inlineStr">
        <is>
          <t>ESCOLA MUNICIPAL  DR. RENATO CINCURA</t>
        </is>
      </c>
      <c r="E1039" s="14" t="inlineStr">
        <is>
          <t>POVOADO CHAPADA</t>
        </is>
      </c>
      <c r="F1039" s="14" t="inlineStr">
        <is>
          <t>POVOADO CHAPADA -  ZONA RURAL</t>
        </is>
      </c>
      <c r="G1039" s="27" t="inlineStr">
        <is>
          <t>46880-000</t>
        </is>
      </c>
      <c r="H1039" s="15" t="n">
        <v>2</v>
      </c>
      <c r="I1039" s="28" t="inlineStr">
        <is>
          <t>NÃO</t>
        </is>
      </c>
      <c r="J1039" s="29" t="n"/>
      <c r="K1039" s="14" t="str">
        <f>IF(J1039="","7. Acima de 2 km",IF(J1039&lt;=50,"1. Até 50 m",IF(J1039&lt;=100,"2. De 50 a 100 m",IF(J1039&lt;=200,"3. De 100 a 200 m",IF(J1039&lt;=300,"4. De 200 a 300 m",IF(J1039&lt;=500,"5. De 300 a 500 m","6. De 500 m a 2 km"))))))</f>
        <v>7. Acima de 2 km</v>
      </c>
      <c r="L1039" s="26" t="n">
        <v>0</v>
      </c>
      <c r="M1039" s="26" t="n">
        <v>0</v>
      </c>
      <c r="N1039" s="26" t="n">
        <v>0</v>
      </c>
      <c r="O1039" s="26" t="n">
        <v>0</v>
      </c>
      <c r="P1039" s="30" t="n">
        <v>-12.307212</v>
      </c>
      <c r="Q1039" s="30" t="n">
        <v>-40.3763293</v>
      </c>
      <c r="R1039" s="14" t="inlineStr">
        <is>
          <t>FÓRUM DES. HÉLIO LANZA, RUA DR. ORMAN RIBEIRO DOS SANTOS, S/N, BARRO VERMELHO, ITABERABA/BA</t>
        </is>
      </c>
      <c r="S1039" s="26">
        <f>IF(A1039=A1038,0,1)</f>
        <v>0</v>
      </c>
      <c r="T1039" s="26">
        <f>IF(COUNTIF($B$4:B1039,B1039)=1,1,0)</f>
        <v>0</v>
      </c>
    </row>
    <row r="1040">
      <c r="A1040" s="14" t="inlineStr">
        <is>
          <t>ITABERABA</t>
        </is>
      </c>
      <c r="B1040" s="26" t="n">
        <v>42</v>
      </c>
      <c r="C1040" s="26" t="n">
        <v>1325</v>
      </c>
      <c r="D1040" s="14" t="inlineStr">
        <is>
          <t>ESCOLA MUNICIPAL  DE 1 GRAU SAO VICENTE</t>
        </is>
      </c>
      <c r="E1040" s="14" t="inlineStr">
        <is>
          <t>POVOADO VILA SAO VICENTE</t>
        </is>
      </c>
      <c r="F1040" s="14" t="inlineStr">
        <is>
          <t xml:space="preserve"> POVOADO VILA SAO VICENTE -  ZONA RURAL</t>
        </is>
      </c>
      <c r="G1040" s="27" t="inlineStr">
        <is>
          <t>46880-000</t>
        </is>
      </c>
      <c r="H1040" s="15" t="n">
        <v>3</v>
      </c>
      <c r="I1040" s="28" t="inlineStr">
        <is>
          <t>NÃO</t>
        </is>
      </c>
      <c r="J1040" s="29" t="n"/>
      <c r="K1040" s="14" t="str">
        <f>IF(J1040="","7. Acima de 2 km",IF(J1040&lt;=50,"1. Até 50 m",IF(J1040&lt;=100,"2. De 50 a 100 m",IF(J1040&lt;=200,"3. De 100 a 200 m",IF(J1040&lt;=300,"4. De 200 a 300 m",IF(J1040&lt;=500,"5. De 300 a 500 m","6. De 500 m a 2 km"))))))</f>
        <v>7. Acima de 2 km</v>
      </c>
      <c r="L1040" s="26" t="n">
        <v>0</v>
      </c>
      <c r="M1040" s="26" t="n">
        <v>0</v>
      </c>
      <c r="N1040" s="26" t="n">
        <v>0</v>
      </c>
      <c r="O1040" s="26" t="n">
        <v>0</v>
      </c>
      <c r="P1040" s="30" t="n">
        <v>-12.517226</v>
      </c>
      <c r="Q1040" s="30" t="n">
        <v>-39.940229</v>
      </c>
      <c r="R1040" s="14" t="inlineStr">
        <is>
          <t>FÓRUM DES. HÉLIO LANZA, RUA DR. ORMAN RIBEIRO DOS SANTOS, S/N, BARRO VERMELHO, ITABERABA/BA</t>
        </is>
      </c>
      <c r="S1040" s="26">
        <f>IF(A1040=A1039,0,1)</f>
        <v>0</v>
      </c>
      <c r="T1040" s="26">
        <f>IF(COUNTIF($B$4:B1040,B1040)=1,1,0)</f>
        <v>0</v>
      </c>
    </row>
    <row r="1041">
      <c r="A1041" s="14" t="inlineStr">
        <is>
          <t>ITABERABA</t>
        </is>
      </c>
      <c r="B1041" s="26" t="n">
        <v>42</v>
      </c>
      <c r="C1041" s="26" t="n">
        <v>1333</v>
      </c>
      <c r="D1041" s="14" t="inlineStr">
        <is>
          <t>ESCOLA MUNICIPAL MARIA MILZA</t>
        </is>
      </c>
      <c r="E1041" s="14" t="inlineStr">
        <is>
          <t>POVOADO ALAGOAS</t>
        </is>
      </c>
      <c r="F1041" s="14" t="inlineStr">
        <is>
          <t>POVOADO DE ALAGOAS - ZONA RURAL</t>
        </is>
      </c>
      <c r="G1041" s="27" t="inlineStr">
        <is>
          <t>46880-000</t>
        </is>
      </c>
      <c r="H1041" s="15" t="n">
        <v>2</v>
      </c>
      <c r="I1041" s="28" t="inlineStr">
        <is>
          <t>NÃO</t>
        </is>
      </c>
      <c r="J1041" s="29" t="n"/>
      <c r="K1041" s="14" t="str">
        <f>IF(J1041="","7. Acima de 2 km",IF(J1041&lt;=50,"1. Até 50 m",IF(J1041&lt;=100,"2. De 50 a 100 m",IF(J1041&lt;=200,"3. De 100 a 200 m",IF(J1041&lt;=300,"4. De 200 a 300 m",IF(J1041&lt;=500,"5. De 300 a 500 m","6. De 500 m a 2 km"))))))</f>
        <v>7. Acima de 2 km</v>
      </c>
      <c r="L1041" s="26" t="n">
        <v>0</v>
      </c>
      <c r="M1041" s="26" t="n">
        <v>0</v>
      </c>
      <c r="N1041" s="26" t="n">
        <v>0</v>
      </c>
      <c r="O1041" s="26" t="n">
        <v>0</v>
      </c>
      <c r="P1041" s="30" t="n">
        <v>-12.4300796</v>
      </c>
      <c r="Q1041" s="30" t="n">
        <v>-40.3366719</v>
      </c>
      <c r="R1041" s="14" t="inlineStr">
        <is>
          <t>FÓRUM DES. HÉLIO LANZA, RUA DR. ORMAN RIBEIRO DOS SANTOS, S/N, BARRO VERMELHO, ITABERABA/BA</t>
        </is>
      </c>
      <c r="S1041" s="26">
        <f>IF(A1041=A1040,0,1)</f>
        <v>0</v>
      </c>
      <c r="T1041" s="26">
        <f>IF(COUNTIF($B$4:B1041,B1041)=1,1,0)</f>
        <v>0</v>
      </c>
    </row>
    <row r="1042">
      <c r="A1042" s="14" t="inlineStr">
        <is>
          <t>ITABERABA</t>
        </is>
      </c>
      <c r="B1042" s="26" t="n">
        <v>42</v>
      </c>
      <c r="C1042" s="26" t="n">
        <v>1350</v>
      </c>
      <c r="D1042" s="14" t="inlineStr">
        <is>
          <t>ESCOLA MUNICIPAL  TANCREDO DE ALMEIDA NEVES</t>
        </is>
      </c>
      <c r="E1042" s="14" t="inlineStr">
        <is>
          <t>JARDIM DAS PALMEIRAS</t>
        </is>
      </c>
      <c r="F1042" s="14" t="inlineStr">
        <is>
          <t>RUA 02 -  ZONA URBANA</t>
        </is>
      </c>
      <c r="G1042" s="27" t="inlineStr">
        <is>
          <t>46880-000</t>
        </is>
      </c>
      <c r="H1042" s="15" t="n">
        <v>4</v>
      </c>
      <c r="I1042" s="28" t="inlineStr">
        <is>
          <t>NÃO</t>
        </is>
      </c>
      <c r="J1042" s="29" t="n">
        <v>1043.5</v>
      </c>
      <c r="K1042" s="14" t="str">
        <f>IF(J1042="","7. Acima de 2 km",IF(J1042&lt;=50,"1. Até 50 m",IF(J1042&lt;=100,"2. De 50 a 100 m",IF(J1042&lt;=200,"3. De 100 a 200 m",IF(J1042&lt;=300,"4. De 200 a 300 m",IF(J1042&lt;=500,"5. De 300 a 500 m","6. De 500 m a 2 km"))))))</f>
        <v>6. De 500 m a 2 km</v>
      </c>
      <c r="L1042" s="26" t="n">
        <v>0</v>
      </c>
      <c r="M1042" s="26" t="n">
        <v>0</v>
      </c>
      <c r="N1042" s="26" t="n">
        <v>0</v>
      </c>
      <c r="O1042" s="26" t="n">
        <v>0</v>
      </c>
      <c r="P1042" s="30" t="n">
        <v>-12.5272561</v>
      </c>
      <c r="Q1042" s="30" t="n">
        <v>-40.3166579</v>
      </c>
      <c r="R1042" s="14" t="inlineStr">
        <is>
          <t>FÓRUM DES. HÉLIO LANZA, RUA DR. ORMAN RIBEIRO DOS SANTOS, S/N, BARRO VERMELHO, ITABERABA/BA</t>
        </is>
      </c>
      <c r="S1042" s="26">
        <f>IF(A1042=A1041,0,1)</f>
        <v>0</v>
      </c>
      <c r="T1042" s="26">
        <f>IF(COUNTIF($B$4:B1042,B1042)=1,1,0)</f>
        <v>0</v>
      </c>
    </row>
    <row r="1043">
      <c r="A1043" s="14" t="inlineStr">
        <is>
          <t>ITABERABA</t>
        </is>
      </c>
      <c r="B1043" s="26" t="n">
        <v>42</v>
      </c>
      <c r="C1043" s="26" t="n">
        <v>1368</v>
      </c>
      <c r="D1043" s="14" t="inlineStr">
        <is>
          <t>ESCOLA MUNICIPAL PROFESSORA  DILMA SANTANA</t>
        </is>
      </c>
      <c r="E1043" s="14" t="inlineStr">
        <is>
          <t>PE DO MONTE</t>
        </is>
      </c>
      <c r="F1043" s="14" t="inlineStr">
        <is>
          <t>RUA JAIME SAMPAIO, S/N -  ZONA URBANA</t>
        </is>
      </c>
      <c r="G1043" s="27" t="inlineStr">
        <is>
          <t>46880-000</t>
        </is>
      </c>
      <c r="H1043" s="15" t="n">
        <v>4</v>
      </c>
      <c r="I1043" s="28" t="inlineStr">
        <is>
          <t>NÃO</t>
        </is>
      </c>
      <c r="J1043" s="29" t="n">
        <v>1006.5</v>
      </c>
      <c r="K1043" s="14" t="str">
        <f>IF(J1043="","7. Acima de 2 km",IF(J1043&lt;=50,"1. Até 50 m",IF(J1043&lt;=100,"2. De 50 a 100 m",IF(J1043&lt;=200,"3. De 100 a 200 m",IF(J1043&lt;=300,"4. De 200 a 300 m",IF(J1043&lt;=500,"5. De 300 a 500 m","6. De 500 m a 2 km"))))))</f>
        <v>6. De 500 m a 2 km</v>
      </c>
      <c r="L1043" s="26" t="n">
        <v>0</v>
      </c>
      <c r="M1043" s="26" t="n">
        <v>0</v>
      </c>
      <c r="N1043" s="26" t="n">
        <v>0</v>
      </c>
      <c r="O1043" s="26" t="n">
        <v>0</v>
      </c>
      <c r="P1043" s="30" t="n">
        <v>-12.5220526</v>
      </c>
      <c r="Q1043" s="30" t="n">
        <v>-40.3108843</v>
      </c>
      <c r="R1043" s="14" t="inlineStr">
        <is>
          <t>FÓRUM DES. HÉLIO LANZA, RUA DR. ORMAN RIBEIRO DOS SANTOS, S/N, BARRO VERMELHO, ITABERABA/BA</t>
        </is>
      </c>
      <c r="S1043" s="26">
        <f>IF(A1043=A1042,0,1)</f>
        <v>0</v>
      </c>
      <c r="T1043" s="26">
        <f>IF(COUNTIF($B$4:B1043,B1043)=1,1,0)</f>
        <v>0</v>
      </c>
    </row>
    <row r="1044">
      <c r="A1044" s="14" t="inlineStr">
        <is>
          <t>ITABERABA</t>
        </is>
      </c>
      <c r="B1044" s="26" t="n">
        <v>42</v>
      </c>
      <c r="C1044" s="26" t="n">
        <v>1376</v>
      </c>
      <c r="D1044" s="14" t="inlineStr">
        <is>
          <t>PREDIO ESCOLAR MUNICIPAL SAO JOSE</t>
        </is>
      </c>
      <c r="E1044" s="14" t="inlineStr">
        <is>
          <t>POVOADO FAZENDA MULUNGU VITORIO</t>
        </is>
      </c>
      <c r="F1044" s="14" t="inlineStr">
        <is>
          <t>POVOADO FAZENDA MULUNGU VITORIO -  ZONA RURAL</t>
        </is>
      </c>
      <c r="G1044" s="27" t="inlineStr">
        <is>
          <t>46880-000</t>
        </is>
      </c>
      <c r="H1044" s="15" t="n">
        <v>1</v>
      </c>
      <c r="I1044" s="28" t="inlineStr">
        <is>
          <t>NÃO</t>
        </is>
      </c>
      <c r="J1044" s="29" t="n"/>
      <c r="K1044" s="14" t="str">
        <f>IF(J1044="","7. Acima de 2 km",IF(J1044&lt;=50,"1. Até 50 m",IF(J1044&lt;=100,"2. De 50 a 100 m",IF(J1044&lt;=200,"3. De 100 a 200 m",IF(J1044&lt;=300,"4. De 200 a 300 m",IF(J1044&lt;=500,"5. De 300 a 500 m","6. De 500 m a 2 km"))))))</f>
        <v>7. Acima de 2 km</v>
      </c>
      <c r="L1044" s="26" t="n">
        <v>0</v>
      </c>
      <c r="M1044" s="26" t="n">
        <v>0</v>
      </c>
      <c r="N1044" s="26" t="n">
        <v>0</v>
      </c>
      <c r="O1044" s="26" t="n">
        <v>0</v>
      </c>
      <c r="P1044" s="30" t="n">
        <v>-12.6491175</v>
      </c>
      <c r="Q1044" s="30" t="n">
        <v>-40.3307697</v>
      </c>
      <c r="R1044" s="14" t="inlineStr">
        <is>
          <t>FÓRUM DES. HÉLIO LANZA, RUA DR. ORMAN RIBEIRO DOS SANTOS, S/N, BARRO VERMELHO, ITABERABA/BA</t>
        </is>
      </c>
      <c r="S1044" s="26">
        <f>IF(A1044=A1043,0,1)</f>
        <v>0</v>
      </c>
      <c r="T1044" s="26">
        <f>IF(COUNTIF($B$4:B1044,B1044)=1,1,0)</f>
        <v>0</v>
      </c>
    </row>
    <row r="1045">
      <c r="A1045" s="14" t="inlineStr">
        <is>
          <t>ITABERABA</t>
        </is>
      </c>
      <c r="B1045" s="26" t="n">
        <v>42</v>
      </c>
      <c r="C1045" s="26" t="n">
        <v>1384</v>
      </c>
      <c r="D1045" s="14" t="inlineStr">
        <is>
          <t>PREDIO ESCOLAR MUNICIPAL IMACULADA CONCEICAO</t>
        </is>
      </c>
      <c r="E1045" s="14" t="inlineStr">
        <is>
          <t>POVOADO FAZENDA LAGOA DO CURRAL</t>
        </is>
      </c>
      <c r="F1045" s="14" t="inlineStr">
        <is>
          <t>POVOADO FAZENDA LAGOA DO CURRAL -  ZONA RURAL</t>
        </is>
      </c>
      <c r="G1045" s="27" t="inlineStr">
        <is>
          <t>46880-000</t>
        </is>
      </c>
      <c r="H1045" s="15" t="n">
        <v>1</v>
      </c>
      <c r="I1045" s="28" t="inlineStr">
        <is>
          <t>NÃO</t>
        </is>
      </c>
      <c r="J1045" s="29" t="n"/>
      <c r="K1045" s="14" t="str">
        <f>IF(J1045="","7. Acima de 2 km",IF(J1045&lt;=50,"1. Até 50 m",IF(J1045&lt;=100,"2. De 50 a 100 m",IF(J1045&lt;=200,"3. De 100 a 200 m",IF(J1045&lt;=300,"4. De 200 a 300 m",IF(J1045&lt;=500,"5. De 300 a 500 m","6. De 500 m a 2 km"))))))</f>
        <v>7. Acima de 2 km</v>
      </c>
      <c r="L1045" s="26" t="n">
        <v>0</v>
      </c>
      <c r="M1045" s="26" t="n">
        <v>0</v>
      </c>
      <c r="N1045" s="26" t="n">
        <v>0</v>
      </c>
      <c r="O1045" s="26" t="n">
        <v>0</v>
      </c>
      <c r="P1045" s="30" t="n">
        <v>-12.6316985</v>
      </c>
      <c r="Q1045" s="30" t="n">
        <v>-40.3878966</v>
      </c>
      <c r="R1045" s="14" t="inlineStr">
        <is>
          <t>FÓRUM DES. HÉLIO LANZA, RUA DR. ORMAN RIBEIRO DOS SANTOS, S/N, BARRO VERMELHO, ITABERABA/BA</t>
        </is>
      </c>
      <c r="S1045" s="26">
        <f>IF(A1045=A1044,0,1)</f>
        <v>0</v>
      </c>
      <c r="T1045" s="26">
        <f>IF(COUNTIF($B$4:B1045,B1045)=1,1,0)</f>
        <v>0</v>
      </c>
    </row>
    <row r="1046">
      <c r="A1046" s="14" t="inlineStr">
        <is>
          <t>ITABERABA</t>
        </is>
      </c>
      <c r="B1046" s="26" t="n">
        <v>42</v>
      </c>
      <c r="C1046" s="26" t="n">
        <v>1392</v>
      </c>
      <c r="D1046" s="14" t="inlineStr">
        <is>
          <t>PREDIO ESCOLAR MUNICIPAL ESMERALDO QUEIROZ</t>
        </is>
      </c>
      <c r="E1046" s="14" t="inlineStr">
        <is>
          <t>POVOADO FAZENDA SALINAS</t>
        </is>
      </c>
      <c r="F1046" s="14" t="inlineStr">
        <is>
          <t>POVOADO FAZENDA SALINAS  -  ZONA RURAL</t>
        </is>
      </c>
      <c r="G1046" s="27" t="inlineStr">
        <is>
          <t>46880-000</t>
        </is>
      </c>
      <c r="H1046" s="15" t="n">
        <v>1</v>
      </c>
      <c r="I1046" s="28" t="inlineStr">
        <is>
          <t>NÃO</t>
        </is>
      </c>
      <c r="J1046" s="29" t="n"/>
      <c r="K1046" s="14" t="str">
        <f>IF(J1046="","7. Acima de 2 km",IF(J1046&lt;=50,"1. Até 50 m",IF(J1046&lt;=100,"2. De 50 a 100 m",IF(J1046&lt;=200,"3. De 100 a 200 m",IF(J1046&lt;=300,"4. De 200 a 300 m",IF(J1046&lt;=500,"5. De 300 a 500 m","6. De 500 m a 2 km"))))))</f>
        <v>7. Acima de 2 km</v>
      </c>
      <c r="L1046" s="26" t="n">
        <v>0</v>
      </c>
      <c r="M1046" s="26" t="n">
        <v>0</v>
      </c>
      <c r="N1046" s="26" t="n">
        <v>0</v>
      </c>
      <c r="O1046" s="26" t="n">
        <v>0</v>
      </c>
      <c r="P1046" s="30" t="n">
        <v>-12.6613605</v>
      </c>
      <c r="Q1046" s="30" t="n">
        <v>-40.3977512</v>
      </c>
      <c r="R1046" s="14" t="inlineStr">
        <is>
          <t>FÓRUM DES. HÉLIO LANZA, RUA DR. ORMAN RIBEIRO DOS SANTOS, S/N, BARRO VERMELHO, ITABERABA/BA</t>
        </is>
      </c>
      <c r="S1046" s="26">
        <f>IF(A1046=A1045,0,1)</f>
        <v>0</v>
      </c>
      <c r="T1046" s="26">
        <f>IF(COUNTIF($B$4:B1046,B1046)=1,1,0)</f>
        <v>0</v>
      </c>
    </row>
    <row r="1047">
      <c r="A1047" s="14" t="inlineStr">
        <is>
          <t>ITABERABA</t>
        </is>
      </c>
      <c r="B1047" s="26" t="n">
        <v>42</v>
      </c>
      <c r="C1047" s="26" t="n">
        <v>1406</v>
      </c>
      <c r="D1047" s="14" t="inlineStr">
        <is>
          <t>ESCOLA MUNICIPAL MOISES RIBEIRO DE SANTANA</t>
        </is>
      </c>
      <c r="E1047" s="14" t="inlineStr">
        <is>
          <t>POVOADO VILA DUAS IRMAS</t>
        </is>
      </c>
      <c r="F1047" s="14" t="inlineStr">
        <is>
          <t>POVOADO VILA DUAS IRMÃS - ZONA RURAL</t>
        </is>
      </c>
      <c r="G1047" s="27" t="inlineStr">
        <is>
          <t>46880-000</t>
        </is>
      </c>
      <c r="H1047" s="15" t="n">
        <v>1</v>
      </c>
      <c r="I1047" s="28" t="inlineStr">
        <is>
          <t>NÃO</t>
        </is>
      </c>
      <c r="J1047" s="29" t="n"/>
      <c r="K1047" s="14" t="str">
        <f>IF(J1047="","7. Acima de 2 km",IF(J1047&lt;=50,"1. Até 50 m",IF(J1047&lt;=100,"2. De 50 a 100 m",IF(J1047&lt;=200,"3. De 100 a 200 m",IF(J1047&lt;=300,"4. De 200 a 300 m",IF(J1047&lt;=500,"5. De 300 a 500 m","6. De 500 m a 2 km"))))))</f>
        <v>7. Acima de 2 km</v>
      </c>
      <c r="L1047" s="26" t="n">
        <v>0</v>
      </c>
      <c r="M1047" s="26" t="n">
        <v>0</v>
      </c>
      <c r="N1047" s="26" t="n">
        <v>0</v>
      </c>
      <c r="O1047" s="26" t="n">
        <v>0</v>
      </c>
      <c r="P1047" s="30" t="n">
        <v>-12.6619422</v>
      </c>
      <c r="Q1047" s="30" t="n">
        <v>-40.2553261</v>
      </c>
      <c r="R1047" s="14" t="inlineStr">
        <is>
          <t>FÓRUM DES. HÉLIO LANZA, RUA DR. ORMAN RIBEIRO DOS SANTOS, S/N, BARRO VERMELHO, ITABERABA/BA</t>
        </is>
      </c>
      <c r="S1047" s="26">
        <f>IF(A1047=A1046,0,1)</f>
        <v>0</v>
      </c>
      <c r="T1047" s="26">
        <f>IF(COUNTIF($B$4:B1047,B1047)=1,1,0)</f>
        <v>0</v>
      </c>
    </row>
    <row r="1048">
      <c r="A1048" s="14" t="inlineStr">
        <is>
          <t>ITABERABA</t>
        </is>
      </c>
      <c r="B1048" s="26" t="n">
        <v>42</v>
      </c>
      <c r="C1048" s="26" t="n">
        <v>1414</v>
      </c>
      <c r="D1048" s="14" t="inlineStr">
        <is>
          <t>PREDIO ESCOLAR MUNICIPAL COMUNIDADE DE FORMOSA</t>
        </is>
      </c>
      <c r="E1048" s="14" t="inlineStr">
        <is>
          <t>POVOADO COMUNIDADE DE FORMOSA</t>
        </is>
      </c>
      <c r="F1048" s="14" t="inlineStr">
        <is>
          <t>POVOADO COMUNIDADE DE FORMOSA -  ZONA RURAL</t>
        </is>
      </c>
      <c r="G1048" s="27" t="inlineStr">
        <is>
          <t>46880-000</t>
        </is>
      </c>
      <c r="H1048" s="15" t="n">
        <v>2</v>
      </c>
      <c r="I1048" s="28" t="inlineStr">
        <is>
          <t>NÃO</t>
        </is>
      </c>
      <c r="J1048" s="29" t="n"/>
      <c r="K1048" s="14" t="str">
        <f>IF(J1048="","7. Acima de 2 km",IF(J1048&lt;=50,"1. Até 50 m",IF(J1048&lt;=100,"2. De 50 a 100 m",IF(J1048&lt;=200,"3. De 100 a 200 m",IF(J1048&lt;=300,"4. De 200 a 300 m",IF(J1048&lt;=500,"5. De 300 a 500 m","6. De 500 m a 2 km"))))))</f>
        <v>7. Acima de 2 km</v>
      </c>
      <c r="L1048" s="26" t="n">
        <v>0</v>
      </c>
      <c r="M1048" s="26" t="n">
        <v>0</v>
      </c>
      <c r="N1048" s="26" t="n">
        <v>0</v>
      </c>
      <c r="O1048" s="26" t="n">
        <v>0</v>
      </c>
      <c r="P1048" s="30" t="n">
        <v>-12.6112984</v>
      </c>
      <c r="Q1048" s="30" t="n">
        <v>-40.2378954</v>
      </c>
      <c r="R1048" s="14" t="inlineStr">
        <is>
          <t>FÓRUM DES. HÉLIO LANZA, RUA DR. ORMAN RIBEIRO DOS SANTOS, S/N, BARRO VERMELHO, ITABERABA/BA</t>
        </is>
      </c>
      <c r="S1048" s="26">
        <f>IF(A1048=A1047,0,1)</f>
        <v>0</v>
      </c>
      <c r="T1048" s="26">
        <f>IF(COUNTIF($B$4:B1048,B1048)=1,1,0)</f>
        <v>0</v>
      </c>
    </row>
    <row r="1049">
      <c r="A1049" s="14" t="inlineStr">
        <is>
          <t>ITABERABA</t>
        </is>
      </c>
      <c r="B1049" s="26" t="n">
        <v>42</v>
      </c>
      <c r="C1049" s="26" t="n">
        <v>1422</v>
      </c>
      <c r="D1049" s="14" t="inlineStr">
        <is>
          <t>PREDIO ESCOLAR MUNICIPAL NOSSA SRA DO ROSARIO</t>
        </is>
      </c>
      <c r="E1049" s="14" t="inlineStr">
        <is>
          <t>POVOADO ALTO VERMELHO</t>
        </is>
      </c>
      <c r="F1049" s="14" t="inlineStr">
        <is>
          <t>POVOADO ALTO VERMELHO -  ZONA RURAL</t>
        </is>
      </c>
      <c r="G1049" s="27" t="inlineStr">
        <is>
          <t>46880-000</t>
        </is>
      </c>
      <c r="H1049" s="15" t="n">
        <v>2</v>
      </c>
      <c r="I1049" s="28" t="inlineStr">
        <is>
          <t>NÃO</t>
        </is>
      </c>
      <c r="J1049" s="29" t="n"/>
      <c r="K1049" s="14" t="str">
        <f>IF(J1049="","7. Acima de 2 km",IF(J1049&lt;=50,"1. Até 50 m",IF(J1049&lt;=100,"2. De 50 a 100 m",IF(J1049&lt;=200,"3. De 100 a 200 m",IF(J1049&lt;=300,"4. De 200 a 300 m",IF(J1049&lt;=500,"5. De 300 a 500 m","6. De 500 m a 2 km"))))))</f>
        <v>7. Acima de 2 km</v>
      </c>
      <c r="L1049" s="26" t="n">
        <v>0</v>
      </c>
      <c r="M1049" s="26" t="n">
        <v>0</v>
      </c>
      <c r="N1049" s="26" t="n">
        <v>0</v>
      </c>
      <c r="O1049" s="26" t="n">
        <v>0</v>
      </c>
      <c r="P1049" s="30" t="n">
        <v>-12.4429823</v>
      </c>
      <c r="Q1049" s="30" t="n">
        <v>-40.1143768</v>
      </c>
      <c r="R1049" s="14" t="inlineStr">
        <is>
          <t>FÓRUM DES. HÉLIO LANZA, RUA DR. ORMAN RIBEIRO DOS SANTOS, S/N, BARRO VERMELHO, ITABERABA/BA</t>
        </is>
      </c>
      <c r="S1049" s="26">
        <f>IF(A1049=A1048,0,1)</f>
        <v>0</v>
      </c>
      <c r="T1049" s="26">
        <f>IF(COUNTIF($B$4:B1049,B1049)=1,1,0)</f>
        <v>0</v>
      </c>
    </row>
    <row r="1050">
      <c r="A1050" s="14" t="inlineStr">
        <is>
          <t>ITABERABA</t>
        </is>
      </c>
      <c r="B1050" s="26" t="n">
        <v>42</v>
      </c>
      <c r="C1050" s="26" t="n">
        <v>1449</v>
      </c>
      <c r="D1050" s="14" t="inlineStr">
        <is>
          <t>ESCOLA MUNICIPAL NELSON GUIMARAES</t>
        </is>
      </c>
      <c r="E1050" s="14" t="inlineStr">
        <is>
          <t>CENTRO</t>
        </is>
      </c>
      <c r="F1050" s="14" t="inlineStr">
        <is>
          <t>AVENIDA GETULIO VARGAS -  ZONA URBANA</t>
        </is>
      </c>
      <c r="G1050" s="27" t="inlineStr">
        <is>
          <t>46880-000</t>
        </is>
      </c>
      <c r="H1050" s="15" t="n">
        <v>6</v>
      </c>
      <c r="I1050" s="28" t="inlineStr">
        <is>
          <t>NÃO</t>
        </is>
      </c>
      <c r="J1050" s="29" t="n">
        <v>779</v>
      </c>
      <c r="K1050" s="14" t="str">
        <f>IF(J1050="","7. Acima de 2 km",IF(J1050&lt;=50,"1. Até 50 m",IF(J1050&lt;=100,"2. De 50 a 100 m",IF(J1050&lt;=200,"3. De 100 a 200 m",IF(J1050&lt;=300,"4. De 200 a 300 m",IF(J1050&lt;=500,"5. De 300 a 500 m","6. De 500 m a 2 km"))))))</f>
        <v>6. De 500 m a 2 km</v>
      </c>
      <c r="L1050" s="26" t="n">
        <v>0</v>
      </c>
      <c r="M1050" s="26" t="n">
        <v>0</v>
      </c>
      <c r="N1050" s="26" t="n">
        <v>0</v>
      </c>
      <c r="O1050" s="26" t="n">
        <v>0</v>
      </c>
      <c r="P1050" s="30" t="n">
        <v>-12.5194126</v>
      </c>
      <c r="Q1050" s="30" t="n">
        <v>-40.3049635</v>
      </c>
      <c r="R1050" s="14" t="inlineStr">
        <is>
          <t>FÓRUM DES. HÉLIO LANZA, RUA DR. ORMAN RIBEIRO DOS SANTOS, S/N, BARRO VERMELHO, ITABERABA/BA</t>
        </is>
      </c>
      <c r="S1050" s="26">
        <f>IF(A1050=A1049,0,1)</f>
        <v>0</v>
      </c>
      <c r="T1050" s="26">
        <f>IF(COUNTIF($B$4:B1050,B1050)=1,1,0)</f>
        <v>0</v>
      </c>
    </row>
    <row r="1051">
      <c r="A1051" s="14" t="inlineStr">
        <is>
          <t>ITABERABA</t>
        </is>
      </c>
      <c r="B1051" s="26" t="n">
        <v>42</v>
      </c>
      <c r="C1051" s="26" t="n">
        <v>1457</v>
      </c>
      <c r="D1051" s="14" t="inlineStr">
        <is>
          <t>ESCOLA PROFESSORA  DORALICE SOUZA DE SAMPAIO</t>
        </is>
      </c>
      <c r="E1051" s="14" t="inlineStr">
        <is>
          <t>BATALHAO</t>
        </is>
      </c>
      <c r="F1051" s="14" t="inlineStr">
        <is>
          <t>AVENIDA LUIZ VIANA FILHO -  ZONA URBANA</t>
        </is>
      </c>
      <c r="G1051" s="27" t="inlineStr">
        <is>
          <t>46880-000</t>
        </is>
      </c>
      <c r="H1051" s="15" t="n">
        <v>6</v>
      </c>
      <c r="I1051" s="28" t="inlineStr">
        <is>
          <t>NÃO</t>
        </is>
      </c>
      <c r="J1051" s="29" t="n">
        <v>417.8</v>
      </c>
      <c r="K1051" s="14" t="str">
        <f>IF(J1051="","7. Acima de 2 km",IF(J1051&lt;=50,"1. Até 50 m",IF(J1051&lt;=100,"2. De 50 a 100 m",IF(J1051&lt;=200,"3. De 100 a 200 m",IF(J1051&lt;=300,"4. De 200 a 300 m",IF(J1051&lt;=500,"5. De 300 a 500 m","6. De 500 m a 2 km"))))))</f>
        <v>5. De 300 a 500 m</v>
      </c>
      <c r="L1051" s="26" t="n">
        <v>0</v>
      </c>
      <c r="M1051" s="26" t="n">
        <v>0</v>
      </c>
      <c r="N1051" s="26" t="n">
        <v>0</v>
      </c>
      <c r="O1051" s="26" t="n">
        <v>0</v>
      </c>
      <c r="P1051" s="30" t="n">
        <v>-12.522753</v>
      </c>
      <c r="Q1051" s="30" t="n">
        <v>-40.2893412</v>
      </c>
      <c r="R1051" s="14" t="inlineStr">
        <is>
          <t>FÓRUM DES. HÉLIO LANZA, RUA DR. ORMAN RIBEIRO DOS SANTOS, S/N, BARRO VERMELHO, ITABERABA/BA</t>
        </is>
      </c>
      <c r="S1051" s="26">
        <f>IF(A1051=A1050,0,1)</f>
        <v>0</v>
      </c>
      <c r="T1051" s="26">
        <f>IF(COUNTIF($B$4:B1051,B1051)=1,1,0)</f>
        <v>0</v>
      </c>
    </row>
    <row r="1052">
      <c r="A1052" s="14" t="inlineStr">
        <is>
          <t>ITABERABA</t>
        </is>
      </c>
      <c r="B1052" s="26" t="n">
        <v>42</v>
      </c>
      <c r="C1052" s="26" t="n">
        <v>1465</v>
      </c>
      <c r="D1052" s="14" t="inlineStr">
        <is>
          <t>ESCOLA MUNICIPAL  PROFESSORA CORA RIBEIRO DOS SANTOS</t>
        </is>
      </c>
      <c r="E1052" s="14" t="inlineStr">
        <is>
          <t>COELBA</t>
        </is>
      </c>
      <c r="F1052" s="14" t="inlineStr">
        <is>
          <t>CONJUNTO HABITACIONAL IRMÃ DULCE, S/N -  ZONA URBANA</t>
        </is>
      </c>
      <c r="G1052" s="27" t="inlineStr">
        <is>
          <t>46880-000</t>
        </is>
      </c>
      <c r="H1052" s="15" t="n">
        <v>7</v>
      </c>
      <c r="I1052" s="28" t="inlineStr">
        <is>
          <t>NÃO</t>
        </is>
      </c>
      <c r="J1052" s="29" t="n">
        <v>752.5</v>
      </c>
      <c r="K1052" s="14" t="str">
        <f>IF(J1052="","7. Acima de 2 km",IF(J1052&lt;=50,"1. Até 50 m",IF(J1052&lt;=100,"2. De 50 a 100 m",IF(J1052&lt;=200,"3. De 100 a 200 m",IF(J1052&lt;=300,"4. De 200 a 300 m",IF(J1052&lt;=500,"5. De 300 a 500 m","6. De 500 m a 2 km"))))))</f>
        <v>6. De 500 m a 2 km</v>
      </c>
      <c r="L1052" s="26" t="n">
        <v>0</v>
      </c>
      <c r="M1052" s="26" t="n">
        <v>0</v>
      </c>
      <c r="N1052" s="26" t="n">
        <v>0</v>
      </c>
      <c r="O1052" s="26" t="n">
        <v>0</v>
      </c>
      <c r="P1052" s="30" t="n">
        <v>-12.5434613</v>
      </c>
      <c r="Q1052" s="30" t="n">
        <v>-40.3063349</v>
      </c>
      <c r="R1052" s="14" t="inlineStr">
        <is>
          <t>FÓRUM DES. HÉLIO LANZA, RUA DR. ORMAN RIBEIRO DOS SANTOS, S/N, BARRO VERMELHO, ITABERABA/BA</t>
        </is>
      </c>
      <c r="S1052" s="26">
        <f>IF(A1052=A1051,0,1)</f>
        <v>0</v>
      </c>
      <c r="T1052" s="26">
        <f>IF(COUNTIF($B$4:B1052,B1052)=1,1,0)</f>
        <v>0</v>
      </c>
    </row>
    <row r="1053">
      <c r="A1053" s="14" t="inlineStr">
        <is>
          <t>ITABERABA</t>
        </is>
      </c>
      <c r="B1053" s="26" t="n">
        <v>42</v>
      </c>
      <c r="C1053" s="26" t="n">
        <v>1481</v>
      </c>
      <c r="D1053" s="14" t="inlineStr">
        <is>
          <t>ESCOLA MUNICIPAL DONA MORA GUIMARÃES</t>
        </is>
      </c>
      <c r="E1053" s="14" t="inlineStr">
        <is>
          <t>CAITITU</t>
        </is>
      </c>
      <c r="F1053" s="14" t="inlineStr">
        <is>
          <t>AREA DA ESTACAO METEOROLOGICA - ZONA URBANA</t>
        </is>
      </c>
      <c r="G1053" s="27" t="inlineStr">
        <is>
          <t>46880-000</t>
        </is>
      </c>
      <c r="H1053" s="15" t="n">
        <v>4</v>
      </c>
      <c r="I1053" s="28" t="inlineStr">
        <is>
          <t>SIM</t>
        </is>
      </c>
      <c r="J1053" s="29" t="n">
        <v>36</v>
      </c>
      <c r="K1053" s="14" t="str">
        <f>IF(J1053="","7. Acima de 2 km",IF(J1053&lt;=50,"1. Até 50 m",IF(J1053&lt;=100,"2. De 50 a 100 m",IF(J1053&lt;=200,"3. De 100 a 200 m",IF(J1053&lt;=300,"4. De 200 a 300 m",IF(J1053&lt;=500,"5. De 300 a 500 m","6. De 500 m a 2 km"))))))</f>
        <v>1. Até 50 m</v>
      </c>
      <c r="L1053" s="26" t="n">
        <v>1</v>
      </c>
      <c r="M1053" s="26" t="n">
        <v>1</v>
      </c>
      <c r="N1053" s="26" t="n">
        <v>2</v>
      </c>
      <c r="O1053" s="26" t="n">
        <v>2</v>
      </c>
      <c r="P1053" s="30" t="n">
        <v>-12.5246442</v>
      </c>
      <c r="Q1053" s="30" t="n">
        <v>-40.3006712</v>
      </c>
      <c r="R1053" s="14" t="inlineStr">
        <is>
          <t>FÓRUM DES. HÉLIO LANZA, RUA DR. ORMAN RIBEIRO DOS SANTOS, S/N, BARRO VERMELHO, ITABERABA/BA</t>
        </is>
      </c>
      <c r="S1053" s="26">
        <f>IF(A1053=A1052,0,1)</f>
        <v>0</v>
      </c>
      <c r="T1053" s="26">
        <f>IF(COUNTIF($B$4:B1053,B1053)=1,1,0)</f>
        <v>0</v>
      </c>
    </row>
    <row r="1054">
      <c r="A1054" s="14" t="inlineStr">
        <is>
          <t>ITABERABA</t>
        </is>
      </c>
      <c r="B1054" s="26" t="n">
        <v>42</v>
      </c>
      <c r="C1054" s="26" t="n">
        <v>1490</v>
      </c>
      <c r="D1054" s="14" t="inlineStr">
        <is>
          <t>COLEGIO MODELO LUIS EDUARDO MAGALHAES</t>
        </is>
      </c>
      <c r="E1054" s="14" t="inlineStr">
        <is>
          <t>SAO JOAO</t>
        </is>
      </c>
      <c r="F1054" s="14" t="inlineStr">
        <is>
          <t>RUA JOEL PRESIDIO, S/N -  ZONA URBANA</t>
        </is>
      </c>
      <c r="G1054" s="27" t="inlineStr">
        <is>
          <t>46880-000</t>
        </is>
      </c>
      <c r="H1054" s="15" t="n">
        <v>23</v>
      </c>
      <c r="I1054" s="28" t="inlineStr">
        <is>
          <t>NÃO</t>
        </is>
      </c>
      <c r="J1054" s="29" t="n">
        <v>391.5</v>
      </c>
      <c r="K1054" s="14" t="str">
        <f>IF(J1054="","7. Acima de 2 km",IF(J1054&lt;=50,"1. Até 50 m",IF(J1054&lt;=100,"2. De 50 a 100 m",IF(J1054&lt;=200,"3. De 100 a 200 m",IF(J1054&lt;=300,"4. De 200 a 300 m",IF(J1054&lt;=500,"5. De 300 a 500 m","6. De 500 m a 2 km"))))))</f>
        <v>5. De 300 a 500 m</v>
      </c>
      <c r="L1054" s="26" t="n">
        <v>0</v>
      </c>
      <c r="M1054" s="26" t="n">
        <v>0</v>
      </c>
      <c r="N1054" s="26" t="n">
        <v>0</v>
      </c>
      <c r="O1054" s="26" t="n">
        <v>0</v>
      </c>
      <c r="P1054" s="30" t="n">
        <v>-12.5346335</v>
      </c>
      <c r="Q1054" s="30" t="n">
        <v>-40.3040736</v>
      </c>
      <c r="R1054" s="14" t="inlineStr">
        <is>
          <t>FÓRUM DES. HÉLIO LANZA, RUA DR. ORMAN RIBEIRO DOS SANTOS, S/N, BARRO VERMELHO, ITABERABA/BA</t>
        </is>
      </c>
      <c r="S1054" s="26">
        <f>IF(A1054=A1053,0,1)</f>
        <v>0</v>
      </c>
      <c r="T1054" s="26">
        <f>IF(COUNTIF($B$4:B1054,B1054)=1,1,0)</f>
        <v>0</v>
      </c>
    </row>
    <row r="1055">
      <c r="A1055" s="14" t="inlineStr">
        <is>
          <t>ITABERABA</t>
        </is>
      </c>
      <c r="B1055" s="26" t="n">
        <v>42</v>
      </c>
      <c r="C1055" s="26" t="n">
        <v>1503</v>
      </c>
      <c r="D1055" s="14" t="inlineStr">
        <is>
          <t>ESCOLA MUNICIPAL VIRIATO SAMPAIO</t>
        </is>
      </c>
      <c r="E1055" s="14" t="inlineStr">
        <is>
          <t>PRIMAVERA</t>
        </is>
      </c>
      <c r="F1055" s="14" t="inlineStr">
        <is>
          <t>RUA DA PRIMAVERA, S/N -  ZONA URBANA</t>
        </is>
      </c>
      <c r="G1055" s="27" t="inlineStr">
        <is>
          <t>46880-000</t>
        </is>
      </c>
      <c r="H1055" s="15" t="n">
        <v>2</v>
      </c>
      <c r="I1055" s="28" t="inlineStr">
        <is>
          <t>NÃO</t>
        </is>
      </c>
      <c r="J1055" s="29" t="n">
        <v>637.6</v>
      </c>
      <c r="K1055" s="14" t="str">
        <f>IF(J1055="","7. Acima de 2 km",IF(J1055&lt;=50,"1. Até 50 m",IF(J1055&lt;=100,"2. De 50 a 100 m",IF(J1055&lt;=200,"3. De 100 a 200 m",IF(J1055&lt;=300,"4. De 200 a 300 m",IF(J1055&lt;=500,"5. De 300 a 500 m","6. De 500 m a 2 km"))))))</f>
        <v>6. De 500 m a 2 km</v>
      </c>
      <c r="L1055" s="26" t="n">
        <v>0</v>
      </c>
      <c r="M1055" s="26" t="n">
        <v>0</v>
      </c>
      <c r="N1055" s="26" t="n">
        <v>0</v>
      </c>
      <c r="O1055" s="26" t="n">
        <v>0</v>
      </c>
      <c r="P1055" s="30" t="n">
        <v>-12.5308032</v>
      </c>
      <c r="Q1055" s="30" t="n">
        <v>-40.3145437</v>
      </c>
      <c r="R1055" s="14" t="inlineStr">
        <is>
          <t>FÓRUM DES. HÉLIO LANZA, RUA DR. ORMAN RIBEIRO DOS SANTOS, S/N, BARRO VERMELHO, ITABERABA/BA</t>
        </is>
      </c>
      <c r="S1055" s="26">
        <f>IF(A1055=A1054,0,1)</f>
        <v>0</v>
      </c>
      <c r="T1055" s="26">
        <f>IF(COUNTIF($B$4:B1055,B1055)=1,1,0)</f>
        <v>0</v>
      </c>
    </row>
    <row r="1056">
      <c r="A1056" s="14" t="inlineStr">
        <is>
          <t>ITABERABA</t>
        </is>
      </c>
      <c r="B1056" s="26" t="n">
        <v>42</v>
      </c>
      <c r="C1056" s="26" t="n">
        <v>1520</v>
      </c>
      <c r="D1056" s="14" t="inlineStr">
        <is>
          <t>CRECHE MUNICIPAL  GENTE MIUDA</t>
        </is>
      </c>
      <c r="E1056" s="14" t="inlineStr">
        <is>
          <t>POVOADO GUARIBAS</t>
        </is>
      </c>
      <c r="F1056" s="14" t="inlineStr">
        <is>
          <t>POVOADO GUARIBAS -  ZONA RURAL</t>
        </is>
      </c>
      <c r="G1056" s="27" t="inlineStr">
        <is>
          <t>46880-000</t>
        </is>
      </c>
      <c r="H1056" s="15" t="n">
        <v>2</v>
      </c>
      <c r="I1056" s="28" t="inlineStr">
        <is>
          <t>NÃO</t>
        </is>
      </c>
      <c r="J1056" s="29" t="n"/>
      <c r="K1056" s="14" t="str">
        <f>IF(J1056="","7. Acima de 2 km",IF(J1056&lt;=50,"1. Até 50 m",IF(J1056&lt;=100,"2. De 50 a 100 m",IF(J1056&lt;=200,"3. De 100 a 200 m",IF(J1056&lt;=300,"4. De 200 a 300 m",IF(J1056&lt;=500,"5. De 300 a 500 m","6. De 500 m a 2 km"))))))</f>
        <v>7. Acima de 2 km</v>
      </c>
      <c r="L1056" s="26" t="n">
        <v>0</v>
      </c>
      <c r="M1056" s="26" t="n">
        <v>0</v>
      </c>
      <c r="N1056" s="26" t="n">
        <v>0</v>
      </c>
      <c r="O1056" s="26" t="n">
        <v>0</v>
      </c>
      <c r="P1056" s="30" t="n">
        <v>-12.3524048</v>
      </c>
      <c r="Q1056" s="30" t="n">
        <v>-40.2750721</v>
      </c>
      <c r="R1056" s="14" t="inlineStr">
        <is>
          <t>FÓRUM DES. HÉLIO LANZA, RUA DR. ORMAN RIBEIRO DOS SANTOS, S/N, BARRO VERMELHO, ITABERABA/BA</t>
        </is>
      </c>
      <c r="S1056" s="26">
        <f>IF(A1056=A1055,0,1)</f>
        <v>0</v>
      </c>
      <c r="T1056" s="26">
        <f>IF(COUNTIF($B$4:B1056,B1056)=1,1,0)</f>
        <v>0</v>
      </c>
    </row>
    <row r="1057">
      <c r="A1057" s="14" t="inlineStr">
        <is>
          <t>ITABERABA</t>
        </is>
      </c>
      <c r="B1057" s="26" t="n">
        <v>42</v>
      </c>
      <c r="C1057" s="26" t="n">
        <v>1538</v>
      </c>
      <c r="D1057" s="14" t="inlineStr">
        <is>
          <t>ESCOLA MUNICIPAL ARNALDO ALENCAR</t>
        </is>
      </c>
      <c r="E1057" s="14" t="inlineStr">
        <is>
          <t>POVOADO TESTA BRANCA</t>
        </is>
      </c>
      <c r="F1057" s="14" t="inlineStr">
        <is>
          <t>POVOADO DE TESTA BRANCA - ZONA RURAL</t>
        </is>
      </c>
      <c r="G1057" s="27" t="inlineStr">
        <is>
          <t>46880-000</t>
        </is>
      </c>
      <c r="H1057" s="15" t="n">
        <v>2</v>
      </c>
      <c r="I1057" s="28" t="inlineStr">
        <is>
          <t>NÃO</t>
        </is>
      </c>
      <c r="J1057" s="29" t="n"/>
      <c r="K1057" s="14" t="str">
        <f>IF(J1057="","7. Acima de 2 km",IF(J1057&lt;=50,"1. Até 50 m",IF(J1057&lt;=100,"2. De 50 a 100 m",IF(J1057&lt;=200,"3. De 100 a 200 m",IF(J1057&lt;=300,"4. De 200 a 300 m",IF(J1057&lt;=500,"5. De 300 a 500 m","6. De 500 m a 2 km"))))))</f>
        <v>7. Acima de 2 km</v>
      </c>
      <c r="L1057" s="26" t="n">
        <v>0</v>
      </c>
      <c r="M1057" s="26" t="n">
        <v>0</v>
      </c>
      <c r="N1057" s="26" t="n">
        <v>0</v>
      </c>
      <c r="O1057" s="26" t="n">
        <v>0</v>
      </c>
      <c r="P1057" s="30" t="n">
        <v>-12.389411</v>
      </c>
      <c r="Q1057" s="30" t="n">
        <v>-40.2465379</v>
      </c>
      <c r="R1057" s="14" t="inlineStr">
        <is>
          <t>FÓRUM DES. HÉLIO LANZA, RUA DR. ORMAN RIBEIRO DOS SANTOS, S/N, BARRO VERMELHO, ITABERABA/BA</t>
        </is>
      </c>
      <c r="S1057" s="26">
        <f>IF(A1057=A1056,0,1)</f>
        <v>0</v>
      </c>
      <c r="T1057" s="26">
        <f>IF(COUNTIF($B$4:B1057,B1057)=1,1,0)</f>
        <v>0</v>
      </c>
    </row>
    <row r="1058">
      <c r="A1058" s="14" t="inlineStr">
        <is>
          <t>ITABERABA</t>
        </is>
      </c>
      <c r="B1058" s="26" t="n">
        <v>42</v>
      </c>
      <c r="C1058" s="26" t="n">
        <v>1554</v>
      </c>
      <c r="D1058" s="14" t="inlineStr">
        <is>
          <t>ESCOLA SÃO ROQUE</t>
        </is>
      </c>
      <c r="E1058" s="14" t="inlineStr">
        <is>
          <t>ASSENTAMENTO VAZANTE</t>
        </is>
      </c>
      <c r="F1058" s="14" t="inlineStr">
        <is>
          <t>ASSENTAMENTO VAZANTE - ZONA RURAL</t>
        </is>
      </c>
      <c r="G1058" s="27" t="inlineStr">
        <is>
          <t>46880-000</t>
        </is>
      </c>
      <c r="H1058" s="15" t="n">
        <v>1</v>
      </c>
      <c r="I1058" s="28" t="inlineStr">
        <is>
          <t>NÃO</t>
        </is>
      </c>
      <c r="J1058" s="29" t="n"/>
      <c r="K1058" s="14" t="str">
        <f>IF(J1058="","7. Acima de 2 km",IF(J1058&lt;=50,"1. Até 50 m",IF(J1058&lt;=100,"2. De 50 a 100 m",IF(J1058&lt;=200,"3. De 100 a 200 m",IF(J1058&lt;=300,"4. De 200 a 300 m",IF(J1058&lt;=500,"5. De 300 a 500 m","6. De 500 m a 2 km"))))))</f>
        <v>7. Acima de 2 km</v>
      </c>
      <c r="L1058" s="26" t="n">
        <v>0</v>
      </c>
      <c r="M1058" s="26" t="n">
        <v>0</v>
      </c>
      <c r="N1058" s="26" t="n">
        <v>0</v>
      </c>
      <c r="O1058" s="26" t="n">
        <v>0</v>
      </c>
      <c r="P1058" s="30" t="n">
        <v>-12.4809715</v>
      </c>
      <c r="Q1058" s="30" t="n">
        <v>-40.3921882</v>
      </c>
      <c r="R1058" s="14" t="inlineStr">
        <is>
          <t>FÓRUM DES. HÉLIO LANZA, RUA DR. ORMAN RIBEIRO DOS SANTOS, S/N, BARRO VERMELHO, ITABERABA/BA</t>
        </is>
      </c>
      <c r="S1058" s="26">
        <f>IF(A1058=A1057,0,1)</f>
        <v>0</v>
      </c>
      <c r="T1058" s="26">
        <f>IF(COUNTIF($B$4:B1058,B1058)=1,1,0)</f>
        <v>0</v>
      </c>
    </row>
    <row r="1059">
      <c r="A1059" s="14" t="inlineStr">
        <is>
          <t>ITABERABA</t>
        </is>
      </c>
      <c r="B1059" s="26" t="n">
        <v>42</v>
      </c>
      <c r="C1059" s="26" t="n">
        <v>1562</v>
      </c>
      <c r="D1059" s="14" t="inlineStr">
        <is>
          <t>ESCOLA SÃO JOSÉ</t>
        </is>
      </c>
      <c r="E1059" s="14" t="inlineStr">
        <is>
          <t>POVOADO CAJÁS</t>
        </is>
      </c>
      <c r="F1059" s="14" t="inlineStr">
        <is>
          <t>COMUNIDADE CAJÁS, BR 242 - ZONA RURAL</t>
        </is>
      </c>
      <c r="G1059" s="27" t="inlineStr">
        <is>
          <t>46880-000</t>
        </is>
      </c>
      <c r="H1059" s="15" t="n">
        <v>1</v>
      </c>
      <c r="I1059" s="28" t="inlineStr">
        <is>
          <t>NÃO</t>
        </is>
      </c>
      <c r="J1059" s="29" t="n"/>
      <c r="K1059" s="14" t="str">
        <f>IF(J1059="","7. Acima de 2 km",IF(J1059&lt;=50,"1. Até 50 m",IF(J1059&lt;=100,"2. De 50 a 100 m",IF(J1059&lt;=200,"3. De 100 a 200 m",IF(J1059&lt;=300,"4. De 200 a 300 m",IF(J1059&lt;=500,"5. De 300 a 500 m","6. De 500 m a 2 km"))))))</f>
        <v>7. Acima de 2 km</v>
      </c>
      <c r="L1059" s="26" t="n">
        <v>0</v>
      </c>
      <c r="M1059" s="26" t="n">
        <v>0</v>
      </c>
      <c r="N1059" s="26" t="n">
        <v>0</v>
      </c>
      <c r="O1059" s="26" t="n">
        <v>0</v>
      </c>
      <c r="P1059" s="30" t="n">
        <v>-12.5196185</v>
      </c>
      <c r="Q1059" s="30" t="n">
        <v>-40.0483148</v>
      </c>
      <c r="R1059" s="14" t="inlineStr">
        <is>
          <t>FÓRUM DES. HÉLIO LANZA, RUA DR. ORMAN RIBEIRO DOS SANTOS, S/N, BARRO VERMELHO, ITABERABA/BA</t>
        </is>
      </c>
      <c r="S1059" s="26">
        <f>IF(A1059=A1058,0,1)</f>
        <v>0</v>
      </c>
      <c r="T1059" s="26">
        <f>IF(COUNTIF($B$4:B1059,B1059)=1,1,0)</f>
        <v>0</v>
      </c>
    </row>
    <row r="1060">
      <c r="A1060" s="14" t="inlineStr">
        <is>
          <t>ITABERABA</t>
        </is>
      </c>
      <c r="B1060" s="26" t="n">
        <v>42</v>
      </c>
      <c r="C1060" s="26" t="n">
        <v>1570</v>
      </c>
      <c r="D1060" s="14" t="inlineStr">
        <is>
          <t>ESCOLA MUNICIPAL POVOADO LAGEDO DE CIMA</t>
        </is>
      </c>
      <c r="E1060" s="14" t="inlineStr">
        <is>
          <t>POVOADO LAJEDO DE CIMA</t>
        </is>
      </c>
      <c r="F1060" s="14" t="inlineStr">
        <is>
          <t>POVOADO LAGEDO DE CIMA - ZONA RURAL</t>
        </is>
      </c>
      <c r="G1060" s="27" t="inlineStr">
        <is>
          <t>46880-000</t>
        </is>
      </c>
      <c r="H1060" s="15" t="n">
        <v>1</v>
      </c>
      <c r="I1060" s="28" t="inlineStr">
        <is>
          <t>NÃO</t>
        </is>
      </c>
      <c r="J1060" s="29" t="n"/>
      <c r="K1060" s="14" t="str">
        <f>IF(J1060="","7. Acima de 2 km",IF(J1060&lt;=50,"1. Até 50 m",IF(J1060&lt;=100,"2. De 50 a 100 m",IF(J1060&lt;=200,"3. De 100 a 200 m",IF(J1060&lt;=300,"4. De 200 a 300 m",IF(J1060&lt;=500,"5. De 300 a 500 m","6. De 500 m a 2 km"))))))</f>
        <v>7. Acima de 2 km</v>
      </c>
      <c r="L1060" s="26" t="n">
        <v>0</v>
      </c>
      <c r="M1060" s="26" t="n">
        <v>0</v>
      </c>
      <c r="N1060" s="26" t="n">
        <v>0</v>
      </c>
      <c r="O1060" s="26" t="n">
        <v>0</v>
      </c>
      <c r="P1060" s="30" t="n">
        <v>-12.5144711</v>
      </c>
      <c r="Q1060" s="30" t="n">
        <v>-40.4559689</v>
      </c>
      <c r="R1060" s="14" t="inlineStr">
        <is>
          <t>FÓRUM DES. HÉLIO LANZA, RUA DR. ORMAN RIBEIRO DOS SANTOS, S/N, BARRO VERMELHO, ITABERABA/BA</t>
        </is>
      </c>
      <c r="S1060" s="26">
        <f>IF(A1060=A1059,0,1)</f>
        <v>0</v>
      </c>
      <c r="T1060" s="26">
        <f>IF(COUNTIF($B$4:B1060,B1060)=1,1,0)</f>
        <v>0</v>
      </c>
    </row>
    <row r="1061">
      <c r="A1061" s="14" t="inlineStr">
        <is>
          <t>ITABUNA</t>
        </is>
      </c>
      <c r="B1061" s="26" t="n">
        <v>27</v>
      </c>
      <c r="C1061" s="26" t="n">
        <v>1074</v>
      </c>
      <c r="D1061" s="14" t="inlineStr">
        <is>
          <t>PARÓQUIA NOSSA SENHORA DA CONCEIÇÃO</t>
        </is>
      </c>
      <c r="E1061" s="14" t="inlineStr">
        <is>
          <t>CONCEIÇÃO</t>
        </is>
      </c>
      <c r="F1061" s="14" t="inlineStr">
        <is>
          <t>PRAÇA DOS CAPUCHINHOS, S/N - ZONA URBANA</t>
        </is>
      </c>
      <c r="G1061" s="27" t="inlineStr">
        <is>
          <t>45605-260</t>
        </is>
      </c>
      <c r="H1061" s="15" t="n">
        <v>8</v>
      </c>
      <c r="I1061" s="28" t="inlineStr">
        <is>
          <t>SIM</t>
        </is>
      </c>
      <c r="J1061" s="29" t="n">
        <v>84</v>
      </c>
      <c r="K1061" s="14" t="str">
        <f>IF(J1061="","7. Acima de 2 km",IF(J1061&lt;=50,"1. Até 50 m",IF(J1061&lt;=100,"2. De 50 a 100 m",IF(J1061&lt;=200,"3. De 100 a 200 m",IF(J1061&lt;=300,"4. De 200 a 300 m",IF(J1061&lt;=500,"5. De 300 a 500 m","6. De 500 m a 2 km"))))))</f>
        <v>2. De 50 a 100 m</v>
      </c>
      <c r="L1061" s="26" t="n">
        <v>0</v>
      </c>
      <c r="M1061" s="26" t="n">
        <v>1</v>
      </c>
      <c r="N1061" s="26" t="n">
        <v>3</v>
      </c>
      <c r="O1061" s="26" t="n">
        <v>3</v>
      </c>
      <c r="P1061" s="30" t="n">
        <v>-14.7894022</v>
      </c>
      <c r="Q1061" s="30" t="n">
        <v>-39.2687783</v>
      </c>
      <c r="R1061" s="14" t="inlineStr">
        <is>
          <t>RUA RIO ALMADA, Nº 100, BAIRRO GÓES CALMON, ITABUNA-BA</t>
        </is>
      </c>
      <c r="S1061" s="26">
        <f>IF(A1061=A1060,0,1)</f>
        <v>1</v>
      </c>
      <c r="T1061" s="26">
        <f>IF(COUNTIF($B$4:B1061,B1061)=1,1,0)</f>
        <v>1</v>
      </c>
    </row>
    <row r="1062">
      <c r="A1062" s="14" t="inlineStr">
        <is>
          <t>ITABUNA</t>
        </is>
      </c>
      <c r="B1062" s="26" t="n">
        <v>27</v>
      </c>
      <c r="C1062" s="26" t="n">
        <v>1104</v>
      </c>
      <c r="D1062" s="14" t="inlineStr">
        <is>
          <t>CIEBTEC - MÓDULO CETEP II</t>
        </is>
      </c>
      <c r="E1062" s="14" t="inlineStr">
        <is>
          <t>SÃO CAETANO</t>
        </is>
      </c>
      <c r="F1062" s="14" t="inlineStr">
        <is>
          <t>AVENIDA MANOEL CHAVES, S/N - ZONA URBANA</t>
        </is>
      </c>
      <c r="G1062" s="27" t="inlineStr">
        <is>
          <t>45601-095</t>
        </is>
      </c>
      <c r="H1062" s="15" t="n">
        <v>16</v>
      </c>
      <c r="I1062" s="28" t="inlineStr">
        <is>
          <t>NÃO</t>
        </is>
      </c>
      <c r="J1062" s="29" t="n">
        <v>115.8</v>
      </c>
      <c r="K1062" s="14" t="str">
        <f>IF(J1062="","7. Acima de 2 km",IF(J1062&lt;=50,"1. Até 50 m",IF(J1062&lt;=100,"2. De 50 a 100 m",IF(J1062&lt;=200,"3. De 100 a 200 m",IF(J1062&lt;=300,"4. De 200 a 300 m",IF(J1062&lt;=500,"5. De 300 a 500 m","6. De 500 m a 2 km"))))))</f>
        <v>3. De 100 a 200 m</v>
      </c>
      <c r="L1062" s="26" t="n">
        <v>0</v>
      </c>
      <c r="M1062" s="26" t="n">
        <v>0</v>
      </c>
      <c r="N1062" s="26" t="n">
        <v>1</v>
      </c>
      <c r="O1062" s="26" t="n">
        <v>2</v>
      </c>
      <c r="P1062" s="30" t="n">
        <v>-14.8097728</v>
      </c>
      <c r="Q1062" s="30" t="n">
        <v>-39.2794376</v>
      </c>
      <c r="R1062" s="14" t="inlineStr">
        <is>
          <t>RUA RIO ALMADA, Nº 100, BAIRRO GÓES CALMON, ITABUNA-BA</t>
        </is>
      </c>
      <c r="S1062" s="26">
        <f>IF(A1062=A1061,0,1)</f>
        <v>0</v>
      </c>
      <c r="T1062" s="26">
        <f>IF(COUNTIF($B$4:B1062,B1062)=1,1,0)</f>
        <v>0</v>
      </c>
    </row>
    <row r="1063">
      <c r="A1063" s="14" t="inlineStr">
        <is>
          <t>ITABUNA</t>
        </is>
      </c>
      <c r="B1063" s="26" t="n">
        <v>27</v>
      </c>
      <c r="C1063" s="26" t="n">
        <v>1112</v>
      </c>
      <c r="D1063" s="14" t="inlineStr">
        <is>
          <t>CIEBTEC - MÓDULO COLÉGIO ESTADUAL DE ITABUNA</t>
        </is>
      </c>
      <c r="E1063" s="14" t="inlineStr">
        <is>
          <t>SÃO CAETANO</t>
        </is>
      </c>
      <c r="F1063" s="14" t="inlineStr">
        <is>
          <t>AVENIDA MANOEL CHAVES, S/N - ZONA URBANA</t>
        </is>
      </c>
      <c r="G1063" s="27" t="inlineStr">
        <is>
          <t>45607-305</t>
        </is>
      </c>
      <c r="H1063" s="15" t="n">
        <v>16</v>
      </c>
      <c r="I1063" s="28" t="inlineStr">
        <is>
          <t>SIM</t>
        </is>
      </c>
      <c r="J1063" s="29" t="n">
        <v>70</v>
      </c>
      <c r="K1063" s="14" t="str">
        <f>IF(J1063="","7. Acima de 2 km",IF(J1063&lt;=50,"1. Até 50 m",IF(J1063&lt;=100,"2. De 50 a 100 m",IF(J1063&lt;=200,"3. De 100 a 200 m",IF(J1063&lt;=300,"4. De 200 a 300 m",IF(J1063&lt;=500,"5. De 300 a 500 m","6. De 500 m a 2 km"))))))</f>
        <v>2. De 50 a 100 m</v>
      </c>
      <c r="L1063" s="26" t="n">
        <v>0</v>
      </c>
      <c r="M1063" s="26" t="n">
        <v>1</v>
      </c>
      <c r="N1063" s="26" t="n">
        <v>2</v>
      </c>
      <c r="O1063" s="26" t="n">
        <v>2</v>
      </c>
      <c r="P1063" s="30" t="n">
        <v>-14.8094558</v>
      </c>
      <c r="Q1063" s="30" t="n">
        <v>-39.279165</v>
      </c>
      <c r="R1063" s="14" t="inlineStr">
        <is>
          <t>RUA RIO ALMADA, Nº 100, BAIRRO GÓES CALMON, ITABUNA-BA</t>
        </is>
      </c>
      <c r="S1063" s="26">
        <f>IF(A1063=A1062,0,1)</f>
        <v>0</v>
      </c>
      <c r="T1063" s="26">
        <f>IF(COUNTIF($B$4:B1063,B1063)=1,1,0)</f>
        <v>0</v>
      </c>
    </row>
    <row r="1064">
      <c r="A1064" s="14" t="inlineStr">
        <is>
          <t>ITABUNA</t>
        </is>
      </c>
      <c r="B1064" s="26" t="n">
        <v>27</v>
      </c>
      <c r="C1064" s="26" t="n">
        <v>1120</v>
      </c>
      <c r="D1064" s="14" t="inlineStr">
        <is>
          <t>CIEBTEC - MÓDULO COLÉGIO ESTADUAL DONA AMÉLIA AMADO</t>
        </is>
      </c>
      <c r="E1064" s="14" t="inlineStr">
        <is>
          <t>SÃO CAETANO</t>
        </is>
      </c>
      <c r="F1064" s="14" t="inlineStr">
        <is>
          <t>AVENIDA MANOEL CHAVES, S/N - ZONA URBANA</t>
        </is>
      </c>
      <c r="G1064" s="27" t="inlineStr">
        <is>
          <t>45607-300</t>
        </is>
      </c>
      <c r="H1064" s="15" t="n">
        <v>16</v>
      </c>
      <c r="I1064" s="28" t="inlineStr">
        <is>
          <t>NÃO</t>
        </is>
      </c>
      <c r="J1064" s="29" t="n">
        <v>160.6</v>
      </c>
      <c r="K1064" s="14" t="str">
        <f>IF(J1064="","7. Acima de 2 km",IF(J1064&lt;=50,"1. Até 50 m",IF(J1064&lt;=100,"2. De 50 a 100 m",IF(J1064&lt;=200,"3. De 100 a 200 m",IF(J1064&lt;=300,"4. De 200 a 300 m",IF(J1064&lt;=500,"5. De 300 a 500 m","6. De 500 m a 2 km"))))))</f>
        <v>3. De 100 a 200 m</v>
      </c>
      <c r="L1064" s="26" t="n">
        <v>0</v>
      </c>
      <c r="M1064" s="26" t="n">
        <v>0</v>
      </c>
      <c r="N1064" s="26" t="n">
        <v>1</v>
      </c>
      <c r="O1064" s="26" t="n">
        <v>2</v>
      </c>
      <c r="P1064" s="30" t="n">
        <v>-14.8103606</v>
      </c>
      <c r="Q1064" s="30" t="n">
        <v>-39.2783909</v>
      </c>
      <c r="R1064" s="14" t="inlineStr">
        <is>
          <t>RUA RIO ALMADA, Nº 100, BAIRRO GÓES CALMON, ITABUNA-BA</t>
        </is>
      </c>
      <c r="S1064" s="26">
        <f>IF(A1064=A1063,0,1)</f>
        <v>0</v>
      </c>
      <c r="T1064" s="26">
        <f>IF(COUNTIF($B$4:B1064,B1064)=1,1,0)</f>
        <v>0</v>
      </c>
    </row>
    <row r="1065">
      <c r="A1065" s="14" t="inlineStr">
        <is>
          <t>ITABUNA</t>
        </is>
      </c>
      <c r="B1065" s="26" t="n">
        <v>27</v>
      </c>
      <c r="C1065" s="26" t="n">
        <v>1147</v>
      </c>
      <c r="D1065" s="14" t="inlineStr">
        <is>
          <t>CAIC - CENTRO DE ATENÇÃO INTEGRAL À CRIANÇA E AO ADOLESCENTE</t>
        </is>
      </c>
      <c r="E1065" s="14" t="inlineStr">
        <is>
          <t>JARDIM PRIMAVERA</t>
        </is>
      </c>
      <c r="F1065" s="14" t="inlineStr">
        <is>
          <t>CAMINHO 6, URBIS II, S/N - ZONA URBANA</t>
        </is>
      </c>
      <c r="G1065" s="27" t="inlineStr">
        <is>
          <t>45608-470</t>
        </is>
      </c>
      <c r="H1065" s="15" t="n">
        <v>20</v>
      </c>
      <c r="I1065" s="28" t="inlineStr">
        <is>
          <t>SIM</t>
        </is>
      </c>
      <c r="J1065" s="29" t="n">
        <v>77.40000000000001</v>
      </c>
      <c r="K1065" s="14" t="str">
        <f>IF(J1065="","7. Acima de 2 km",IF(J1065&lt;=50,"1. Até 50 m",IF(J1065&lt;=100,"2. De 50 a 100 m",IF(J1065&lt;=200,"3. De 100 a 200 m",IF(J1065&lt;=300,"4. De 200 a 300 m",IF(J1065&lt;=500,"5. De 300 a 500 m","6. De 500 m a 2 km"))))))</f>
        <v>2. De 50 a 100 m</v>
      </c>
      <c r="L1065" s="26" t="n">
        <v>0</v>
      </c>
      <c r="M1065" s="26" t="n">
        <v>1</v>
      </c>
      <c r="N1065" s="26" t="n">
        <v>1</v>
      </c>
      <c r="O1065" s="26" t="n">
        <v>1</v>
      </c>
      <c r="P1065" s="30" t="n">
        <v>-14.8144312</v>
      </c>
      <c r="Q1065" s="30" t="n">
        <v>-39.2814498</v>
      </c>
      <c r="R1065" s="14" t="inlineStr">
        <is>
          <t>RUA RIO ALMADA, Nº 100, BAIRRO GÓES CALMON, ITABUNA-BA</t>
        </is>
      </c>
      <c r="S1065" s="26">
        <f>IF(A1065=A1064,0,1)</f>
        <v>0</v>
      </c>
      <c r="T1065" s="26">
        <f>IF(COUNTIF($B$4:B1065,B1065)=1,1,0)</f>
        <v>0</v>
      </c>
    </row>
    <row r="1066">
      <c r="A1066" s="14" t="inlineStr">
        <is>
          <t>ITABUNA</t>
        </is>
      </c>
      <c r="B1066" s="26" t="n">
        <v>27</v>
      </c>
      <c r="C1066" s="26" t="n">
        <v>1155</v>
      </c>
      <c r="D1066" s="14" t="inlineStr">
        <is>
          <t>COLÉGIO MODELO LUIZ EDUARDO MAGALHÃES</t>
        </is>
      </c>
      <c r="E1066" s="14" t="inlineStr">
        <is>
          <t>LOMANTO</t>
        </is>
      </c>
      <c r="F1066" s="14" t="inlineStr">
        <is>
          <t>AVENIDA ANTÔNIO CARLOS MAGALHÃES, S/N - ZONA URBANA</t>
        </is>
      </c>
      <c r="G1066" s="27" t="inlineStr">
        <is>
          <t>45601-055</t>
        </is>
      </c>
      <c r="H1066" s="15" t="n">
        <v>11</v>
      </c>
      <c r="I1066" s="28" t="inlineStr">
        <is>
          <t>SIM</t>
        </is>
      </c>
      <c r="J1066" s="29" t="n">
        <v>84.7</v>
      </c>
      <c r="K1066" s="14" t="str">
        <f>IF(J1066="","7. Acima de 2 km",IF(J1066&lt;=50,"1. Até 50 m",IF(J1066&lt;=100,"2. De 50 a 100 m",IF(J1066&lt;=200,"3. De 100 a 200 m",IF(J1066&lt;=300,"4. De 200 a 300 m",IF(J1066&lt;=500,"5. De 300 a 500 m","6. De 500 m a 2 km"))))))</f>
        <v>2. De 50 a 100 m</v>
      </c>
      <c r="L1066" s="26" t="n">
        <v>0</v>
      </c>
      <c r="M1066" s="26" t="n">
        <v>1</v>
      </c>
      <c r="N1066" s="26" t="n">
        <v>1</v>
      </c>
      <c r="O1066" s="26" t="n">
        <v>1</v>
      </c>
      <c r="P1066" s="30" t="n">
        <v>-14.8061012</v>
      </c>
      <c r="Q1066" s="30" t="n">
        <v>-39.2932608</v>
      </c>
      <c r="R1066" s="14" t="inlineStr">
        <is>
          <t>RUA RIO ALMADA, Nº 100, BAIRRO GÓES CALMON, ITABUNA-BA</t>
        </is>
      </c>
      <c r="S1066" s="26">
        <f>IF(A1066=A1065,0,1)</f>
        <v>0</v>
      </c>
      <c r="T1066" s="26">
        <f>IF(COUNTIF($B$4:B1066,B1066)=1,1,0)</f>
        <v>0</v>
      </c>
    </row>
    <row r="1067">
      <c r="A1067" s="14" t="inlineStr">
        <is>
          <t>ITABUNA</t>
        </is>
      </c>
      <c r="B1067" s="26" t="n">
        <v>27</v>
      </c>
      <c r="C1067" s="26" t="n">
        <v>1198</v>
      </c>
      <c r="D1067" s="14" t="inlineStr">
        <is>
          <t>ESCOLA MUNICIPAL MARIETA DE CARVALHO</t>
        </is>
      </c>
      <c r="E1067" s="14" t="inlineStr">
        <is>
          <t>DISTRITO DE ITAMARACÁ</t>
        </is>
      </c>
      <c r="F1067" s="14" t="inlineStr">
        <is>
          <t>VILA DE ITAMARACÁ - ZONA RURAL</t>
        </is>
      </c>
      <c r="G1067" s="27" t="inlineStr">
        <is>
          <t>45600-000</t>
        </is>
      </c>
      <c r="H1067" s="15" t="n">
        <v>2</v>
      </c>
      <c r="I1067" s="28" t="inlineStr">
        <is>
          <t>NÃO</t>
        </is>
      </c>
      <c r="J1067" s="29" t="n"/>
      <c r="K1067" s="14" t="str">
        <f>IF(J1067="","7. Acima de 2 km",IF(J1067&lt;=50,"1. Até 50 m",IF(J1067&lt;=100,"2. De 50 a 100 m",IF(J1067&lt;=200,"3. De 100 a 200 m",IF(J1067&lt;=300,"4. De 200 a 300 m",IF(J1067&lt;=500,"5. De 300 a 500 m","6. De 500 m a 2 km"))))))</f>
        <v>7. Acima de 2 km</v>
      </c>
      <c r="L1067" s="26" t="n">
        <v>0</v>
      </c>
      <c r="M1067" s="26" t="n">
        <v>0</v>
      </c>
      <c r="N1067" s="26" t="n">
        <v>0</v>
      </c>
      <c r="O1067" s="26" t="n">
        <v>0</v>
      </c>
      <c r="P1067" s="30" t="n">
        <v>-14.9330317</v>
      </c>
      <c r="Q1067" s="30" t="n">
        <v>-39.3765633</v>
      </c>
      <c r="R1067" s="14" t="inlineStr">
        <is>
          <t>RUA RIO ALMADA, Nº 100, BAIRRO GÓES CALMON, ITABUNA-BA</t>
        </is>
      </c>
      <c r="S1067" s="26">
        <f>IF(A1067=A1066,0,1)</f>
        <v>0</v>
      </c>
      <c r="T1067" s="26">
        <f>IF(COUNTIF($B$4:B1067,B1067)=1,1,0)</f>
        <v>0</v>
      </c>
    </row>
    <row r="1068">
      <c r="A1068" s="14" t="inlineStr">
        <is>
          <t>ITABUNA</t>
        </is>
      </c>
      <c r="B1068" s="26" t="n">
        <v>27</v>
      </c>
      <c r="C1068" s="26" t="n">
        <v>1210</v>
      </c>
      <c r="D1068" s="14" t="inlineStr">
        <is>
          <t>ESCOLA MUNICIPAL JOÃO MANGABINHA FILHO</t>
        </is>
      </c>
      <c r="E1068" s="14" t="inlineStr">
        <is>
          <t>MANGABINHA</t>
        </is>
      </c>
      <c r="F1068" s="14" t="inlineStr">
        <is>
          <t>RUA NOSSA SENHORA DAS GRAÇAS, S/N - ZONA URBANA</t>
        </is>
      </c>
      <c r="G1068" s="27" t="inlineStr">
        <is>
          <t>45600-000</t>
        </is>
      </c>
      <c r="H1068" s="15" t="n">
        <v>8</v>
      </c>
      <c r="I1068" s="28" t="inlineStr">
        <is>
          <t>NÃO</t>
        </is>
      </c>
      <c r="J1068" s="29" t="n">
        <v>536.9</v>
      </c>
      <c r="K1068" s="14" t="str">
        <f>IF(J1068="","7. Acima de 2 km",IF(J1068&lt;=50,"1. Até 50 m",IF(J1068&lt;=100,"2. De 50 a 100 m",IF(J1068&lt;=200,"3. De 100 a 200 m",IF(J1068&lt;=300,"4. De 200 a 300 m",IF(J1068&lt;=500,"5. De 300 a 500 m","6. De 500 m a 2 km"))))))</f>
        <v>6. De 500 m a 2 km</v>
      </c>
      <c r="L1068" s="26" t="n">
        <v>0</v>
      </c>
      <c r="M1068" s="26" t="n">
        <v>0</v>
      </c>
      <c r="N1068" s="26" t="n">
        <v>0</v>
      </c>
      <c r="O1068" s="26" t="n">
        <v>0</v>
      </c>
      <c r="P1068" s="30" t="n">
        <v>-14.8003754</v>
      </c>
      <c r="Q1068" s="30" t="n">
        <v>-39.284502</v>
      </c>
      <c r="R1068" s="14" t="inlineStr">
        <is>
          <t>RUA RIO ALMADA, Nº 100, BAIRRO GÓES CALMON, ITABUNA-BA</t>
        </is>
      </c>
      <c r="S1068" s="26">
        <f>IF(A1068=A1067,0,1)</f>
        <v>0</v>
      </c>
      <c r="T1068" s="26">
        <f>IF(COUNTIF($B$4:B1068,B1068)=1,1,0)</f>
        <v>0</v>
      </c>
    </row>
    <row r="1069">
      <c r="A1069" s="14" t="inlineStr">
        <is>
          <t>ITABUNA</t>
        </is>
      </c>
      <c r="B1069" s="26" t="n">
        <v>27</v>
      </c>
      <c r="C1069" s="26" t="n">
        <v>1260</v>
      </c>
      <c r="D1069" s="14" t="inlineStr">
        <is>
          <t>COLÉGIO BATISTA DE ITABUNA</t>
        </is>
      </c>
      <c r="E1069" s="14" t="inlineStr">
        <is>
          <t>CONCEIÇÃO</t>
        </is>
      </c>
      <c r="F1069" s="14" t="inlineStr">
        <is>
          <t>RUA CATUCICABA, 221 - ZONA URBANA</t>
        </is>
      </c>
      <c r="G1069" s="27" t="inlineStr">
        <is>
          <t>45604-030</t>
        </is>
      </c>
      <c r="H1069" s="15" t="n">
        <v>14</v>
      </c>
      <c r="I1069" s="28" t="inlineStr">
        <is>
          <t>NÃO</t>
        </is>
      </c>
      <c r="J1069" s="29" t="n">
        <v>226.3</v>
      </c>
      <c r="K1069" s="14" t="str">
        <f>IF(J1069="","7. Acima de 2 km",IF(J1069&lt;=50,"1. Até 50 m",IF(J1069&lt;=100,"2. De 50 a 100 m",IF(J1069&lt;=200,"3. De 100 a 200 m",IF(J1069&lt;=300,"4. De 200 a 300 m",IF(J1069&lt;=500,"5. De 300 a 500 m","6. De 500 m a 2 km"))))))</f>
        <v>4. De 200 a 300 m</v>
      </c>
      <c r="L1069" s="26" t="n">
        <v>0</v>
      </c>
      <c r="M1069" s="26" t="n">
        <v>0</v>
      </c>
      <c r="N1069" s="26" t="n">
        <v>0</v>
      </c>
      <c r="O1069" s="26" t="n">
        <v>1</v>
      </c>
      <c r="P1069" s="30" t="n">
        <v>-14.791035</v>
      </c>
      <c r="Q1069" s="30" t="n">
        <v>-39.269135</v>
      </c>
      <c r="R1069" s="14" t="inlineStr">
        <is>
          <t>RUA RIO ALMADA, Nº 100, BAIRRO GÓES CALMON, ITABUNA-BA</t>
        </is>
      </c>
      <c r="S1069" s="26">
        <f>IF(A1069=A1068,0,1)</f>
        <v>0</v>
      </c>
      <c r="T1069" s="26">
        <f>IF(COUNTIF($B$4:B1069,B1069)=1,1,0)</f>
        <v>0</v>
      </c>
    </row>
    <row r="1070">
      <c r="A1070" s="14" t="inlineStr">
        <is>
          <t>ITABUNA</t>
        </is>
      </c>
      <c r="B1070" s="26" t="n">
        <v>27</v>
      </c>
      <c r="C1070" s="26" t="n">
        <v>1295</v>
      </c>
      <c r="D1070" s="14" t="inlineStr">
        <is>
          <t>ESCOLA MUNICIPAL LOURIVAL OLIVEIRA SOARES</t>
        </is>
      </c>
      <c r="E1070" s="14" t="inlineStr">
        <is>
          <t>FERRADAS</t>
        </is>
      </c>
      <c r="F1070" s="14" t="inlineStr">
        <is>
          <t>RUA DOS BANDEIRANTES, S/N - ZONA URBANA</t>
        </is>
      </c>
      <c r="G1070" s="27" t="inlineStr">
        <is>
          <t>45600-000</t>
        </is>
      </c>
      <c r="H1070" s="15" t="n">
        <v>12</v>
      </c>
      <c r="I1070" s="28" t="inlineStr">
        <is>
          <t>NÃO</t>
        </is>
      </c>
      <c r="J1070" s="29" t="n"/>
      <c r="K1070" s="14" t="str">
        <f>IF(J1070="","7. Acima de 2 km",IF(J1070&lt;=50,"1. Até 50 m",IF(J1070&lt;=100,"2. De 50 a 100 m",IF(J1070&lt;=200,"3. De 100 a 200 m",IF(J1070&lt;=300,"4. De 200 a 300 m",IF(J1070&lt;=500,"5. De 300 a 500 m","6. De 500 m a 2 km"))))))</f>
        <v>7. Acima de 2 km</v>
      </c>
      <c r="L1070" s="26" t="n">
        <v>0</v>
      </c>
      <c r="M1070" s="26" t="n">
        <v>0</v>
      </c>
      <c r="N1070" s="26" t="n">
        <v>0</v>
      </c>
      <c r="O1070" s="26" t="n">
        <v>0</v>
      </c>
      <c r="P1070" s="30" t="n">
        <v>-14.8466</v>
      </c>
      <c r="Q1070" s="30" t="n">
        <v>-39.3355767</v>
      </c>
      <c r="R1070" s="14" t="inlineStr">
        <is>
          <t>RUA RIO ALMADA, Nº 100, BAIRRO GÓES CALMON, ITABUNA-BA</t>
        </is>
      </c>
      <c r="S1070" s="26">
        <f>IF(A1070=A1069,0,1)</f>
        <v>0</v>
      </c>
      <c r="T1070" s="26">
        <f>IF(COUNTIF($B$4:B1070,B1070)=1,1,0)</f>
        <v>0</v>
      </c>
    </row>
    <row r="1071">
      <c r="A1071" s="14" t="inlineStr">
        <is>
          <t>ITABUNA</t>
        </is>
      </c>
      <c r="B1071" s="26" t="n">
        <v>27</v>
      </c>
      <c r="C1071" s="26" t="n">
        <v>1317</v>
      </c>
      <c r="D1071" s="14" t="inlineStr">
        <is>
          <t>COLÉGIO ESTADUAL ADONIAS FILHO</t>
        </is>
      </c>
      <c r="E1071" s="14" t="inlineStr">
        <is>
          <t>CONCEIÇÃO</t>
        </is>
      </c>
      <c r="F1071" s="14" t="inlineStr">
        <is>
          <t>RUA AURORA, S/N - ZONA URBANA</t>
        </is>
      </c>
      <c r="G1071" s="27" t="inlineStr">
        <is>
          <t>45605-340</t>
        </is>
      </c>
      <c r="H1071" s="15" t="n">
        <v>8</v>
      </c>
      <c r="I1071" s="28" t="inlineStr">
        <is>
          <t>NÃO</t>
        </is>
      </c>
      <c r="J1071" s="29" t="n">
        <v>352</v>
      </c>
      <c r="K1071" s="14" t="str">
        <f>IF(J1071="","7. Acima de 2 km",IF(J1071&lt;=50,"1. Até 50 m",IF(J1071&lt;=100,"2. De 50 a 100 m",IF(J1071&lt;=200,"3. De 100 a 200 m",IF(J1071&lt;=300,"4. De 200 a 300 m",IF(J1071&lt;=500,"5. De 300 a 500 m","6. De 500 m a 2 km"))))))</f>
        <v>5. De 300 a 500 m</v>
      </c>
      <c r="L1071" s="26" t="n">
        <v>0</v>
      </c>
      <c r="M1071" s="26" t="n">
        <v>0</v>
      </c>
      <c r="N1071" s="26" t="n">
        <v>0</v>
      </c>
      <c r="O1071" s="26" t="n">
        <v>0</v>
      </c>
      <c r="P1071" s="30" t="n">
        <v>-14.793017</v>
      </c>
      <c r="Q1071" s="30" t="n">
        <v>-39.2691335</v>
      </c>
      <c r="R1071" s="14" t="inlineStr">
        <is>
          <t>RUA RIO ALMADA, Nº 100, BAIRRO GÓES CALMON, ITABUNA-BA</t>
        </is>
      </c>
      <c r="S1071" s="26">
        <f>IF(A1071=A1070,0,1)</f>
        <v>0</v>
      </c>
      <c r="T1071" s="26">
        <f>IF(COUNTIF($B$4:B1071,B1071)=1,1,0)</f>
        <v>0</v>
      </c>
    </row>
    <row r="1072">
      <c r="A1072" s="14" t="inlineStr">
        <is>
          <t>ITABUNA</t>
        </is>
      </c>
      <c r="B1072" s="26" t="n">
        <v>27</v>
      </c>
      <c r="C1072" s="26" t="n">
        <v>1430</v>
      </c>
      <c r="D1072" s="14" t="inlineStr">
        <is>
          <t>GRUPO ESCOLAR ANA FRANCISCA MESSIAS</t>
        </is>
      </c>
      <c r="E1072" s="14" t="inlineStr">
        <is>
          <t>FERRADAS</t>
        </is>
      </c>
      <c r="F1072" s="14" t="inlineStr">
        <is>
          <t>TRAVESSA SÃO PEDRO ALCÂNTARA - ZONA URBANA</t>
        </is>
      </c>
      <c r="G1072" s="27" t="inlineStr">
        <is>
          <t>45600-000</t>
        </is>
      </c>
      <c r="H1072" s="15" t="n">
        <v>7</v>
      </c>
      <c r="I1072" s="28" t="inlineStr">
        <is>
          <t>NÃO</t>
        </is>
      </c>
      <c r="J1072" s="29" t="n"/>
      <c r="K1072" s="14" t="str">
        <f>IF(J1072="","7. Acima de 2 km",IF(J1072&lt;=50,"1. Até 50 m",IF(J1072&lt;=100,"2. De 50 a 100 m",IF(J1072&lt;=200,"3. De 100 a 200 m",IF(J1072&lt;=300,"4. De 200 a 300 m",IF(J1072&lt;=500,"5. De 300 a 500 m","6. De 500 m a 2 km"))))))</f>
        <v>7. Acima de 2 km</v>
      </c>
      <c r="L1072" s="26" t="n">
        <v>0</v>
      </c>
      <c r="M1072" s="26" t="n">
        <v>0</v>
      </c>
      <c r="N1072" s="26" t="n">
        <v>0</v>
      </c>
      <c r="O1072" s="26" t="n">
        <v>0</v>
      </c>
      <c r="P1072" s="30" t="n">
        <v>-14.8461991</v>
      </c>
      <c r="Q1072" s="30" t="n">
        <v>-39.3329955</v>
      </c>
      <c r="R1072" s="14" t="inlineStr">
        <is>
          <t>RUA RIO ALMADA, Nº 100, BAIRRO GÓES CALMON, ITABUNA-BA</t>
        </is>
      </c>
      <c r="S1072" s="26">
        <f>IF(A1072=A1071,0,1)</f>
        <v>0</v>
      </c>
      <c r="T1072" s="26">
        <f>IF(COUNTIF($B$4:B1072,B1072)=1,1,0)</f>
        <v>0</v>
      </c>
    </row>
    <row r="1073">
      <c r="A1073" s="14" t="inlineStr">
        <is>
          <t>ITABUNA</t>
        </is>
      </c>
      <c r="B1073" s="26" t="n">
        <v>27</v>
      </c>
      <c r="C1073" s="26" t="n">
        <v>1465</v>
      </c>
      <c r="D1073" s="14" t="inlineStr">
        <is>
          <t>GRUPO ESCOLAR MUNICIPAL PROFESSOR EVERALDO CARDOSO</t>
        </is>
      </c>
      <c r="E1073" s="14" t="inlineStr">
        <is>
          <t>SÃO CAETANO</t>
        </is>
      </c>
      <c r="F1073" s="14" t="inlineStr">
        <is>
          <t>RUA FLORESTA, N 249 - ZONA URBANA</t>
        </is>
      </c>
      <c r="G1073" s="27" t="inlineStr">
        <is>
          <t>45607-090</t>
        </is>
      </c>
      <c r="H1073" s="15" t="n">
        <v>9</v>
      </c>
      <c r="I1073" s="28" t="inlineStr">
        <is>
          <t>NÃO</t>
        </is>
      </c>
      <c r="J1073" s="29" t="n">
        <v>269.6</v>
      </c>
      <c r="K1073" s="14" t="str">
        <f>IF(J1073="","7. Acima de 2 km",IF(J1073&lt;=50,"1. Até 50 m",IF(J1073&lt;=100,"2. De 50 a 100 m",IF(J1073&lt;=200,"3. De 100 a 200 m",IF(J1073&lt;=300,"4. De 200 a 300 m",IF(J1073&lt;=500,"5. De 300 a 500 m","6. De 500 m a 2 km"))))))</f>
        <v>4. De 200 a 300 m</v>
      </c>
      <c r="L1073" s="26" t="n">
        <v>0</v>
      </c>
      <c r="M1073" s="26" t="n">
        <v>0</v>
      </c>
      <c r="N1073" s="26" t="n">
        <v>0</v>
      </c>
      <c r="O1073" s="26" t="n">
        <v>2</v>
      </c>
      <c r="P1073" s="30" t="n">
        <v>-14.8093192</v>
      </c>
      <c r="Q1073" s="30" t="n">
        <v>-39.2724697</v>
      </c>
      <c r="R1073" s="14" t="inlineStr">
        <is>
          <t>RUA RIO ALMADA, Nº 100, BAIRRO GÓES CALMON, ITABUNA-BA</t>
        </is>
      </c>
      <c r="S1073" s="26">
        <f>IF(A1073=A1072,0,1)</f>
        <v>0</v>
      </c>
      <c r="T1073" s="26">
        <f>IF(COUNTIF($B$4:B1073,B1073)=1,1,0)</f>
        <v>0</v>
      </c>
    </row>
    <row r="1074">
      <c r="A1074" s="14" t="inlineStr">
        <is>
          <t>ITABUNA</t>
        </is>
      </c>
      <c r="B1074" s="26" t="n">
        <v>27</v>
      </c>
      <c r="C1074" s="26" t="n">
        <v>1481</v>
      </c>
      <c r="D1074" s="14" t="inlineStr">
        <is>
          <t>CENTRO DE CULTURA ADONIAS FILHO</t>
        </is>
      </c>
      <c r="E1074" s="14" t="inlineStr">
        <is>
          <t>CENTRO</t>
        </is>
      </c>
      <c r="F1074" s="14" t="inlineStr">
        <is>
          <t>PRACA JARDIM DO Ó S/N - ZONA URBANA</t>
        </is>
      </c>
      <c r="G1074" s="27" t="inlineStr">
        <is>
          <t>45600-000</t>
        </is>
      </c>
      <c r="H1074" s="15" t="n">
        <v>10</v>
      </c>
      <c r="I1074" s="28" t="inlineStr">
        <is>
          <t>SIM</t>
        </is>
      </c>
      <c r="J1074" s="29" t="n">
        <v>77.2</v>
      </c>
      <c r="K1074" s="14" t="str">
        <f>IF(J1074="","7. Acima de 2 km",IF(J1074&lt;=50,"1. Até 50 m",IF(J1074&lt;=100,"2. De 50 a 100 m",IF(J1074&lt;=200,"3. De 100 a 200 m",IF(J1074&lt;=300,"4. De 200 a 300 m",IF(J1074&lt;=500,"5. De 300 a 500 m","6. De 500 m a 2 km"))))))</f>
        <v>2. De 50 a 100 m</v>
      </c>
      <c r="L1074" s="26" t="n">
        <v>0</v>
      </c>
      <c r="M1074" s="26" t="n">
        <v>1</v>
      </c>
      <c r="N1074" s="26" t="n">
        <v>1</v>
      </c>
      <c r="O1074" s="26" t="n">
        <v>1</v>
      </c>
      <c r="P1074" s="30" t="n">
        <v>-14.7969974</v>
      </c>
      <c r="Q1074" s="30" t="n">
        <v>-39.2790092</v>
      </c>
      <c r="R1074" s="14" t="inlineStr">
        <is>
          <t>RUA RIO ALMADA, Nº 100, BAIRRO GÓES CALMON, ITABUNA-BA</t>
        </is>
      </c>
      <c r="S1074" s="26">
        <f>IF(A1074=A1073,0,1)</f>
        <v>0</v>
      </c>
      <c r="T1074" s="26">
        <f>IF(COUNTIF($B$4:B1074,B1074)=1,1,0)</f>
        <v>0</v>
      </c>
    </row>
    <row r="1075">
      <c r="A1075" s="14" t="inlineStr">
        <is>
          <t>ITABUNA</t>
        </is>
      </c>
      <c r="B1075" s="26" t="n">
        <v>27</v>
      </c>
      <c r="C1075" s="26" t="n">
        <v>1490</v>
      </c>
      <c r="D1075" s="14" t="inlineStr">
        <is>
          <t xml:space="preserve">ESCOLA MUNICIPAL CRECHE MARIA GORETTI </t>
        </is>
      </c>
      <c r="E1075" s="14" t="inlineStr">
        <is>
          <t>MANGABINHA</t>
        </is>
      </c>
      <c r="F1075" s="14" t="inlineStr">
        <is>
          <t>RUA ALTO BRASILEIRO, 85 - ZONA URBANA</t>
        </is>
      </c>
      <c r="G1075" s="27" t="inlineStr">
        <is>
          <t>45600-488</t>
        </is>
      </c>
      <c r="H1075" s="15" t="n">
        <v>7</v>
      </c>
      <c r="I1075" s="28" t="inlineStr">
        <is>
          <t>NÃO</t>
        </is>
      </c>
      <c r="J1075" s="29" t="n">
        <v>393</v>
      </c>
      <c r="K1075" s="14" t="str">
        <f>IF(J1075="","7. Acima de 2 km",IF(J1075&lt;=50,"1. Até 50 m",IF(J1075&lt;=100,"2. De 50 a 100 m",IF(J1075&lt;=200,"3. De 100 a 200 m",IF(J1075&lt;=300,"4. De 200 a 300 m",IF(J1075&lt;=500,"5. De 300 a 500 m","6. De 500 m a 2 km"))))))</f>
        <v>5. De 300 a 500 m</v>
      </c>
      <c r="L1075" s="26" t="n">
        <v>0</v>
      </c>
      <c r="M1075" s="26" t="n">
        <v>0</v>
      </c>
      <c r="N1075" s="26" t="n">
        <v>0</v>
      </c>
      <c r="O1075" s="26" t="n">
        <v>0</v>
      </c>
      <c r="P1075" s="30" t="n">
        <v>-14.7993438</v>
      </c>
      <c r="Q1075" s="30" t="n">
        <v>-39.2806762</v>
      </c>
      <c r="R1075" s="14" t="inlineStr">
        <is>
          <t>RUA RIO ALMADA, Nº 100, BAIRRO GÓES CALMON, ITABUNA-BA</t>
        </is>
      </c>
      <c r="S1075" s="26">
        <f>IF(A1075=A1074,0,1)</f>
        <v>0</v>
      </c>
      <c r="T1075" s="26">
        <f>IF(COUNTIF($B$4:B1075,B1075)=1,1,0)</f>
        <v>0</v>
      </c>
    </row>
    <row r="1076">
      <c r="A1076" s="14" t="inlineStr">
        <is>
          <t>ITABUNA</t>
        </is>
      </c>
      <c r="B1076" s="26" t="n">
        <v>27</v>
      </c>
      <c r="C1076" s="26" t="n">
        <v>1503</v>
      </c>
      <c r="D1076" s="14" t="inlineStr">
        <is>
          <t>GRUPO ESCOLAR FREDERICO SMITH LIMA</t>
        </is>
      </c>
      <c r="E1076" s="14" t="inlineStr">
        <is>
          <t>URBIS IV</t>
        </is>
      </c>
      <c r="F1076" s="14" t="inlineStr">
        <is>
          <t>RUA B, 39 - ZONA URBANA</t>
        </is>
      </c>
      <c r="G1076" s="27" t="inlineStr">
        <is>
          <t>45600-000</t>
        </is>
      </c>
      <c r="H1076" s="15" t="n">
        <v>6</v>
      </c>
      <c r="I1076" s="28" t="inlineStr">
        <is>
          <t>NÃO</t>
        </is>
      </c>
      <c r="J1076" s="29" t="n"/>
      <c r="K1076" s="14" t="str">
        <f>IF(J1076="","7. Acima de 2 km",IF(J1076&lt;=50,"1. Até 50 m",IF(J1076&lt;=100,"2. De 50 a 100 m",IF(J1076&lt;=200,"3. De 100 a 200 m",IF(J1076&lt;=300,"4. De 200 a 300 m",IF(J1076&lt;=500,"5. De 300 a 500 m","6. De 500 m a 2 km"))))))</f>
        <v>7. Acima de 2 km</v>
      </c>
      <c r="L1076" s="26" t="n">
        <v>0</v>
      </c>
      <c r="M1076" s="26" t="n">
        <v>0</v>
      </c>
      <c r="N1076" s="26" t="n">
        <v>0</v>
      </c>
      <c r="O1076" s="26" t="n">
        <v>0</v>
      </c>
      <c r="P1076" s="30" t="n">
        <v>-14.820642</v>
      </c>
      <c r="Q1076" s="30" t="n">
        <v>-39.3103793</v>
      </c>
      <c r="R1076" s="14" t="inlineStr">
        <is>
          <t>RUA RIO ALMADA, Nº 100, BAIRRO GÓES CALMON, ITABUNA-BA</t>
        </is>
      </c>
      <c r="S1076" s="26">
        <f>IF(A1076=A1075,0,1)</f>
        <v>0</v>
      </c>
      <c r="T1076" s="26">
        <f>IF(COUNTIF($B$4:B1076,B1076)=1,1,0)</f>
        <v>0</v>
      </c>
    </row>
    <row r="1077">
      <c r="A1077" s="14" t="inlineStr">
        <is>
          <t>ITABUNA</t>
        </is>
      </c>
      <c r="B1077" s="26" t="n">
        <v>27</v>
      </c>
      <c r="C1077" s="26" t="n">
        <v>1511</v>
      </c>
      <c r="D1077" s="14" t="inlineStr">
        <is>
          <t>COLÉGIO DA POLÍCIA MILITAR ANTÔNIO CARLOS MAGALHÃES</t>
        </is>
      </c>
      <c r="E1077" s="14" t="inlineStr">
        <is>
          <t>JARDIM PRIMAVERA</t>
        </is>
      </c>
      <c r="F1077" s="14" t="inlineStr">
        <is>
          <t>AV. MANOEL CHAVES, 1536 - ZONA URBANA</t>
        </is>
      </c>
      <c r="G1077" s="27" t="inlineStr">
        <is>
          <t>45601-095</t>
        </is>
      </c>
      <c r="H1077" s="15" t="n">
        <v>15</v>
      </c>
      <c r="I1077" s="28" t="inlineStr">
        <is>
          <t>NÃO</t>
        </is>
      </c>
      <c r="J1077" s="29" t="n">
        <v>362.1</v>
      </c>
      <c r="K1077" s="14" t="str">
        <f>IF(J1077="","7. Acima de 2 km",IF(J1077&lt;=50,"1. Até 50 m",IF(J1077&lt;=100,"2. De 50 a 100 m",IF(J1077&lt;=200,"3. De 100 a 200 m",IF(J1077&lt;=300,"4. De 200 a 300 m",IF(J1077&lt;=500,"5. De 300 a 500 m","6. De 500 m a 2 km"))))))</f>
        <v>5. De 300 a 500 m</v>
      </c>
      <c r="L1077" s="26" t="n">
        <v>0</v>
      </c>
      <c r="M1077" s="26" t="n">
        <v>0</v>
      </c>
      <c r="N1077" s="26" t="n">
        <v>0</v>
      </c>
      <c r="O1077" s="26" t="n">
        <v>0</v>
      </c>
      <c r="P1077" s="30" t="n">
        <v>-14.8120757</v>
      </c>
      <c r="Q1077" s="30" t="n">
        <v>-39.2843164</v>
      </c>
      <c r="R1077" s="14" t="inlineStr">
        <is>
          <t>RUA RIO ALMADA, Nº 100, BAIRRO GÓES CALMON, ITABUNA-BA</t>
        </is>
      </c>
      <c r="S1077" s="26">
        <f>IF(A1077=A1076,0,1)</f>
        <v>0</v>
      </c>
      <c r="T1077" s="26">
        <f>IF(COUNTIF($B$4:B1077,B1077)=1,1,0)</f>
        <v>0</v>
      </c>
    </row>
    <row r="1078">
      <c r="A1078" s="14" t="inlineStr">
        <is>
          <t>ITABUNA</t>
        </is>
      </c>
      <c r="B1078" s="26" t="n">
        <v>27</v>
      </c>
      <c r="C1078" s="26" t="n">
        <v>1520</v>
      </c>
      <c r="D1078" s="14" t="inlineStr">
        <is>
          <t>GRUPO ESCOLAR EWERTON CHALOUP</t>
        </is>
      </c>
      <c r="E1078" s="14" t="inlineStr">
        <is>
          <t>ZIZO</t>
        </is>
      </c>
      <c r="F1078" s="14" t="inlineStr">
        <is>
          <t>AV. ROBERTO SANTOS, S/N - ZONA URBANA</t>
        </is>
      </c>
      <c r="G1078" s="27" t="inlineStr">
        <is>
          <t>45606-000</t>
        </is>
      </c>
      <c r="H1078" s="15" t="n">
        <v>4</v>
      </c>
      <c r="I1078" s="28" t="inlineStr">
        <is>
          <t>NÃO</t>
        </is>
      </c>
      <c r="J1078" s="29" t="n">
        <v>494.8</v>
      </c>
      <c r="K1078" s="14" t="str">
        <f>IF(J1078="","7. Acima de 2 km",IF(J1078&lt;=50,"1. Até 50 m",IF(J1078&lt;=100,"2. De 50 a 100 m",IF(J1078&lt;=200,"3. De 100 a 200 m",IF(J1078&lt;=300,"4. De 200 a 300 m",IF(J1078&lt;=500,"5. De 300 a 500 m","6. De 500 m a 2 km"))))))</f>
        <v>5. De 300 a 500 m</v>
      </c>
      <c r="L1078" s="26" t="n">
        <v>0</v>
      </c>
      <c r="M1078" s="26" t="n">
        <v>0</v>
      </c>
      <c r="N1078" s="26" t="n">
        <v>0</v>
      </c>
      <c r="O1078" s="26" t="n">
        <v>0</v>
      </c>
      <c r="P1078" s="30" t="n">
        <v>-14.799915</v>
      </c>
      <c r="Q1078" s="30" t="n">
        <v>-39.2684733</v>
      </c>
      <c r="R1078" s="14" t="inlineStr">
        <is>
          <t>RUA RIO ALMADA, Nº 100, BAIRRO GÓES CALMON, ITABUNA-BA</t>
        </is>
      </c>
      <c r="S1078" s="26">
        <f>IF(A1078=A1077,0,1)</f>
        <v>0</v>
      </c>
      <c r="T1078" s="26">
        <f>IF(COUNTIF($B$4:B1078,B1078)=1,1,0)</f>
        <v>0</v>
      </c>
    </row>
    <row r="1079">
      <c r="A1079" s="14" t="inlineStr">
        <is>
          <t>ITABUNA</t>
        </is>
      </c>
      <c r="B1079" s="26" t="n">
        <v>27</v>
      </c>
      <c r="C1079" s="26" t="n">
        <v>1538</v>
      </c>
      <c r="D1079" s="14" t="inlineStr">
        <is>
          <t>GRUPO ESCOLAR MUNICIPAL PEDRO JERÔNIMO</t>
        </is>
      </c>
      <c r="E1079" s="14" t="inlineStr">
        <is>
          <t>PEDRO GERÔNIMO</t>
        </is>
      </c>
      <c r="F1079" s="14" t="inlineStr">
        <is>
          <t>RUA VILA NOVA, S/N - ZONA URBANA</t>
        </is>
      </c>
      <c r="G1079" s="27" t="inlineStr">
        <is>
          <t>45606-490</t>
        </is>
      </c>
      <c r="H1079" s="15" t="n">
        <v>6</v>
      </c>
      <c r="I1079" s="28" t="inlineStr">
        <is>
          <t>NÃO</t>
        </is>
      </c>
      <c r="J1079" s="29" t="n">
        <v>920.1</v>
      </c>
      <c r="K1079" s="14" t="str">
        <f>IF(J1079="","7. Acima de 2 km",IF(J1079&lt;=50,"1. Até 50 m",IF(J1079&lt;=100,"2. De 50 a 100 m",IF(J1079&lt;=200,"3. De 100 a 200 m",IF(J1079&lt;=300,"4. De 200 a 300 m",IF(J1079&lt;=500,"5. De 300 a 500 m","6. De 500 m a 2 km"))))))</f>
        <v>6. De 500 m a 2 km</v>
      </c>
      <c r="L1079" s="26" t="n">
        <v>0</v>
      </c>
      <c r="M1079" s="26" t="n">
        <v>0</v>
      </c>
      <c r="N1079" s="26" t="n">
        <v>0</v>
      </c>
      <c r="O1079" s="26" t="n">
        <v>0</v>
      </c>
      <c r="P1079" s="30" t="n">
        <v>-14.8060866</v>
      </c>
      <c r="Q1079" s="30" t="n">
        <v>-39.2670181</v>
      </c>
      <c r="R1079" s="14" t="inlineStr">
        <is>
          <t>RUA RIO ALMADA, Nº 100, BAIRRO GÓES CALMON, ITABUNA-BA</t>
        </is>
      </c>
      <c r="S1079" s="26">
        <f>IF(A1079=A1078,0,1)</f>
        <v>0</v>
      </c>
      <c r="T1079" s="26">
        <f>IF(COUNTIF($B$4:B1079,B1079)=1,1,0)</f>
        <v>0</v>
      </c>
    </row>
    <row r="1080">
      <c r="A1080" s="14" t="inlineStr">
        <is>
          <t>ITABUNA</t>
        </is>
      </c>
      <c r="B1080" s="26" t="n">
        <v>27</v>
      </c>
      <c r="C1080" s="26" t="n">
        <v>1546</v>
      </c>
      <c r="D1080" s="14" t="inlineStr">
        <is>
          <t>CONJUNTO PENAL DE ITABUNA</t>
        </is>
      </c>
      <c r="E1080" s="14" t="inlineStr">
        <is>
          <t>FERRADAS</t>
        </is>
      </c>
      <c r="F1080" s="14" t="inlineStr">
        <is>
          <t>RODOVIA BR-415, S/N - ZONA RURAL</t>
        </is>
      </c>
      <c r="G1080" s="27" t="inlineStr">
        <is>
          <t>45600-971</t>
        </is>
      </c>
      <c r="H1080" s="15" t="n">
        <v>1</v>
      </c>
      <c r="I1080" s="28" t="inlineStr">
        <is>
          <t>SIM</t>
        </is>
      </c>
      <c r="J1080" s="29" t="n">
        <v>97.90000000000001</v>
      </c>
      <c r="K1080" s="14" t="str">
        <f>IF(J1080="","7. Acima de 2 km",IF(J1080&lt;=50,"1. Até 50 m",IF(J1080&lt;=100,"2. De 50 a 100 m",IF(J1080&lt;=200,"3. De 100 a 200 m",IF(J1080&lt;=300,"4. De 200 a 300 m",IF(J1080&lt;=500,"5. De 300 a 500 m","6. De 500 m a 2 km"))))))</f>
        <v>2. De 50 a 100 m</v>
      </c>
      <c r="L1080" s="26" t="n">
        <v>0</v>
      </c>
      <c r="M1080" s="26" t="n">
        <v>1</v>
      </c>
      <c r="N1080" s="26" t="n">
        <v>3</v>
      </c>
      <c r="O1080" s="26" t="n">
        <v>3</v>
      </c>
      <c r="P1080" s="30" t="n">
        <v>-14.845675</v>
      </c>
      <c r="Q1080" s="30" t="n">
        <v>-39.3514412</v>
      </c>
      <c r="R1080" s="14" t="inlineStr">
        <is>
          <t>RUA RIO ALMADA, Nº 100, BAIRRO GÓES CALMON, ITABUNA-BA</t>
        </is>
      </c>
      <c r="S1080" s="26">
        <f>IF(A1080=A1079,0,1)</f>
        <v>0</v>
      </c>
      <c r="T1080" s="26">
        <f>IF(COUNTIF($B$4:B1080,B1080)=1,1,0)</f>
        <v>0</v>
      </c>
    </row>
    <row r="1081">
      <c r="A1081" s="14" t="inlineStr">
        <is>
          <t>ITABUNA</t>
        </is>
      </c>
      <c r="B1081" s="26" t="n">
        <v>27</v>
      </c>
      <c r="C1081" s="26" t="n">
        <v>1554</v>
      </c>
      <c r="D1081" s="14" t="inlineStr">
        <is>
          <t>FACULDADE ANHANGUERA</t>
        </is>
      </c>
      <c r="E1081" s="14" t="inlineStr">
        <is>
          <t>LOMANTO</t>
        </is>
      </c>
      <c r="F1081" s="14" t="inlineStr">
        <is>
          <t>AV. JOSÉ SOARES PINHEIRO, 1600 - ZONA URBANA</t>
        </is>
      </c>
      <c r="G1081" s="27" t="inlineStr">
        <is>
          <t>45600-298</t>
        </is>
      </c>
      <c r="H1081" s="15" t="n">
        <v>20</v>
      </c>
      <c r="I1081" s="28" t="inlineStr">
        <is>
          <t>NÃO</t>
        </is>
      </c>
      <c r="J1081" s="29" t="n">
        <v>332.5</v>
      </c>
      <c r="K1081" s="14" t="str">
        <f>IF(J1081="","7. Acima de 2 km",IF(J1081&lt;=50,"1. Até 50 m",IF(J1081&lt;=100,"2. De 50 a 100 m",IF(J1081&lt;=200,"3. De 100 a 200 m",IF(J1081&lt;=300,"4. De 200 a 300 m",IF(J1081&lt;=500,"5. De 300 a 500 m","6. De 500 m a 2 km"))))))</f>
        <v>5. De 300 a 500 m</v>
      </c>
      <c r="L1081" s="26" t="n">
        <v>0</v>
      </c>
      <c r="M1081" s="26" t="n">
        <v>0</v>
      </c>
      <c r="N1081" s="26" t="n">
        <v>0</v>
      </c>
      <c r="O1081" s="26" t="n">
        <v>0</v>
      </c>
      <c r="P1081" s="30" t="n">
        <v>-14.8039097</v>
      </c>
      <c r="Q1081" s="30" t="n">
        <v>-39.292016</v>
      </c>
      <c r="R1081" s="14" t="inlineStr">
        <is>
          <t>RUA RIO ALMADA, Nº 100, BAIRRO GÓES CALMON, ITABUNA-BA</t>
        </is>
      </c>
      <c r="S1081" s="26">
        <f>IF(A1081=A1080,0,1)</f>
        <v>0</v>
      </c>
      <c r="T1081" s="26">
        <f>IF(COUNTIF($B$4:B1081,B1081)=1,1,0)</f>
        <v>0</v>
      </c>
    </row>
    <row r="1082">
      <c r="A1082" s="14" t="inlineStr">
        <is>
          <t>ITABUNA</t>
        </is>
      </c>
      <c r="B1082" s="26" t="n">
        <v>27</v>
      </c>
      <c r="C1082" s="26" t="n">
        <v>1570</v>
      </c>
      <c r="D1082" s="14" t="inlineStr">
        <is>
          <t>ESCOLA MUNICIPAL FLORÍPEDES MENEZES SANTOS DE OLIVEIRA</t>
        </is>
      </c>
      <c r="E1082" s="14" t="inlineStr">
        <is>
          <t>NOVA FERRADAS</t>
        </is>
      </c>
      <c r="F1082" s="14" t="inlineStr">
        <is>
          <t>RUA 25 DE DEZEMBRO, S/N - ZONA URBANA</t>
        </is>
      </c>
      <c r="G1082" s="27" t="inlineStr">
        <is>
          <t>45613-500</t>
        </is>
      </c>
      <c r="H1082" s="15" t="n">
        <v>1</v>
      </c>
      <c r="I1082" s="28" t="inlineStr">
        <is>
          <t>NÃO</t>
        </is>
      </c>
      <c r="J1082" s="29" t="n">
        <v>973.7</v>
      </c>
      <c r="K1082" s="14" t="str">
        <f>IF(J1082="","7. Acima de 2 km",IF(J1082&lt;=50,"1. Até 50 m",IF(J1082&lt;=100,"2. De 50 a 100 m",IF(J1082&lt;=200,"3. De 100 a 200 m",IF(J1082&lt;=300,"4. De 200 a 300 m",IF(J1082&lt;=500,"5. De 300 a 500 m","6. De 500 m a 2 km"))))))</f>
        <v>6. De 500 m a 2 km</v>
      </c>
      <c r="L1082" s="26" t="n">
        <v>0</v>
      </c>
      <c r="M1082" s="26" t="n">
        <v>0</v>
      </c>
      <c r="N1082" s="26" t="n">
        <v>0</v>
      </c>
      <c r="O1082" s="26" t="n">
        <v>0</v>
      </c>
      <c r="P1082" s="30" t="n">
        <v>-14.8532246</v>
      </c>
      <c r="Q1082" s="30" t="n">
        <v>-39.3463044</v>
      </c>
      <c r="R1082" s="14" t="inlineStr">
        <is>
          <t>RUA RIO ALMADA, Nº 100, BAIRRO GÓES CALMON, ITABUNA-BA</t>
        </is>
      </c>
      <c r="S1082" s="26">
        <f>IF(A1082=A1081,0,1)</f>
        <v>0</v>
      </c>
      <c r="T1082" s="26">
        <f>IF(COUNTIF($B$4:B1082,B1082)=1,1,0)</f>
        <v>0</v>
      </c>
    </row>
    <row r="1083">
      <c r="A1083" s="14" t="inlineStr">
        <is>
          <t>ITABUNA</t>
        </is>
      </c>
      <c r="B1083" s="26" t="n">
        <v>27</v>
      </c>
      <c r="C1083" s="26" t="n">
        <v>1589</v>
      </c>
      <c r="D1083" s="14" t="inlineStr">
        <is>
          <t>ESCOLA MUNICIPAL MARGARIDA PEREIRA</t>
        </is>
      </c>
      <c r="E1083" s="14" t="inlineStr">
        <is>
          <t>PEDRO GERÔNIMO</t>
        </is>
      </c>
      <c r="F1083" s="14" t="inlineStr">
        <is>
          <t>RUA FREI JOAQUIM CAMELI, S/N - ZONA URBANA</t>
        </is>
      </c>
      <c r="G1083" s="27" t="inlineStr">
        <is>
          <t>45606-482</t>
        </is>
      </c>
      <c r="H1083" s="15" t="n">
        <v>1</v>
      </c>
      <c r="I1083" s="28" t="inlineStr">
        <is>
          <t>NÃO</t>
        </is>
      </c>
      <c r="J1083" s="29" t="n">
        <v>915.8</v>
      </c>
      <c r="K1083" s="14" t="str">
        <f>IF(J1083="","7. Acima de 2 km",IF(J1083&lt;=50,"1. Até 50 m",IF(J1083&lt;=100,"2. De 50 a 100 m",IF(J1083&lt;=200,"3. De 100 a 200 m",IF(J1083&lt;=300,"4. De 200 a 300 m",IF(J1083&lt;=500,"5. De 300 a 500 m","6. De 500 m a 2 km"))))))</f>
        <v>6. De 500 m a 2 km</v>
      </c>
      <c r="L1083" s="26" t="n">
        <v>0</v>
      </c>
      <c r="M1083" s="26" t="n">
        <v>0</v>
      </c>
      <c r="N1083" s="26" t="n">
        <v>0</v>
      </c>
      <c r="O1083" s="26" t="n">
        <v>0</v>
      </c>
      <c r="P1083" s="30" t="n">
        <v>-14.8101103</v>
      </c>
      <c r="Q1083" s="30" t="n">
        <v>-39.2657155</v>
      </c>
      <c r="R1083" s="14" t="inlineStr">
        <is>
          <t>RUA RIO ALMADA, Nº 100, BAIRRO GÓES CALMON, ITABUNA-BA</t>
        </is>
      </c>
      <c r="S1083" s="26">
        <f>IF(A1083=A1082,0,1)</f>
        <v>0</v>
      </c>
      <c r="T1083" s="26">
        <f>IF(COUNTIF($B$4:B1083,B1083)=1,1,0)</f>
        <v>0</v>
      </c>
    </row>
    <row r="1084">
      <c r="A1084" s="14" t="inlineStr">
        <is>
          <t>ITABUNA</t>
        </is>
      </c>
      <c r="B1084" s="26" t="n">
        <v>27</v>
      </c>
      <c r="C1084" s="26" t="n">
        <v>1597</v>
      </c>
      <c r="D1084" s="14" t="inlineStr">
        <is>
          <t>ESCOLA DE TEMPO INTEGRAL PROFESSOR ADEUM HILÁRIO SAUER</t>
        </is>
      </c>
      <c r="E1084" s="14" t="inlineStr">
        <is>
          <t>VILA ANÁLIA</t>
        </is>
      </c>
      <c r="F1084" s="14" t="inlineStr">
        <is>
          <t>RUA C, 1738 - ZONA URBANA</t>
        </is>
      </c>
      <c r="G1084" s="27" t="inlineStr">
        <is>
          <t>45608-226</t>
        </is>
      </c>
      <c r="H1084" s="15" t="n">
        <v>22</v>
      </c>
      <c r="I1084" s="28" t="inlineStr">
        <is>
          <t>SIM</t>
        </is>
      </c>
      <c r="J1084" s="29" t="n">
        <v>63.5</v>
      </c>
      <c r="K1084" s="14" t="str">
        <f>IF(J1084="","7. Acima de 2 km",IF(J1084&lt;=50,"1. Até 50 m",IF(J1084&lt;=100,"2. De 50 a 100 m",IF(J1084&lt;=200,"3. De 100 a 200 m",IF(J1084&lt;=300,"4. De 200 a 300 m",IF(J1084&lt;=500,"5. De 300 a 500 m","6. De 500 m a 2 km"))))))</f>
        <v>2. De 50 a 100 m</v>
      </c>
      <c r="L1084" s="26" t="n">
        <v>0</v>
      </c>
      <c r="M1084" s="26" t="n">
        <v>1</v>
      </c>
      <c r="N1084" s="26" t="n">
        <v>1</v>
      </c>
      <c r="O1084" s="26" t="n">
        <v>1</v>
      </c>
      <c r="P1084" s="30" t="n">
        <v>-14.81658</v>
      </c>
      <c r="Q1084" s="30" t="n">
        <v>-39.2765219</v>
      </c>
      <c r="R1084" s="14" t="inlineStr">
        <is>
          <t>RUA RIO ALMADA, Nº 100, BAIRRO GÓES CALMON, ITABUNA-BA</t>
        </is>
      </c>
      <c r="S1084" s="26">
        <f>IF(A1084=A1083,0,1)</f>
        <v>0</v>
      </c>
      <c r="T1084" s="26">
        <f>IF(COUNTIF($B$4:B1084,B1084)=1,1,0)</f>
        <v>0</v>
      </c>
    </row>
    <row r="1085">
      <c r="A1085" s="14" t="inlineStr">
        <is>
          <t>ITABUNA</t>
        </is>
      </c>
      <c r="B1085" s="26" t="n">
        <v>28</v>
      </c>
      <c r="C1085" s="26" t="n">
        <v>1015</v>
      </c>
      <c r="D1085" s="14" t="inlineStr">
        <is>
          <t>COLÉGIO AÇÃO FRATERNAL DE ITABUNA</t>
        </is>
      </c>
      <c r="E1085" s="14" t="inlineStr">
        <is>
          <t>CENTRO</t>
        </is>
      </c>
      <c r="F1085" s="14" t="inlineStr">
        <is>
          <t>AV AMÉLIA AMADO 792 - ZONA URBANA</t>
        </is>
      </c>
      <c r="G1085" s="27" t="inlineStr">
        <is>
          <t>45600-000</t>
        </is>
      </c>
      <c r="H1085" s="15" t="n">
        <v>14</v>
      </c>
      <c r="I1085" s="28" t="inlineStr">
        <is>
          <t>NÃO</t>
        </is>
      </c>
      <c r="J1085" s="29" t="n">
        <v>181.4</v>
      </c>
      <c r="K1085" s="14" t="str">
        <f>IF(J1085="","7. Acima de 2 km",IF(J1085&lt;=50,"1. Até 50 m",IF(J1085&lt;=100,"2. De 50 a 100 m",IF(J1085&lt;=200,"3. De 100 a 200 m",IF(J1085&lt;=300,"4. De 200 a 300 m",IF(J1085&lt;=500,"5. De 300 a 500 m","6. De 500 m a 2 km"))))))</f>
        <v>3. De 100 a 200 m</v>
      </c>
      <c r="L1085" s="26" t="n">
        <v>0</v>
      </c>
      <c r="M1085" s="26" t="n">
        <v>0</v>
      </c>
      <c r="N1085" s="26" t="n">
        <v>1</v>
      </c>
      <c r="O1085" s="26" t="n">
        <v>4</v>
      </c>
      <c r="P1085" s="30" t="n">
        <v>-14.7889607</v>
      </c>
      <c r="Q1085" s="30" t="n">
        <v>-39.2777753</v>
      </c>
      <c r="R1085" s="14" t="inlineStr">
        <is>
          <t>RUA RIO ALMADA, Nº 100, BAIRRO GÓES CALMON, ITABUNA-BA</t>
        </is>
      </c>
      <c r="S1085" s="26">
        <f>IF(A1085=A1084,0,1)</f>
        <v>0</v>
      </c>
      <c r="T1085" s="26">
        <f>IF(COUNTIF($B$4:B1085,B1085)=1,1,0)</f>
        <v>1</v>
      </c>
    </row>
    <row r="1086">
      <c r="A1086" s="14" t="inlineStr">
        <is>
          <t>ITABUNA</t>
        </is>
      </c>
      <c r="B1086" s="26" t="n">
        <v>28</v>
      </c>
      <c r="C1086" s="26" t="n">
        <v>1180</v>
      </c>
      <c r="D1086" s="14" t="inlineStr">
        <is>
          <t>COLÉGIO LÚCIA OLIVEIRA</t>
        </is>
      </c>
      <c r="E1086" s="14" t="inlineStr">
        <is>
          <t>CENTRO</t>
        </is>
      </c>
      <c r="F1086" s="14" t="inlineStr">
        <is>
          <t>RUA SÃO VICENTE DE PAULA, S/N - ZONA URBANA</t>
        </is>
      </c>
      <c r="G1086" s="27" t="inlineStr">
        <is>
          <t>45600-000</t>
        </is>
      </c>
      <c r="H1086" s="15" t="n">
        <v>6</v>
      </c>
      <c r="I1086" s="28" t="inlineStr">
        <is>
          <t>SIM</t>
        </is>
      </c>
      <c r="J1086" s="29" t="n">
        <v>90.3</v>
      </c>
      <c r="K1086" s="14" t="str">
        <f>IF(J1086="","7. Acima de 2 km",IF(J1086&lt;=50,"1. Até 50 m",IF(J1086&lt;=100,"2. De 50 a 100 m",IF(J1086&lt;=200,"3. De 100 a 200 m",IF(J1086&lt;=300,"4. De 200 a 300 m",IF(J1086&lt;=500,"5. De 300 a 500 m","6. De 500 m a 2 km"))))))</f>
        <v>2. De 50 a 100 m</v>
      </c>
      <c r="L1086" s="26" t="n">
        <v>0</v>
      </c>
      <c r="M1086" s="26" t="n">
        <v>2</v>
      </c>
      <c r="N1086" s="26" t="n">
        <v>4</v>
      </c>
      <c r="O1086" s="26" t="n">
        <v>8</v>
      </c>
      <c r="P1086" s="30" t="n">
        <v>-14.786902</v>
      </c>
      <c r="Q1086" s="30" t="n">
        <v>-39.2736276</v>
      </c>
      <c r="R1086" s="14" t="inlineStr">
        <is>
          <t>RUA RIO ALMADA, Nº 100, BAIRRO GÓES CALMON, ITABUNA-BA</t>
        </is>
      </c>
      <c r="S1086" s="26">
        <f>IF(A1086=A1085,0,1)</f>
        <v>0</v>
      </c>
      <c r="T1086" s="26">
        <f>IF(COUNTIF($B$4:B1086,B1086)=1,1,0)</f>
        <v>0</v>
      </c>
    </row>
    <row r="1087">
      <c r="A1087" s="14" t="inlineStr">
        <is>
          <t>ITABUNA</t>
        </is>
      </c>
      <c r="B1087" s="26" t="n">
        <v>28</v>
      </c>
      <c r="C1087" s="26" t="n">
        <v>1210</v>
      </c>
      <c r="D1087" s="14" t="inlineStr">
        <is>
          <t>INSTITUTO MUNICIPAL DE EDUCAÇÃO AZIZ MARON - IMEAM</t>
        </is>
      </c>
      <c r="E1087" s="14" t="inlineStr">
        <is>
          <t>CENTRO</t>
        </is>
      </c>
      <c r="F1087" s="14" t="inlineStr">
        <is>
          <t>TRAV FRANCISCO BENÍCIO S/N - ZONA URBANA</t>
        </is>
      </c>
      <c r="G1087" s="27" t="inlineStr">
        <is>
          <t>45600-000</t>
        </is>
      </c>
      <c r="H1087" s="15" t="n">
        <v>11</v>
      </c>
      <c r="I1087" s="28" t="inlineStr">
        <is>
          <t>NÃO</t>
        </is>
      </c>
      <c r="J1087" s="29" t="n">
        <v>163.2</v>
      </c>
      <c r="K1087" s="14" t="str">
        <f>IF(J1087="","7. Acima de 2 km",IF(J1087&lt;=50,"1. Até 50 m",IF(J1087&lt;=100,"2. De 50 a 100 m",IF(J1087&lt;=200,"3. De 100 a 200 m",IF(J1087&lt;=300,"4. De 200 a 300 m",IF(J1087&lt;=500,"5. De 300 a 500 m","6. De 500 m a 2 km"))))))</f>
        <v>3. De 100 a 200 m</v>
      </c>
      <c r="L1087" s="26" t="n">
        <v>0</v>
      </c>
      <c r="M1087" s="26" t="n">
        <v>0</v>
      </c>
      <c r="N1087" s="26" t="n">
        <v>1</v>
      </c>
      <c r="O1087" s="26" t="n">
        <v>2</v>
      </c>
      <c r="P1087" s="30" t="n">
        <v>-14.7844601</v>
      </c>
      <c r="Q1087" s="30" t="n">
        <v>-39.2694181</v>
      </c>
      <c r="R1087" s="14" t="inlineStr">
        <is>
          <t>RUA RIO ALMADA, Nº 100, BAIRRO GÓES CALMON, ITABUNA-BA</t>
        </is>
      </c>
      <c r="S1087" s="26">
        <f>IF(A1087=A1086,0,1)</f>
        <v>0</v>
      </c>
      <c r="T1087" s="26">
        <f>IF(COUNTIF($B$4:B1087,B1087)=1,1,0)</f>
        <v>0</v>
      </c>
    </row>
    <row r="1088">
      <c r="A1088" s="14" t="inlineStr">
        <is>
          <t>ITABUNA</t>
        </is>
      </c>
      <c r="B1088" s="26" t="n">
        <v>28</v>
      </c>
      <c r="C1088" s="26" t="n">
        <v>1252</v>
      </c>
      <c r="D1088" s="14" t="inlineStr">
        <is>
          <t>UNEX - PRÉDIO I (ANTIGO UNIFTC - PRINCIPAL)</t>
        </is>
      </c>
      <c r="E1088" s="14" t="inlineStr">
        <is>
          <t>CENTRO</t>
        </is>
      </c>
      <c r="F1088" s="14" t="inlineStr">
        <is>
          <t>PRAÇA JOSÉ BASTOS, N 50 - ZONA URBANA</t>
        </is>
      </c>
      <c r="G1088" s="27" t="inlineStr">
        <is>
          <t>45600-080</t>
        </is>
      </c>
      <c r="H1088" s="15" t="n">
        <v>34</v>
      </c>
      <c r="I1088" s="28" t="inlineStr">
        <is>
          <t>SIM</t>
        </is>
      </c>
      <c r="J1088" s="29" t="n">
        <v>91.59999999999999</v>
      </c>
      <c r="K1088" s="14" t="str">
        <f>IF(J1088="","7. Acima de 2 km",IF(J1088&lt;=50,"1. Até 50 m",IF(J1088&lt;=100,"2. De 50 a 100 m",IF(J1088&lt;=200,"3. De 100 a 200 m",IF(J1088&lt;=300,"4. De 200 a 300 m",IF(J1088&lt;=500,"5. De 300 a 500 m","6. De 500 m a 2 km"))))))</f>
        <v>2. De 50 a 100 m</v>
      </c>
      <c r="L1088" s="26" t="n">
        <v>0</v>
      </c>
      <c r="M1088" s="26" t="n">
        <v>1</v>
      </c>
      <c r="N1088" s="26" t="n">
        <v>4</v>
      </c>
      <c r="O1088" s="26" t="n">
        <v>8</v>
      </c>
      <c r="P1088" s="30" t="n">
        <v>-14.7876583</v>
      </c>
      <c r="Q1088" s="30" t="n">
        <v>-39.2748221</v>
      </c>
      <c r="R1088" s="14" t="inlineStr">
        <is>
          <t>RUA RIO ALMADA, Nº 100, BAIRRO GÓES CALMON, ITABUNA-BA</t>
        </is>
      </c>
      <c r="S1088" s="26">
        <f>IF(A1088=A1087,0,1)</f>
        <v>0</v>
      </c>
      <c r="T1088" s="26">
        <f>IF(COUNTIF($B$4:B1088,B1088)=1,1,0)</f>
        <v>0</v>
      </c>
    </row>
    <row r="1089">
      <c r="A1089" s="14" t="inlineStr">
        <is>
          <t>ITABUNA</t>
        </is>
      </c>
      <c r="B1089" s="26" t="n">
        <v>28</v>
      </c>
      <c r="C1089" s="26" t="n">
        <v>1333</v>
      </c>
      <c r="D1089" s="14" t="inlineStr">
        <is>
          <t>ESCOLA MUNICIPAL TEREZA CRISTINA RIBEIRO ESTRELA</t>
        </is>
      </c>
      <c r="E1089" s="14" t="inlineStr">
        <is>
          <t>PARQUE BOA VISTA</t>
        </is>
      </c>
      <c r="F1089" s="14" t="inlineStr">
        <is>
          <t>RUA SETE, S/N - ZONA URBANA</t>
        </is>
      </c>
      <c r="G1089" s="27" t="inlineStr">
        <is>
          <t>45604-684</t>
        </is>
      </c>
      <c r="H1089" s="15" t="n">
        <v>13</v>
      </c>
      <c r="I1089" s="28" t="inlineStr">
        <is>
          <t>NÃO</t>
        </is>
      </c>
      <c r="J1089" s="29" t="n">
        <v>810.4</v>
      </c>
      <c r="K1089" s="14" t="str">
        <f>IF(J1089="","7. Acima de 2 km",IF(J1089&lt;=50,"1. Até 50 m",IF(J1089&lt;=100,"2. De 50 a 100 m",IF(J1089&lt;=200,"3. De 100 a 200 m",IF(J1089&lt;=300,"4. De 200 a 300 m",IF(J1089&lt;=500,"5. De 300 a 500 m","6. De 500 m a 2 km"))))))</f>
        <v>6. De 500 m a 2 km</v>
      </c>
      <c r="L1089" s="26" t="n">
        <v>0</v>
      </c>
      <c r="M1089" s="26" t="n">
        <v>0</v>
      </c>
      <c r="N1089" s="26" t="n">
        <v>0</v>
      </c>
      <c r="O1089" s="26" t="n">
        <v>0</v>
      </c>
      <c r="P1089" s="30" t="n">
        <v>-14.7760837</v>
      </c>
      <c r="Q1089" s="30" t="n">
        <v>-39.2581717</v>
      </c>
      <c r="R1089" s="14" t="inlineStr">
        <is>
          <t>RUA RIO ALMADA, Nº 100, BAIRRO GÓES CALMON, ITABUNA-BA</t>
        </is>
      </c>
      <c r="S1089" s="26">
        <f>IF(A1089=A1088,0,1)</f>
        <v>0</v>
      </c>
      <c r="T1089" s="26">
        <f>IF(COUNTIF($B$4:B1089,B1089)=1,1,0)</f>
        <v>0</v>
      </c>
    </row>
    <row r="1090">
      <c r="A1090" s="14" t="inlineStr">
        <is>
          <t>ITABUNA</t>
        </is>
      </c>
      <c r="B1090" s="26" t="n">
        <v>28</v>
      </c>
      <c r="C1090" s="26" t="n">
        <v>1350</v>
      </c>
      <c r="D1090" s="14" t="inlineStr">
        <is>
          <t>COLÉGIO ESTADUAL VALDELICE SOARES PINHEIRO - ANTIGO PRESIDENTE MÉDICE</t>
        </is>
      </c>
      <c r="E1090" s="14" t="inlineStr">
        <is>
          <t>CALIFÓRNIA</t>
        </is>
      </c>
      <c r="F1090" s="14" t="inlineStr">
        <is>
          <t>RUA SANTA RITA, S/N - ZONA URBANA</t>
        </is>
      </c>
      <c r="G1090" s="27" t="inlineStr">
        <is>
          <t>45600-002</t>
        </is>
      </c>
      <c r="H1090" s="15" t="n">
        <v>19</v>
      </c>
      <c r="I1090" s="28" t="inlineStr">
        <is>
          <t>NÃO</t>
        </is>
      </c>
      <c r="J1090" s="29" t="n">
        <v>156.5</v>
      </c>
      <c r="K1090" s="14" t="str">
        <f>IF(J1090="","7. Acima de 2 km",IF(J1090&lt;=50,"1. Até 50 m",IF(J1090&lt;=100,"2. De 50 a 100 m",IF(J1090&lt;=200,"3. De 100 a 200 m",IF(J1090&lt;=300,"4. De 200 a 300 m",IF(J1090&lt;=500,"5. De 300 a 500 m","6. De 500 m a 2 km"))))))</f>
        <v>3. De 100 a 200 m</v>
      </c>
      <c r="L1090" s="26" t="n">
        <v>0</v>
      </c>
      <c r="M1090" s="26" t="n">
        <v>0</v>
      </c>
      <c r="N1090" s="26" t="n">
        <v>2</v>
      </c>
      <c r="O1090" s="26" t="n">
        <v>3</v>
      </c>
      <c r="P1090" s="30" t="n">
        <v>-14.7725606</v>
      </c>
      <c r="Q1090" s="30" t="n">
        <v>-39.2659135</v>
      </c>
      <c r="R1090" s="14" t="inlineStr">
        <is>
          <t>RUA RIO ALMADA, Nº 100, BAIRRO GÓES CALMON, ITABUNA-BA</t>
        </is>
      </c>
      <c r="S1090" s="26">
        <f>IF(A1090=A1089,0,1)</f>
        <v>0</v>
      </c>
      <c r="T1090" s="26">
        <f>IF(COUNTIF($B$4:B1090,B1090)=1,1,0)</f>
        <v>0</v>
      </c>
    </row>
    <row r="1091">
      <c r="A1091" s="14" t="inlineStr">
        <is>
          <t>ITABUNA</t>
        </is>
      </c>
      <c r="B1091" s="26" t="n">
        <v>28</v>
      </c>
      <c r="C1091" s="26" t="n">
        <v>1384</v>
      </c>
      <c r="D1091" s="14" t="inlineStr">
        <is>
          <t>CENTRO INTEGRADO OSCAR MARINHO FALCÃO - CIOMF</t>
        </is>
      </c>
      <c r="E1091" s="14" t="inlineStr">
        <is>
          <t>SANTO ANTÔNIO</t>
        </is>
      </c>
      <c r="F1091" s="14" t="inlineStr">
        <is>
          <t>AV ITAJUÍPE S/N - ZONA URBANA</t>
        </is>
      </c>
      <c r="G1091" s="27" t="inlineStr">
        <is>
          <t>45600-000</t>
        </is>
      </c>
      <c r="H1091" s="15" t="n">
        <v>26</v>
      </c>
      <c r="I1091" s="28" t="inlineStr">
        <is>
          <t>NÃO</t>
        </is>
      </c>
      <c r="J1091" s="29" t="n">
        <v>281.6</v>
      </c>
      <c r="K1091" s="14" t="str">
        <f>IF(J1091="","7. Acima de 2 km",IF(J1091&lt;=50,"1. Até 50 m",IF(J1091&lt;=100,"2. De 50 a 100 m",IF(J1091&lt;=200,"3. De 100 a 200 m",IF(J1091&lt;=300,"4. De 200 a 300 m",IF(J1091&lt;=500,"5. De 300 a 500 m","6. De 500 m a 2 km"))))))</f>
        <v>4. De 200 a 300 m</v>
      </c>
      <c r="L1091" s="26" t="n">
        <v>0</v>
      </c>
      <c r="M1091" s="26" t="n">
        <v>0</v>
      </c>
      <c r="N1091" s="26" t="n">
        <v>0</v>
      </c>
      <c r="O1091" s="26" t="n">
        <v>2</v>
      </c>
      <c r="P1091" s="30" t="n">
        <v>-14.7871129</v>
      </c>
      <c r="Q1091" s="30" t="n">
        <v>-39.2804925</v>
      </c>
      <c r="R1091" s="14" t="inlineStr">
        <is>
          <t>RUA RIO ALMADA, Nº 100, BAIRRO GÓES CALMON, ITABUNA-BA</t>
        </is>
      </c>
      <c r="S1091" s="26">
        <f>IF(A1091=A1090,0,1)</f>
        <v>0</v>
      </c>
      <c r="T1091" s="26">
        <f>IF(COUNTIF($B$4:B1091,B1091)=1,1,0)</f>
        <v>0</v>
      </c>
    </row>
    <row r="1092">
      <c r="A1092" s="14" t="inlineStr">
        <is>
          <t>ITABUNA</t>
        </is>
      </c>
      <c r="B1092" s="26" t="n">
        <v>28</v>
      </c>
      <c r="C1092" s="26" t="n">
        <v>1678</v>
      </c>
      <c r="D1092" s="14" t="inlineStr">
        <is>
          <t>GRUPO ESCOLAR AMÉLIO CORDIER</t>
        </is>
      </c>
      <c r="E1092" s="14" t="inlineStr">
        <is>
          <t>SANTA INÊS</t>
        </is>
      </c>
      <c r="F1092" s="14" t="inlineStr">
        <is>
          <t>RUA GETÚLIO VARGAS S/N - ZONA URBANA</t>
        </is>
      </c>
      <c r="G1092" s="27" t="inlineStr">
        <is>
          <t>45600-000</t>
        </is>
      </c>
      <c r="H1092" s="15" t="n">
        <v>7</v>
      </c>
      <c r="I1092" s="28" t="inlineStr">
        <is>
          <t>NÃO</t>
        </is>
      </c>
      <c r="J1092" s="29" t="n">
        <v>473.9</v>
      </c>
      <c r="K1092" s="14" t="str">
        <f>IF(J1092="","7. Acima de 2 km",IF(J1092&lt;=50,"1. Até 50 m",IF(J1092&lt;=100,"2. De 50 a 100 m",IF(J1092&lt;=200,"3. De 100 a 200 m",IF(J1092&lt;=300,"4. De 200 a 300 m",IF(J1092&lt;=500,"5. De 300 a 500 m","6. De 500 m a 2 km"))))))</f>
        <v>5. De 300 a 500 m</v>
      </c>
      <c r="L1092" s="26" t="n">
        <v>0</v>
      </c>
      <c r="M1092" s="26" t="n">
        <v>0</v>
      </c>
      <c r="N1092" s="26" t="n">
        <v>0</v>
      </c>
      <c r="O1092" s="26" t="n">
        <v>0</v>
      </c>
      <c r="P1092" s="30" t="n">
        <v>-14.7671411</v>
      </c>
      <c r="Q1092" s="30" t="n">
        <v>-39.2692797</v>
      </c>
      <c r="R1092" s="14" t="inlineStr">
        <is>
          <t>RUA RIO ALMADA, Nº 100, BAIRRO GÓES CALMON, ITABUNA-BA</t>
        </is>
      </c>
      <c r="S1092" s="26">
        <f>IF(A1092=A1091,0,1)</f>
        <v>0</v>
      </c>
      <c r="T1092" s="26">
        <f>IF(COUNTIF($B$4:B1092,B1092)=1,1,0)</f>
        <v>0</v>
      </c>
    </row>
    <row r="1093">
      <c r="A1093" s="14" t="inlineStr">
        <is>
          <t>ITABUNA</t>
        </is>
      </c>
      <c r="B1093" s="26" t="n">
        <v>28</v>
      </c>
      <c r="C1093" s="26" t="n">
        <v>1716</v>
      </c>
      <c r="D1093" s="14" t="inlineStr">
        <is>
          <t>COLÉGIO ESTADUAL INÁCIO TOSTA FILHO</t>
        </is>
      </c>
      <c r="E1093" s="14" t="inlineStr">
        <is>
          <t>FÁTIMA</t>
        </is>
      </c>
      <c r="F1093" s="14" t="inlineStr">
        <is>
          <t>RUA MONTE ALTO, S/N - ZONA URBANA</t>
        </is>
      </c>
      <c r="G1093" s="27" t="inlineStr">
        <is>
          <t>45603-490</t>
        </is>
      </c>
      <c r="H1093" s="15" t="n">
        <v>11</v>
      </c>
      <c r="I1093" s="28" t="inlineStr">
        <is>
          <t>NÃO</t>
        </is>
      </c>
      <c r="J1093" s="29" t="n">
        <v>253.2</v>
      </c>
      <c r="K1093" s="14" t="str">
        <f>IF(J1093="","7. Acima de 2 km",IF(J1093&lt;=50,"1. Até 50 m",IF(J1093&lt;=100,"2. De 50 a 100 m",IF(J1093&lt;=200,"3. De 100 a 200 m",IF(J1093&lt;=300,"4. De 200 a 300 m",IF(J1093&lt;=500,"5. De 300 a 500 m","6. De 500 m a 2 km"))))))</f>
        <v>4. De 200 a 300 m</v>
      </c>
      <c r="L1093" s="26" t="n">
        <v>0</v>
      </c>
      <c r="M1093" s="26" t="n">
        <v>0</v>
      </c>
      <c r="N1093" s="26" t="n">
        <v>0</v>
      </c>
      <c r="O1093" s="26" t="n">
        <v>1</v>
      </c>
      <c r="P1093" s="30" t="n">
        <v>-14.7771388</v>
      </c>
      <c r="Q1093" s="30" t="n">
        <v>-39.2697562</v>
      </c>
      <c r="R1093" s="14" t="inlineStr">
        <is>
          <t>RUA RIO ALMADA, Nº 100, BAIRRO GÓES CALMON, ITABUNA-BA</t>
        </is>
      </c>
      <c r="S1093" s="26">
        <f>IF(A1093=A1092,0,1)</f>
        <v>0</v>
      </c>
      <c r="T1093" s="26">
        <f>IF(COUNTIF($B$4:B1093,B1093)=1,1,0)</f>
        <v>0</v>
      </c>
    </row>
    <row r="1094">
      <c r="A1094" s="14" t="inlineStr">
        <is>
          <t>ITABUNA</t>
        </is>
      </c>
      <c r="B1094" s="26" t="n">
        <v>28</v>
      </c>
      <c r="C1094" s="26" t="n">
        <v>1724</v>
      </c>
      <c r="D1094" s="14" t="inlineStr">
        <is>
          <t>ESCOLA FIRMINO ALVES</t>
        </is>
      </c>
      <c r="E1094" s="14" t="inlineStr">
        <is>
          <t>FÁTIMA</t>
        </is>
      </c>
      <c r="F1094" s="14" t="inlineStr">
        <is>
          <t>RUA SÃO JOSÉ S/N - ZONA URBANA</t>
        </is>
      </c>
      <c r="G1094" s="27" t="inlineStr">
        <is>
          <t>45600-000</t>
        </is>
      </c>
      <c r="H1094" s="15" t="n">
        <v>6</v>
      </c>
      <c r="I1094" s="28" t="inlineStr">
        <is>
          <t>NÃO</t>
        </is>
      </c>
      <c r="J1094" s="29" t="n">
        <v>228.9</v>
      </c>
      <c r="K1094" s="14" t="str">
        <f>IF(J1094="","7. Acima de 2 km",IF(J1094&lt;=50,"1. Até 50 m",IF(J1094&lt;=100,"2. De 50 a 100 m",IF(J1094&lt;=200,"3. De 100 a 200 m",IF(J1094&lt;=300,"4. De 200 a 300 m",IF(J1094&lt;=500,"5. De 300 a 500 m","6. De 500 m a 2 km"))))))</f>
        <v>4. De 200 a 300 m</v>
      </c>
      <c r="L1094" s="26" t="n">
        <v>0</v>
      </c>
      <c r="M1094" s="26" t="n">
        <v>0</v>
      </c>
      <c r="N1094" s="26" t="n">
        <v>0</v>
      </c>
      <c r="O1094" s="26" t="n">
        <v>3</v>
      </c>
      <c r="P1094" s="30" t="n">
        <v>-14.7799145</v>
      </c>
      <c r="Q1094" s="30" t="n">
        <v>-39.2663637</v>
      </c>
      <c r="R1094" s="14" t="inlineStr">
        <is>
          <t>RUA RIO ALMADA, Nº 100, BAIRRO GÓES CALMON, ITABUNA-BA</t>
        </is>
      </c>
      <c r="S1094" s="26">
        <f>IF(A1094=A1093,0,1)</f>
        <v>0</v>
      </c>
      <c r="T1094" s="26">
        <f>IF(COUNTIF($B$4:B1094,B1094)=1,1,0)</f>
        <v>0</v>
      </c>
    </row>
    <row r="1095">
      <c r="A1095" s="14" t="inlineStr">
        <is>
          <t>ITABUNA</t>
        </is>
      </c>
      <c r="B1095" s="26" t="n">
        <v>28</v>
      </c>
      <c r="C1095" s="26" t="n">
        <v>1732</v>
      </c>
      <c r="D1095" s="14" t="inlineStr">
        <is>
          <t>COLÉGIO E CURSO GALILEU - RUY BARBOSA</t>
        </is>
      </c>
      <c r="E1095" s="14" t="inlineStr">
        <is>
          <t>CENTRO</t>
        </is>
      </c>
      <c r="F1095" s="14" t="inlineStr">
        <is>
          <t>RUA RUY BARBOSA, N 468 - ZONA URBANA</t>
        </is>
      </c>
      <c r="G1095" s="27" t="inlineStr">
        <is>
          <t>45600-222</t>
        </is>
      </c>
      <c r="H1095" s="15" t="n">
        <v>6</v>
      </c>
      <c r="I1095" s="28" t="inlineStr">
        <is>
          <t>NÃO</t>
        </is>
      </c>
      <c r="J1095" s="29" t="n">
        <v>161.8</v>
      </c>
      <c r="K1095" s="14" t="str">
        <f>IF(J1095="","7. Acima de 2 km",IF(J1095&lt;=50,"1. Até 50 m",IF(J1095&lt;=100,"2. De 50 a 100 m",IF(J1095&lt;=200,"3. De 100 a 200 m",IF(J1095&lt;=300,"4. De 200 a 300 m",IF(J1095&lt;=500,"5. De 300 a 500 m","6. De 500 m a 2 km"))))))</f>
        <v>3. De 100 a 200 m</v>
      </c>
      <c r="L1095" s="26" t="n">
        <v>0</v>
      </c>
      <c r="M1095" s="26" t="n">
        <v>0</v>
      </c>
      <c r="N1095" s="26" t="n">
        <v>1</v>
      </c>
      <c r="O1095" s="26" t="n">
        <v>8</v>
      </c>
      <c r="P1095" s="30" t="n">
        <v>-14.7933538</v>
      </c>
      <c r="Q1095" s="30" t="n">
        <v>-39.2769716</v>
      </c>
      <c r="R1095" s="14" t="inlineStr">
        <is>
          <t>RUA RIO ALMADA, Nº 100, BAIRRO GÓES CALMON, ITABUNA-BA</t>
        </is>
      </c>
      <c r="S1095" s="26">
        <f>IF(A1095=A1094,0,1)</f>
        <v>0</v>
      </c>
      <c r="T1095" s="26">
        <f>IF(COUNTIF($B$4:B1095,B1095)=1,1,0)</f>
        <v>0</v>
      </c>
    </row>
    <row r="1096">
      <c r="A1096" s="14" t="inlineStr">
        <is>
          <t>ITABUNA</t>
        </is>
      </c>
      <c r="B1096" s="26" t="n">
        <v>28</v>
      </c>
      <c r="C1096" s="26" t="n">
        <v>1740</v>
      </c>
      <c r="D1096" s="14" t="inlineStr">
        <is>
          <t>CENTRO ESTADUAL DE EDUCAÇÃO PROFISSIONAL EM BIOTECNOLOGIA E SAÚDE-CEEP</t>
        </is>
      </c>
      <c r="E1096" s="14" t="inlineStr">
        <is>
          <t>PONTALZINHO</t>
        </is>
      </c>
      <c r="F1096" s="14" t="inlineStr">
        <is>
          <t>RUA ANTÔNIO MUNIZ, S/N - ZONA URBANA</t>
        </is>
      </c>
      <c r="G1096" s="27" t="inlineStr">
        <is>
          <t>45603-023</t>
        </is>
      </c>
      <c r="H1096" s="15" t="n">
        <v>4</v>
      </c>
      <c r="I1096" s="28" t="inlineStr">
        <is>
          <t>NÃO</t>
        </is>
      </c>
      <c r="J1096" s="29" t="n">
        <v>144.1</v>
      </c>
      <c r="K1096" s="14" t="str">
        <f>IF(J1096="","7. Acima de 2 km",IF(J1096&lt;=50,"1. Até 50 m",IF(J1096&lt;=100,"2. De 50 a 100 m",IF(J1096&lt;=200,"3. De 100 a 200 m",IF(J1096&lt;=300,"4. De 200 a 300 m",IF(J1096&lt;=500,"5. De 300 a 500 m","6. De 500 m a 2 km"))))))</f>
        <v>3. De 100 a 200 m</v>
      </c>
      <c r="L1096" s="26" t="n">
        <v>0</v>
      </c>
      <c r="M1096" s="26" t="n">
        <v>0</v>
      </c>
      <c r="N1096" s="26" t="n">
        <v>1</v>
      </c>
      <c r="O1096" s="26" t="n">
        <v>1</v>
      </c>
      <c r="P1096" s="30" t="n">
        <v>-14.7873387</v>
      </c>
      <c r="Q1096" s="30" t="n">
        <v>-39.2780086</v>
      </c>
      <c r="R1096" s="14" t="inlineStr">
        <is>
          <t>RUA RIO ALMADA, Nº 100, BAIRRO GÓES CALMON, ITABUNA-BA</t>
        </is>
      </c>
      <c r="S1096" s="26">
        <f>IF(A1096=A1095,0,1)</f>
        <v>0</v>
      </c>
      <c r="T1096" s="26">
        <f>IF(COUNTIF($B$4:B1096,B1096)=1,1,0)</f>
        <v>0</v>
      </c>
    </row>
    <row r="1097">
      <c r="A1097" s="14" t="inlineStr">
        <is>
          <t>ITABUNA</t>
        </is>
      </c>
      <c r="B1097" s="26" t="n">
        <v>28</v>
      </c>
      <c r="C1097" s="26" t="n">
        <v>1767</v>
      </c>
      <c r="D1097" s="14" t="inlineStr">
        <is>
          <t>ESCOLA MUNICIPAL LUIS VIANA FILHO</t>
        </is>
      </c>
      <c r="E1097" s="14" t="inlineStr">
        <is>
          <t>SANTO ANTÔNIO</t>
        </is>
      </c>
      <c r="F1097" s="14" t="inlineStr">
        <is>
          <t>AV. JOSÉ MONTANS, N.200 - ZONA URBANA</t>
        </is>
      </c>
      <c r="G1097" s="27" t="inlineStr">
        <is>
          <t>45604-190</t>
        </is>
      </c>
      <c r="H1097" s="15" t="n">
        <v>11</v>
      </c>
      <c r="I1097" s="28" t="inlineStr">
        <is>
          <t>NÃO</t>
        </is>
      </c>
      <c r="J1097" s="29" t="n">
        <v>157.7</v>
      </c>
      <c r="K1097" s="14" t="str">
        <f>IF(J1097="","7. Acima de 2 km",IF(J1097&lt;=50,"1. Até 50 m",IF(J1097&lt;=100,"2. De 50 a 100 m",IF(J1097&lt;=200,"3. De 100 a 200 m",IF(J1097&lt;=300,"4. De 200 a 300 m",IF(J1097&lt;=500,"5. De 300 a 500 m","6. De 500 m a 2 km"))))))</f>
        <v>3. De 100 a 200 m</v>
      </c>
      <c r="L1097" s="26" t="n">
        <v>0</v>
      </c>
      <c r="M1097" s="26" t="n">
        <v>0</v>
      </c>
      <c r="N1097" s="26" t="n">
        <v>1</v>
      </c>
      <c r="O1097" s="26" t="n">
        <v>1</v>
      </c>
      <c r="P1097" s="30" t="n">
        <v>-14.7861018</v>
      </c>
      <c r="Q1097" s="30" t="n">
        <v>-39.283984</v>
      </c>
      <c r="R1097" s="14" t="inlineStr">
        <is>
          <t>RUA RIO ALMADA, Nº 100, BAIRRO GÓES CALMON, ITABUNA-BA</t>
        </is>
      </c>
      <c r="S1097" s="26">
        <f>IF(A1097=A1096,0,1)</f>
        <v>0</v>
      </c>
      <c r="T1097" s="26">
        <f>IF(COUNTIF($B$4:B1097,B1097)=1,1,0)</f>
        <v>0</v>
      </c>
    </row>
    <row r="1098">
      <c r="A1098" s="14" t="inlineStr">
        <is>
          <t>ITABUNA</t>
        </is>
      </c>
      <c r="B1098" s="26" t="n">
        <v>28</v>
      </c>
      <c r="C1098" s="26" t="n">
        <v>1805</v>
      </c>
      <c r="D1098" s="14" t="inlineStr">
        <is>
          <t>ESCOLA ZACARIAS DANTAS</t>
        </is>
      </c>
      <c r="E1098" s="14" t="inlineStr">
        <is>
          <t>POVOADO DE MUTUNS</t>
        </is>
      </c>
      <c r="F1098" s="14" t="inlineStr">
        <is>
          <t>RUA ÚNICA, S/N - ZONA RURAL</t>
        </is>
      </c>
      <c r="G1098" s="27" t="inlineStr">
        <is>
          <t>45600-000</t>
        </is>
      </c>
      <c r="H1098" s="15" t="n">
        <v>2</v>
      </c>
      <c r="I1098" s="28" t="inlineStr">
        <is>
          <t>NÃO</t>
        </is>
      </c>
      <c r="J1098" s="29" t="n"/>
      <c r="K1098" s="14" t="str">
        <f>IF(J1098="","7. Acima de 2 km",IF(J1098&lt;=50,"1. Até 50 m",IF(J1098&lt;=100,"2. De 50 a 100 m",IF(J1098&lt;=200,"3. De 100 a 200 m",IF(J1098&lt;=300,"4. De 200 a 300 m",IF(J1098&lt;=500,"5. De 300 a 500 m","6. De 500 m a 2 km"))))))</f>
        <v>7. Acima de 2 km</v>
      </c>
      <c r="L1098" s="26" t="n">
        <v>0</v>
      </c>
      <c r="M1098" s="26" t="n">
        <v>0</v>
      </c>
      <c r="N1098" s="26" t="n">
        <v>0</v>
      </c>
      <c r="O1098" s="26" t="n">
        <v>0</v>
      </c>
      <c r="P1098" s="30" t="n">
        <v>-14.724846</v>
      </c>
      <c r="Q1098" s="30" t="n">
        <v>-39.2972782</v>
      </c>
      <c r="R1098" s="14" t="inlineStr">
        <is>
          <t>RUA RIO ALMADA, Nº 100, BAIRRO GÓES CALMON, ITABUNA-BA</t>
        </is>
      </c>
      <c r="S1098" s="26">
        <f>IF(A1098=A1097,0,1)</f>
        <v>0</v>
      </c>
      <c r="T1098" s="26">
        <f>IF(COUNTIF($B$4:B1098,B1098)=1,1,0)</f>
        <v>0</v>
      </c>
    </row>
    <row r="1099">
      <c r="A1099" s="14" t="inlineStr">
        <is>
          <t>ITABUNA</t>
        </is>
      </c>
      <c r="B1099" s="26" t="n">
        <v>28</v>
      </c>
      <c r="C1099" s="26" t="n">
        <v>1821</v>
      </c>
      <c r="D1099" s="14" t="inlineStr">
        <is>
          <t>ESCOLA MUNICIPAL GENIVAL CORREIA DE ALMEIDA</t>
        </is>
      </c>
      <c r="E1099" s="14" t="inlineStr">
        <is>
          <t>PARQUE BOA VISTA</t>
        </is>
      </c>
      <c r="F1099" s="14" t="inlineStr">
        <is>
          <t>LOT. PARAÍSO, LOT. 10 - ZONA URBANA</t>
        </is>
      </c>
      <c r="G1099" s="27" t="inlineStr">
        <is>
          <t>45604-705</t>
        </is>
      </c>
      <c r="H1099" s="15" t="n">
        <v>5</v>
      </c>
      <c r="I1099" s="28" t="inlineStr">
        <is>
          <t>NÃO</t>
        </is>
      </c>
      <c r="J1099" s="29" t="n">
        <v>686.5</v>
      </c>
      <c r="K1099" s="14" t="str">
        <f>IF(J1099="","7. Acima de 2 km",IF(J1099&lt;=50,"1. Até 50 m",IF(J1099&lt;=100,"2. De 50 a 100 m",IF(J1099&lt;=200,"3. De 100 a 200 m",IF(J1099&lt;=300,"4. De 200 a 300 m",IF(J1099&lt;=500,"5. De 300 a 500 m","6. De 500 m a 2 km"))))))</f>
        <v>6. De 500 m a 2 km</v>
      </c>
      <c r="L1099" s="26" t="n">
        <v>0</v>
      </c>
      <c r="M1099" s="26" t="n">
        <v>0</v>
      </c>
      <c r="N1099" s="26" t="n">
        <v>0</v>
      </c>
      <c r="O1099" s="26" t="n">
        <v>0</v>
      </c>
      <c r="P1099" s="30" t="n">
        <v>-14.7752424</v>
      </c>
      <c r="Q1099" s="30" t="n">
        <v>-39.259511</v>
      </c>
      <c r="R1099" s="14" t="inlineStr">
        <is>
          <t>RUA RIO ALMADA, Nº 100, BAIRRO GÓES CALMON, ITABUNA-BA</t>
        </is>
      </c>
      <c r="S1099" s="26">
        <f>IF(A1099=A1098,0,1)</f>
        <v>0</v>
      </c>
      <c r="T1099" s="26">
        <f>IF(COUNTIF($B$4:B1099,B1099)=1,1,0)</f>
        <v>0</v>
      </c>
    </row>
    <row r="1100">
      <c r="A1100" s="14" t="inlineStr">
        <is>
          <t>ITABUNA</t>
        </is>
      </c>
      <c r="B1100" s="26" t="n">
        <v>28</v>
      </c>
      <c r="C1100" s="26" t="n">
        <v>1830</v>
      </c>
      <c r="D1100" s="14" t="inlineStr">
        <is>
          <t>ESCOLA MUNICIPAL MAL. HUMBERTO DE ALENCAR CASTELO BRANCO</t>
        </is>
      </c>
      <c r="E1100" s="14" t="inlineStr">
        <is>
          <t>CALIFÓRNIA</t>
        </is>
      </c>
      <c r="F1100" s="14" t="inlineStr">
        <is>
          <t>TRAVESSA CASTRO ALVES, 1055 - ZONA URBANA</t>
        </is>
      </c>
      <c r="G1100" s="27" t="inlineStr">
        <is>
          <t>45604-190</t>
        </is>
      </c>
      <c r="H1100" s="15" t="n">
        <v>7</v>
      </c>
      <c r="I1100" s="28" t="inlineStr">
        <is>
          <t>NÃO</t>
        </is>
      </c>
      <c r="J1100" s="29" t="n">
        <v>172.8</v>
      </c>
      <c r="K1100" s="14" t="str">
        <f>IF(J1100="","7. Acima de 2 km",IF(J1100&lt;=50,"1. Até 50 m",IF(J1100&lt;=100,"2. De 50 a 100 m",IF(J1100&lt;=200,"3. De 100 a 200 m",IF(J1100&lt;=300,"4. De 200 a 300 m",IF(J1100&lt;=500,"5. De 300 a 500 m","6. De 500 m a 2 km"))))))</f>
        <v>3. De 100 a 200 m</v>
      </c>
      <c r="L1100" s="26" t="n">
        <v>0</v>
      </c>
      <c r="M1100" s="26" t="n">
        <v>0</v>
      </c>
      <c r="N1100" s="26" t="n">
        <v>2</v>
      </c>
      <c r="O1100" s="26" t="n">
        <v>2</v>
      </c>
      <c r="P1100" s="30" t="n">
        <v>-14.7730576</v>
      </c>
      <c r="Q1100" s="30" t="n">
        <v>-39.2645541</v>
      </c>
      <c r="R1100" s="14" t="inlineStr">
        <is>
          <t>RUA RIO ALMADA, Nº 100, BAIRRO GÓES CALMON, ITABUNA-BA</t>
        </is>
      </c>
      <c r="S1100" s="26">
        <f>IF(A1100=A1099,0,1)</f>
        <v>0</v>
      </c>
      <c r="T1100" s="26">
        <f>IF(COUNTIF($B$4:B1100,B1100)=1,1,0)</f>
        <v>0</v>
      </c>
    </row>
    <row r="1101">
      <c r="A1101" s="14" t="inlineStr">
        <is>
          <t>ITABUNA</t>
        </is>
      </c>
      <c r="B1101" s="26" t="n">
        <v>28</v>
      </c>
      <c r="C1101" s="26" t="n">
        <v>1848</v>
      </c>
      <c r="D1101" s="14" t="inlineStr">
        <is>
          <t>ESCOLA MUNICIPAL LIONS CLUB</t>
        </is>
      </c>
      <c r="E1101" s="14" t="inlineStr">
        <is>
          <t>SANTO ANTÔNIO</t>
        </is>
      </c>
      <c r="F1101" s="14" t="inlineStr">
        <is>
          <t>RUA MACÁRIO DOS REIS, N. 150 - ZONA URBANA</t>
        </is>
      </c>
      <c r="G1101" s="27" t="inlineStr">
        <is>
          <t>45602-145</t>
        </is>
      </c>
      <c r="H1101" s="15" t="n">
        <v>3</v>
      </c>
      <c r="I1101" s="28" t="inlineStr">
        <is>
          <t>NÃO</t>
        </is>
      </c>
      <c r="J1101" s="29" t="n">
        <v>165.1</v>
      </c>
      <c r="K1101" s="14" t="str">
        <f>IF(J1101="","7. Acima de 2 km",IF(J1101&lt;=50,"1. Até 50 m",IF(J1101&lt;=100,"2. De 50 a 100 m",IF(J1101&lt;=200,"3. De 100 a 200 m",IF(J1101&lt;=300,"4. De 200 a 300 m",IF(J1101&lt;=500,"5. De 300 a 500 m","6. De 500 m a 2 km"))))))</f>
        <v>3. De 100 a 200 m</v>
      </c>
      <c r="L1101" s="26" t="n">
        <v>0</v>
      </c>
      <c r="M1101" s="26" t="n">
        <v>0</v>
      </c>
      <c r="N1101" s="26" t="n">
        <v>1</v>
      </c>
      <c r="O1101" s="26" t="n">
        <v>3</v>
      </c>
      <c r="P1101" s="30" t="n">
        <v>-14.7888386</v>
      </c>
      <c r="Q1101" s="30" t="n">
        <v>-39.2830795</v>
      </c>
      <c r="R1101" s="14" t="inlineStr">
        <is>
          <t>RUA RIO ALMADA, Nº 100, BAIRRO GÓES CALMON, ITABUNA-BA</t>
        </is>
      </c>
      <c r="S1101" s="26">
        <f>IF(A1101=A1100,0,1)</f>
        <v>0</v>
      </c>
      <c r="T1101" s="26">
        <f>IF(COUNTIF($B$4:B1101,B1101)=1,1,0)</f>
        <v>0</v>
      </c>
    </row>
    <row r="1102">
      <c r="A1102" s="14" t="inlineStr">
        <is>
          <t>ITAMARAJU</t>
        </is>
      </c>
      <c r="B1102" s="26" t="n">
        <v>172</v>
      </c>
      <c r="C1102" s="26" t="n">
        <v>1015</v>
      </c>
      <c r="D1102" s="14" t="inlineStr">
        <is>
          <t>ESCOLA POLIVALENTE</t>
        </is>
      </c>
      <c r="E1102" s="14" t="inlineStr">
        <is>
          <t>CENTRO</t>
        </is>
      </c>
      <c r="F1102" s="14" t="inlineStr">
        <is>
          <t>RUA CHILE, S/N - ZONA URBANA</t>
        </is>
      </c>
      <c r="G1102" s="27" t="inlineStr">
        <is>
          <t>45836-000</t>
        </is>
      </c>
      <c r="H1102" s="15" t="n">
        <v>10</v>
      </c>
      <c r="I1102" s="28" t="inlineStr">
        <is>
          <t>NÃO</t>
        </is>
      </c>
      <c r="J1102" s="29" t="n">
        <v>189.9</v>
      </c>
      <c r="K1102" s="14" t="str">
        <f>IF(J1102="","7. Acima de 2 km",IF(J1102&lt;=50,"1. Até 50 m",IF(J1102&lt;=100,"2. De 50 a 100 m",IF(J1102&lt;=200,"3. De 100 a 200 m",IF(J1102&lt;=300,"4. De 200 a 300 m",IF(J1102&lt;=500,"5. De 300 a 500 m","6. De 500 m a 2 km"))))))</f>
        <v>3. De 100 a 200 m</v>
      </c>
      <c r="L1102" s="26" t="n">
        <v>0</v>
      </c>
      <c r="M1102" s="26" t="n">
        <v>0</v>
      </c>
      <c r="N1102" s="26" t="n">
        <v>1</v>
      </c>
      <c r="O1102" s="26" t="n">
        <v>1</v>
      </c>
      <c r="P1102" s="30" t="n">
        <v>-17.0383624</v>
      </c>
      <c r="Q1102" s="30" t="n">
        <v>-39.531767</v>
      </c>
      <c r="R1102" s="14" t="inlineStr">
        <is>
          <t>CARTÓRIO ELEITORAL DA 172ª ZONA, PRAÇA CASTELO BRANCO, Nº 46, CENTRO, ITAMARAJU/BA</t>
        </is>
      </c>
      <c r="S1102" s="26">
        <f>IF(A1102=A1101,0,1)</f>
        <v>1</v>
      </c>
      <c r="T1102" s="26">
        <f>IF(COUNTIF($B$4:B1102,B1102)=1,1,0)</f>
        <v>1</v>
      </c>
    </row>
    <row r="1103">
      <c r="A1103" s="14" t="inlineStr">
        <is>
          <t>ITAMARAJU</t>
        </is>
      </c>
      <c r="B1103" s="26" t="n">
        <v>172</v>
      </c>
      <c r="C1103" s="26" t="n">
        <v>1023</v>
      </c>
      <c r="D1103" s="14" t="inlineStr">
        <is>
          <t>COLÉGIO INACIO TOSTA FILHO</t>
        </is>
      </c>
      <c r="E1103" s="14" t="inlineStr">
        <is>
          <t>FATIMA</t>
        </is>
      </c>
      <c r="F1103" s="14" t="inlineStr">
        <is>
          <t>RUA MARANHÃO, S/N - ZONA URBANA</t>
        </is>
      </c>
      <c r="G1103" s="27" t="inlineStr">
        <is>
          <t>45836-000</t>
        </is>
      </c>
      <c r="H1103" s="15" t="n">
        <v>18</v>
      </c>
      <c r="I1103" s="28" t="inlineStr">
        <is>
          <t>NÃO</t>
        </is>
      </c>
      <c r="J1103" s="29" t="n">
        <v>253.5</v>
      </c>
      <c r="K1103" s="14" t="str">
        <f>IF(J1103="","7. Acima de 2 km",IF(J1103&lt;=50,"1. Até 50 m",IF(J1103&lt;=100,"2. De 50 a 100 m",IF(J1103&lt;=200,"3. De 100 a 200 m",IF(J1103&lt;=300,"4. De 200 a 300 m",IF(J1103&lt;=500,"5. De 300 a 500 m","6. De 500 m a 2 km"))))))</f>
        <v>4. De 200 a 300 m</v>
      </c>
      <c r="L1103" s="26" t="n">
        <v>0</v>
      </c>
      <c r="M1103" s="26" t="n">
        <v>0</v>
      </c>
      <c r="N1103" s="26" t="n">
        <v>0</v>
      </c>
      <c r="O1103" s="26" t="n">
        <v>1</v>
      </c>
      <c r="P1103" s="30" t="n">
        <v>-17.0367584</v>
      </c>
      <c r="Q1103" s="30" t="n">
        <v>-39.5285948</v>
      </c>
      <c r="R1103" s="14" t="inlineStr">
        <is>
          <t>CARTÓRIO ELEITORAL DA 172ª ZONA, PRAÇA CASTELO BRANCO, Nº 46, CENTRO, ITAMARAJU/BA</t>
        </is>
      </c>
      <c r="S1103" s="26">
        <f>IF(A1103=A1102,0,1)</f>
        <v>0</v>
      </c>
      <c r="T1103" s="26">
        <f>IF(COUNTIF($B$4:B1103,B1103)=1,1,0)</f>
        <v>0</v>
      </c>
    </row>
    <row r="1104">
      <c r="A1104" s="14" t="inlineStr">
        <is>
          <t>ITAMARAJU</t>
        </is>
      </c>
      <c r="B1104" s="26" t="n">
        <v>172</v>
      </c>
      <c r="C1104" s="26" t="n">
        <v>1031</v>
      </c>
      <c r="D1104" s="14" t="inlineStr">
        <is>
          <t>COLEGIO SAO JOAO EVANGELISTA</t>
        </is>
      </c>
      <c r="E1104" s="14" t="inlineStr">
        <is>
          <t>FATIMA</t>
        </is>
      </c>
      <c r="F1104" s="14" t="inlineStr">
        <is>
          <t>RUA PAULO VI, S/N - ZONA URBANA</t>
        </is>
      </c>
      <c r="G1104" s="27" t="inlineStr">
        <is>
          <t>45836-000</t>
        </is>
      </c>
      <c r="H1104" s="15" t="n">
        <v>8</v>
      </c>
      <c r="I1104" s="28" t="inlineStr">
        <is>
          <t>SIM</t>
        </is>
      </c>
      <c r="J1104" s="29" t="n">
        <v>68.7</v>
      </c>
      <c r="K1104" s="14" t="str">
        <f>IF(J1104="","7. Acima de 2 km",IF(J1104&lt;=50,"1. Até 50 m",IF(J1104&lt;=100,"2. De 50 a 100 m",IF(J1104&lt;=200,"3. De 100 a 200 m",IF(J1104&lt;=300,"4. De 200 a 300 m",IF(J1104&lt;=500,"5. De 300 a 500 m","6. De 500 m a 2 km"))))))</f>
        <v>2. De 50 a 100 m</v>
      </c>
      <c r="L1104" s="26" t="n">
        <v>0</v>
      </c>
      <c r="M1104" s="26" t="n">
        <v>1</v>
      </c>
      <c r="N1104" s="26" t="n">
        <v>1</v>
      </c>
      <c r="O1104" s="26" t="n">
        <v>2</v>
      </c>
      <c r="P1104" s="30" t="n">
        <v>-17.0356532</v>
      </c>
      <c r="Q1104" s="30" t="n">
        <v>-39.5299339</v>
      </c>
      <c r="R1104" s="14" t="inlineStr">
        <is>
          <t>CARTÓRIO ELEITORAL DA 172ª ZONA, PRAÇA CASTELO BRANCO, Nº 46, CENTRO, ITAMARAJU/BA</t>
        </is>
      </c>
      <c r="S1104" s="26">
        <f>IF(A1104=A1103,0,1)</f>
        <v>0</v>
      </c>
      <c r="T1104" s="26">
        <f>IF(COUNTIF($B$4:B1104,B1104)=1,1,0)</f>
        <v>0</v>
      </c>
    </row>
    <row r="1105">
      <c r="A1105" s="14" t="inlineStr">
        <is>
          <t>ITAMARAJU</t>
        </is>
      </c>
      <c r="B1105" s="26" t="n">
        <v>172</v>
      </c>
      <c r="C1105" s="26" t="n">
        <v>1040</v>
      </c>
      <c r="D1105" s="14" t="inlineStr">
        <is>
          <t>COLEGIO OTAVIO MANGABEIRA</t>
        </is>
      </c>
      <c r="E1105" s="14" t="inlineStr">
        <is>
          <t>CENTRO</t>
        </is>
      </c>
      <c r="F1105" s="14" t="inlineStr">
        <is>
          <t>AV BRASIL, S/N - ZONA URBANA</t>
        </is>
      </c>
      <c r="G1105" s="27" t="inlineStr">
        <is>
          <t>45836-000</t>
        </is>
      </c>
      <c r="H1105" s="15" t="n">
        <v>6</v>
      </c>
      <c r="I1105" s="28" t="inlineStr">
        <is>
          <t>NÃO</t>
        </is>
      </c>
      <c r="J1105" s="29" t="n">
        <v>306.9</v>
      </c>
      <c r="K1105" s="14" t="str">
        <f>IF(J1105="","7. Acima de 2 km",IF(J1105&lt;=50,"1. Até 50 m",IF(J1105&lt;=100,"2. De 50 a 100 m",IF(J1105&lt;=200,"3. De 100 a 200 m",IF(J1105&lt;=300,"4. De 200 a 300 m",IF(J1105&lt;=500,"5. De 300 a 500 m","6. De 500 m a 2 km"))))))</f>
        <v>5. De 300 a 500 m</v>
      </c>
      <c r="L1105" s="26" t="n">
        <v>0</v>
      </c>
      <c r="M1105" s="26" t="n">
        <v>0</v>
      </c>
      <c r="N1105" s="26" t="n">
        <v>0</v>
      </c>
      <c r="O1105" s="26" t="n">
        <v>0</v>
      </c>
      <c r="P1105" s="30" t="n">
        <v>-17.04176</v>
      </c>
      <c r="Q1105" s="30" t="n">
        <v>-39.5346467</v>
      </c>
      <c r="R1105" s="14" t="inlineStr">
        <is>
          <t>CARTÓRIO ELEITORAL DA 172ª ZONA, PRAÇA CASTELO BRANCO, Nº 46, CENTRO, ITAMARAJU/BA</t>
        </is>
      </c>
      <c r="S1105" s="26">
        <f>IF(A1105=A1104,0,1)</f>
        <v>0</v>
      </c>
      <c r="T1105" s="26">
        <f>IF(COUNTIF($B$4:B1105,B1105)=1,1,0)</f>
        <v>0</v>
      </c>
    </row>
    <row r="1106">
      <c r="A1106" s="14" t="inlineStr">
        <is>
          <t>ITAMARAJU</t>
        </is>
      </c>
      <c r="B1106" s="26" t="n">
        <v>172</v>
      </c>
      <c r="C1106" s="26" t="n">
        <v>1058</v>
      </c>
      <c r="D1106" s="14" t="inlineStr">
        <is>
          <t>COLEGIO DUQUE DE CAXIAS</t>
        </is>
      </c>
      <c r="E1106" s="14" t="inlineStr">
        <is>
          <t>CENTRO</t>
        </is>
      </c>
      <c r="F1106" s="14" t="inlineStr">
        <is>
          <t>RUA PIAUI, S/N - ZONA URBANA</t>
        </is>
      </c>
      <c r="G1106" s="27" t="inlineStr">
        <is>
          <t>45836-000</t>
        </is>
      </c>
      <c r="H1106" s="15" t="n">
        <v>5</v>
      </c>
      <c r="I1106" s="28" t="inlineStr">
        <is>
          <t>NÃO</t>
        </is>
      </c>
      <c r="J1106" s="29" t="n">
        <v>190.6</v>
      </c>
      <c r="K1106" s="14" t="str">
        <f>IF(J1106="","7. Acima de 2 km",IF(J1106&lt;=50,"1. Até 50 m",IF(J1106&lt;=100,"2. De 50 a 100 m",IF(J1106&lt;=200,"3. De 100 a 200 m",IF(J1106&lt;=300,"4. De 200 a 300 m",IF(J1106&lt;=500,"5. De 300 a 500 m","6. De 500 m a 2 km"))))))</f>
        <v>3. De 100 a 200 m</v>
      </c>
      <c r="L1106" s="26" t="n">
        <v>0</v>
      </c>
      <c r="M1106" s="26" t="n">
        <v>0</v>
      </c>
      <c r="N1106" s="26" t="n">
        <v>1</v>
      </c>
      <c r="O1106" s="26" t="n">
        <v>4</v>
      </c>
      <c r="P1106" s="30" t="n">
        <v>-17.0291809</v>
      </c>
      <c r="Q1106" s="30" t="n">
        <v>-39.5340167</v>
      </c>
      <c r="R1106" s="14" t="inlineStr">
        <is>
          <t>CARTÓRIO ELEITORAL DA 172ª ZONA, PRAÇA CASTELO BRANCO, Nº 46, CENTRO, ITAMARAJU/BA</t>
        </is>
      </c>
      <c r="S1106" s="26">
        <f>IF(A1106=A1105,0,1)</f>
        <v>0</v>
      </c>
      <c r="T1106" s="26">
        <f>IF(COUNTIF($B$4:B1106,B1106)=1,1,0)</f>
        <v>0</v>
      </c>
    </row>
    <row r="1107">
      <c r="A1107" s="14" t="inlineStr">
        <is>
          <t>ITAMARAJU</t>
        </is>
      </c>
      <c r="B1107" s="26" t="n">
        <v>172</v>
      </c>
      <c r="C1107" s="26" t="n">
        <v>1066</v>
      </c>
      <c r="D1107" s="14" t="inlineStr">
        <is>
          <t>COLEGIO MARIO ANDREAZZA</t>
        </is>
      </c>
      <c r="E1107" s="14" t="inlineStr">
        <is>
          <t>CENTRO</t>
        </is>
      </c>
      <c r="F1107" s="14" t="inlineStr">
        <is>
          <t>PRACA WALTER CARVALHO, S/N - ZONA URBANA</t>
        </is>
      </c>
      <c r="G1107" s="27" t="inlineStr">
        <is>
          <t>45836-000</t>
        </is>
      </c>
      <c r="H1107" s="15" t="n">
        <v>4</v>
      </c>
      <c r="I1107" s="28" t="inlineStr">
        <is>
          <t>NÃO</t>
        </is>
      </c>
      <c r="J1107" s="29" t="n">
        <v>375.4</v>
      </c>
      <c r="K1107" s="14" t="str">
        <f>IF(J1107="","7. Acima de 2 km",IF(J1107&lt;=50,"1. Até 50 m",IF(J1107&lt;=100,"2. De 50 a 100 m",IF(J1107&lt;=200,"3. De 100 a 200 m",IF(J1107&lt;=300,"4. De 200 a 300 m",IF(J1107&lt;=500,"5. De 300 a 500 m","6. De 500 m a 2 km"))))))</f>
        <v>5. De 300 a 500 m</v>
      </c>
      <c r="L1107" s="26" t="n">
        <v>0</v>
      </c>
      <c r="M1107" s="26" t="n">
        <v>0</v>
      </c>
      <c r="N1107" s="26" t="n">
        <v>0</v>
      </c>
      <c r="O1107" s="26" t="n">
        <v>0</v>
      </c>
      <c r="P1107" s="30" t="n">
        <v>-17.0432543</v>
      </c>
      <c r="Q1107" s="30" t="n">
        <v>-39.5343717</v>
      </c>
      <c r="R1107" s="14" t="inlineStr">
        <is>
          <t>CARTÓRIO ELEITORAL DA 172ª ZONA, PRAÇA CASTELO BRANCO, Nº 46, CENTRO, ITAMARAJU/BA</t>
        </is>
      </c>
      <c r="S1107" s="26">
        <f>IF(A1107=A1106,0,1)</f>
        <v>0</v>
      </c>
      <c r="T1107" s="26">
        <f>IF(COUNTIF($B$4:B1107,B1107)=1,1,0)</f>
        <v>0</v>
      </c>
    </row>
    <row r="1108">
      <c r="A1108" s="14" t="inlineStr">
        <is>
          <t>ITAMARAJU</t>
        </is>
      </c>
      <c r="B1108" s="26" t="n">
        <v>172</v>
      </c>
      <c r="C1108" s="26" t="n">
        <v>1082</v>
      </c>
      <c r="D1108" s="14" t="inlineStr">
        <is>
          <t>ESCOLA RUI BARBOSA</t>
        </is>
      </c>
      <c r="E1108" s="14" t="inlineStr">
        <is>
          <t>FATIMA</t>
        </is>
      </c>
      <c r="F1108" s="14" t="inlineStr">
        <is>
          <t>PRACA DA BANDEIRA, S/N - ZONA URBANA</t>
        </is>
      </c>
      <c r="G1108" s="27" t="inlineStr">
        <is>
          <t>45836-000</t>
        </is>
      </c>
      <c r="H1108" s="15" t="n">
        <v>5</v>
      </c>
      <c r="I1108" s="28" t="inlineStr">
        <is>
          <t>NÃO</t>
        </is>
      </c>
      <c r="J1108" s="29" t="n">
        <v>340.1</v>
      </c>
      <c r="K1108" s="14" t="str">
        <f>IF(J1108="","7. Acima de 2 km",IF(J1108&lt;=50,"1. Até 50 m",IF(J1108&lt;=100,"2. De 50 a 100 m",IF(J1108&lt;=200,"3. De 100 a 200 m",IF(J1108&lt;=300,"4. De 200 a 300 m",IF(J1108&lt;=500,"5. De 300 a 500 m","6. De 500 m a 2 km"))))))</f>
        <v>5. De 300 a 500 m</v>
      </c>
      <c r="L1108" s="26" t="n">
        <v>0</v>
      </c>
      <c r="M1108" s="26" t="n">
        <v>0</v>
      </c>
      <c r="N1108" s="26" t="n">
        <v>0</v>
      </c>
      <c r="O1108" s="26" t="n">
        <v>0</v>
      </c>
      <c r="P1108" s="30" t="n">
        <v>-17.0344767</v>
      </c>
      <c r="Q1108" s="30" t="n">
        <v>-39.5275043</v>
      </c>
      <c r="R1108" s="14" t="inlineStr">
        <is>
          <t>CARTÓRIO ELEITORAL DA 172ª ZONA, PRAÇA CASTELO BRANCO, Nº 46, CENTRO, ITAMARAJU/BA</t>
        </is>
      </c>
      <c r="S1108" s="26">
        <f>IF(A1108=A1107,0,1)</f>
        <v>0</v>
      </c>
      <c r="T1108" s="26">
        <f>IF(COUNTIF($B$4:B1108,B1108)=1,1,0)</f>
        <v>0</v>
      </c>
    </row>
    <row r="1109">
      <c r="A1109" s="14" t="inlineStr">
        <is>
          <t>ITAMARAJU</t>
        </is>
      </c>
      <c r="B1109" s="26" t="n">
        <v>172</v>
      </c>
      <c r="C1109" s="26" t="n">
        <v>1090</v>
      </c>
      <c r="D1109" s="14" t="inlineStr">
        <is>
          <t>CENTRO EDUCACIONAL DE ITAMARAJU</t>
        </is>
      </c>
      <c r="E1109" s="14" t="inlineStr">
        <is>
          <t>CENTRO</t>
        </is>
      </c>
      <c r="F1109" s="14" t="inlineStr">
        <is>
          <t>RUA MEN DE SÁ, S/N - ZONA URBANA</t>
        </is>
      </c>
      <c r="G1109" s="27" t="inlineStr">
        <is>
          <t>45836-000</t>
        </is>
      </c>
      <c r="H1109" s="15" t="n">
        <v>6</v>
      </c>
      <c r="I1109" s="28" t="inlineStr">
        <is>
          <t>NÃO</t>
        </is>
      </c>
      <c r="J1109" s="29" t="n">
        <v>170.9</v>
      </c>
      <c r="K1109" s="14" t="str">
        <f>IF(J1109="","7. Acima de 2 km",IF(J1109&lt;=50,"1. Até 50 m",IF(J1109&lt;=100,"2. De 50 a 100 m",IF(J1109&lt;=200,"3. De 100 a 200 m",IF(J1109&lt;=300,"4. De 200 a 300 m",IF(J1109&lt;=500,"5. De 300 a 500 m","6. De 500 m a 2 km"))))))</f>
        <v>3. De 100 a 200 m</v>
      </c>
      <c r="L1109" s="26" t="n">
        <v>0</v>
      </c>
      <c r="M1109" s="26" t="n">
        <v>0</v>
      </c>
      <c r="N1109" s="26" t="n">
        <v>1</v>
      </c>
      <c r="O1109" s="26" t="n">
        <v>1</v>
      </c>
      <c r="P1109" s="30" t="n">
        <v>-17.042555</v>
      </c>
      <c r="Q1109" s="30" t="n">
        <v>-39.5270723</v>
      </c>
      <c r="R1109" s="14" t="inlineStr">
        <is>
          <t>CARTÓRIO ELEITORAL DA 172ª ZONA, PRAÇA CASTELO BRANCO, Nº 46, CENTRO, ITAMARAJU/BA</t>
        </is>
      </c>
      <c r="S1109" s="26">
        <f>IF(A1109=A1108,0,1)</f>
        <v>0</v>
      </c>
      <c r="T1109" s="26">
        <f>IF(COUNTIF($B$4:B1109,B1109)=1,1,0)</f>
        <v>0</v>
      </c>
    </row>
    <row r="1110">
      <c r="A1110" s="14" t="inlineStr">
        <is>
          <t>ITAMARAJU</t>
        </is>
      </c>
      <c r="B1110" s="26" t="n">
        <v>172</v>
      </c>
      <c r="C1110" s="26" t="n">
        <v>1112</v>
      </c>
      <c r="D1110" s="14" t="inlineStr">
        <is>
          <t>COLEGIO JOAO PAULO II</t>
        </is>
      </c>
      <c r="E1110" s="14" t="inlineStr">
        <is>
          <t>VARZEA ALEGRE</t>
        </is>
      </c>
      <c r="F1110" s="14" t="inlineStr">
        <is>
          <t>RUA PLINIO MOSCOSO, S/N - ZONA URBANA</t>
        </is>
      </c>
      <c r="G1110" s="27" t="inlineStr">
        <is>
          <t>45836-000</t>
        </is>
      </c>
      <c r="H1110" s="15" t="n">
        <v>6</v>
      </c>
      <c r="I1110" s="28" t="inlineStr">
        <is>
          <t>NÃO</t>
        </is>
      </c>
      <c r="J1110" s="29" t="n">
        <v>153.2</v>
      </c>
      <c r="K1110" s="14" t="str">
        <f>IF(J1110="","7. Acima de 2 km",IF(J1110&lt;=50,"1. Até 50 m",IF(J1110&lt;=100,"2. De 50 a 100 m",IF(J1110&lt;=200,"3. De 100 a 200 m",IF(J1110&lt;=300,"4. De 200 a 300 m",IF(J1110&lt;=500,"5. De 300 a 500 m","6. De 500 m a 2 km"))))))</f>
        <v>3. De 100 a 200 m</v>
      </c>
      <c r="L1110" s="26" t="n">
        <v>0</v>
      </c>
      <c r="M1110" s="26" t="n">
        <v>0</v>
      </c>
      <c r="N1110" s="26" t="n">
        <v>1</v>
      </c>
      <c r="O1110" s="26" t="n">
        <v>1</v>
      </c>
      <c r="P1110" s="30" t="n">
        <v>-17.0518204</v>
      </c>
      <c r="Q1110" s="30" t="n">
        <v>-39.5499833</v>
      </c>
      <c r="R1110" s="14" t="inlineStr">
        <is>
          <t>CARTÓRIO ELEITORAL DA 172ª ZONA, PRAÇA CASTELO BRANCO, Nº 46, CENTRO, ITAMARAJU/BA</t>
        </is>
      </c>
      <c r="S1110" s="26">
        <f>IF(A1110=A1109,0,1)</f>
        <v>0</v>
      </c>
      <c r="T1110" s="26">
        <f>IF(COUNTIF($B$4:B1110,B1110)=1,1,0)</f>
        <v>0</v>
      </c>
    </row>
    <row r="1111">
      <c r="A1111" s="14" t="inlineStr">
        <is>
          <t>ITAMARAJU</t>
        </is>
      </c>
      <c r="B1111" s="26" t="n">
        <v>172</v>
      </c>
      <c r="C1111" s="26" t="n">
        <v>1120</v>
      </c>
      <c r="D1111" s="14" t="inlineStr">
        <is>
          <t>ESCOLA JOSE DE ANCHIETA</t>
        </is>
      </c>
      <c r="E1111" s="14" t="inlineStr">
        <is>
          <t>VARZEA ALEGRE</t>
        </is>
      </c>
      <c r="F1111" s="14" t="inlineStr">
        <is>
          <t>RUA SANTA TEREZINHA, S/N - ZONA URBANA</t>
        </is>
      </c>
      <c r="G1111" s="27" t="inlineStr">
        <is>
          <t>45836-000</t>
        </is>
      </c>
      <c r="H1111" s="15" t="n">
        <v>6</v>
      </c>
      <c r="I1111" s="28" t="inlineStr">
        <is>
          <t>NÃO</t>
        </is>
      </c>
      <c r="J1111" s="29" t="n">
        <v>474.1</v>
      </c>
      <c r="K1111" s="14" t="str">
        <f>IF(J1111="","7. Acima de 2 km",IF(J1111&lt;=50,"1. Até 50 m",IF(J1111&lt;=100,"2. De 50 a 100 m",IF(J1111&lt;=200,"3. De 100 a 200 m",IF(J1111&lt;=300,"4. De 200 a 300 m",IF(J1111&lt;=500,"5. De 300 a 500 m","6. De 500 m a 2 km"))))))</f>
        <v>5. De 300 a 500 m</v>
      </c>
      <c r="L1111" s="26" t="n">
        <v>0</v>
      </c>
      <c r="M1111" s="26" t="n">
        <v>0</v>
      </c>
      <c r="N1111" s="26" t="n">
        <v>0</v>
      </c>
      <c r="O1111" s="26" t="n">
        <v>0</v>
      </c>
      <c r="P1111" s="30" t="n">
        <v>-17.0540676</v>
      </c>
      <c r="Q1111" s="30" t="n">
        <v>-39.5474572</v>
      </c>
      <c r="R1111" s="14" t="inlineStr">
        <is>
          <t>CARTÓRIO ELEITORAL DA 172ª ZONA, PRAÇA CASTELO BRANCO, Nº 46, CENTRO, ITAMARAJU/BA</t>
        </is>
      </c>
      <c r="S1111" s="26">
        <f>IF(A1111=A1110,0,1)</f>
        <v>0</v>
      </c>
      <c r="T1111" s="26">
        <f>IF(COUNTIF($B$4:B1111,B1111)=1,1,0)</f>
        <v>0</v>
      </c>
    </row>
    <row r="1112">
      <c r="A1112" s="14" t="inlineStr">
        <is>
          <t>ITAMARAJU</t>
        </is>
      </c>
      <c r="B1112" s="26" t="n">
        <v>172</v>
      </c>
      <c r="C1112" s="26" t="n">
        <v>1139</v>
      </c>
      <c r="D1112" s="14" t="inlineStr">
        <is>
          <t>ESCOLA MUNICIPAL REITOR EDGARD SANTOS</t>
        </is>
      </c>
      <c r="E1112" s="14" t="inlineStr">
        <is>
          <t>CENTRO</t>
        </is>
      </c>
      <c r="F1112" s="14" t="inlineStr">
        <is>
          <t>RUA MEN DE SÁ, 650 - ZONA URBANA</t>
        </is>
      </c>
      <c r="G1112" s="27" t="inlineStr">
        <is>
          <t>45836-000</t>
        </is>
      </c>
      <c r="H1112" s="15" t="n">
        <v>12</v>
      </c>
      <c r="I1112" s="28" t="inlineStr">
        <is>
          <t>SIM</t>
        </is>
      </c>
      <c r="J1112" s="29" t="n">
        <v>87.7</v>
      </c>
      <c r="K1112" s="14" t="str">
        <f>IF(J1112="","7. Acima de 2 km",IF(J1112&lt;=50,"1. Até 50 m",IF(J1112&lt;=100,"2. De 50 a 100 m",IF(J1112&lt;=200,"3. De 100 a 200 m",IF(J1112&lt;=300,"4. De 200 a 300 m",IF(J1112&lt;=500,"5. De 300 a 500 m","6. De 500 m a 2 km"))))))</f>
        <v>2. De 50 a 100 m</v>
      </c>
      <c r="L1112" s="26" t="n">
        <v>0</v>
      </c>
      <c r="M1112" s="26" t="n">
        <v>1</v>
      </c>
      <c r="N1112" s="26" t="n">
        <v>1</v>
      </c>
      <c r="O1112" s="26" t="n">
        <v>1</v>
      </c>
      <c r="P1112" s="30" t="n">
        <v>-17.0424892</v>
      </c>
      <c r="Q1112" s="30" t="n">
        <v>-39.527852</v>
      </c>
      <c r="R1112" s="14" t="inlineStr">
        <is>
          <t>CARTÓRIO ELEITORAL DA 172ª ZONA, PRAÇA CASTELO BRANCO, Nº 46, CENTRO, ITAMARAJU/BA</t>
        </is>
      </c>
      <c r="S1112" s="26">
        <f>IF(A1112=A1111,0,1)</f>
        <v>0</v>
      </c>
      <c r="T1112" s="26">
        <f>IF(COUNTIF($B$4:B1112,B1112)=1,1,0)</f>
        <v>0</v>
      </c>
    </row>
    <row r="1113">
      <c r="A1113" s="14" t="inlineStr">
        <is>
          <t>ITAMARAJU</t>
        </is>
      </c>
      <c r="B1113" s="26" t="n">
        <v>172</v>
      </c>
      <c r="C1113" s="26" t="n">
        <v>1147</v>
      </c>
      <c r="D1113" s="14" t="inlineStr">
        <is>
          <t>ESCOLA DA LIBERDADE</t>
        </is>
      </c>
      <c r="E1113" s="14" t="inlineStr">
        <is>
          <t>LIBERDADE</t>
        </is>
      </c>
      <c r="F1113" s="14" t="inlineStr">
        <is>
          <t>RUA LIBERDADE, S/N - ZONA URBANA</t>
        </is>
      </c>
      <c r="G1113" s="27" t="inlineStr">
        <is>
          <t>45836-000</t>
        </is>
      </c>
      <c r="H1113" s="15" t="n">
        <v>8</v>
      </c>
      <c r="I1113" s="28" t="inlineStr">
        <is>
          <t>SIM</t>
        </is>
      </c>
      <c r="J1113" s="29" t="n">
        <v>96.7</v>
      </c>
      <c r="K1113" s="14" t="str">
        <f>IF(J1113="","7. Acima de 2 km",IF(J1113&lt;=50,"1. Até 50 m",IF(J1113&lt;=100,"2. De 50 a 100 m",IF(J1113&lt;=200,"3. De 100 a 200 m",IF(J1113&lt;=300,"4. De 200 a 300 m",IF(J1113&lt;=500,"5. De 300 a 500 m","6. De 500 m a 2 km"))))))</f>
        <v>2. De 50 a 100 m</v>
      </c>
      <c r="L1113" s="26" t="n">
        <v>0</v>
      </c>
      <c r="M1113" s="26" t="n">
        <v>1</v>
      </c>
      <c r="N1113" s="26" t="n">
        <v>1</v>
      </c>
      <c r="O1113" s="26" t="n">
        <v>1</v>
      </c>
      <c r="P1113" s="30" t="n">
        <v>-17.0547838</v>
      </c>
      <c r="Q1113" s="30" t="n">
        <v>-39.5155092</v>
      </c>
      <c r="R1113" s="14" t="inlineStr">
        <is>
          <t>CARTÓRIO ELEITORAL DA 172ª ZONA, PRAÇA CASTELO BRANCO, Nº 46, CENTRO, ITAMARAJU/BA</t>
        </is>
      </c>
      <c r="S1113" s="26">
        <f>IF(A1113=A1112,0,1)</f>
        <v>0</v>
      </c>
      <c r="T1113" s="26">
        <f>IF(COUNTIF($B$4:B1113,B1113)=1,1,0)</f>
        <v>0</v>
      </c>
    </row>
    <row r="1114">
      <c r="A1114" s="14" t="inlineStr">
        <is>
          <t>ITAMARAJU</t>
        </is>
      </c>
      <c r="B1114" s="26" t="n">
        <v>172</v>
      </c>
      <c r="C1114" s="26" t="n">
        <v>1155</v>
      </c>
      <c r="D1114" s="14" t="inlineStr">
        <is>
          <t>ESCOLA URBIS II</t>
        </is>
      </c>
      <c r="E1114" s="14" t="inlineStr">
        <is>
          <t>URBIS II</t>
        </is>
      </c>
      <c r="F1114" s="14" t="inlineStr">
        <is>
          <t>PRAÇA URBIS II, S/N - ZONA URBANA</t>
        </is>
      </c>
      <c r="G1114" s="27" t="inlineStr">
        <is>
          <t>45836-000</t>
        </is>
      </c>
      <c r="H1114" s="15" t="n">
        <v>4</v>
      </c>
      <c r="I1114" s="28" t="inlineStr">
        <is>
          <t>NÃO</t>
        </is>
      </c>
      <c r="J1114" s="29" t="n">
        <v>622.9</v>
      </c>
      <c r="K1114" s="14" t="str">
        <f>IF(J1114="","7. Acima de 2 km",IF(J1114&lt;=50,"1. Até 50 m",IF(J1114&lt;=100,"2. De 50 a 100 m",IF(J1114&lt;=200,"3. De 100 a 200 m",IF(J1114&lt;=300,"4. De 200 a 300 m",IF(J1114&lt;=500,"5. De 300 a 500 m","6. De 500 m a 2 km"))))))</f>
        <v>6. De 500 m a 2 km</v>
      </c>
      <c r="L1114" s="26" t="n">
        <v>0</v>
      </c>
      <c r="M1114" s="26" t="n">
        <v>0</v>
      </c>
      <c r="N1114" s="26" t="n">
        <v>0</v>
      </c>
      <c r="O1114" s="26" t="n">
        <v>0</v>
      </c>
      <c r="P1114" s="30" t="n">
        <v>-17.059179</v>
      </c>
      <c r="Q1114" s="30" t="n">
        <v>-39.5100867</v>
      </c>
      <c r="R1114" s="14" t="inlineStr">
        <is>
          <t>CARTÓRIO ELEITORAL DA 172ª ZONA, PRAÇA CASTELO BRANCO, Nº 46, CENTRO, ITAMARAJU/BA</t>
        </is>
      </c>
      <c r="S1114" s="26">
        <f>IF(A1114=A1113,0,1)</f>
        <v>0</v>
      </c>
      <c r="T1114" s="26">
        <f>IF(COUNTIF($B$4:B1114,B1114)=1,1,0)</f>
        <v>0</v>
      </c>
    </row>
    <row r="1115">
      <c r="A1115" s="14" t="inlineStr">
        <is>
          <t>ITAMARAJU</t>
        </is>
      </c>
      <c r="B1115" s="26" t="n">
        <v>172</v>
      </c>
      <c r="C1115" s="26" t="n">
        <v>1171</v>
      </c>
      <c r="D1115" s="14" t="inlineStr">
        <is>
          <t>ESCOLA MUNICIPAL JOSÉ GOMES DE ALMEIDA</t>
        </is>
      </c>
      <c r="E1115" s="14" t="inlineStr">
        <is>
          <t>DISTRITO NOVA ALEGRIA</t>
        </is>
      </c>
      <c r="F1115" s="14" t="inlineStr">
        <is>
          <t>PRAÇA DOIS DE JULHO, S/N - ZONA RURAL</t>
        </is>
      </c>
      <c r="G1115" s="27" t="inlineStr">
        <is>
          <t>45836-000</t>
        </is>
      </c>
      <c r="H1115" s="15" t="n">
        <v>7</v>
      </c>
      <c r="I1115" s="28" t="inlineStr">
        <is>
          <t>NÃO</t>
        </is>
      </c>
      <c r="J1115" s="29" t="n"/>
      <c r="K1115" s="14" t="str">
        <f>IF(J1115="","7. Acima de 2 km",IF(J1115&lt;=50,"1. Até 50 m",IF(J1115&lt;=100,"2. De 50 a 100 m",IF(J1115&lt;=200,"3. De 100 a 200 m",IF(J1115&lt;=300,"4. De 200 a 300 m",IF(J1115&lt;=500,"5. De 300 a 500 m","6. De 500 m a 2 km"))))))</f>
        <v>7. Acima de 2 km</v>
      </c>
      <c r="L1115" s="26" t="n">
        <v>0</v>
      </c>
      <c r="M1115" s="26" t="n">
        <v>0</v>
      </c>
      <c r="N1115" s="26" t="n">
        <v>0</v>
      </c>
      <c r="O1115" s="26" t="n">
        <v>0</v>
      </c>
      <c r="P1115" s="30" t="n">
        <v>-16.8717618</v>
      </c>
      <c r="Q1115" s="30" t="n">
        <v>-39.910323</v>
      </c>
      <c r="R1115" s="14" t="inlineStr">
        <is>
          <t>CARTÓRIO ELEITORAL DA 172ª ZONA, PRAÇA CASTELO BRANCO, Nº 46, CENTRO, ITAMARAJU/BA</t>
        </is>
      </c>
      <c r="S1115" s="26">
        <f>IF(A1115=A1114,0,1)</f>
        <v>0</v>
      </c>
      <c r="T1115" s="26">
        <f>IF(COUNTIF($B$4:B1115,B1115)=1,1,0)</f>
        <v>0</v>
      </c>
    </row>
    <row r="1116">
      <c r="A1116" s="14" t="inlineStr">
        <is>
          <t>ITAMARAJU</t>
        </is>
      </c>
      <c r="B1116" s="26" t="n">
        <v>172</v>
      </c>
      <c r="C1116" s="26" t="n">
        <v>1198</v>
      </c>
      <c r="D1116" s="14" t="inlineStr">
        <is>
          <t>ESCOLA MUNICIPAL TANCREDO DE ALMEIDA NEVES</t>
        </is>
      </c>
      <c r="E1116" s="14" t="inlineStr">
        <is>
          <t>POVOADO PAU D'ALHO</t>
        </is>
      </c>
      <c r="F1116" s="14" t="inlineStr">
        <is>
          <t>RUA PRINCIPAL, S/N - ZONA RURAL</t>
        </is>
      </c>
      <c r="G1116" s="27" t="inlineStr">
        <is>
          <t>45836-000</t>
        </is>
      </c>
      <c r="H1116" s="15" t="n">
        <v>2</v>
      </c>
      <c r="I1116" s="28" t="inlineStr">
        <is>
          <t>NÃO</t>
        </is>
      </c>
      <c r="J1116" s="29" t="n"/>
      <c r="K1116" s="14" t="str">
        <f>IF(J1116="","7. Acima de 2 km",IF(J1116&lt;=50,"1. Até 50 m",IF(J1116&lt;=100,"2. De 50 a 100 m",IF(J1116&lt;=200,"3. De 100 a 200 m",IF(J1116&lt;=300,"4. De 200 a 300 m",IF(J1116&lt;=500,"5. De 300 a 500 m","6. De 500 m a 2 km"))))))</f>
        <v>7. Acima de 2 km</v>
      </c>
      <c r="L1116" s="26" t="n">
        <v>0</v>
      </c>
      <c r="M1116" s="26" t="n">
        <v>0</v>
      </c>
      <c r="N1116" s="26" t="n">
        <v>0</v>
      </c>
      <c r="O1116" s="26" t="n">
        <v>0</v>
      </c>
      <c r="P1116" s="30" t="n">
        <v>-16.9086734</v>
      </c>
      <c r="Q1116" s="30" t="n">
        <v>-39.7515689</v>
      </c>
      <c r="R1116" s="14" t="inlineStr">
        <is>
          <t>CARTÓRIO ELEITORAL DA 172ª ZONA, PRAÇA CASTELO BRANCO, Nº 46, CENTRO, ITAMARAJU/BA</t>
        </is>
      </c>
      <c r="S1116" s="26">
        <f>IF(A1116=A1115,0,1)</f>
        <v>0</v>
      </c>
      <c r="T1116" s="26">
        <f>IF(COUNTIF($B$4:B1116,B1116)=1,1,0)</f>
        <v>0</v>
      </c>
    </row>
    <row r="1117">
      <c r="A1117" s="14" t="inlineStr">
        <is>
          <t>ITAMARAJU</t>
        </is>
      </c>
      <c r="B1117" s="26" t="n">
        <v>172</v>
      </c>
      <c r="C1117" s="26" t="n">
        <v>1201</v>
      </c>
      <c r="D1117" s="14" t="inlineStr">
        <is>
          <t xml:space="preserve">COLEGIO ESTADUAL MARIA DO CARMO MARQUES DE FREITAS </t>
        </is>
      </c>
      <c r="E1117" s="14" t="inlineStr">
        <is>
          <t>CRISTO REDENTOR</t>
        </is>
      </c>
      <c r="F1117" s="14" t="inlineStr">
        <is>
          <t>RUA BUEREREMA, S/N - ZONA URBANA</t>
        </is>
      </c>
      <c r="G1117" s="27" t="inlineStr">
        <is>
          <t>45836-000</t>
        </is>
      </c>
      <c r="H1117" s="15" t="n">
        <v>5</v>
      </c>
      <c r="I1117" s="28" t="inlineStr">
        <is>
          <t>NÃO</t>
        </is>
      </c>
      <c r="J1117" s="29" t="n">
        <v>322.9</v>
      </c>
      <c r="K1117" s="14" t="str">
        <f>IF(J1117="","7. Acima de 2 km",IF(J1117&lt;=50,"1. Até 50 m",IF(J1117&lt;=100,"2. De 50 a 100 m",IF(J1117&lt;=200,"3. De 100 a 200 m",IF(J1117&lt;=300,"4. De 200 a 300 m",IF(J1117&lt;=500,"5. De 300 a 500 m","6. De 500 m a 2 km"))))))</f>
        <v>5. De 300 a 500 m</v>
      </c>
      <c r="L1117" s="26" t="n">
        <v>0</v>
      </c>
      <c r="M1117" s="26" t="n">
        <v>0</v>
      </c>
      <c r="N1117" s="26" t="n">
        <v>0</v>
      </c>
      <c r="O1117" s="26" t="n">
        <v>0</v>
      </c>
      <c r="P1117" s="30" t="n">
        <v>-17.0325225</v>
      </c>
      <c r="Q1117" s="30" t="n">
        <v>-39.5420452</v>
      </c>
      <c r="R1117" s="14" t="inlineStr">
        <is>
          <t>CARTÓRIO ELEITORAL DA 172ª ZONA, PRAÇA CASTELO BRANCO, Nº 46, CENTRO, ITAMARAJU/BA</t>
        </is>
      </c>
      <c r="S1117" s="26">
        <f>IF(A1117=A1116,0,1)</f>
        <v>0</v>
      </c>
      <c r="T1117" s="26">
        <f>IF(COUNTIF($B$4:B1117,B1117)=1,1,0)</f>
        <v>0</v>
      </c>
    </row>
    <row r="1118">
      <c r="A1118" s="14" t="inlineStr">
        <is>
          <t>ITAMARAJU</t>
        </is>
      </c>
      <c r="B1118" s="26" t="n">
        <v>172</v>
      </c>
      <c r="C1118" s="26" t="n">
        <v>1210</v>
      </c>
      <c r="D1118" s="14" t="inlineStr">
        <is>
          <t>CENTRO EDUCACIONAL DE PIRAGI</t>
        </is>
      </c>
      <c r="E1118" s="14" t="inlineStr">
        <is>
          <t>DISTRITO PIRAGI</t>
        </is>
      </c>
      <c r="F1118" s="14" t="inlineStr">
        <is>
          <t>RUA PIRAGI, S/N - ZONA RURAL</t>
        </is>
      </c>
      <c r="G1118" s="27" t="inlineStr">
        <is>
          <t>45836-000</t>
        </is>
      </c>
      <c r="H1118" s="15" t="n">
        <v>3</v>
      </c>
      <c r="I1118" s="28" t="inlineStr">
        <is>
          <t>NÃO</t>
        </is>
      </c>
      <c r="J1118" s="29" t="n"/>
      <c r="K1118" s="14" t="str">
        <f>IF(J1118="","7. Acima de 2 km",IF(J1118&lt;=50,"1. Até 50 m",IF(J1118&lt;=100,"2. De 50 a 100 m",IF(J1118&lt;=200,"3. De 100 a 200 m",IF(J1118&lt;=300,"4. De 200 a 300 m",IF(J1118&lt;=500,"5. De 300 a 500 m","6. De 500 m a 2 km"))))))</f>
        <v>7. Acima de 2 km</v>
      </c>
      <c r="L1118" s="26" t="n">
        <v>0</v>
      </c>
      <c r="M1118" s="26" t="n">
        <v>0</v>
      </c>
      <c r="N1118" s="26" t="n">
        <v>0</v>
      </c>
      <c r="O1118" s="26" t="n">
        <v>0</v>
      </c>
      <c r="P1118" s="30" t="n">
        <v>-17.1380112</v>
      </c>
      <c r="Q1118" s="30" t="n">
        <v>-39.879062</v>
      </c>
      <c r="R1118" s="14" t="inlineStr">
        <is>
          <t>CARTÓRIO ELEITORAL DA 172ª ZONA, PRAÇA CASTELO BRANCO, Nº 46, CENTRO, ITAMARAJU/BA</t>
        </is>
      </c>
      <c r="S1118" s="26">
        <f>IF(A1118=A1117,0,1)</f>
        <v>0</v>
      </c>
      <c r="T1118" s="26">
        <f>IF(COUNTIF($B$4:B1118,B1118)=1,1,0)</f>
        <v>0</v>
      </c>
    </row>
    <row r="1119">
      <c r="A1119" s="14" t="inlineStr">
        <is>
          <t>ITAMARAJU</t>
        </is>
      </c>
      <c r="B1119" s="26" t="n">
        <v>172</v>
      </c>
      <c r="C1119" s="26" t="n">
        <v>1228</v>
      </c>
      <c r="D1119" s="14" t="inlineStr">
        <is>
          <t>ESCOLA MUNICIPAL NOVO PRADO</t>
        </is>
      </c>
      <c r="E1119" s="14" t="inlineStr">
        <is>
          <t>NOVO PRADO</t>
        </is>
      </c>
      <c r="F1119" s="14" t="inlineStr">
        <is>
          <t>RUA AMÉRICA, S/N - ZONA URBANA</t>
        </is>
      </c>
      <c r="G1119" s="27" t="inlineStr">
        <is>
          <t>45836-000</t>
        </is>
      </c>
      <c r="H1119" s="15" t="n">
        <v>8</v>
      </c>
      <c r="I1119" s="28" t="inlineStr">
        <is>
          <t>SIM</t>
        </is>
      </c>
      <c r="J1119" s="29" t="n">
        <v>54</v>
      </c>
      <c r="K1119" s="14" t="str">
        <f>IF(J1119="","7. Acima de 2 km",IF(J1119&lt;=50,"1. Até 50 m",IF(J1119&lt;=100,"2. De 50 a 100 m",IF(J1119&lt;=200,"3. De 100 a 200 m",IF(J1119&lt;=300,"4. De 200 a 300 m",IF(J1119&lt;=500,"5. De 300 a 500 m","6. De 500 m a 2 km"))))))</f>
        <v>2. De 50 a 100 m</v>
      </c>
      <c r="L1119" s="26" t="n">
        <v>0</v>
      </c>
      <c r="M1119" s="26" t="n">
        <v>1</v>
      </c>
      <c r="N1119" s="26" t="n">
        <v>1</v>
      </c>
      <c r="O1119" s="26" t="n">
        <v>1</v>
      </c>
      <c r="P1119" s="30" t="n">
        <v>-17.0371175</v>
      </c>
      <c r="Q1119" s="30" t="n">
        <v>-39.5398316</v>
      </c>
      <c r="R1119" s="14" t="inlineStr">
        <is>
          <t>CARTÓRIO ELEITORAL DA 172ª ZONA, PRAÇA CASTELO BRANCO, Nº 46, CENTRO, ITAMARAJU/BA</t>
        </is>
      </c>
      <c r="S1119" s="26">
        <f>IF(A1119=A1118,0,1)</f>
        <v>0</v>
      </c>
      <c r="T1119" s="26">
        <f>IF(COUNTIF($B$4:B1119,B1119)=1,1,0)</f>
        <v>0</v>
      </c>
    </row>
    <row r="1120">
      <c r="A1120" s="14" t="inlineStr">
        <is>
          <t>ITAMARAJU</t>
        </is>
      </c>
      <c r="B1120" s="26" t="n">
        <v>172</v>
      </c>
      <c r="C1120" s="26" t="n">
        <v>1236</v>
      </c>
      <c r="D1120" s="14" t="inlineStr">
        <is>
          <t>ESCOLA MUNICIPAL MARIA DAJUDA OLIVEIRA MATOS</t>
        </is>
      </c>
      <c r="E1120" s="14" t="inlineStr">
        <is>
          <t>MAROTINHO</t>
        </is>
      </c>
      <c r="F1120" s="14" t="inlineStr">
        <is>
          <t>PRAÇA IPIRANGA, S/N - ZONA URBANA</t>
        </is>
      </c>
      <c r="G1120" s="27" t="inlineStr">
        <is>
          <t>45836-000</t>
        </is>
      </c>
      <c r="H1120" s="15" t="n">
        <v>4</v>
      </c>
      <c r="I1120" s="28" t="inlineStr">
        <is>
          <t>NÃO</t>
        </is>
      </c>
      <c r="J1120" s="29" t="n">
        <v>512.4</v>
      </c>
      <c r="K1120" s="14" t="str">
        <f>IF(J1120="","7. Acima de 2 km",IF(J1120&lt;=50,"1. Até 50 m",IF(J1120&lt;=100,"2. De 50 a 100 m",IF(J1120&lt;=200,"3. De 100 a 200 m",IF(J1120&lt;=300,"4. De 200 a 300 m",IF(J1120&lt;=500,"5. De 300 a 500 m","6. De 500 m a 2 km"))))))</f>
        <v>6. De 500 m a 2 km</v>
      </c>
      <c r="L1120" s="26" t="n">
        <v>0</v>
      </c>
      <c r="M1120" s="26" t="n">
        <v>0</v>
      </c>
      <c r="N1120" s="26" t="n">
        <v>0</v>
      </c>
      <c r="O1120" s="26" t="n">
        <v>0</v>
      </c>
      <c r="P1120" s="30" t="n">
        <v>-17.0262923</v>
      </c>
      <c r="Q1120" s="30" t="n">
        <v>-39.5274704</v>
      </c>
      <c r="R1120" s="14" t="inlineStr">
        <is>
          <t>CARTÓRIO ELEITORAL DA 172ª ZONA, PRAÇA CASTELO BRANCO, Nº 46, CENTRO, ITAMARAJU/BA</t>
        </is>
      </c>
      <c r="S1120" s="26">
        <f>IF(A1120=A1119,0,1)</f>
        <v>0</v>
      </c>
      <c r="T1120" s="26">
        <f>IF(COUNTIF($B$4:B1120,B1120)=1,1,0)</f>
        <v>0</v>
      </c>
    </row>
    <row r="1121">
      <c r="A1121" s="14" t="inlineStr">
        <is>
          <t>ITAMARAJU</t>
        </is>
      </c>
      <c r="B1121" s="26" t="n">
        <v>172</v>
      </c>
      <c r="C1121" s="26" t="n">
        <v>1252</v>
      </c>
      <c r="D1121" s="14" t="inlineStr">
        <is>
          <t>ESCOLA MUNICIPAL ERALDO TINOCO</t>
        </is>
      </c>
      <c r="E1121" s="14" t="inlineStr">
        <is>
          <t>POVOADO PIRAJA</t>
        </is>
      </c>
      <c r="F1121" s="14" t="inlineStr">
        <is>
          <t>RUA PRINCIPAL, S/N - ZONA RURAL</t>
        </is>
      </c>
      <c r="G1121" s="27" t="inlineStr">
        <is>
          <t>45836-000</t>
        </is>
      </c>
      <c r="H1121" s="15" t="n">
        <v>4</v>
      </c>
      <c r="I1121" s="28" t="inlineStr">
        <is>
          <t>NÃO</t>
        </is>
      </c>
      <c r="J1121" s="29" t="n"/>
      <c r="K1121" s="14" t="str">
        <f>IF(J1121="","7. Acima de 2 km",IF(J1121&lt;=50,"1. Até 50 m",IF(J1121&lt;=100,"2. De 50 a 100 m",IF(J1121&lt;=200,"3. De 100 a 200 m",IF(J1121&lt;=300,"4. De 200 a 300 m",IF(J1121&lt;=500,"5. De 300 a 500 m","6. De 500 m a 2 km"))))))</f>
        <v>7. Acima de 2 km</v>
      </c>
      <c r="L1121" s="26" t="n">
        <v>0</v>
      </c>
      <c r="M1121" s="26" t="n">
        <v>0</v>
      </c>
      <c r="N1121" s="26" t="n">
        <v>0</v>
      </c>
      <c r="O1121" s="26" t="n">
        <v>0</v>
      </c>
      <c r="P1121" s="30" t="n">
        <v>-17.0306317</v>
      </c>
      <c r="Q1121" s="30" t="n">
        <v>-39.8328272</v>
      </c>
      <c r="R1121" s="14" t="inlineStr">
        <is>
          <t>CARTÓRIO ELEITORAL DA 172ª ZONA, PRAÇA CASTELO BRANCO, Nº 46, CENTRO, ITAMARAJU/BA</t>
        </is>
      </c>
      <c r="S1121" s="26">
        <f>IF(A1121=A1120,0,1)</f>
        <v>0</v>
      </c>
      <c r="T1121" s="26">
        <f>IF(COUNTIF($B$4:B1121,B1121)=1,1,0)</f>
        <v>0</v>
      </c>
    </row>
    <row r="1122">
      <c r="A1122" s="14" t="inlineStr">
        <is>
          <t>ITAMARAJU</t>
        </is>
      </c>
      <c r="B1122" s="26" t="n">
        <v>172</v>
      </c>
      <c r="C1122" s="26" t="n">
        <v>1260</v>
      </c>
      <c r="D1122" s="14" t="inlineStr">
        <is>
          <t>ESCOLA MUNICIPAL SAO JOAO DA PRATA</t>
        </is>
      </c>
      <c r="E1122" s="14" t="inlineStr">
        <is>
          <t>POVOADO SAO JOAO DA PRATA</t>
        </is>
      </c>
      <c r="F1122" s="14" t="inlineStr">
        <is>
          <t>RUA PRINCIPAL, S/N - ZONA RURAL</t>
        </is>
      </c>
      <c r="G1122" s="27" t="inlineStr">
        <is>
          <t>45836-000</t>
        </is>
      </c>
      <c r="H1122" s="15" t="n">
        <v>3</v>
      </c>
      <c r="I1122" s="28" t="inlineStr">
        <is>
          <t>NÃO</t>
        </is>
      </c>
      <c r="J1122" s="29" t="n"/>
      <c r="K1122" s="14" t="str">
        <f>IF(J1122="","7. Acima de 2 km",IF(J1122&lt;=50,"1. Até 50 m",IF(J1122&lt;=100,"2. De 50 a 100 m",IF(J1122&lt;=200,"3. De 100 a 200 m",IF(J1122&lt;=300,"4. De 200 a 300 m",IF(J1122&lt;=500,"5. De 300 a 500 m","6. De 500 m a 2 km"))))))</f>
        <v>7. Acima de 2 km</v>
      </c>
      <c r="L1122" s="26" t="n">
        <v>0</v>
      </c>
      <c r="M1122" s="26" t="n">
        <v>0</v>
      </c>
      <c r="N1122" s="26" t="n">
        <v>0</v>
      </c>
      <c r="O1122" s="26" t="n">
        <v>0</v>
      </c>
      <c r="P1122" s="30" t="n">
        <v>-17.1279104</v>
      </c>
      <c r="Q1122" s="30" t="n">
        <v>-40.0228</v>
      </c>
      <c r="R1122" s="14" t="inlineStr">
        <is>
          <t>CARTÓRIO ELEITORAL DA 172ª ZONA, PRAÇA CASTELO BRANCO, Nº 46, CENTRO, ITAMARAJU/BA</t>
        </is>
      </c>
      <c r="S1122" s="26">
        <f>IF(A1122=A1121,0,1)</f>
        <v>0</v>
      </c>
      <c r="T1122" s="26">
        <f>IF(COUNTIF($B$4:B1122,B1122)=1,1,0)</f>
        <v>0</v>
      </c>
    </row>
    <row r="1123">
      <c r="A1123" s="14" t="inlineStr">
        <is>
          <t>ITAMARAJU</t>
        </is>
      </c>
      <c r="B1123" s="26" t="n">
        <v>172</v>
      </c>
      <c r="C1123" s="26" t="n">
        <v>1279</v>
      </c>
      <c r="D1123" s="14" t="inlineStr">
        <is>
          <t>ESCOLA MUNICIPAL VILA UNIAO</t>
        </is>
      </c>
      <c r="E1123" s="14" t="inlineStr">
        <is>
          <t>POVOADO VILA UNIAO</t>
        </is>
      </c>
      <c r="F1123" s="14" t="inlineStr">
        <is>
          <t>PRAÇA AFONSO, S/N - ZONA RURAL</t>
        </is>
      </c>
      <c r="G1123" s="27" t="inlineStr">
        <is>
          <t>45836-000</t>
        </is>
      </c>
      <c r="H1123" s="15" t="n">
        <v>4</v>
      </c>
      <c r="I1123" s="28" t="inlineStr">
        <is>
          <t>NÃO</t>
        </is>
      </c>
      <c r="J1123" s="29" t="n"/>
      <c r="K1123" s="14" t="str">
        <f>IF(J1123="","7. Acima de 2 km",IF(J1123&lt;=50,"1. Até 50 m",IF(J1123&lt;=100,"2. De 50 a 100 m",IF(J1123&lt;=200,"3. De 100 a 200 m",IF(J1123&lt;=300,"4. De 200 a 300 m",IF(J1123&lt;=500,"5. De 300 a 500 m","6. De 500 m a 2 km"))))))</f>
        <v>7. Acima de 2 km</v>
      </c>
      <c r="L1123" s="26" t="n">
        <v>0</v>
      </c>
      <c r="M1123" s="26" t="n">
        <v>0</v>
      </c>
      <c r="N1123" s="26" t="n">
        <v>0</v>
      </c>
      <c r="O1123" s="26" t="n">
        <v>0</v>
      </c>
      <c r="P1123" s="30" t="n">
        <v>-16.7401287</v>
      </c>
      <c r="Q1123" s="30" t="n">
        <v>-39.7535409</v>
      </c>
      <c r="R1123" s="14" t="inlineStr">
        <is>
          <t>CARTÓRIO ELEITORAL DA 172ª ZONA, PRAÇA CASTELO BRANCO, Nº 46, CENTRO, ITAMARAJU/BA</t>
        </is>
      </c>
      <c r="S1123" s="26">
        <f>IF(A1123=A1122,0,1)</f>
        <v>0</v>
      </c>
      <c r="T1123" s="26">
        <f>IF(COUNTIF($B$4:B1123,B1123)=1,1,0)</f>
        <v>0</v>
      </c>
    </row>
    <row r="1124">
      <c r="A1124" s="14" t="inlineStr">
        <is>
          <t>ITAMARAJU</t>
        </is>
      </c>
      <c r="B1124" s="26" t="n">
        <v>172</v>
      </c>
      <c r="C1124" s="26" t="n">
        <v>1287</v>
      </c>
      <c r="D1124" s="14" t="inlineStr">
        <is>
          <t>ESCOLA MUNICIPAL OSVALDO ALMEIDA</t>
        </is>
      </c>
      <c r="E1124" s="14" t="inlineStr">
        <is>
          <t>POVOADO SAO PAULINHO</t>
        </is>
      </c>
      <c r="F1124" s="14" t="inlineStr">
        <is>
          <t>RUA PRINCIPAL, S/N - ZONA RURAL</t>
        </is>
      </c>
      <c r="G1124" s="27" t="inlineStr">
        <is>
          <t>45836-000</t>
        </is>
      </c>
      <c r="H1124" s="15" t="n">
        <v>3</v>
      </c>
      <c r="I1124" s="28" t="inlineStr">
        <is>
          <t>NÃO</t>
        </is>
      </c>
      <c r="J1124" s="29" t="n"/>
      <c r="K1124" s="14" t="str">
        <f>IF(J1124="","7. Acima de 2 km",IF(J1124&lt;=50,"1. Até 50 m",IF(J1124&lt;=100,"2. De 50 a 100 m",IF(J1124&lt;=200,"3. De 100 a 200 m",IF(J1124&lt;=300,"4. De 200 a 300 m",IF(J1124&lt;=500,"5. De 300 a 500 m","6. De 500 m a 2 km"))))))</f>
        <v>7. Acima de 2 km</v>
      </c>
      <c r="L1124" s="26" t="n">
        <v>0</v>
      </c>
      <c r="M1124" s="26" t="n">
        <v>0</v>
      </c>
      <c r="N1124" s="26" t="n">
        <v>0</v>
      </c>
      <c r="O1124" s="26" t="n">
        <v>0</v>
      </c>
      <c r="P1124" s="30" t="n">
        <v>-16.8385534</v>
      </c>
      <c r="Q1124" s="30" t="n">
        <v>-39.6713466</v>
      </c>
      <c r="R1124" s="14" t="inlineStr">
        <is>
          <t>CARTÓRIO ELEITORAL DA 172ª ZONA, PRAÇA CASTELO BRANCO, Nº 46, CENTRO, ITAMARAJU/BA</t>
        </is>
      </c>
      <c r="S1124" s="26">
        <f>IF(A1124=A1123,0,1)</f>
        <v>0</v>
      </c>
      <c r="T1124" s="26">
        <f>IF(COUNTIF($B$4:B1124,B1124)=1,1,0)</f>
        <v>0</v>
      </c>
    </row>
    <row r="1125">
      <c r="A1125" s="14" t="inlineStr">
        <is>
          <t>ITAMARAJU</t>
        </is>
      </c>
      <c r="B1125" s="26" t="n">
        <v>172</v>
      </c>
      <c r="C1125" s="26" t="n">
        <v>1309</v>
      </c>
      <c r="D1125" s="14" t="inlineStr">
        <is>
          <t>ESCOLA MUNICIPAL DOIS DE JULHO</t>
        </is>
      </c>
      <c r="E1125" s="14" t="inlineStr">
        <is>
          <t>POVOADO ITABRASIL</t>
        </is>
      </c>
      <c r="F1125" s="14" t="inlineStr">
        <is>
          <t>RUA PRINCIPAL, S/N - ZONA RURAL</t>
        </is>
      </c>
      <c r="G1125" s="27" t="inlineStr">
        <is>
          <t>45836-000</t>
        </is>
      </c>
      <c r="H1125" s="15" t="n">
        <v>2</v>
      </c>
      <c r="I1125" s="28" t="inlineStr">
        <is>
          <t>NÃO</t>
        </is>
      </c>
      <c r="J1125" s="29" t="n"/>
      <c r="K1125" s="14" t="str">
        <f>IF(J1125="","7. Acima de 2 km",IF(J1125&lt;=50,"1. Até 50 m",IF(J1125&lt;=100,"2. De 50 a 100 m",IF(J1125&lt;=200,"3. De 100 a 200 m",IF(J1125&lt;=300,"4. De 200 a 300 m",IF(J1125&lt;=500,"5. De 300 a 500 m","6. De 500 m a 2 km"))))))</f>
        <v>7. Acima de 2 km</v>
      </c>
      <c r="L1125" s="26" t="n">
        <v>0</v>
      </c>
      <c r="M1125" s="26" t="n">
        <v>0</v>
      </c>
      <c r="N1125" s="26" t="n">
        <v>0</v>
      </c>
      <c r="O1125" s="26" t="n">
        <v>0</v>
      </c>
      <c r="P1125" s="30" t="n">
        <v>-16.9702819</v>
      </c>
      <c r="Q1125" s="30" t="n">
        <v>-39.9689468</v>
      </c>
      <c r="R1125" s="14" t="inlineStr">
        <is>
          <t>CARTÓRIO ELEITORAL DA 172ª ZONA, PRAÇA CASTELO BRANCO, Nº 46, CENTRO, ITAMARAJU/BA</t>
        </is>
      </c>
      <c r="S1125" s="26">
        <f>IF(A1125=A1124,0,1)</f>
        <v>0</v>
      </c>
      <c r="T1125" s="26">
        <f>IF(COUNTIF($B$4:B1125,B1125)=1,1,0)</f>
        <v>0</v>
      </c>
    </row>
    <row r="1126">
      <c r="A1126" s="14" t="inlineStr">
        <is>
          <t>ITAMARAJU</t>
        </is>
      </c>
      <c r="B1126" s="26" t="n">
        <v>172</v>
      </c>
      <c r="C1126" s="26" t="n">
        <v>1317</v>
      </c>
      <c r="D1126" s="14" t="inlineStr">
        <is>
          <t>ESCOLA MUNICIPAL HUNALDO EVANGELISTA DE MATOS</t>
        </is>
      </c>
      <c r="E1126" s="14" t="inlineStr">
        <is>
          <t>POVOADO CAMPO ALEGRE</t>
        </is>
      </c>
      <c r="F1126" s="14" t="inlineStr">
        <is>
          <t>RUA PRINCIPAL, S/N - ZONA RURAL</t>
        </is>
      </c>
      <c r="G1126" s="27" t="inlineStr">
        <is>
          <t>45836-000</t>
        </is>
      </c>
      <c r="H1126" s="15" t="n">
        <v>2</v>
      </c>
      <c r="I1126" s="28" t="inlineStr">
        <is>
          <t>NÃO</t>
        </is>
      </c>
      <c r="J1126" s="29" t="n"/>
      <c r="K1126" s="14" t="str">
        <f>IF(J1126="","7. Acima de 2 km",IF(J1126&lt;=50,"1. Até 50 m",IF(J1126&lt;=100,"2. De 50 a 100 m",IF(J1126&lt;=200,"3. De 100 a 200 m",IF(J1126&lt;=300,"4. De 200 a 300 m",IF(J1126&lt;=500,"5. De 300 a 500 m","6. De 500 m a 2 km"))))))</f>
        <v>7. Acima de 2 km</v>
      </c>
      <c r="L1126" s="26" t="n">
        <v>0</v>
      </c>
      <c r="M1126" s="26" t="n">
        <v>0</v>
      </c>
      <c r="N1126" s="26" t="n">
        <v>0</v>
      </c>
      <c r="O1126" s="26" t="n">
        <v>0</v>
      </c>
      <c r="P1126" s="30" t="n">
        <v>-17.1251126</v>
      </c>
      <c r="Q1126" s="30" t="n">
        <v>-39.7179083</v>
      </c>
      <c r="R1126" s="14" t="inlineStr">
        <is>
          <t>CARTÓRIO ELEITORAL DA 172ª ZONA, PRAÇA CASTELO BRANCO, Nº 46, CENTRO, ITAMARAJU/BA</t>
        </is>
      </c>
      <c r="S1126" s="26">
        <f>IF(A1126=A1125,0,1)</f>
        <v>0</v>
      </c>
      <c r="T1126" s="26">
        <f>IF(COUNTIF($B$4:B1126,B1126)=1,1,0)</f>
        <v>0</v>
      </c>
    </row>
    <row r="1127">
      <c r="A1127" s="14" t="inlineStr">
        <is>
          <t>ITAMARAJU</t>
        </is>
      </c>
      <c r="B1127" s="26" t="n">
        <v>172</v>
      </c>
      <c r="C1127" s="26" t="n">
        <v>1333</v>
      </c>
      <c r="D1127" s="14" t="inlineStr">
        <is>
          <t>ESCOLA SIZALTINA BARBOSA SANTOS</t>
        </is>
      </c>
      <c r="E1127" s="14" t="inlineStr">
        <is>
          <t>SANTO ANTONIO DO MONTE</t>
        </is>
      </c>
      <c r="F1127" s="14" t="inlineStr">
        <is>
          <t>RUA MASCARENHAS DE MORAIS, S/N - ZONA URBANA</t>
        </is>
      </c>
      <c r="G1127" s="27" t="inlineStr">
        <is>
          <t>45836-000</t>
        </is>
      </c>
      <c r="H1127" s="15" t="n">
        <v>6</v>
      </c>
      <c r="I1127" s="28" t="inlineStr">
        <is>
          <t>NÃO</t>
        </is>
      </c>
      <c r="J1127" s="29" t="n">
        <v>128.8</v>
      </c>
      <c r="K1127" s="14" t="str">
        <f>IF(J1127="","7. Acima de 2 km",IF(J1127&lt;=50,"1. Até 50 m",IF(J1127&lt;=100,"2. De 50 a 100 m",IF(J1127&lt;=200,"3. De 100 a 200 m",IF(J1127&lt;=300,"4. De 200 a 300 m",IF(J1127&lt;=500,"5. De 300 a 500 m","6. De 500 m a 2 km"))))))</f>
        <v>3. De 100 a 200 m</v>
      </c>
      <c r="L1127" s="26" t="n">
        <v>0</v>
      </c>
      <c r="M1127" s="26" t="n">
        <v>0</v>
      </c>
      <c r="N1127" s="26" t="n">
        <v>1</v>
      </c>
      <c r="O1127" s="26" t="n">
        <v>1</v>
      </c>
      <c r="P1127" s="30" t="n">
        <v>-17.0254315</v>
      </c>
      <c r="Q1127" s="30" t="n">
        <v>-39.5388432</v>
      </c>
      <c r="R1127" s="14" t="inlineStr">
        <is>
          <t>CARTÓRIO ELEITORAL DA 172ª ZONA, PRAÇA CASTELO BRANCO, Nº 46, CENTRO, ITAMARAJU/BA</t>
        </is>
      </c>
      <c r="S1127" s="26">
        <f>IF(A1127=A1126,0,1)</f>
        <v>0</v>
      </c>
      <c r="T1127" s="26">
        <f>IF(COUNTIF($B$4:B1127,B1127)=1,1,0)</f>
        <v>0</v>
      </c>
    </row>
    <row r="1128">
      <c r="A1128" s="14" t="inlineStr">
        <is>
          <t>ITAMARAJU</t>
        </is>
      </c>
      <c r="B1128" s="26" t="n">
        <v>172</v>
      </c>
      <c r="C1128" s="26" t="n">
        <v>1376</v>
      </c>
      <c r="D1128" s="14" t="inlineStr">
        <is>
          <t>ESCOLA MUNICIPAL DE PRIMEIRO GRAU BENEDITA MALAQUIAS</t>
        </is>
      </c>
      <c r="E1128" s="14" t="inlineStr">
        <is>
          <t>TASSIZO CARLETTO</t>
        </is>
      </c>
      <c r="F1128" s="14" t="inlineStr">
        <is>
          <t>MARGENS DA BR 101, KM 807</t>
        </is>
      </c>
      <c r="G1128" s="27" t="inlineStr">
        <is>
          <t>45836-000</t>
        </is>
      </c>
      <c r="H1128" s="15" t="n">
        <v>2</v>
      </c>
      <c r="I1128" s="28" t="inlineStr">
        <is>
          <t>NÃO</t>
        </is>
      </c>
      <c r="J1128" s="29" t="n">
        <v>284.9</v>
      </c>
      <c r="K1128" s="14" t="str">
        <f>IF(J1128="","7. Acima de 2 km",IF(J1128&lt;=50,"1. Até 50 m",IF(J1128&lt;=100,"2. De 50 a 100 m",IF(J1128&lt;=200,"3. De 100 a 200 m",IF(J1128&lt;=300,"4. De 200 a 300 m",IF(J1128&lt;=500,"5. De 300 a 500 m","6. De 500 m a 2 km"))))))</f>
        <v>4. De 200 a 300 m</v>
      </c>
      <c r="L1128" s="26" t="n">
        <v>0</v>
      </c>
      <c r="M1128" s="26" t="n">
        <v>0</v>
      </c>
      <c r="N1128" s="26" t="n">
        <v>0</v>
      </c>
      <c r="O1128" s="26" t="n">
        <v>1</v>
      </c>
      <c r="P1128" s="30" t="n">
        <v>-17.0056405</v>
      </c>
      <c r="Q1128" s="30" t="n">
        <v>-39.5488364</v>
      </c>
      <c r="R1128" s="14" t="inlineStr">
        <is>
          <t>CARTÓRIO ELEITORAL DA 172ª ZONA, PRAÇA CASTELO BRANCO, Nº 46, CENTRO, ITAMARAJU/BA</t>
        </is>
      </c>
      <c r="S1128" s="26">
        <f>IF(A1128=A1127,0,1)</f>
        <v>0</v>
      </c>
      <c r="T1128" s="26">
        <f>IF(COUNTIF($B$4:B1128,B1128)=1,1,0)</f>
        <v>0</v>
      </c>
    </row>
    <row r="1129">
      <c r="A1129" s="14" t="inlineStr">
        <is>
          <t>ITAMARAJU</t>
        </is>
      </c>
      <c r="B1129" s="26" t="n">
        <v>172</v>
      </c>
      <c r="C1129" s="26" t="n">
        <v>1384</v>
      </c>
      <c r="D1129" s="14" t="inlineStr">
        <is>
          <t>ESCOLA MUNICIPAL SÃO ROQUE</t>
        </is>
      </c>
      <c r="E1129" s="14" t="inlineStr">
        <is>
          <t>CORUJAO</t>
        </is>
      </c>
      <c r="F1129" s="14" t="inlineStr">
        <is>
          <t>RUA SANTA LUCIA</t>
        </is>
      </c>
      <c r="G1129" s="27" t="inlineStr">
        <is>
          <t>45836-000</t>
        </is>
      </c>
      <c r="H1129" s="15" t="n">
        <v>1</v>
      </c>
      <c r="I1129" s="28" t="inlineStr">
        <is>
          <t>NÃO</t>
        </is>
      </c>
      <c r="J1129" s="29" t="n">
        <v>188.1</v>
      </c>
      <c r="K1129" s="14" t="str">
        <f>IF(J1129="","7. Acima de 2 km",IF(J1129&lt;=50,"1. Até 50 m",IF(J1129&lt;=100,"2. De 50 a 100 m",IF(J1129&lt;=200,"3. De 100 a 200 m",IF(J1129&lt;=300,"4. De 200 a 300 m",IF(J1129&lt;=500,"5. De 300 a 500 m","6. De 500 m a 2 km"))))))</f>
        <v>3. De 100 a 200 m</v>
      </c>
      <c r="L1129" s="26" t="n">
        <v>0</v>
      </c>
      <c r="M1129" s="26" t="n">
        <v>0</v>
      </c>
      <c r="N1129" s="26" t="n">
        <v>1</v>
      </c>
      <c r="O1129" s="26" t="n">
        <v>2</v>
      </c>
      <c r="P1129" s="30" t="n">
        <v>-17.0610012</v>
      </c>
      <c r="Q1129" s="30" t="n">
        <v>-39.5516175</v>
      </c>
      <c r="R1129" s="14" t="inlineStr">
        <is>
          <t>CARTÓRIO ELEITORAL DA 172ª ZONA, PRAÇA CASTELO BRANCO, Nº 46, CENTRO, ITAMARAJU/BA</t>
        </is>
      </c>
      <c r="S1129" s="26">
        <f>IF(A1129=A1128,0,1)</f>
        <v>0</v>
      </c>
      <c r="T1129" s="26">
        <f>IF(COUNTIF($B$4:B1129,B1129)=1,1,0)</f>
        <v>0</v>
      </c>
    </row>
    <row r="1130">
      <c r="A1130" s="14" t="inlineStr">
        <is>
          <t>ITAMARAJU</t>
        </is>
      </c>
      <c r="B1130" s="26" t="n">
        <v>172</v>
      </c>
      <c r="C1130" s="26" t="n">
        <v>1392</v>
      </c>
      <c r="D1130" s="14" t="inlineStr">
        <is>
          <t>ESCOLA MUNICIPAL FURLAN</t>
        </is>
      </c>
      <c r="E1130" s="14" t="inlineStr">
        <is>
          <t>FURLAN</t>
        </is>
      </c>
      <c r="F1130" s="14" t="inlineStr">
        <is>
          <t>RUA SALINAS DAS MARGARIDAS, 140</t>
        </is>
      </c>
      <c r="G1130" s="27" t="inlineStr">
        <is>
          <t>45836-000</t>
        </is>
      </c>
      <c r="H1130" s="15" t="n">
        <v>1</v>
      </c>
      <c r="I1130" s="28" t="inlineStr">
        <is>
          <t>NÃO</t>
        </is>
      </c>
      <c r="J1130" s="29" t="n">
        <v>131.1</v>
      </c>
      <c r="K1130" s="14" t="str">
        <f>IF(J1130="","7. Acima de 2 km",IF(J1130&lt;=50,"1. Até 50 m",IF(J1130&lt;=100,"2. De 50 a 100 m",IF(J1130&lt;=200,"3. De 100 a 200 m",IF(J1130&lt;=300,"4. De 200 a 300 m",IF(J1130&lt;=500,"5. De 300 a 500 m","6. De 500 m a 2 km"))))))</f>
        <v>3. De 100 a 200 m</v>
      </c>
      <c r="L1130" s="26" t="n">
        <v>0</v>
      </c>
      <c r="M1130" s="26" t="n">
        <v>0</v>
      </c>
      <c r="N1130" s="26" t="n">
        <v>1</v>
      </c>
      <c r="O1130" s="26" t="n">
        <v>1</v>
      </c>
      <c r="P1130" s="30" t="n">
        <v>-17.0602003</v>
      </c>
      <c r="Q1130" s="30" t="n">
        <v>-39.5042831</v>
      </c>
      <c r="R1130" s="14" t="inlineStr">
        <is>
          <t>CARTÓRIO ELEITORAL DA 172ª ZONA, PRAÇA CASTELO BRANCO, Nº 46, CENTRO, ITAMARAJU/BA</t>
        </is>
      </c>
      <c r="S1130" s="26">
        <f>IF(A1130=A1129,0,1)</f>
        <v>0</v>
      </c>
      <c r="T1130" s="26">
        <f>IF(COUNTIF($B$4:B1130,B1130)=1,1,0)</f>
        <v>0</v>
      </c>
    </row>
    <row r="1131">
      <c r="A1131" s="14" t="inlineStr">
        <is>
          <t>ITAMARAJU</t>
        </is>
      </c>
      <c r="B1131" s="26" t="n">
        <v>172</v>
      </c>
      <c r="C1131" s="26" t="n">
        <v>1406</v>
      </c>
      <c r="D1131" s="14" t="inlineStr">
        <is>
          <t>ESCOLA MUNICIPAL SÃO DOMINGOS</t>
        </is>
      </c>
      <c r="E1131" s="14" t="inlineStr">
        <is>
          <t>SAO DOMINGOS</t>
        </is>
      </c>
      <c r="F1131" s="14" t="inlineStr">
        <is>
          <t>RUA VITÓRIA DA CONQUISTA, S/N,</t>
        </is>
      </c>
      <c r="G1131" s="27" t="inlineStr">
        <is>
          <t>45836-000</t>
        </is>
      </c>
      <c r="H1131" s="15" t="n">
        <v>1</v>
      </c>
      <c r="I1131" s="28" t="inlineStr">
        <is>
          <t>NÃO</t>
        </is>
      </c>
      <c r="J1131" s="29" t="n">
        <v>350.9</v>
      </c>
      <c r="K1131" s="14" t="str">
        <f>IF(J1131="","7. Acima de 2 km",IF(J1131&lt;=50,"1. Até 50 m",IF(J1131&lt;=100,"2. De 50 a 100 m",IF(J1131&lt;=200,"3. De 100 a 200 m",IF(J1131&lt;=300,"4. De 200 a 300 m",IF(J1131&lt;=500,"5. De 300 a 500 m","6. De 500 m a 2 km"))))))</f>
        <v>5. De 300 a 500 m</v>
      </c>
      <c r="L1131" s="26" t="n">
        <v>0</v>
      </c>
      <c r="M1131" s="26" t="n">
        <v>0</v>
      </c>
      <c r="N1131" s="26" t="n">
        <v>0</v>
      </c>
      <c r="O1131" s="26" t="n">
        <v>0</v>
      </c>
      <c r="P1131" s="30" t="n">
        <v>-17.0366107</v>
      </c>
      <c r="Q1131" s="30" t="n">
        <v>-39.5429448</v>
      </c>
      <c r="R1131" s="14" t="inlineStr">
        <is>
          <t>CARTÓRIO ELEITORAL DA 172ª ZONA, PRAÇA CASTELO BRANCO, Nº 46, CENTRO, ITAMARAJU/BA</t>
        </is>
      </c>
      <c r="S1131" s="26">
        <f>IF(A1131=A1130,0,1)</f>
        <v>0</v>
      </c>
      <c r="T1131" s="26">
        <f>IF(COUNTIF($B$4:B1131,B1131)=1,1,0)</f>
        <v>0</v>
      </c>
    </row>
    <row r="1132">
      <c r="A1132" s="14" t="inlineStr">
        <is>
          <t>ITAMARAJU</t>
        </is>
      </c>
      <c r="B1132" s="26" t="n">
        <v>172</v>
      </c>
      <c r="C1132" s="26" t="n">
        <v>1414</v>
      </c>
      <c r="D1132" s="14" t="inlineStr">
        <is>
          <t>ESCOLA MUNICIPAL INDIGENA ALDEIA TREVO DO PARQUE</t>
        </is>
      </c>
      <c r="E1132" s="14" t="inlineStr">
        <is>
          <t>TREVO DO PARQUE</t>
        </is>
      </c>
      <c r="F1132" s="14" t="inlineStr">
        <is>
          <t>TREVO DO PARQUE NACIONAL</t>
        </is>
      </c>
      <c r="G1132" s="27" t="inlineStr">
        <is>
          <t>45836-000</t>
        </is>
      </c>
      <c r="H1132" s="15" t="n">
        <v>1</v>
      </c>
      <c r="I1132" s="28" t="inlineStr">
        <is>
          <t>NÃO</t>
        </is>
      </c>
      <c r="J1132" s="29" t="n"/>
      <c r="K1132" s="14" t="str">
        <f>IF(J1132="","7. Acima de 2 km",IF(J1132&lt;=50,"1. Até 50 m",IF(J1132&lt;=100,"2. De 50 a 100 m",IF(J1132&lt;=200,"3. De 100 a 200 m",IF(J1132&lt;=300,"4. De 200 a 300 m",IF(J1132&lt;=500,"5. De 300 a 500 m","6. De 500 m a 2 km"))))))</f>
        <v>7. Acima de 2 km</v>
      </c>
      <c r="L1132" s="26" t="n">
        <v>0</v>
      </c>
      <c r="M1132" s="26" t="n">
        <v>0</v>
      </c>
      <c r="N1132" s="26" t="n">
        <v>0</v>
      </c>
      <c r="O1132" s="26" t="n">
        <v>0</v>
      </c>
      <c r="P1132" s="30" t="n">
        <v>-16.9119576</v>
      </c>
      <c r="Q1132" s="30" t="n">
        <v>-39.5195761</v>
      </c>
      <c r="R1132" s="14" t="inlineStr">
        <is>
          <t>CARTÓRIO ELEITORAL DA 172ª ZONA, PRAÇA CASTELO BRANCO, Nº 46, CENTRO, ITAMARAJU/BA</t>
        </is>
      </c>
      <c r="S1132" s="26">
        <f>IF(A1132=A1131,0,1)</f>
        <v>0</v>
      </c>
      <c r="T1132" s="26">
        <f>IF(COUNTIF($B$4:B1132,B1132)=1,1,0)</f>
        <v>0</v>
      </c>
    </row>
    <row r="1133">
      <c r="A1133" s="14" t="inlineStr">
        <is>
          <t>ITAPARICA</t>
        </is>
      </c>
      <c r="B1133" s="26" t="n">
        <v>141</v>
      </c>
      <c r="C1133" s="26" t="n">
        <v>1015</v>
      </c>
      <c r="D1133" s="14" t="inlineStr">
        <is>
          <t>ESCOLA MUNICIPAL BENEDICTO DE OLIVEIRA BARROS</t>
        </is>
      </c>
      <c r="E1133" s="14" t="inlineStr">
        <is>
          <t>CENTRO</t>
        </is>
      </c>
      <c r="F1133" s="14" t="inlineStr">
        <is>
          <t>AVENIDA JURACY MAGALHÃES JÚNIOR, S/N. - ZONA URBANA</t>
        </is>
      </c>
      <c r="G1133" s="27" t="inlineStr">
        <is>
          <t>44460-000</t>
        </is>
      </c>
      <c r="H1133" s="15" t="n">
        <v>7</v>
      </c>
      <c r="I1133" s="28" t="inlineStr">
        <is>
          <t>NÃO</t>
        </is>
      </c>
      <c r="J1133" s="29" t="n">
        <v>265.8</v>
      </c>
      <c r="K1133" s="14" t="str">
        <f>IF(J1133="","7. Acima de 2 km",IF(J1133&lt;=50,"1. Até 50 m",IF(J1133&lt;=100,"2. De 50 a 100 m",IF(J1133&lt;=200,"3. De 100 a 200 m",IF(J1133&lt;=300,"4. De 200 a 300 m",IF(J1133&lt;=500,"5. De 300 a 500 m","6. De 500 m a 2 km"))))))</f>
        <v>4. De 200 a 300 m</v>
      </c>
      <c r="L1133" s="26" t="n">
        <v>0</v>
      </c>
      <c r="M1133" s="26" t="n">
        <v>0</v>
      </c>
      <c r="N1133" s="26" t="n">
        <v>0</v>
      </c>
      <c r="O1133" s="26" t="n">
        <v>1</v>
      </c>
      <c r="P1133" s="30" t="n">
        <v>-12.885201</v>
      </c>
      <c r="Q1133" s="30" t="n">
        <v>-38.6813429</v>
      </c>
      <c r="R1133" s="14" t="inlineStr">
        <is>
          <t>RUA DOUTOR ANTONIO CALMON, S/N - CENTRO. FÓRUM ELEITORAL DE ITAPARICA. CEP.: 44.460-000. ITAPARICA-BAHIA</t>
        </is>
      </c>
      <c r="S1133" s="26">
        <f>IF(A1133=A1132,0,1)</f>
        <v>1</v>
      </c>
      <c r="T1133" s="26">
        <f>IF(COUNTIF($B$4:B1133,B1133)=1,1,0)</f>
        <v>1</v>
      </c>
    </row>
    <row r="1134">
      <c r="A1134" s="14" t="inlineStr">
        <is>
          <t>ITAPARICA</t>
        </is>
      </c>
      <c r="B1134" s="26" t="n">
        <v>141</v>
      </c>
      <c r="C1134" s="26" t="n">
        <v>1023</v>
      </c>
      <c r="D1134" s="14" t="inlineStr">
        <is>
          <t>COLÉGIO ESTADUAL DE TEMPO INTEGRAL ERNESTO CARNEIRO RIBEIRO</t>
        </is>
      </c>
      <c r="E1134" s="14" t="inlineStr">
        <is>
          <t>ALTO DAS POMBAS</t>
        </is>
      </c>
      <c r="F1134" s="14" t="inlineStr">
        <is>
          <t>RUA C - QUATRO, N. 90 - LOTEAMENTO PONTA VILLE - ZONA URBANA</t>
        </is>
      </c>
      <c r="G1134" s="27" t="inlineStr">
        <is>
          <t>44460-000</t>
        </is>
      </c>
      <c r="H1134" s="15" t="n">
        <v>10</v>
      </c>
      <c r="I1134" s="28" t="inlineStr">
        <is>
          <t>SIM</t>
        </is>
      </c>
      <c r="J1134" s="29" t="n">
        <v>84.5</v>
      </c>
      <c r="K1134" s="14" t="str">
        <f>IF(J1134="","7. Acima de 2 km",IF(J1134&lt;=50,"1. Até 50 m",IF(J1134&lt;=100,"2. De 50 a 100 m",IF(J1134&lt;=200,"3. De 100 a 200 m",IF(J1134&lt;=300,"4. De 200 a 300 m",IF(J1134&lt;=500,"5. De 300 a 500 m","6. De 500 m a 2 km"))))))</f>
        <v>2. De 50 a 100 m</v>
      </c>
      <c r="L1134" s="26" t="n">
        <v>0</v>
      </c>
      <c r="M1134" s="26" t="n">
        <v>1</v>
      </c>
      <c r="N1134" s="26" t="n">
        <v>2</v>
      </c>
      <c r="O1134" s="26" t="n">
        <v>2</v>
      </c>
      <c r="P1134" s="30" t="n">
        <v>-12.900369</v>
      </c>
      <c r="Q1134" s="30" t="n">
        <v>-38.6720557</v>
      </c>
      <c r="R1134" s="14" t="inlineStr">
        <is>
          <t>RUA DOUTOR ANTONIO CALMON, S/N - CENTRO. FÓRUM ELEITORAL DE ITAPARICA. CEP.: 44.460-000. ITAPARICA-BAHIA</t>
        </is>
      </c>
      <c r="S1134" s="26">
        <f>IF(A1134=A1133,0,1)</f>
        <v>0</v>
      </c>
      <c r="T1134" s="26">
        <f>IF(COUNTIF($B$4:B1134,B1134)=1,1,0)</f>
        <v>0</v>
      </c>
    </row>
    <row r="1135">
      <c r="A1135" s="14" t="inlineStr">
        <is>
          <t>ITAPARICA</t>
        </is>
      </c>
      <c r="B1135" s="26" t="n">
        <v>141</v>
      </c>
      <c r="C1135" s="26" t="n">
        <v>1058</v>
      </c>
      <c r="D1135" s="14" t="inlineStr">
        <is>
          <t>BIBLIOTECA JURACY MAGALHÃES JÚNIOR</t>
        </is>
      </c>
      <c r="E1135" s="14" t="inlineStr">
        <is>
          <t>CENTRO</t>
        </is>
      </c>
      <c r="F1135" s="14" t="inlineStr">
        <is>
          <t>RUA RUI BARBOSA, S/N. - ZONA URBANA</t>
        </is>
      </c>
      <c r="G1135" s="27" t="inlineStr">
        <is>
          <t>44460-000</t>
        </is>
      </c>
      <c r="H1135" s="15" t="n">
        <v>2</v>
      </c>
      <c r="I1135" s="28" t="inlineStr">
        <is>
          <t>NÃO</t>
        </is>
      </c>
      <c r="J1135" s="29" t="n">
        <v>165.6</v>
      </c>
      <c r="K1135" s="14" t="str">
        <f>IF(J1135="","7. Acima de 2 km",IF(J1135&lt;=50,"1. Até 50 m",IF(J1135&lt;=100,"2. De 50 a 100 m",IF(J1135&lt;=200,"3. De 100 a 200 m",IF(J1135&lt;=300,"4. De 200 a 300 m",IF(J1135&lt;=500,"5. De 300 a 500 m","6. De 500 m a 2 km"))))))</f>
        <v>3. De 100 a 200 m</v>
      </c>
      <c r="L1135" s="26" t="n">
        <v>0</v>
      </c>
      <c r="M1135" s="26" t="n">
        <v>0</v>
      </c>
      <c r="N1135" s="26" t="n">
        <v>1</v>
      </c>
      <c r="O1135" s="26" t="n">
        <v>2</v>
      </c>
      <c r="P1135" s="30" t="n">
        <v>-12.8841912</v>
      </c>
      <c r="Q1135" s="30" t="n">
        <v>-38.6822872</v>
      </c>
      <c r="R1135" s="14" t="inlineStr">
        <is>
          <t>RUA DOUTOR ANTONIO CALMON, S/N - CENTRO. FÓRUM ELEITORAL DE ITAPARICA. CEP.: 44.460-000. ITAPARICA-BAHIA</t>
        </is>
      </c>
      <c r="S1135" s="26">
        <f>IF(A1135=A1134,0,1)</f>
        <v>0</v>
      </c>
      <c r="T1135" s="26">
        <f>IF(COUNTIF($B$4:B1135,B1135)=1,1,0)</f>
        <v>0</v>
      </c>
    </row>
    <row r="1136">
      <c r="A1136" s="14" t="inlineStr">
        <is>
          <t>ITAPARICA</t>
        </is>
      </c>
      <c r="B1136" s="26" t="n">
        <v>141</v>
      </c>
      <c r="C1136" s="26" t="n">
        <v>1074</v>
      </c>
      <c r="D1136" s="14" t="inlineStr">
        <is>
          <t xml:space="preserve">ESCOLA MUNICIPAL ENGENHEIRO CÉZAR RÊGO </t>
        </is>
      </c>
      <c r="E1136" s="14" t="inlineStr">
        <is>
          <t>DISTRITO DE PONTA DE AREIA</t>
        </is>
      </c>
      <c r="F1136" s="14" t="inlineStr">
        <is>
          <t xml:space="preserve">RUA DO RIO, S/N - ZONA RURAL </t>
        </is>
      </c>
      <c r="G1136" s="27" t="inlineStr">
        <is>
          <t>44460-000</t>
        </is>
      </c>
      <c r="H1136" s="15" t="n">
        <v>3</v>
      </c>
      <c r="I1136" s="28" t="inlineStr">
        <is>
          <t>NÃO</t>
        </is>
      </c>
      <c r="J1136" s="29" t="n">
        <v>186.6</v>
      </c>
      <c r="K1136" s="14" t="str">
        <f>IF(J1136="","7. Acima de 2 km",IF(J1136&lt;=50,"1. Até 50 m",IF(J1136&lt;=100,"2. De 50 a 100 m",IF(J1136&lt;=200,"3. De 100 a 200 m",IF(J1136&lt;=300,"4. De 200 a 300 m",IF(J1136&lt;=500,"5. De 300 a 500 m","6. De 500 m a 2 km"))))))</f>
        <v>3. De 100 a 200 m</v>
      </c>
      <c r="L1136" s="26" t="n">
        <v>0</v>
      </c>
      <c r="M1136" s="26" t="n">
        <v>0</v>
      </c>
      <c r="N1136" s="26" t="n">
        <v>1</v>
      </c>
      <c r="O1136" s="26" t="n">
        <v>1</v>
      </c>
      <c r="P1136" s="30" t="n">
        <v>-12.8986668</v>
      </c>
      <c r="Q1136" s="30" t="n">
        <v>-38.6609019</v>
      </c>
      <c r="R1136" s="14" t="inlineStr">
        <is>
          <t>RUA DOUTOR ANTONIO CALMON, S/N - CENTRO. FÓRUM ELEITORAL DE ITAPARICA. CEP.: 44.460-000. ITAPARICA-BAHIA</t>
        </is>
      </c>
      <c r="S1136" s="26">
        <f>IF(A1136=A1135,0,1)</f>
        <v>0</v>
      </c>
      <c r="T1136" s="26">
        <f>IF(COUNTIF($B$4:B1136,B1136)=1,1,0)</f>
        <v>0</v>
      </c>
    </row>
    <row r="1137">
      <c r="A1137" s="14" t="inlineStr">
        <is>
          <t>ITAPARICA</t>
        </is>
      </c>
      <c r="B1137" s="26" t="n">
        <v>141</v>
      </c>
      <c r="C1137" s="26" t="n">
        <v>1082</v>
      </c>
      <c r="D1137" s="14" t="inlineStr">
        <is>
          <t>COLÔNIA DE PESCADORES DE AMOREIRAS (Z-12)</t>
        </is>
      </c>
      <c r="E1137" s="14" t="inlineStr">
        <is>
          <t>DISTRITO DE AMOREIRAS</t>
        </is>
      </c>
      <c r="F1137" s="14" t="inlineStr">
        <is>
          <t>RUA DO DENDEZEIRO, S/Nº - ZONA RURAL</t>
        </is>
      </c>
      <c r="G1137" s="27" t="inlineStr">
        <is>
          <t>44460-000</t>
        </is>
      </c>
      <c r="H1137" s="15" t="n">
        <v>1</v>
      </c>
      <c r="I1137" s="28" t="inlineStr">
        <is>
          <t>NÃO</t>
        </is>
      </c>
      <c r="J1137" s="29" t="n">
        <v>139.1</v>
      </c>
      <c r="K1137" s="14" t="str">
        <f>IF(J1137="","7. Acima de 2 km",IF(J1137&lt;=50,"1. Até 50 m",IF(J1137&lt;=100,"2. De 50 a 100 m",IF(J1137&lt;=200,"3. De 100 a 200 m",IF(J1137&lt;=300,"4. De 200 a 300 m",IF(J1137&lt;=500,"5. De 300 a 500 m","6. De 500 m a 2 km"))))))</f>
        <v>3. De 100 a 200 m</v>
      </c>
      <c r="L1137" s="26" t="n">
        <v>0</v>
      </c>
      <c r="M1137" s="26" t="n">
        <v>0</v>
      </c>
      <c r="N1137" s="26" t="n">
        <v>1</v>
      </c>
      <c r="O1137" s="26" t="n">
        <v>1</v>
      </c>
      <c r="P1137" s="30" t="n">
        <v>-12.9013535</v>
      </c>
      <c r="Q1137" s="30" t="n">
        <v>-38.6509937</v>
      </c>
      <c r="R1137" s="14" t="inlineStr">
        <is>
          <t>RUA DOUTOR ANTONIO CALMON, S/N - CENTRO. FÓRUM ELEITORAL DE ITAPARICA. CEP.: 44.460-000. ITAPARICA-BAHIA</t>
        </is>
      </c>
      <c r="S1137" s="26">
        <f>IF(A1137=A1136,0,1)</f>
        <v>0</v>
      </c>
      <c r="T1137" s="26">
        <f>IF(COUNTIF($B$4:B1137,B1137)=1,1,0)</f>
        <v>0</v>
      </c>
    </row>
    <row r="1138">
      <c r="A1138" s="14" t="inlineStr">
        <is>
          <t>ITAPARICA</t>
        </is>
      </c>
      <c r="B1138" s="26" t="n">
        <v>141</v>
      </c>
      <c r="C1138" s="26" t="n">
        <v>1090</v>
      </c>
      <c r="D1138" s="14" t="inlineStr">
        <is>
          <t>ESCOLA MUNICIPAL DR. JOSÉ FERNANDO MONTINEGRO FIGUEIREDO</t>
        </is>
      </c>
      <c r="E1138" s="14" t="inlineStr">
        <is>
          <t>DISTRITO DE AMOREIRAS</t>
        </is>
      </c>
      <c r="F1138" s="14" t="inlineStr">
        <is>
          <t xml:space="preserve">ESTRADA DA RODAGEM, S/N - LOT PARQUE DAS FONTES - ZONA RURAL </t>
        </is>
      </c>
      <c r="G1138" s="27" t="inlineStr">
        <is>
          <t>44460-000</t>
        </is>
      </c>
      <c r="H1138" s="15" t="n">
        <v>2</v>
      </c>
      <c r="I1138" s="28" t="inlineStr">
        <is>
          <t>NÃO</t>
        </is>
      </c>
      <c r="J1138" s="29" t="n">
        <v>525.5</v>
      </c>
      <c r="K1138" s="14" t="str">
        <f>IF(J1138="","7. Acima de 2 km",IF(J1138&lt;=50,"1. Até 50 m",IF(J1138&lt;=100,"2. De 50 a 100 m",IF(J1138&lt;=200,"3. De 100 a 200 m",IF(J1138&lt;=300,"4. De 200 a 300 m",IF(J1138&lt;=500,"5. De 300 a 500 m","6. De 500 m a 2 km"))))))</f>
        <v>6. De 500 m a 2 km</v>
      </c>
      <c r="L1138" s="26" t="n">
        <v>0</v>
      </c>
      <c r="M1138" s="26" t="n">
        <v>0</v>
      </c>
      <c r="N1138" s="26" t="n">
        <v>0</v>
      </c>
      <c r="O1138" s="26" t="n">
        <v>0</v>
      </c>
      <c r="P1138" s="30" t="n">
        <v>-12.9032265</v>
      </c>
      <c r="Q1138" s="30" t="n">
        <v>-38.6478966</v>
      </c>
      <c r="R1138" s="14" t="inlineStr">
        <is>
          <t>RUA DOUTOR ANTONIO CALMON, S/N - CENTRO. FÓRUM ELEITORAL DE ITAPARICA. CEP.: 44.460-000. ITAPARICA-BAHIA</t>
        </is>
      </c>
      <c r="S1138" s="26">
        <f>IF(A1138=A1137,0,1)</f>
        <v>0</v>
      </c>
      <c r="T1138" s="26">
        <f>IF(COUNTIF($B$4:B1138,B1138)=1,1,0)</f>
        <v>0</v>
      </c>
    </row>
    <row r="1139">
      <c r="A1139" s="14" t="inlineStr">
        <is>
          <t>ITAPARICA</t>
        </is>
      </c>
      <c r="B1139" s="26" t="n">
        <v>141</v>
      </c>
      <c r="C1139" s="26" t="n">
        <v>1112</v>
      </c>
      <c r="D1139" s="14" t="inlineStr">
        <is>
          <t>ESCOLA MUNICIPAL ANTONIETA MARIA DA CONCEIÇÃO DE OLIVEIRA</t>
        </is>
      </c>
      <c r="E1139" s="14" t="inlineStr">
        <is>
          <t>DISTRITO DE MANGUINHOS</t>
        </is>
      </c>
      <c r="F1139" s="14" t="inlineStr">
        <is>
          <t>RUA JOÃO MARTINS NONATO, S/N - ZONA RURAL</t>
        </is>
      </c>
      <c r="G1139" s="27" t="inlineStr">
        <is>
          <t>44460-000</t>
        </is>
      </c>
      <c r="H1139" s="15" t="n">
        <v>2</v>
      </c>
      <c r="I1139" s="28" t="inlineStr">
        <is>
          <t>NÃO</t>
        </is>
      </c>
      <c r="J1139" s="29" t="n"/>
      <c r="K1139" s="14" t="str">
        <f>IF(J1139="","7. Acima de 2 km",IF(J1139&lt;=50,"1. Até 50 m",IF(J1139&lt;=100,"2. De 50 a 100 m",IF(J1139&lt;=200,"3. De 100 a 200 m",IF(J1139&lt;=300,"4. De 200 a 300 m",IF(J1139&lt;=500,"5. De 300 a 500 m","6. De 500 m a 2 km"))))))</f>
        <v>7. Acima de 2 km</v>
      </c>
      <c r="L1139" s="26" t="n">
        <v>0</v>
      </c>
      <c r="M1139" s="26" t="n">
        <v>0</v>
      </c>
      <c r="N1139" s="26" t="n">
        <v>0</v>
      </c>
      <c r="O1139" s="26" t="n">
        <v>0</v>
      </c>
      <c r="P1139" s="30" t="n">
        <v>-12.9055076</v>
      </c>
      <c r="Q1139" s="30" t="n">
        <v>-38.6353107</v>
      </c>
      <c r="R1139" s="14" t="inlineStr">
        <is>
          <t>RUA DOUTOR ANTONIO CALMON, S/N - CENTRO. FÓRUM ELEITORAL DE ITAPARICA. CEP.: 44.460-000. ITAPARICA-BAHIA</t>
        </is>
      </c>
      <c r="S1139" s="26">
        <f>IF(A1139=A1138,0,1)</f>
        <v>0</v>
      </c>
      <c r="T1139" s="26">
        <f>IF(COUNTIF($B$4:B1139,B1139)=1,1,0)</f>
        <v>0</v>
      </c>
    </row>
    <row r="1140">
      <c r="A1140" s="14" t="inlineStr">
        <is>
          <t>ITAPARICA</t>
        </is>
      </c>
      <c r="B1140" s="26" t="n">
        <v>141</v>
      </c>
      <c r="C1140" s="26" t="n">
        <v>1120</v>
      </c>
      <c r="D1140" s="14" t="inlineStr">
        <is>
          <t>ESCOLA MUNICIPAL PORTO DOS SANTOS</t>
        </is>
      </c>
      <c r="E1140" s="14" t="inlineStr">
        <is>
          <t>DISTRITO DE PORTO DOS SANTOS</t>
        </is>
      </c>
      <c r="F1140" s="14" t="inlineStr">
        <is>
          <t>PRAÇA NOSSA SENHORA DO AMPARO, S/N - ZONA RURAL</t>
        </is>
      </c>
      <c r="G1140" s="27" t="inlineStr">
        <is>
          <t>44460-000</t>
        </is>
      </c>
      <c r="H1140" s="15" t="n">
        <v>4</v>
      </c>
      <c r="I1140" s="28" t="inlineStr">
        <is>
          <t>NÃO</t>
        </is>
      </c>
      <c r="J1140" s="29" t="n">
        <v>1490.8</v>
      </c>
      <c r="K1140" s="14" t="str">
        <f>IF(J1140="","7. Acima de 2 km",IF(J1140&lt;=50,"1. Até 50 m",IF(J1140&lt;=100,"2. De 50 a 100 m",IF(J1140&lt;=200,"3. De 100 a 200 m",IF(J1140&lt;=300,"4. De 200 a 300 m",IF(J1140&lt;=500,"5. De 300 a 500 m","6. De 500 m a 2 km"))))))</f>
        <v>6. De 500 m a 2 km</v>
      </c>
      <c r="L1140" s="26" t="n">
        <v>0</v>
      </c>
      <c r="M1140" s="26" t="n">
        <v>0</v>
      </c>
      <c r="N1140" s="26" t="n">
        <v>0</v>
      </c>
      <c r="O1140" s="26" t="n">
        <v>0</v>
      </c>
      <c r="P1140" s="30" t="n">
        <v>-12.9164097</v>
      </c>
      <c r="Q1140" s="30" t="n">
        <v>-38.6289104</v>
      </c>
      <c r="R1140" s="14" t="inlineStr">
        <is>
          <t>RUA DOUTOR ANTONIO CALMON, S/N - CENTRO. FÓRUM ELEITORAL DE ITAPARICA. CEP.: 44.460-000. ITAPARICA-BAHIA</t>
        </is>
      </c>
      <c r="S1140" s="26">
        <f>IF(A1140=A1139,0,1)</f>
        <v>0</v>
      </c>
      <c r="T1140" s="26">
        <f>IF(COUNTIF($B$4:B1140,B1140)=1,1,0)</f>
        <v>0</v>
      </c>
    </row>
    <row r="1141">
      <c r="A1141" s="14" t="inlineStr">
        <is>
          <t>ITAPARICA</t>
        </is>
      </c>
      <c r="B1141" s="26" t="n">
        <v>141</v>
      </c>
      <c r="C1141" s="26" t="n">
        <v>1139</v>
      </c>
      <c r="D1141" s="14" t="inlineStr">
        <is>
          <t>ESCOLA ESTADUAL ENGENHEIRO MÁRIO LISBOA SAMPAIO</t>
        </is>
      </c>
      <c r="E1141" s="14" t="inlineStr">
        <is>
          <t>DISTRITO DA MISERICÓRDIA</t>
        </is>
      </c>
      <c r="F1141" s="14" t="inlineStr">
        <is>
          <t>RUA GETÚLIO VARGAS, S/N. - ZONA RURAL</t>
        </is>
      </c>
      <c r="G1141" s="27" t="inlineStr">
        <is>
          <t>44460-000</t>
        </is>
      </c>
      <c r="H1141" s="15" t="n">
        <v>4</v>
      </c>
      <c r="I1141" s="28" t="inlineStr">
        <is>
          <t>NÃO</t>
        </is>
      </c>
      <c r="J1141" s="29" t="n">
        <v>1656.9</v>
      </c>
      <c r="K1141" s="14" t="str">
        <f>IF(J1141="","7. Acima de 2 km",IF(J1141&lt;=50,"1. Até 50 m",IF(J1141&lt;=100,"2. De 50 a 100 m",IF(J1141&lt;=200,"3. De 100 a 200 m",IF(J1141&lt;=300,"4. De 200 a 300 m",IF(J1141&lt;=500,"5. De 300 a 500 m","6. De 500 m a 2 km"))))))</f>
        <v>6. De 500 m a 2 km</v>
      </c>
      <c r="L1141" s="26" t="n">
        <v>0</v>
      </c>
      <c r="M1141" s="26" t="n">
        <v>0</v>
      </c>
      <c r="N1141" s="26" t="n">
        <v>0</v>
      </c>
      <c r="O1141" s="26" t="n">
        <v>0</v>
      </c>
      <c r="P1141" s="30" t="n">
        <v>-12.9299214</v>
      </c>
      <c r="Q1141" s="30" t="n">
        <v>-38.665195</v>
      </c>
      <c r="R1141" s="14" t="inlineStr">
        <is>
          <t>RUA DOUTOR ANTONIO CALMON, S/N - CENTRO. FÓRUM ELEITORAL DE ITAPARICA. CEP.: 44.460-000. ITAPARICA-BAHIA</t>
        </is>
      </c>
      <c r="S1141" s="26">
        <f>IF(A1141=A1140,0,1)</f>
        <v>0</v>
      </c>
      <c r="T1141" s="26">
        <f>IF(COUNTIF($B$4:B1141,B1141)=1,1,0)</f>
        <v>0</v>
      </c>
    </row>
    <row r="1142">
      <c r="A1142" s="14" t="inlineStr">
        <is>
          <t>ITAPARICA</t>
        </is>
      </c>
      <c r="B1142" s="26" t="n">
        <v>141</v>
      </c>
      <c r="C1142" s="26" t="n">
        <v>1155</v>
      </c>
      <c r="D1142" s="14" t="inlineStr">
        <is>
          <t>ESCOLA MUNICIPAL MARIA FELIPA</t>
        </is>
      </c>
      <c r="E1142" s="14" t="inlineStr">
        <is>
          <t>BOM DESPACHO</t>
        </is>
      </c>
      <c r="F1142" s="14" t="inlineStr">
        <is>
          <t>CONJUNTO HABITACIONAL BOM DESPACHO, S/N - ZONA URBANA</t>
        </is>
      </c>
      <c r="G1142" s="27" t="inlineStr">
        <is>
          <t>44460-000</t>
        </is>
      </c>
      <c r="H1142" s="15" t="n">
        <v>7</v>
      </c>
      <c r="I1142" s="28" t="inlineStr">
        <is>
          <t>NÃO</t>
        </is>
      </c>
      <c r="J1142" s="29" t="n">
        <v>401.1</v>
      </c>
      <c r="K1142" s="14" t="str">
        <f>IF(J1142="","7. Acima de 2 km",IF(J1142&lt;=50,"1. Até 50 m",IF(J1142&lt;=100,"2. De 50 a 100 m",IF(J1142&lt;=200,"3. De 100 a 200 m",IF(J1142&lt;=300,"4. De 200 a 300 m",IF(J1142&lt;=500,"5. De 300 a 500 m","6. De 500 m a 2 km"))))))</f>
        <v>5. De 300 a 500 m</v>
      </c>
      <c r="L1142" s="26" t="n">
        <v>0</v>
      </c>
      <c r="M1142" s="26" t="n">
        <v>0</v>
      </c>
      <c r="N1142" s="26" t="n">
        <v>0</v>
      </c>
      <c r="O1142" s="26" t="n">
        <v>0</v>
      </c>
      <c r="P1142" s="30" t="n">
        <v>-12.9292529</v>
      </c>
      <c r="Q1142" s="30" t="n">
        <v>-38.6255791</v>
      </c>
      <c r="R1142" s="14" t="inlineStr">
        <is>
          <t>RUA DOUTOR ANTONIO CALMON, S/N - CENTRO. FÓRUM ELEITORAL DE ITAPARICA. CEP.: 44.460-000. ITAPARICA-BAHIA</t>
        </is>
      </c>
      <c r="S1142" s="26">
        <f>IF(A1142=A1141,0,1)</f>
        <v>0</v>
      </c>
      <c r="T1142" s="26">
        <f>IF(COUNTIF($B$4:B1142,B1142)=1,1,0)</f>
        <v>0</v>
      </c>
    </row>
    <row r="1143">
      <c r="A1143" s="14" t="inlineStr">
        <is>
          <t>ITAPARICA</t>
        </is>
      </c>
      <c r="B1143" s="26" t="n">
        <v>141</v>
      </c>
      <c r="C1143" s="26" t="n">
        <v>1163</v>
      </c>
      <c r="D1143" s="14" t="inlineStr">
        <is>
          <t>ESCOLA MUNICIPAL DESEMBARGADOR ANTÔNIO OLIVEIRA MARTINS</t>
        </is>
      </c>
      <c r="E1143" s="14" t="inlineStr">
        <is>
          <t>DISTRITO DE AMOREIRAS</t>
        </is>
      </c>
      <c r="F1143" s="14" t="inlineStr">
        <is>
          <t>ESTRADA DA RODAGEM, S/N - LOT PARQUE DAS FONTES - ZONA RURAL</t>
        </is>
      </c>
      <c r="G1143" s="27" t="inlineStr">
        <is>
          <t>44460-000</t>
        </is>
      </c>
      <c r="H1143" s="15" t="n">
        <v>2</v>
      </c>
      <c r="I1143" s="28" t="inlineStr">
        <is>
          <t>NÃO</t>
        </is>
      </c>
      <c r="J1143" s="29" t="n">
        <v>551.3</v>
      </c>
      <c r="K1143" s="14" t="str">
        <f>IF(J1143="","7. Acima de 2 km",IF(J1143&lt;=50,"1. Até 50 m",IF(J1143&lt;=100,"2. De 50 a 100 m",IF(J1143&lt;=200,"3. De 100 a 200 m",IF(J1143&lt;=300,"4. De 200 a 300 m",IF(J1143&lt;=500,"5. De 300 a 500 m","6. De 500 m a 2 km"))))))</f>
        <v>6. De 500 m a 2 km</v>
      </c>
      <c r="L1143" s="26" t="n">
        <v>0</v>
      </c>
      <c r="M1143" s="26" t="n">
        <v>0</v>
      </c>
      <c r="N1143" s="26" t="n">
        <v>0</v>
      </c>
      <c r="O1143" s="26" t="n">
        <v>0</v>
      </c>
      <c r="P1143" s="30" t="n">
        <v>-12.9035238</v>
      </c>
      <c r="Q1143" s="30" t="n">
        <v>-38.6478383</v>
      </c>
      <c r="R1143" s="14" t="inlineStr">
        <is>
          <t>RUA DOUTOR ANTONIO CALMON, S/N - CENTRO. FÓRUM ELEITORAL DE ITAPARICA. CEP.: 44.460-000. ITAPARICA-BAHIA</t>
        </is>
      </c>
      <c r="S1143" s="26">
        <f>IF(A1143=A1142,0,1)</f>
        <v>0</v>
      </c>
      <c r="T1143" s="26">
        <f>IF(COUNTIF($B$4:B1143,B1143)=1,1,0)</f>
        <v>0</v>
      </c>
    </row>
    <row r="1144">
      <c r="A1144" s="14" t="inlineStr">
        <is>
          <t>ITAPARICA</t>
        </is>
      </c>
      <c r="B1144" s="26" t="n">
        <v>141</v>
      </c>
      <c r="C1144" s="26" t="n">
        <v>1171</v>
      </c>
      <c r="D1144" s="14" t="inlineStr">
        <is>
          <t>ESCOLA MUNICIPAL DE MANGUINHOS</t>
        </is>
      </c>
      <c r="E1144" s="14" t="inlineStr">
        <is>
          <t>DISTRITO DE MANGUINHOS</t>
        </is>
      </c>
      <c r="F1144" s="14" t="inlineStr">
        <is>
          <t>RUA DA IGREJA, S/N - ZONA RURAL</t>
        </is>
      </c>
      <c r="G1144" s="27" t="inlineStr">
        <is>
          <t>44460-000</t>
        </is>
      </c>
      <c r="H1144" s="15" t="n">
        <v>1</v>
      </c>
      <c r="I1144" s="28" t="inlineStr">
        <is>
          <t>NÃO</t>
        </is>
      </c>
      <c r="J1144" s="29" t="n"/>
      <c r="K1144" s="14" t="str">
        <f>IF(J1144="","7. Acima de 2 km",IF(J1144&lt;=50,"1. Até 50 m",IF(J1144&lt;=100,"2. De 50 a 100 m",IF(J1144&lt;=200,"3. De 100 a 200 m",IF(J1144&lt;=300,"4. De 200 a 300 m",IF(J1144&lt;=500,"5. De 300 a 500 m","6. De 500 m a 2 km"))))))</f>
        <v>7. Acima de 2 km</v>
      </c>
      <c r="L1144" s="26" t="n">
        <v>0</v>
      </c>
      <c r="M1144" s="26" t="n">
        <v>0</v>
      </c>
      <c r="N1144" s="26" t="n">
        <v>0</v>
      </c>
      <c r="O1144" s="26" t="n">
        <v>0</v>
      </c>
      <c r="P1144" s="30" t="n">
        <v>-12.9056466</v>
      </c>
      <c r="Q1144" s="30" t="n">
        <v>-38.6347156</v>
      </c>
      <c r="R1144" s="14" t="inlineStr">
        <is>
          <t>RUA DOUTOR ANTONIO CALMON, S/N - CENTRO. FÓRUM ELEITORAL DE ITAPARICA. CEP.: 44.460-000. ITAPARICA-BAHIA</t>
        </is>
      </c>
      <c r="S1144" s="26">
        <f>IF(A1144=A1143,0,1)</f>
        <v>0</v>
      </c>
      <c r="T1144" s="26">
        <f>IF(COUNTIF($B$4:B1144,B1144)=1,1,0)</f>
        <v>0</v>
      </c>
    </row>
    <row r="1145">
      <c r="A1145" s="14" t="inlineStr">
        <is>
          <t>ITAPARICA</t>
        </is>
      </c>
      <c r="B1145" s="26" t="n">
        <v>141</v>
      </c>
      <c r="C1145" s="26" t="n">
        <v>1198</v>
      </c>
      <c r="D1145" s="14" t="inlineStr">
        <is>
          <t>ESCOLA MUNICIPAL MARIA AMÉLIA SANTOS</t>
        </is>
      </c>
      <c r="E1145" s="14" t="inlineStr">
        <is>
          <t>LARGO DO SENHOR DO BONFIM</t>
        </is>
      </c>
      <c r="F1145" s="14" t="inlineStr">
        <is>
          <t>RUA DA RODAGEM, S/N. - ZONA RURAL</t>
        </is>
      </c>
      <c r="G1145" s="27" t="inlineStr">
        <is>
          <t>44460-000</t>
        </is>
      </c>
      <c r="H1145" s="15" t="n">
        <v>4</v>
      </c>
      <c r="I1145" s="28" t="inlineStr">
        <is>
          <t>NÃO</t>
        </is>
      </c>
      <c r="J1145" s="29" t="n">
        <v>221.8</v>
      </c>
      <c r="K1145" s="14" t="str">
        <f>IF(J1145="","7. Acima de 2 km",IF(J1145&lt;=50,"1. Até 50 m",IF(J1145&lt;=100,"2. De 50 a 100 m",IF(J1145&lt;=200,"3. De 100 a 200 m",IF(J1145&lt;=300,"4. De 200 a 300 m",IF(J1145&lt;=500,"5. De 300 a 500 m","6. De 500 m a 2 km"))))))</f>
        <v>4. De 200 a 300 m</v>
      </c>
      <c r="L1145" s="26" t="n">
        <v>0</v>
      </c>
      <c r="M1145" s="26" t="n">
        <v>0</v>
      </c>
      <c r="N1145" s="26" t="n">
        <v>0</v>
      </c>
      <c r="O1145" s="26" t="n">
        <v>2</v>
      </c>
      <c r="P1145" s="30" t="n">
        <v>-12.894264</v>
      </c>
      <c r="Q1145" s="30" t="n">
        <v>-38.6748967</v>
      </c>
      <c r="R1145" s="14" t="inlineStr">
        <is>
          <t>RUA DOUTOR ANTONIO CALMON, S/N - CENTRO. FÓRUM ELEITORAL DE ITAPARICA. CEP.: 44.460-000. ITAPARICA-BAHIA</t>
        </is>
      </c>
      <c r="S1145" s="26">
        <f>IF(A1145=A1144,0,1)</f>
        <v>0</v>
      </c>
      <c r="T1145" s="26">
        <f>IF(COUNTIF($B$4:B1145,B1145)=1,1,0)</f>
        <v>0</v>
      </c>
    </row>
    <row r="1146">
      <c r="A1146" s="14" t="inlineStr">
        <is>
          <t>ITAPARICA</t>
        </is>
      </c>
      <c r="B1146" s="26" t="n">
        <v>141</v>
      </c>
      <c r="C1146" s="26" t="n">
        <v>1201</v>
      </c>
      <c r="D1146" s="14" t="inlineStr">
        <is>
          <t>ESCOLA MUNICIPAL PROFESSOR EDILSON SOUTO FREIRE</t>
        </is>
      </c>
      <c r="E1146" s="14" t="inlineStr">
        <is>
          <t>ALTO DE SANTO ANTÔNIO</t>
        </is>
      </c>
      <c r="F1146" s="14" t="inlineStr">
        <is>
          <t>LOTEAMENTO NOVA ITAPARICA, S/N. - ZONA URBANA</t>
        </is>
      </c>
      <c r="G1146" s="27" t="inlineStr">
        <is>
          <t>44460-000</t>
        </is>
      </c>
      <c r="H1146" s="15" t="n">
        <v>2</v>
      </c>
      <c r="I1146" s="28" t="inlineStr">
        <is>
          <t>NÃO</t>
        </is>
      </c>
      <c r="J1146" s="29" t="n">
        <v>326.3</v>
      </c>
      <c r="K1146" s="14" t="str">
        <f>IF(J1146="","7. Acima de 2 km",IF(J1146&lt;=50,"1. Até 50 m",IF(J1146&lt;=100,"2. De 50 a 100 m",IF(J1146&lt;=200,"3. De 100 a 200 m",IF(J1146&lt;=300,"4. De 200 a 300 m",IF(J1146&lt;=500,"5. De 300 a 500 m","6. De 500 m a 2 km"))))))</f>
        <v>5. De 300 a 500 m</v>
      </c>
      <c r="L1146" s="26" t="n">
        <v>0</v>
      </c>
      <c r="M1146" s="26" t="n">
        <v>0</v>
      </c>
      <c r="N1146" s="26" t="n">
        <v>0</v>
      </c>
      <c r="O1146" s="26" t="n">
        <v>0</v>
      </c>
      <c r="P1146" s="30" t="n">
        <v>-12.8889432</v>
      </c>
      <c r="Q1146" s="30" t="n">
        <v>-38.6768311</v>
      </c>
      <c r="R1146" s="14" t="inlineStr">
        <is>
          <t>RUA DOUTOR ANTONIO CALMON, S/N - CENTRO. FÓRUM ELEITORAL DE ITAPARICA. CEP.: 44.460-000. ITAPARICA-BAHIA</t>
        </is>
      </c>
      <c r="S1146" s="26">
        <f>IF(A1146=A1145,0,1)</f>
        <v>0</v>
      </c>
      <c r="T1146" s="26">
        <f>IF(COUNTIF($B$4:B1146,B1146)=1,1,0)</f>
        <v>0</v>
      </c>
    </row>
    <row r="1147">
      <c r="A1147" s="14" t="inlineStr">
        <is>
          <t>ITAPARICA</t>
        </is>
      </c>
      <c r="B1147" s="26" t="n">
        <v>141</v>
      </c>
      <c r="C1147" s="26" t="n">
        <v>1210</v>
      </c>
      <c r="D1147" s="14" t="inlineStr">
        <is>
          <t>ESCOLA MUNICIPAL ANTÔNIO CARLOS MAGALHÃES</t>
        </is>
      </c>
      <c r="E1147" s="14" t="inlineStr">
        <is>
          <t>ALTO DAS POMBAS</t>
        </is>
      </c>
      <c r="F1147" s="14" t="inlineStr">
        <is>
          <t>AVENIDA ANTÔNIO CARLOS MAGALHÃES , S/N. - ZONA URBANA</t>
        </is>
      </c>
      <c r="G1147" s="27" t="inlineStr">
        <is>
          <t>44460-000</t>
        </is>
      </c>
      <c r="H1147" s="15" t="n">
        <v>6</v>
      </c>
      <c r="I1147" s="28" t="inlineStr">
        <is>
          <t>NÃO</t>
        </is>
      </c>
      <c r="J1147" s="29" t="n">
        <v>507.8</v>
      </c>
      <c r="K1147" s="14" t="str">
        <f>IF(J1147="","7. Acima de 2 km",IF(J1147&lt;=50,"1. Até 50 m",IF(J1147&lt;=100,"2. De 50 a 100 m",IF(J1147&lt;=200,"3. De 100 a 200 m",IF(J1147&lt;=300,"4. De 200 a 300 m",IF(J1147&lt;=500,"5. De 300 a 500 m","6. De 500 m a 2 km"))))))</f>
        <v>6. De 500 m a 2 km</v>
      </c>
      <c r="L1147" s="26" t="n">
        <v>0</v>
      </c>
      <c r="M1147" s="26" t="n">
        <v>0</v>
      </c>
      <c r="N1147" s="26" t="n">
        <v>0</v>
      </c>
      <c r="O1147" s="26" t="n">
        <v>0</v>
      </c>
      <c r="P1147" s="30" t="n">
        <v>-12.8953809</v>
      </c>
      <c r="Q1147" s="30" t="n">
        <v>-38.6790797</v>
      </c>
      <c r="R1147" s="14" t="inlineStr">
        <is>
          <t>RUA DOUTOR ANTONIO CALMON, S/N - CENTRO. FÓRUM ELEITORAL DE ITAPARICA. CEP.: 44.460-000. ITAPARICA-BAHIA</t>
        </is>
      </c>
      <c r="S1147" s="26">
        <f>IF(A1147=A1146,0,1)</f>
        <v>0</v>
      </c>
      <c r="T1147" s="26">
        <f>IF(COUNTIF($B$4:B1147,B1147)=1,1,0)</f>
        <v>0</v>
      </c>
    </row>
    <row r="1148">
      <c r="A1148" s="14" t="inlineStr">
        <is>
          <t>ITAPARICA</t>
        </is>
      </c>
      <c r="B1148" s="26" t="n">
        <v>141</v>
      </c>
      <c r="C1148" s="26" t="n">
        <v>1228</v>
      </c>
      <c r="D1148" s="14" t="inlineStr">
        <is>
          <t>ESCOLA MUNICIPAL DOUTOR JOSÉ VIANA SAMPAIO</t>
        </is>
      </c>
      <c r="E1148" s="14" t="inlineStr">
        <is>
          <t>BARRO BRANCO</t>
        </is>
      </c>
      <c r="F1148" s="14" t="inlineStr">
        <is>
          <t>ESTRADA DA RODAGEM, S/N. - ZONA RURAL</t>
        </is>
      </c>
      <c r="G1148" s="27" t="inlineStr">
        <is>
          <t>44460-000</t>
        </is>
      </c>
      <c r="H1148" s="15" t="n">
        <v>3</v>
      </c>
      <c r="I1148" s="28" t="inlineStr">
        <is>
          <t>NÃO</t>
        </is>
      </c>
      <c r="J1148" s="29" t="n">
        <v>858.5</v>
      </c>
      <c r="K1148" s="14" t="str">
        <f>IF(J1148="","7. Acima de 2 km",IF(J1148&lt;=50,"1. Até 50 m",IF(J1148&lt;=100,"2. De 50 a 100 m",IF(J1148&lt;=200,"3. De 100 a 200 m",IF(J1148&lt;=300,"4. De 200 a 300 m",IF(J1148&lt;=500,"5. De 300 a 500 m","6. De 500 m a 2 km"))))))</f>
        <v>6. De 500 m a 2 km</v>
      </c>
      <c r="L1148" s="26" t="n">
        <v>0</v>
      </c>
      <c r="M1148" s="26" t="n">
        <v>0</v>
      </c>
      <c r="N1148" s="26" t="n">
        <v>0</v>
      </c>
      <c r="O1148" s="26" t="n">
        <v>0</v>
      </c>
      <c r="P1148" s="30" t="n">
        <v>-12.9062383</v>
      </c>
      <c r="Q1148" s="30" t="n">
        <v>-38.6678617</v>
      </c>
      <c r="R1148" s="14" t="inlineStr">
        <is>
          <t>RUA DOUTOR ANTONIO CALMON, S/N - CENTRO. FÓRUM ELEITORAL DE ITAPARICA. CEP.: 44.460-000. ITAPARICA-BAHIA</t>
        </is>
      </c>
      <c r="S1148" s="26">
        <f>IF(A1148=A1147,0,1)</f>
        <v>0</v>
      </c>
      <c r="T1148" s="26">
        <f>IF(COUNTIF($B$4:B1148,B1148)=1,1,0)</f>
        <v>0</v>
      </c>
    </row>
    <row r="1149">
      <c r="A1149" s="14" t="inlineStr">
        <is>
          <t>ITAPARICA</t>
        </is>
      </c>
      <c r="B1149" s="26" t="n">
        <v>141</v>
      </c>
      <c r="C1149" s="26" t="n">
        <v>1236</v>
      </c>
      <c r="D1149" s="14" t="inlineStr">
        <is>
          <t>ESCOLA MUNICIPAL JUTAHY MAGALHÃES</t>
        </is>
      </c>
      <c r="E1149" s="14" t="inlineStr">
        <is>
          <t>DISTRITO DE AMOREIRAS</t>
        </is>
      </c>
      <c r="F1149" s="14" t="inlineStr">
        <is>
          <t>RUA DA MANGUEIRA, S/N - ZONA RURAL</t>
        </is>
      </c>
      <c r="G1149" s="27" t="inlineStr">
        <is>
          <t>44460-000</t>
        </is>
      </c>
      <c r="H1149" s="15" t="n">
        <v>3</v>
      </c>
      <c r="I1149" s="28" t="inlineStr">
        <is>
          <t>NÃO</t>
        </is>
      </c>
      <c r="J1149" s="29" t="n">
        <v>115.3</v>
      </c>
      <c r="K1149" s="14" t="str">
        <f>IF(J1149="","7. Acima de 2 km",IF(J1149&lt;=50,"1. Até 50 m",IF(J1149&lt;=100,"2. De 50 a 100 m",IF(J1149&lt;=200,"3. De 100 a 200 m",IF(J1149&lt;=300,"4. De 200 a 300 m",IF(J1149&lt;=500,"5. De 300 a 500 m","6. De 500 m a 2 km"))))))</f>
        <v>3. De 100 a 200 m</v>
      </c>
      <c r="L1149" s="26" t="n">
        <v>0</v>
      </c>
      <c r="M1149" s="26" t="n">
        <v>0</v>
      </c>
      <c r="N1149" s="26" t="n">
        <v>1</v>
      </c>
      <c r="O1149" s="26" t="n">
        <v>1</v>
      </c>
      <c r="P1149" s="30" t="n">
        <v>-12.9011107</v>
      </c>
      <c r="Q1149" s="30" t="n">
        <v>-38.6510298</v>
      </c>
      <c r="R1149" s="14" t="inlineStr">
        <is>
          <t>RUA DOUTOR ANTONIO CALMON, S/N - CENTRO. FÓRUM ELEITORAL DE ITAPARICA. CEP.: 44.460-000. ITAPARICA-BAHIA</t>
        </is>
      </c>
      <c r="S1149" s="26">
        <f>IF(A1149=A1148,0,1)</f>
        <v>0</v>
      </c>
      <c r="T1149" s="26">
        <f>IF(COUNTIF($B$4:B1149,B1149)=1,1,0)</f>
        <v>0</v>
      </c>
    </row>
    <row r="1150">
      <c r="A1150" s="14" t="inlineStr">
        <is>
          <t>ITAPARICA</t>
        </is>
      </c>
      <c r="B1150" s="26" t="n">
        <v>141</v>
      </c>
      <c r="C1150" s="26" t="n">
        <v>1244</v>
      </c>
      <c r="D1150" s="14" t="inlineStr">
        <is>
          <t>ESCOLA MUNICIPAL SÉRVULO THIAGO DE SANTANA</t>
        </is>
      </c>
      <c r="E1150" s="14" t="inlineStr">
        <is>
          <t>DISTRITO DA MISERICÓRDIA</t>
        </is>
      </c>
      <c r="F1150" s="14" t="inlineStr">
        <is>
          <t>RUA SÃO ROQUE, S/N. - ZONA RURAL</t>
        </is>
      </c>
      <c r="G1150" s="27" t="inlineStr">
        <is>
          <t>44460-000</t>
        </is>
      </c>
      <c r="H1150" s="15" t="n">
        <v>2</v>
      </c>
      <c r="I1150" s="28" t="inlineStr">
        <is>
          <t>NÃO</t>
        </is>
      </c>
      <c r="J1150" s="29" t="n">
        <v>1501.3</v>
      </c>
      <c r="K1150" s="14" t="str">
        <f>IF(J1150="","7. Acima de 2 km",IF(J1150&lt;=50,"1. Até 50 m",IF(J1150&lt;=100,"2. De 50 a 100 m",IF(J1150&lt;=200,"3. De 100 a 200 m",IF(J1150&lt;=300,"4. De 200 a 300 m",IF(J1150&lt;=500,"5. De 300 a 500 m","6. De 500 m a 2 km"))))))</f>
        <v>6. De 500 m a 2 km</v>
      </c>
      <c r="L1150" s="26" t="n">
        <v>0</v>
      </c>
      <c r="M1150" s="26" t="n">
        <v>0</v>
      </c>
      <c r="N1150" s="26" t="n">
        <v>0</v>
      </c>
      <c r="O1150" s="26" t="n">
        <v>0</v>
      </c>
      <c r="P1150" s="30" t="n">
        <v>-12.9285667</v>
      </c>
      <c r="Q1150" s="30" t="n">
        <v>-38.664825</v>
      </c>
      <c r="R1150" s="14" t="inlineStr">
        <is>
          <t>RUA DOUTOR ANTONIO CALMON, S/N - CENTRO. FÓRUM ELEITORAL DE ITAPARICA. CEP.: 44.460-000. ITAPARICA-BAHIA</t>
        </is>
      </c>
      <c r="S1150" s="26">
        <f>IF(A1150=A1149,0,1)</f>
        <v>0</v>
      </c>
      <c r="T1150" s="26">
        <f>IF(COUNTIF($B$4:B1150,B1150)=1,1,0)</f>
        <v>0</v>
      </c>
    </row>
    <row r="1151">
      <c r="A1151" s="14" t="inlineStr">
        <is>
          <t>ITAPARICA</t>
        </is>
      </c>
      <c r="B1151" s="26" t="n">
        <v>141</v>
      </c>
      <c r="C1151" s="26" t="n">
        <v>1260</v>
      </c>
      <c r="D1151" s="14" t="inlineStr">
        <is>
          <t>UNIDADE DE SAÚDE DA FAMÍLIA PEDRO ANTÔNIO MASCARENHAS</t>
        </is>
      </c>
      <c r="E1151" s="14" t="inlineStr">
        <is>
          <t>DISTRITO DE MANGUINHOS</t>
        </is>
      </c>
      <c r="F1151" s="14" t="inlineStr">
        <is>
          <t>AVENIDA BEIRA MAR, S/N - ZONA RURAL</t>
        </is>
      </c>
      <c r="G1151" s="27" t="inlineStr">
        <is>
          <t>44460-000</t>
        </is>
      </c>
      <c r="H1151" s="15" t="n">
        <v>1</v>
      </c>
      <c r="I1151" s="28" t="inlineStr">
        <is>
          <t>NÃO</t>
        </is>
      </c>
      <c r="J1151" s="29" t="n"/>
      <c r="K1151" s="14" t="str">
        <f>IF(J1151="","7. Acima de 2 km",IF(J1151&lt;=50,"1. Até 50 m",IF(J1151&lt;=100,"2. De 50 a 100 m",IF(J1151&lt;=200,"3. De 100 a 200 m",IF(J1151&lt;=300,"4. De 200 a 300 m",IF(J1151&lt;=500,"5. De 300 a 500 m","6. De 500 m a 2 km"))))))</f>
        <v>7. Acima de 2 km</v>
      </c>
      <c r="L1151" s="26" t="n">
        <v>0</v>
      </c>
      <c r="M1151" s="26" t="n">
        <v>0</v>
      </c>
      <c r="N1151" s="26" t="n">
        <v>0</v>
      </c>
      <c r="O1151" s="26" t="n">
        <v>0</v>
      </c>
      <c r="P1151" s="30" t="n">
        <v>-12.9059711</v>
      </c>
      <c r="Q1151" s="30" t="n">
        <v>-38.6370703</v>
      </c>
      <c r="R1151" s="14" t="inlineStr">
        <is>
          <t>RUA DOUTOR ANTONIO CALMON, S/N - CENTRO. FÓRUM ELEITORAL DE ITAPARICA. CEP.: 44.460-000. ITAPARICA-BAHIA</t>
        </is>
      </c>
      <c r="S1151" s="26">
        <f>IF(A1151=A1150,0,1)</f>
        <v>0</v>
      </c>
      <c r="T1151" s="26">
        <f>IF(COUNTIF($B$4:B1151,B1151)=1,1,0)</f>
        <v>0</v>
      </c>
    </row>
    <row r="1152">
      <c r="A1152" s="14" t="inlineStr">
        <is>
          <t>ITIRUÇU</t>
        </is>
      </c>
      <c r="B1152" s="26" t="n">
        <v>37</v>
      </c>
      <c r="C1152" s="26" t="n">
        <v>1074</v>
      </c>
      <c r="D1152" s="14" t="inlineStr">
        <is>
          <t>ESCOLA RITA PIMENTEL RIBEIRO</t>
        </is>
      </c>
      <c r="E1152" s="14" t="inlineStr">
        <is>
          <t>CENTRO</t>
        </is>
      </c>
      <c r="F1152" s="14" t="inlineStr">
        <is>
          <t>RUA JURACY MAGALHÃES, S/N - ZONA URBANA</t>
        </is>
      </c>
      <c r="G1152" s="27" t="inlineStr">
        <is>
          <t>45350-000</t>
        </is>
      </c>
      <c r="H1152" s="15" t="n">
        <v>4</v>
      </c>
      <c r="I1152" s="28" t="inlineStr">
        <is>
          <t>NÃO</t>
        </is>
      </c>
      <c r="J1152" s="29" t="n">
        <v>140.4</v>
      </c>
      <c r="K1152" s="14" t="str">
        <f>IF(J1152="","7. Acima de 2 km",IF(J1152&lt;=50,"1. Até 50 m",IF(J1152&lt;=100,"2. De 50 a 100 m",IF(J1152&lt;=200,"3. De 100 a 200 m",IF(J1152&lt;=300,"4. De 200 a 300 m",IF(J1152&lt;=500,"5. De 300 a 500 m","6. De 500 m a 2 km"))))))</f>
        <v>3. De 100 a 200 m</v>
      </c>
      <c r="L1152" s="26" t="n">
        <v>0</v>
      </c>
      <c r="M1152" s="26" t="n">
        <v>0</v>
      </c>
      <c r="N1152" s="26" t="n">
        <v>4</v>
      </c>
      <c r="O1152" s="26" t="n">
        <v>8</v>
      </c>
      <c r="P1152" s="30" t="n">
        <v>-13.5326457</v>
      </c>
      <c r="Q1152" s="30" t="n">
        <v>-40.150231</v>
      </c>
      <c r="R1152" s="14" t="inlineStr">
        <is>
          <t>RUA BARÃO DO RIO BRANCO, 91, GALERIA TUPI, LOJA 08, BAIRRO CENTRO, MARACÁS - BA</t>
        </is>
      </c>
      <c r="S1152" s="26">
        <f>IF(A1152=A1151,0,1)</f>
        <v>1</v>
      </c>
      <c r="T1152" s="26">
        <f>IF(COUNTIF($B$4:B1152,B1152)=1,1,0)</f>
        <v>1</v>
      </c>
    </row>
    <row r="1153">
      <c r="A1153" s="14" t="inlineStr">
        <is>
          <t>ITIRUÇU</t>
        </is>
      </c>
      <c r="B1153" s="26" t="n">
        <v>37</v>
      </c>
      <c r="C1153" s="26" t="n">
        <v>1082</v>
      </c>
      <c r="D1153" s="14" t="inlineStr">
        <is>
          <t>ESCOLA MUNICIPAL PROFESSOR CID ALVES</t>
        </is>
      </c>
      <c r="E1153" s="14" t="inlineStr">
        <is>
          <t>JOSE ALVES TEIXEIRA</t>
        </is>
      </c>
      <c r="F1153" s="14" t="inlineStr">
        <is>
          <t>RUA LUDOVICO CATUNDA, S/N - ZONA URBANA</t>
        </is>
      </c>
      <c r="G1153" s="27" t="inlineStr">
        <is>
          <t>45350-000</t>
        </is>
      </c>
      <c r="H1153" s="15" t="n">
        <v>6</v>
      </c>
      <c r="I1153" s="28" t="inlineStr">
        <is>
          <t>NÃO</t>
        </is>
      </c>
      <c r="J1153" s="29" t="n">
        <v>244.8</v>
      </c>
      <c r="K1153" s="14" t="str">
        <f>IF(J1153="","7. Acima de 2 km",IF(J1153&lt;=50,"1. Até 50 m",IF(J1153&lt;=100,"2. De 50 a 100 m",IF(J1153&lt;=200,"3. De 100 a 200 m",IF(J1153&lt;=300,"4. De 200 a 300 m",IF(J1153&lt;=500,"5. De 300 a 500 m","6. De 500 m a 2 km"))))))</f>
        <v>4. De 200 a 300 m</v>
      </c>
      <c r="L1153" s="26" t="n">
        <v>0</v>
      </c>
      <c r="M1153" s="26" t="n">
        <v>0</v>
      </c>
      <c r="N1153" s="26" t="n">
        <v>0</v>
      </c>
      <c r="O1153" s="26" t="n">
        <v>3</v>
      </c>
      <c r="P1153" s="30" t="n">
        <v>-13.5338611</v>
      </c>
      <c r="Q1153" s="30" t="n">
        <v>-40.1549422</v>
      </c>
      <c r="R1153" s="14" t="inlineStr">
        <is>
          <t>RUA BARÃO DO RIO BRANCO, 91, GALERIA TUPI, LOJA 08, BAIRRO CENTRO, MARACÁS - BA</t>
        </is>
      </c>
      <c r="S1153" s="26">
        <f>IF(A1153=A1152,0,1)</f>
        <v>0</v>
      </c>
      <c r="T1153" s="26">
        <f>IF(COUNTIF($B$4:B1153,B1153)=1,1,0)</f>
        <v>0</v>
      </c>
    </row>
    <row r="1154">
      <c r="A1154" s="14" t="inlineStr">
        <is>
          <t>ITIRUÇU</t>
        </is>
      </c>
      <c r="B1154" s="26" t="n">
        <v>37</v>
      </c>
      <c r="C1154" s="26" t="n">
        <v>1090</v>
      </c>
      <c r="D1154" s="14" t="inlineStr">
        <is>
          <t>CRECHE MUNICIPAL EDÉZIA NOVAES DA SILVA</t>
        </is>
      </c>
      <c r="E1154" s="14" t="inlineStr">
        <is>
          <t>CENTRO</t>
        </is>
      </c>
      <c r="F1154" s="14" t="inlineStr">
        <is>
          <t>AVENIDA JOÃO DURVAL CARNEIRO - ZONA URBANA</t>
        </is>
      </c>
      <c r="G1154" s="27" t="inlineStr">
        <is>
          <t>45350-000</t>
        </is>
      </c>
      <c r="H1154" s="15" t="n">
        <v>4</v>
      </c>
      <c r="I1154" s="28" t="inlineStr">
        <is>
          <t>NÃO</t>
        </is>
      </c>
      <c r="J1154" s="29" t="n">
        <v>367.8</v>
      </c>
      <c r="K1154" s="14" t="str">
        <f>IF(J1154="","7. Acima de 2 km",IF(J1154&lt;=50,"1. Até 50 m",IF(J1154&lt;=100,"2. De 50 a 100 m",IF(J1154&lt;=200,"3. De 100 a 200 m",IF(J1154&lt;=300,"4. De 200 a 300 m",IF(J1154&lt;=500,"5. De 300 a 500 m","6. De 500 m a 2 km"))))))</f>
        <v>5. De 300 a 500 m</v>
      </c>
      <c r="L1154" s="26" t="n">
        <v>0</v>
      </c>
      <c r="M1154" s="26" t="n">
        <v>0</v>
      </c>
      <c r="N1154" s="26" t="n">
        <v>0</v>
      </c>
      <c r="O1154" s="26" t="n">
        <v>0</v>
      </c>
      <c r="P1154" s="30" t="n">
        <v>-13.537384</v>
      </c>
      <c r="Q1154" s="30" t="n">
        <v>-40.1489326</v>
      </c>
      <c r="R1154" s="14" t="inlineStr">
        <is>
          <t>RUA BARÃO DO RIO BRANCO, 91, GALERIA TUPI, LOJA 08, BAIRRO CENTRO, MARACÁS - BA</t>
        </is>
      </c>
      <c r="S1154" s="26">
        <f>IF(A1154=A1153,0,1)</f>
        <v>0</v>
      </c>
      <c r="T1154" s="26">
        <f>IF(COUNTIF($B$4:B1154,B1154)=1,1,0)</f>
        <v>0</v>
      </c>
    </row>
    <row r="1155">
      <c r="A1155" s="14" t="inlineStr">
        <is>
          <t>ITIRUÇU</t>
        </is>
      </c>
      <c r="B1155" s="26" t="n">
        <v>37</v>
      </c>
      <c r="C1155" s="26" t="n">
        <v>1120</v>
      </c>
      <c r="D1155" s="14" t="inlineStr">
        <is>
          <t>PRÉDIO ESCOLAR MARIA ISABEL PIMENTA</t>
        </is>
      </c>
      <c r="E1155" s="14" t="inlineStr">
        <is>
          <t>JOSE ALVES TEIXEIRA</t>
        </is>
      </c>
      <c r="F1155" s="14" t="inlineStr">
        <is>
          <t>RUA LUDOVICO CATUNDA, S/N - ZONA URBANA</t>
        </is>
      </c>
      <c r="G1155" s="27" t="inlineStr">
        <is>
          <t>45350-000</t>
        </is>
      </c>
      <c r="H1155" s="15" t="n">
        <v>5</v>
      </c>
      <c r="I1155" s="28" t="inlineStr">
        <is>
          <t>NÃO</t>
        </is>
      </c>
      <c r="J1155" s="29" t="n">
        <v>203.3</v>
      </c>
      <c r="K1155" s="14" t="str">
        <f>IF(J1155="","7. Acima de 2 km",IF(J1155&lt;=50,"1. Até 50 m",IF(J1155&lt;=100,"2. De 50 a 100 m",IF(J1155&lt;=200,"3. De 100 a 200 m",IF(J1155&lt;=300,"4. De 200 a 300 m",IF(J1155&lt;=500,"5. De 300 a 500 m","6. De 500 m a 2 km"))))))</f>
        <v>4. De 200 a 300 m</v>
      </c>
      <c r="L1155" s="26" t="n">
        <v>0</v>
      </c>
      <c r="M1155" s="26" t="n">
        <v>0</v>
      </c>
      <c r="N1155" s="26" t="n">
        <v>0</v>
      </c>
      <c r="O1155" s="26" t="n">
        <v>5</v>
      </c>
      <c r="P1155" s="30" t="n">
        <v>-13.5352198</v>
      </c>
      <c r="Q1155" s="30" t="n">
        <v>-40.1528597</v>
      </c>
      <c r="R1155" s="14" t="inlineStr">
        <is>
          <t>RUA BARÃO DO RIO BRANCO, 91, GALERIA TUPI, LOJA 08, BAIRRO CENTRO, MARACÁS - BA</t>
        </is>
      </c>
      <c r="S1155" s="26">
        <f>IF(A1155=A1154,0,1)</f>
        <v>0</v>
      </c>
      <c r="T1155" s="26">
        <f>IF(COUNTIF($B$4:B1155,B1155)=1,1,0)</f>
        <v>0</v>
      </c>
    </row>
    <row r="1156">
      <c r="A1156" s="14" t="inlineStr">
        <is>
          <t>ITIRUÇU</t>
        </is>
      </c>
      <c r="B1156" s="26" t="n">
        <v>37</v>
      </c>
      <c r="C1156" s="26" t="n">
        <v>1180</v>
      </c>
      <c r="D1156" s="14" t="inlineStr">
        <is>
          <t>PREDIO ESCOLAR JOSE BOMFIM DOS SANTOS</t>
        </is>
      </c>
      <c r="E1156" s="14" t="inlineStr">
        <is>
          <t>POVOADO VARZEA</t>
        </is>
      </c>
      <c r="F1156" s="14" t="inlineStr">
        <is>
          <t>POVOADO DE VARZEA - ZONA RURAL</t>
        </is>
      </c>
      <c r="G1156" s="27" t="inlineStr">
        <is>
          <t>45350-000</t>
        </is>
      </c>
      <c r="H1156" s="15" t="n">
        <v>2</v>
      </c>
      <c r="I1156" s="28" t="inlineStr">
        <is>
          <t>NÃO</t>
        </is>
      </c>
      <c r="J1156" s="29" t="n"/>
      <c r="K1156" s="14" t="str">
        <f>IF(J1156="","7. Acima de 2 km",IF(J1156&lt;=50,"1. Até 50 m",IF(J1156&lt;=100,"2. De 50 a 100 m",IF(J1156&lt;=200,"3. De 100 a 200 m",IF(J1156&lt;=300,"4. De 200 a 300 m",IF(J1156&lt;=500,"5. De 300 a 500 m","6. De 500 m a 2 km"))))))</f>
        <v>7. Acima de 2 km</v>
      </c>
      <c r="L1156" s="26" t="n">
        <v>0</v>
      </c>
      <c r="M1156" s="26" t="n">
        <v>0</v>
      </c>
      <c r="N1156" s="26" t="n">
        <v>0</v>
      </c>
      <c r="O1156" s="26" t="n">
        <v>0</v>
      </c>
      <c r="P1156" s="30" t="n">
        <v>-13.4265502</v>
      </c>
      <c r="Q1156" s="30" t="n">
        <v>-40.1230785</v>
      </c>
      <c r="R1156" s="14" t="inlineStr">
        <is>
          <t>RUA BARÃO DO RIO BRANCO, 91, GALERIA TUPI, LOJA 08, BAIRRO CENTRO, MARACÁS - BA</t>
        </is>
      </c>
      <c r="S1156" s="26">
        <f>IF(A1156=A1155,0,1)</f>
        <v>0</v>
      </c>
      <c r="T1156" s="26">
        <f>IF(COUNTIF($B$4:B1156,B1156)=1,1,0)</f>
        <v>0</v>
      </c>
    </row>
    <row r="1157">
      <c r="A1157" s="14" t="inlineStr">
        <is>
          <t>ITIRUÇU</t>
        </is>
      </c>
      <c r="B1157" s="26" t="n">
        <v>37</v>
      </c>
      <c r="C1157" s="26" t="n">
        <v>1201</v>
      </c>
      <c r="D1157" s="14" t="inlineStr">
        <is>
          <t>PREDIO MUNICIPAL LUIZ DE ALMEIDA</t>
        </is>
      </c>
      <c r="E1157" s="14" t="inlineStr">
        <is>
          <t>POVOADO VILA PIMENTEL</t>
        </is>
      </c>
      <c r="F1157" s="14" t="inlineStr">
        <is>
          <t>VILA PIMENTEL - ZONA RURAL</t>
        </is>
      </c>
      <c r="G1157" s="27" t="inlineStr">
        <is>
          <t>45350-000</t>
        </is>
      </c>
      <c r="H1157" s="15" t="n">
        <v>1</v>
      </c>
      <c r="I1157" s="28" t="inlineStr">
        <is>
          <t>NÃO</t>
        </is>
      </c>
      <c r="J1157" s="29" t="n"/>
      <c r="K1157" s="14" t="str">
        <f>IF(J1157="","7. Acima de 2 km",IF(J1157&lt;=50,"1. Até 50 m",IF(J1157&lt;=100,"2. De 50 a 100 m",IF(J1157&lt;=200,"3. De 100 a 200 m",IF(J1157&lt;=300,"4. De 200 a 300 m",IF(J1157&lt;=500,"5. De 300 a 500 m","6. De 500 m a 2 km"))))))</f>
        <v>7. Acima de 2 km</v>
      </c>
      <c r="L1157" s="26" t="n">
        <v>0</v>
      </c>
      <c r="M1157" s="26" t="n">
        <v>0</v>
      </c>
      <c r="N1157" s="26" t="n">
        <v>0</v>
      </c>
      <c r="O1157" s="26" t="n">
        <v>0</v>
      </c>
      <c r="P1157" s="30" t="n">
        <v>-13.5146529</v>
      </c>
      <c r="Q1157" s="30" t="n">
        <v>-40.1017441</v>
      </c>
      <c r="R1157" s="14" t="inlineStr">
        <is>
          <t>RUA BARÃO DO RIO BRANCO, 91, GALERIA TUPI, LOJA 08, BAIRRO CENTRO, MARACÁS - BA</t>
        </is>
      </c>
      <c r="S1157" s="26">
        <f>IF(A1157=A1156,0,1)</f>
        <v>0</v>
      </c>
      <c r="T1157" s="26">
        <f>IF(COUNTIF($B$4:B1157,B1157)=1,1,0)</f>
        <v>0</v>
      </c>
    </row>
    <row r="1158">
      <c r="A1158" s="14" t="inlineStr">
        <is>
          <t>ITIRUÇU</t>
        </is>
      </c>
      <c r="B1158" s="26" t="n">
        <v>37</v>
      </c>
      <c r="C1158" s="26" t="n">
        <v>1210</v>
      </c>
      <c r="D1158" s="14" t="inlineStr">
        <is>
          <t>ESCOLA GERALDO CERQUEIRA</t>
        </is>
      </c>
      <c r="E1158" s="14" t="inlineStr">
        <is>
          <t>POVOADO VILA CERQUEIRA</t>
        </is>
      </c>
      <c r="F1158" s="14" t="inlineStr">
        <is>
          <t>POVOADO VILA CERQUEIRA - ZONA RURAL</t>
        </is>
      </c>
      <c r="G1158" s="27" t="inlineStr">
        <is>
          <t>45350-000</t>
        </is>
      </c>
      <c r="H1158" s="15" t="n">
        <v>1</v>
      </c>
      <c r="I1158" s="28" t="inlineStr">
        <is>
          <t>NÃO</t>
        </is>
      </c>
      <c r="J1158" s="29" t="n"/>
      <c r="K1158" s="14" t="str">
        <f>IF(J1158="","7. Acima de 2 km",IF(J1158&lt;=50,"1. Até 50 m",IF(J1158&lt;=100,"2. De 50 a 100 m",IF(J1158&lt;=200,"3. De 100 a 200 m",IF(J1158&lt;=300,"4. De 200 a 300 m",IF(J1158&lt;=500,"5. De 300 a 500 m","6. De 500 m a 2 km"))))))</f>
        <v>7. Acima de 2 km</v>
      </c>
      <c r="L1158" s="26" t="n">
        <v>0</v>
      </c>
      <c r="M1158" s="26" t="n">
        <v>0</v>
      </c>
      <c r="N1158" s="26" t="n">
        <v>0</v>
      </c>
      <c r="O1158" s="26" t="n">
        <v>0</v>
      </c>
      <c r="P1158" s="30" t="n">
        <v>-13.4944929</v>
      </c>
      <c r="Q1158" s="30" t="n">
        <v>-40.188669</v>
      </c>
      <c r="R1158" s="14" t="inlineStr">
        <is>
          <t>RUA BARÃO DO RIO BRANCO, 91, GALERIA TUPI, LOJA 08, BAIRRO CENTRO, MARACÁS - BA</t>
        </is>
      </c>
      <c r="S1158" s="26">
        <f>IF(A1158=A1157,0,1)</f>
        <v>0</v>
      </c>
      <c r="T1158" s="26">
        <f>IF(COUNTIF($B$4:B1158,B1158)=1,1,0)</f>
        <v>0</v>
      </c>
    </row>
    <row r="1159">
      <c r="A1159" s="14" t="inlineStr">
        <is>
          <t>ITIRUÇU</t>
        </is>
      </c>
      <c r="B1159" s="26" t="n">
        <v>37</v>
      </c>
      <c r="C1159" s="26" t="n">
        <v>1244</v>
      </c>
      <c r="D1159" s="14" t="inlineStr">
        <is>
          <t>CENTRO EDUCACIONAL ADALÍCIO SILVA NOVAES</t>
        </is>
      </c>
      <c r="E1159" s="14" t="inlineStr">
        <is>
          <t>CENTRO</t>
        </is>
      </c>
      <c r="F1159" s="14" t="inlineStr">
        <is>
          <t>AV. JOÃO DURVAL CARNEIRO, S/N - ZONA URBANA</t>
        </is>
      </c>
      <c r="G1159" s="27" t="inlineStr">
        <is>
          <t>45350-000</t>
        </is>
      </c>
      <c r="H1159" s="15" t="n">
        <v>6</v>
      </c>
      <c r="I1159" s="28" t="inlineStr">
        <is>
          <t>SIM</t>
        </is>
      </c>
      <c r="J1159" s="29" t="n">
        <v>88.3</v>
      </c>
      <c r="K1159" s="14" t="str">
        <f>IF(J1159="","7. Acima de 2 km",IF(J1159&lt;=50,"1. Até 50 m",IF(J1159&lt;=100,"2. De 50 a 100 m",IF(J1159&lt;=200,"3. De 100 a 200 m",IF(J1159&lt;=300,"4. De 200 a 300 m",IF(J1159&lt;=500,"5. De 300 a 500 m","6. De 500 m a 2 km"))))))</f>
        <v>2. De 50 a 100 m</v>
      </c>
      <c r="L1159" s="26" t="n">
        <v>0</v>
      </c>
      <c r="M1159" s="26" t="n">
        <v>1</v>
      </c>
      <c r="N1159" s="26" t="n">
        <v>1</v>
      </c>
      <c r="O1159" s="26" t="n">
        <v>2</v>
      </c>
      <c r="P1159" s="30" t="n">
        <v>-13.5349948</v>
      </c>
      <c r="Q1159" s="30" t="n">
        <v>-40.1497407</v>
      </c>
      <c r="R1159" s="14" t="inlineStr">
        <is>
          <t>RUA BARÃO DO RIO BRANCO, 91, GALERIA TUPI, LOJA 08, BAIRRO CENTRO, MARACÁS - BA</t>
        </is>
      </c>
      <c r="S1159" s="26">
        <f>IF(A1159=A1158,0,1)</f>
        <v>0</v>
      </c>
      <c r="T1159" s="26">
        <f>IF(COUNTIF($B$4:B1159,B1159)=1,1,0)</f>
        <v>0</v>
      </c>
    </row>
    <row r="1160">
      <c r="A1160" s="14" t="inlineStr">
        <is>
          <t>ITIRUÇU</t>
        </is>
      </c>
      <c r="B1160" s="26" t="n">
        <v>37</v>
      </c>
      <c r="C1160" s="26" t="n">
        <v>1260</v>
      </c>
      <c r="D1160" s="14" t="inlineStr">
        <is>
          <t>COLÉGIO ESTADUAL MARIA CÂNDIDA DE CASTILHANO FONTOURA</t>
        </is>
      </c>
      <c r="E1160" s="14" t="inlineStr">
        <is>
          <t>JOSE ALVES TEIXEIRA</t>
        </is>
      </c>
      <c r="F1160" s="14" t="inlineStr">
        <is>
          <t xml:space="preserve">AVENIDA JOAO DURVAL CARNEIRO </t>
        </is>
      </c>
      <c r="G1160" s="27" t="inlineStr">
        <is>
          <t>45350-000</t>
        </is>
      </c>
      <c r="H1160" s="15" t="n">
        <v>4</v>
      </c>
      <c r="I1160" s="28" t="inlineStr">
        <is>
          <t>NÃO</t>
        </is>
      </c>
      <c r="J1160" s="29" t="n">
        <v>183.9</v>
      </c>
      <c r="K1160" s="14" t="str">
        <f>IF(J1160="","7. Acima de 2 km",IF(J1160&lt;=50,"1. Até 50 m",IF(J1160&lt;=100,"2. De 50 a 100 m",IF(J1160&lt;=200,"3. De 100 a 200 m",IF(J1160&lt;=300,"4. De 200 a 300 m",IF(J1160&lt;=500,"5. De 300 a 500 m","6. De 500 m a 2 km"))))))</f>
        <v>3. De 100 a 200 m</v>
      </c>
      <c r="L1160" s="26" t="n">
        <v>0</v>
      </c>
      <c r="M1160" s="26" t="n">
        <v>0</v>
      </c>
      <c r="N1160" s="26" t="n">
        <v>1</v>
      </c>
      <c r="O1160" s="26" t="n">
        <v>1</v>
      </c>
      <c r="P1160" s="30" t="n">
        <v>-13.535793</v>
      </c>
      <c r="Q1160" s="30" t="n">
        <v>-40.1494115</v>
      </c>
      <c r="R1160" s="14" t="inlineStr">
        <is>
          <t>RUA BARÃO DO RIO BRANCO, 91, GALERIA TUPI, LOJA 08, BAIRRO CENTRO, MARACÁS - BA</t>
        </is>
      </c>
      <c r="S1160" s="26">
        <f>IF(A1160=A1159,0,1)</f>
        <v>0</v>
      </c>
      <c r="T1160" s="26">
        <f>IF(COUNTIF($B$4:B1160,B1160)=1,1,0)</f>
        <v>0</v>
      </c>
    </row>
    <row r="1161">
      <c r="A1161" s="14" t="inlineStr">
        <is>
          <t>ITIRUÇU</t>
        </is>
      </c>
      <c r="B1161" s="26" t="n">
        <v>37</v>
      </c>
      <c r="C1161" s="26" t="n">
        <v>1279</v>
      </c>
      <c r="D1161" s="14" t="inlineStr">
        <is>
          <t>ESCOLA MUNICIPAL MARIA RITA DE NOVAES</t>
        </is>
      </c>
      <c r="E1161" s="14" t="inlineStr">
        <is>
          <t>CENTRO</t>
        </is>
      </c>
      <c r="F1161" s="14" t="inlineStr">
        <is>
          <t>RUA JUSCELINO KUBITSCHEK, 252 - ZONA URBANA</t>
        </is>
      </c>
      <c r="G1161" s="27" t="inlineStr">
        <is>
          <t>45350-000</t>
        </is>
      </c>
      <c r="H1161" s="15" t="n">
        <v>2</v>
      </c>
      <c r="I1161" s="28" t="inlineStr">
        <is>
          <t>NÃO</t>
        </is>
      </c>
      <c r="J1161" s="29" t="n">
        <v>133.8</v>
      </c>
      <c r="K1161" s="14" t="str">
        <f>IF(J1161="","7. Acima de 2 km",IF(J1161&lt;=50,"1. Até 50 m",IF(J1161&lt;=100,"2. De 50 a 100 m",IF(J1161&lt;=200,"3. De 100 a 200 m",IF(J1161&lt;=300,"4. De 200 a 300 m",IF(J1161&lt;=500,"5. De 300 a 500 m","6. De 500 m a 2 km"))))))</f>
        <v>3. De 100 a 200 m</v>
      </c>
      <c r="L1161" s="26" t="n">
        <v>0</v>
      </c>
      <c r="M1161" s="26" t="n">
        <v>0</v>
      </c>
      <c r="N1161" s="26" t="n">
        <v>5</v>
      </c>
      <c r="O1161" s="26" t="n">
        <v>8</v>
      </c>
      <c r="P1161" s="30" t="n">
        <v>-13.5327375</v>
      </c>
      <c r="Q1161" s="30" t="n">
        <v>-40.1503928</v>
      </c>
      <c r="R1161" s="14" t="inlineStr">
        <is>
          <t>RUA BARÃO DO RIO BRANCO, 91, GALERIA TUPI, LOJA 08, BAIRRO CENTRO, MARACÁS - BA</t>
        </is>
      </c>
      <c r="S1161" s="26">
        <f>IF(A1161=A1160,0,1)</f>
        <v>0</v>
      </c>
      <c r="T1161" s="26">
        <f>IF(COUNTIF($B$4:B1161,B1161)=1,1,0)</f>
        <v>0</v>
      </c>
    </row>
    <row r="1162">
      <c r="A1162" s="14" t="inlineStr">
        <is>
          <t>ITIRUÇU</t>
        </is>
      </c>
      <c r="B1162" s="26" t="n">
        <v>37</v>
      </c>
      <c r="C1162" s="26" t="n">
        <v>1317</v>
      </c>
      <c r="D1162" s="14" t="inlineStr">
        <is>
          <t>CRECHE MENANDRO MINAHIM</t>
        </is>
      </c>
      <c r="E1162" s="14" t="inlineStr">
        <is>
          <t>POVOADO UPABUCU</t>
        </is>
      </c>
      <c r="F1162" s="14" t="inlineStr">
        <is>
          <t>POVOADO DE UPABUÇU</t>
        </is>
      </c>
      <c r="G1162" s="27" t="inlineStr">
        <is>
          <t>45350-000</t>
        </is>
      </c>
      <c r="H1162" s="15" t="n">
        <v>6</v>
      </c>
      <c r="I1162" s="28" t="inlineStr">
        <is>
          <t>NÃO</t>
        </is>
      </c>
      <c r="J1162" s="29" t="n"/>
      <c r="K1162" s="14" t="str">
        <f>IF(J1162="","7. Acima de 2 km",IF(J1162&lt;=50,"1. Até 50 m",IF(J1162&lt;=100,"2. De 50 a 100 m",IF(J1162&lt;=200,"3. De 100 a 200 m",IF(J1162&lt;=300,"4. De 200 a 300 m",IF(J1162&lt;=500,"5. De 300 a 500 m","6. De 500 m a 2 km"))))))</f>
        <v>7. Acima de 2 km</v>
      </c>
      <c r="L1162" s="26" t="n">
        <v>0</v>
      </c>
      <c r="M1162" s="26" t="n">
        <v>0</v>
      </c>
      <c r="N1162" s="26" t="n">
        <v>0</v>
      </c>
      <c r="O1162" s="26" t="n">
        <v>0</v>
      </c>
      <c r="P1162" s="30" t="n">
        <v>-13.435222</v>
      </c>
      <c r="Q1162" s="30" t="n">
        <v>-40.1822296</v>
      </c>
      <c r="R1162" s="14" t="inlineStr">
        <is>
          <t>RUA BARÃO DO RIO BRANCO, 91, GALERIA TUPI, LOJA 08, BAIRRO CENTRO, MARACÁS - BA</t>
        </is>
      </c>
      <c r="S1162" s="26">
        <f>IF(A1162=A1161,0,1)</f>
        <v>0</v>
      </c>
      <c r="T1162" s="26">
        <f>IF(COUNTIF($B$4:B1162,B1162)=1,1,0)</f>
        <v>0</v>
      </c>
    </row>
    <row r="1163">
      <c r="A1163" s="14" t="inlineStr">
        <is>
          <t>JACOBINA</t>
        </is>
      </c>
      <c r="B1163" s="26" t="n">
        <v>46</v>
      </c>
      <c r="C1163" s="26" t="n">
        <v>1040</v>
      </c>
      <c r="D1163" s="14" t="inlineStr">
        <is>
          <t>C.M.E.I - INÊS LAGES ROCHA</t>
        </is>
      </c>
      <c r="E1163" s="14" t="inlineStr">
        <is>
          <t>CENTRO</t>
        </is>
      </c>
      <c r="F1163" s="14" t="inlineStr">
        <is>
          <t>AV. LOMANTO JÚNIOR, N. 190</t>
        </is>
      </c>
      <c r="G1163" s="27" t="inlineStr">
        <is>
          <t>44700-000</t>
        </is>
      </c>
      <c r="H1163" s="15" t="n">
        <v>4</v>
      </c>
      <c r="I1163" s="28" t="inlineStr">
        <is>
          <t>NÃO</t>
        </is>
      </c>
      <c r="J1163" s="29" t="n">
        <v>154.2</v>
      </c>
      <c r="K1163" s="14" t="str">
        <f>IF(J1163="","7. Acima de 2 km",IF(J1163&lt;=50,"1. Até 50 m",IF(J1163&lt;=100,"2. De 50 a 100 m",IF(J1163&lt;=200,"3. De 100 a 200 m",IF(J1163&lt;=300,"4. De 200 a 300 m",IF(J1163&lt;=500,"5. De 300 a 500 m","6. De 500 m a 2 km"))))))</f>
        <v>3. De 100 a 200 m</v>
      </c>
      <c r="L1163" s="26" t="n">
        <v>0</v>
      </c>
      <c r="M1163" s="26" t="n">
        <v>0</v>
      </c>
      <c r="N1163" s="26" t="n">
        <v>2</v>
      </c>
      <c r="O1163" s="26" t="n">
        <v>8</v>
      </c>
      <c r="P1163" s="30" t="n">
        <v>-11.1847315</v>
      </c>
      <c r="Q1163" s="30" t="n">
        <v>-40.5126712</v>
      </c>
      <c r="R1163" s="14" t="inlineStr">
        <is>
          <t>FORUM ELEITORAL, AVENIDA JOÃO FRAGA BRANDÃO, S/N CENTRO, JACOBINA-BA</t>
        </is>
      </c>
      <c r="S1163" s="26">
        <f>IF(A1163=A1162,0,1)</f>
        <v>1</v>
      </c>
      <c r="T1163" s="26">
        <f>IF(COUNTIF($B$4:B1163,B1163)=1,1,0)</f>
        <v>1</v>
      </c>
    </row>
    <row r="1164">
      <c r="A1164" s="14" t="inlineStr">
        <is>
          <t>JACOBINA</t>
        </is>
      </c>
      <c r="B1164" s="26" t="n">
        <v>46</v>
      </c>
      <c r="C1164" s="26" t="n">
        <v>1058</v>
      </c>
      <c r="D1164" s="14" t="inlineStr">
        <is>
          <t>COLEGIO ESTADUAL DE TEMPO INTEGRAL DEOCLECIANO BARBOSA DE CASTRO</t>
        </is>
      </c>
      <c r="E1164" s="14" t="inlineStr">
        <is>
          <t>ESTAÇÃO</t>
        </is>
      </c>
      <c r="F1164" s="14" t="inlineStr">
        <is>
          <t>RUA OTACILIO SOUZA, N 200 - ZONA URBANA</t>
        </is>
      </c>
      <c r="G1164" s="27" t="inlineStr">
        <is>
          <t>44700-000</t>
        </is>
      </c>
      <c r="H1164" s="15" t="n">
        <v>22</v>
      </c>
      <c r="I1164" s="28" t="inlineStr">
        <is>
          <t>NÃO</t>
        </is>
      </c>
      <c r="J1164" s="29" t="n">
        <v>229.7</v>
      </c>
      <c r="K1164" s="14" t="str">
        <f>IF(J1164="","7. Acima de 2 km",IF(J1164&lt;=50,"1. Até 50 m",IF(J1164&lt;=100,"2. De 50 a 100 m",IF(J1164&lt;=200,"3. De 100 a 200 m",IF(J1164&lt;=300,"4. De 200 a 300 m",IF(J1164&lt;=500,"5. De 300 a 500 m","6. De 500 m a 2 km"))))))</f>
        <v>4. De 200 a 300 m</v>
      </c>
      <c r="L1164" s="26" t="n">
        <v>0</v>
      </c>
      <c r="M1164" s="26" t="n">
        <v>0</v>
      </c>
      <c r="N1164" s="26" t="n">
        <v>0</v>
      </c>
      <c r="O1164" s="26" t="n">
        <v>1</v>
      </c>
      <c r="P1164" s="30" t="n">
        <v>-11.1885932</v>
      </c>
      <c r="Q1164" s="30" t="n">
        <v>-40.5152081</v>
      </c>
      <c r="R1164" s="14" t="inlineStr">
        <is>
          <t>FORUM ELEITORAL, AVENIDA JOÃO FRAGA BRANDÃO, S/N CENTRO, JACOBINA-BA</t>
        </is>
      </c>
      <c r="S1164" s="26">
        <f>IF(A1164=A1163,0,1)</f>
        <v>0</v>
      </c>
      <c r="T1164" s="26">
        <f>IF(COUNTIF($B$4:B1164,B1164)=1,1,0)</f>
        <v>0</v>
      </c>
    </row>
    <row r="1165">
      <c r="A1165" s="14" t="inlineStr">
        <is>
          <t>JACOBINA</t>
        </is>
      </c>
      <c r="B1165" s="26" t="n">
        <v>46</v>
      </c>
      <c r="C1165" s="26" t="n">
        <v>1074</v>
      </c>
      <c r="D1165" s="14" t="inlineStr">
        <is>
          <t>FACULDADE ESTÁCIO - POLO DE JACOBINA</t>
        </is>
      </c>
      <c r="E1165" s="14" t="inlineStr">
        <is>
          <t>LEADER</t>
        </is>
      </c>
      <c r="F1165" s="14" t="inlineStr">
        <is>
          <t>RUA DA AURORA, N. 23  - ZONA URBANA</t>
        </is>
      </c>
      <c r="G1165" s="27" t="inlineStr">
        <is>
          <t>44700-000</t>
        </is>
      </c>
      <c r="H1165" s="15" t="n">
        <v>4</v>
      </c>
      <c r="I1165" s="28" t="inlineStr">
        <is>
          <t>NÃO</t>
        </is>
      </c>
      <c r="J1165" s="29" t="n">
        <v>204.2</v>
      </c>
      <c r="K1165" s="14" t="str">
        <f>IF(J1165="","7. Acima de 2 km",IF(J1165&lt;=50,"1. Até 50 m",IF(J1165&lt;=100,"2. De 50 a 100 m",IF(J1165&lt;=200,"3. De 100 a 200 m",IF(J1165&lt;=300,"4. De 200 a 300 m",IF(J1165&lt;=500,"5. De 300 a 500 m","6. De 500 m a 2 km"))))))</f>
        <v>4. De 200 a 300 m</v>
      </c>
      <c r="L1165" s="26" t="n">
        <v>0</v>
      </c>
      <c r="M1165" s="26" t="n">
        <v>0</v>
      </c>
      <c r="N1165" s="26" t="n">
        <v>0</v>
      </c>
      <c r="O1165" s="26" t="n">
        <v>3</v>
      </c>
      <c r="P1165" s="30" t="n">
        <v>-11.1823133</v>
      </c>
      <c r="Q1165" s="30" t="n">
        <v>-40.5088294</v>
      </c>
      <c r="R1165" s="14" t="inlineStr">
        <is>
          <t>FORUM ELEITORAL, AVENIDA JOÃO FRAGA BRANDÃO, S/N CENTRO, JACOBINA-BA</t>
        </is>
      </c>
      <c r="S1165" s="26">
        <f>IF(A1165=A1164,0,1)</f>
        <v>0</v>
      </c>
      <c r="T1165" s="26">
        <f>IF(COUNTIF($B$4:B1165,B1165)=1,1,0)</f>
        <v>0</v>
      </c>
    </row>
    <row r="1166">
      <c r="A1166" s="14" t="inlineStr">
        <is>
          <t>JACOBINA</t>
        </is>
      </c>
      <c r="B1166" s="26" t="n">
        <v>46</v>
      </c>
      <c r="C1166" s="26" t="n">
        <v>1112</v>
      </c>
      <c r="D1166" s="14" t="inlineStr">
        <is>
          <t>COLÉGIO MUNICIPAL GILBERTO DIAS DE MIRANDA (ANTIGO COMUJA)</t>
        </is>
      </c>
      <c r="E1166" s="14" t="inlineStr">
        <is>
          <t>FÉLIX TOMAZ</t>
        </is>
      </c>
      <c r="F1166" s="14" t="inlineStr">
        <is>
          <t>RUA ANTÔNIO VIEIRA DE MESQUITA, S/N - ZONA URBANA</t>
        </is>
      </c>
      <c r="G1166" s="27" t="inlineStr">
        <is>
          <t>44700-000</t>
        </is>
      </c>
      <c r="H1166" s="15" t="n">
        <v>18</v>
      </c>
      <c r="I1166" s="28" t="inlineStr">
        <is>
          <t>NÃO</t>
        </is>
      </c>
      <c r="J1166" s="29" t="n">
        <v>469.9</v>
      </c>
      <c r="K1166" s="14" t="str">
        <f>IF(J1166="","7. Acima de 2 km",IF(J1166&lt;=50,"1. Até 50 m",IF(J1166&lt;=100,"2. De 50 a 100 m",IF(J1166&lt;=200,"3. De 100 a 200 m",IF(J1166&lt;=300,"4. De 200 a 300 m",IF(J1166&lt;=500,"5. De 300 a 500 m","6. De 500 m a 2 km"))))))</f>
        <v>5. De 300 a 500 m</v>
      </c>
      <c r="L1166" s="26" t="n">
        <v>0</v>
      </c>
      <c r="M1166" s="26" t="n">
        <v>0</v>
      </c>
      <c r="N1166" s="26" t="n">
        <v>0</v>
      </c>
      <c r="O1166" s="26" t="n">
        <v>0</v>
      </c>
      <c r="P1166" s="30" t="n">
        <v>-11.1749223</v>
      </c>
      <c r="Q1166" s="30" t="n">
        <v>-40.5180311</v>
      </c>
      <c r="R1166" s="14" t="inlineStr">
        <is>
          <t>FORUM ELEITORAL, AVENIDA JOÃO FRAGA BRANDÃO, S/N CENTRO, JACOBINA-BA</t>
        </is>
      </c>
      <c r="S1166" s="26">
        <f>IF(A1166=A1165,0,1)</f>
        <v>0</v>
      </c>
      <c r="T1166" s="26">
        <f>IF(COUNTIF($B$4:B1166,B1166)=1,1,0)</f>
        <v>0</v>
      </c>
    </row>
    <row r="1167">
      <c r="A1167" s="14" t="inlineStr">
        <is>
          <t>JACOBINA</t>
        </is>
      </c>
      <c r="B1167" s="26" t="n">
        <v>46</v>
      </c>
      <c r="C1167" s="26" t="n">
        <v>1120</v>
      </c>
      <c r="D1167" s="14" t="inlineStr">
        <is>
          <t>ESCOLA MUNICIPAL ARMANDO XAVIER DE OLIVEIRA</t>
        </is>
      </c>
      <c r="E1167" s="14" t="inlineStr">
        <is>
          <t>LEADER</t>
        </is>
      </c>
      <c r="F1167" s="14" t="inlineStr">
        <is>
          <t>RUA MARGEM RIO DO OURO, S/N - ZONA URBANA</t>
        </is>
      </c>
      <c r="G1167" s="27" t="inlineStr">
        <is>
          <t>44700-000</t>
        </is>
      </c>
      <c r="H1167" s="15" t="n">
        <v>10</v>
      </c>
      <c r="I1167" s="28" t="inlineStr">
        <is>
          <t>NÃO</t>
        </is>
      </c>
      <c r="J1167" s="29" t="n">
        <v>773.3</v>
      </c>
      <c r="K1167" s="14" t="str">
        <f>IF(J1167="","7. Acima de 2 km",IF(J1167&lt;=50,"1. Até 50 m",IF(J1167&lt;=100,"2. De 50 a 100 m",IF(J1167&lt;=200,"3. De 100 a 200 m",IF(J1167&lt;=300,"4. De 200 a 300 m",IF(J1167&lt;=500,"5. De 300 a 500 m","6. De 500 m a 2 km"))))))</f>
        <v>6. De 500 m a 2 km</v>
      </c>
      <c r="L1167" s="26" t="n">
        <v>0</v>
      </c>
      <c r="M1167" s="26" t="n">
        <v>0</v>
      </c>
      <c r="N1167" s="26" t="n">
        <v>0</v>
      </c>
      <c r="O1167" s="26" t="n">
        <v>0</v>
      </c>
      <c r="P1167" s="30" t="n">
        <v>-11.1769227</v>
      </c>
      <c r="Q1167" s="30" t="n">
        <v>-40.5080311</v>
      </c>
      <c r="R1167" s="14" t="inlineStr">
        <is>
          <t>FORUM ELEITORAL, AVENIDA JOÃO FRAGA BRANDÃO, S/N CENTRO, JACOBINA-BA</t>
        </is>
      </c>
      <c r="S1167" s="26">
        <f>IF(A1167=A1166,0,1)</f>
        <v>0</v>
      </c>
      <c r="T1167" s="26">
        <f>IF(COUNTIF($B$4:B1167,B1167)=1,1,0)</f>
        <v>0</v>
      </c>
    </row>
    <row r="1168">
      <c r="A1168" s="14" t="inlineStr">
        <is>
          <t>JACOBINA</t>
        </is>
      </c>
      <c r="B1168" s="26" t="n">
        <v>46</v>
      </c>
      <c r="C1168" s="26" t="n">
        <v>1139</v>
      </c>
      <c r="D1168" s="14" t="inlineStr">
        <is>
          <t>ESCOLA ESTADUAL PADRE ALFREDO HAASLER</t>
        </is>
      </c>
      <c r="E1168" s="14" t="inlineStr">
        <is>
          <t>MISSÃO</t>
        </is>
      </c>
      <c r="F1168" s="14" t="inlineStr">
        <is>
          <t>RUA CEL. HERMENEGILDO, S/N - ZONA URBANA</t>
        </is>
      </c>
      <c r="G1168" s="27" t="inlineStr">
        <is>
          <t>44700-000</t>
        </is>
      </c>
      <c r="H1168" s="15" t="n">
        <v>4</v>
      </c>
      <c r="I1168" s="28" t="inlineStr">
        <is>
          <t>NÃO</t>
        </is>
      </c>
      <c r="J1168" s="29" t="n">
        <v>158.7</v>
      </c>
      <c r="K1168" s="14" t="str">
        <f>IF(J1168="","7. Acima de 2 km",IF(J1168&lt;=50,"1. Até 50 m",IF(J1168&lt;=100,"2. De 50 a 100 m",IF(J1168&lt;=200,"3. De 100 a 200 m",IF(J1168&lt;=300,"4. De 200 a 300 m",IF(J1168&lt;=500,"5. De 300 a 500 m","6. De 500 m a 2 km"))))))</f>
        <v>3. De 100 a 200 m</v>
      </c>
      <c r="L1168" s="26" t="n">
        <v>0</v>
      </c>
      <c r="M1168" s="26" t="n">
        <v>0</v>
      </c>
      <c r="N1168" s="26" t="n">
        <v>1</v>
      </c>
      <c r="O1168" s="26" t="n">
        <v>2</v>
      </c>
      <c r="P1168" s="30" t="n">
        <v>-11.1813857</v>
      </c>
      <c r="Q1168" s="30" t="n">
        <v>-40.5187098</v>
      </c>
      <c r="R1168" s="14" t="inlineStr">
        <is>
          <t>FORUM ELEITORAL, AVENIDA JOÃO FRAGA BRANDÃO, S/N CENTRO, JACOBINA-BA</t>
        </is>
      </c>
      <c r="S1168" s="26">
        <f>IF(A1168=A1167,0,1)</f>
        <v>0</v>
      </c>
      <c r="T1168" s="26">
        <f>IF(COUNTIF($B$4:B1168,B1168)=1,1,0)</f>
        <v>0</v>
      </c>
    </row>
    <row r="1169">
      <c r="A1169" s="14" t="inlineStr">
        <is>
          <t>JACOBINA</t>
        </is>
      </c>
      <c r="B1169" s="26" t="n">
        <v>46</v>
      </c>
      <c r="C1169" s="26" t="n">
        <v>1155</v>
      </c>
      <c r="D1169" s="14" t="inlineStr">
        <is>
          <t>C.M.E.I. -  ADONEL MOREIRA DE FREITAS</t>
        </is>
      </c>
      <c r="E1169" s="14" t="inlineStr">
        <is>
          <t>ESTAÇÃO</t>
        </is>
      </c>
      <c r="F1169" s="14" t="inlineStr">
        <is>
          <t>AV. ELVIRA DIAS ROCHA PIRES,S/N - ZONA URBANA</t>
        </is>
      </c>
      <c r="G1169" s="27" t="inlineStr">
        <is>
          <t>44700-000</t>
        </is>
      </c>
      <c r="H1169" s="15" t="n">
        <v>6</v>
      </c>
      <c r="I1169" s="28" t="inlineStr">
        <is>
          <t>NÃO</t>
        </is>
      </c>
      <c r="J1169" s="29" t="n">
        <v>160.6</v>
      </c>
      <c r="K1169" s="14" t="str">
        <f>IF(J1169="","7. Acima de 2 km",IF(J1169&lt;=50,"1. Até 50 m",IF(J1169&lt;=100,"2. De 50 a 100 m",IF(J1169&lt;=200,"3. De 100 a 200 m",IF(J1169&lt;=300,"4. De 200 a 300 m",IF(J1169&lt;=500,"5. De 300 a 500 m","6. De 500 m a 2 km"))))))</f>
        <v>3. De 100 a 200 m</v>
      </c>
      <c r="L1169" s="26" t="n">
        <v>0</v>
      </c>
      <c r="M1169" s="26" t="n">
        <v>0</v>
      </c>
      <c r="N1169" s="26" t="n">
        <v>2</v>
      </c>
      <c r="O1169" s="26" t="n">
        <v>3</v>
      </c>
      <c r="P1169" s="30" t="n">
        <v>-11.1871379</v>
      </c>
      <c r="Q1169" s="30" t="n">
        <v>-40.5182848</v>
      </c>
      <c r="R1169" s="14" t="inlineStr">
        <is>
          <t>FORUM ELEITORAL, AVENIDA JOÃO FRAGA BRANDÃO, S/N CENTRO, JACOBINA-BA</t>
        </is>
      </c>
      <c r="S1169" s="26">
        <f>IF(A1169=A1168,0,1)</f>
        <v>0</v>
      </c>
      <c r="T1169" s="26">
        <f>IF(COUNTIF($B$4:B1169,B1169)=1,1,0)</f>
        <v>0</v>
      </c>
    </row>
    <row r="1170">
      <c r="A1170" s="14" t="inlineStr">
        <is>
          <t>JACOBINA</t>
        </is>
      </c>
      <c r="B1170" s="26" t="n">
        <v>46</v>
      </c>
      <c r="C1170" s="26" t="n">
        <v>1163</v>
      </c>
      <c r="D1170" s="14" t="inlineStr">
        <is>
          <t>ESCOLAS REUNIDAS MARIA DA GLÓRIA E MARIA PRIMA</t>
        </is>
      </c>
      <c r="E1170" s="14" t="inlineStr">
        <is>
          <t>SERRINHA</t>
        </is>
      </c>
      <c r="F1170" s="14" t="inlineStr">
        <is>
          <t>PRAÇA DA CONCÓRDIA, N 59 - ZONA URBANA</t>
        </is>
      </c>
      <c r="G1170" s="27" t="inlineStr">
        <is>
          <t>44700-000</t>
        </is>
      </c>
      <c r="H1170" s="15" t="n">
        <v>4</v>
      </c>
      <c r="I1170" s="28" t="inlineStr">
        <is>
          <t>NÃO</t>
        </is>
      </c>
      <c r="J1170" s="29" t="n">
        <v>162.1</v>
      </c>
      <c r="K1170" s="14" t="str">
        <f>IF(J1170="","7. Acima de 2 km",IF(J1170&lt;=50,"1. Até 50 m",IF(J1170&lt;=100,"2. De 50 a 100 m",IF(J1170&lt;=200,"3. De 100 a 200 m",IF(J1170&lt;=300,"4. De 200 a 300 m",IF(J1170&lt;=500,"5. De 300 a 500 m","6. De 500 m a 2 km"))))))</f>
        <v>3. De 100 a 200 m</v>
      </c>
      <c r="L1170" s="26" t="n">
        <v>0</v>
      </c>
      <c r="M1170" s="26" t="n">
        <v>0</v>
      </c>
      <c r="N1170" s="26" t="n">
        <v>2</v>
      </c>
      <c r="O1170" s="26" t="n">
        <v>3</v>
      </c>
      <c r="P1170" s="30" t="n">
        <v>-11.1869646</v>
      </c>
      <c r="Q1170" s="30" t="n">
        <v>-40.5106813</v>
      </c>
      <c r="R1170" s="14" t="inlineStr">
        <is>
          <t>FORUM ELEITORAL, AVENIDA JOÃO FRAGA BRANDÃO, S/N CENTRO, JACOBINA-BA</t>
        </is>
      </c>
      <c r="S1170" s="26">
        <f>IF(A1170=A1169,0,1)</f>
        <v>0</v>
      </c>
      <c r="T1170" s="26">
        <f>IF(COUNTIF($B$4:B1170,B1170)=1,1,0)</f>
        <v>0</v>
      </c>
    </row>
    <row r="1171">
      <c r="A1171" s="14" t="inlineStr">
        <is>
          <t>JACOBINA</t>
        </is>
      </c>
      <c r="B1171" s="26" t="n">
        <v>46</v>
      </c>
      <c r="C1171" s="26" t="n">
        <v>1171</v>
      </c>
      <c r="D1171" s="14" t="inlineStr">
        <is>
          <t>UNIVERSIDADE DO ESTADO DA BAHIA - UNEB</t>
        </is>
      </c>
      <c r="E1171" s="14" t="inlineStr">
        <is>
          <t>ESTAÇÃO</t>
        </is>
      </c>
      <c r="F1171" s="14" t="inlineStr">
        <is>
          <t>RUA J.J. SEABRA, S/N - ZONA URBANA</t>
        </is>
      </c>
      <c r="G1171" s="27" t="inlineStr">
        <is>
          <t>44700-000</t>
        </is>
      </c>
      <c r="H1171" s="15" t="n">
        <v>12</v>
      </c>
      <c r="I1171" s="28" t="inlineStr">
        <is>
          <t>NÃO</t>
        </is>
      </c>
      <c r="J1171" s="29" t="n">
        <v>103.4</v>
      </c>
      <c r="K1171" s="14" t="str">
        <f>IF(J1171="","7. Acima de 2 km",IF(J1171&lt;=50,"1. Até 50 m",IF(J1171&lt;=100,"2. De 50 a 100 m",IF(J1171&lt;=200,"3. De 100 a 200 m",IF(J1171&lt;=300,"4. De 200 a 300 m",IF(J1171&lt;=500,"5. De 300 a 500 m","6. De 500 m a 2 km"))))))</f>
        <v>3. De 100 a 200 m</v>
      </c>
      <c r="L1171" s="26" t="n">
        <v>0</v>
      </c>
      <c r="M1171" s="26" t="n">
        <v>0</v>
      </c>
      <c r="N1171" s="26" t="n">
        <v>1</v>
      </c>
      <c r="O1171" s="26" t="n">
        <v>3</v>
      </c>
      <c r="P1171" s="30" t="n">
        <v>-11.1870382</v>
      </c>
      <c r="Q1171" s="30" t="n">
        <v>-40.5173072</v>
      </c>
      <c r="R1171" s="14" t="inlineStr">
        <is>
          <t>FORUM ELEITORAL, AVENIDA JOÃO FRAGA BRANDÃO, S/N CENTRO, JACOBINA-BA</t>
        </is>
      </c>
      <c r="S1171" s="26">
        <f>IF(A1171=A1170,0,1)</f>
        <v>0</v>
      </c>
      <c r="T1171" s="26">
        <f>IF(COUNTIF($B$4:B1171,B1171)=1,1,0)</f>
        <v>0</v>
      </c>
    </row>
    <row r="1172">
      <c r="A1172" s="14" t="inlineStr">
        <is>
          <t>JACOBINA</t>
        </is>
      </c>
      <c r="B1172" s="26" t="n">
        <v>46</v>
      </c>
      <c r="C1172" s="26" t="n">
        <v>1180</v>
      </c>
      <c r="D1172" s="14" t="inlineStr">
        <is>
          <t>ESCOLA MUNICIPAL NUBIA MARIA MANGABEIRA GUERRA</t>
        </is>
      </c>
      <c r="E1172" s="14" t="inlineStr">
        <is>
          <t>JACOBINA II</t>
        </is>
      </c>
      <c r="F1172" s="14" t="inlineStr">
        <is>
          <t>RUA ORLANDO PEREIRA DIAS, S/N</t>
        </is>
      </c>
      <c r="G1172" s="27" t="inlineStr">
        <is>
          <t>44700-000</t>
        </is>
      </c>
      <c r="H1172" s="15" t="n">
        <v>6</v>
      </c>
      <c r="I1172" s="28" t="inlineStr">
        <is>
          <t>SIM</t>
        </is>
      </c>
      <c r="J1172" s="29" t="n">
        <v>66.8</v>
      </c>
      <c r="K1172" s="14" t="str">
        <f>IF(J1172="","7. Acima de 2 km",IF(J1172&lt;=50,"1. Até 50 m",IF(J1172&lt;=100,"2. De 50 a 100 m",IF(J1172&lt;=200,"3. De 100 a 200 m",IF(J1172&lt;=300,"4. De 200 a 300 m",IF(J1172&lt;=500,"5. De 300 a 500 m","6. De 500 m a 2 km"))))))</f>
        <v>2. De 50 a 100 m</v>
      </c>
      <c r="L1172" s="26" t="n">
        <v>0</v>
      </c>
      <c r="M1172" s="26" t="n">
        <v>1</v>
      </c>
      <c r="N1172" s="26" t="n">
        <v>1</v>
      </c>
      <c r="O1172" s="26" t="n">
        <v>1</v>
      </c>
      <c r="P1172" s="30" t="n">
        <v>-11.17706</v>
      </c>
      <c r="Q1172" s="30" t="n">
        <v>-40.541915</v>
      </c>
      <c r="R1172" s="14" t="inlineStr">
        <is>
          <t>FORUM ELEITORAL, AVENIDA JOÃO FRAGA BRANDÃO, S/N CENTRO, JACOBINA-BA</t>
        </is>
      </c>
      <c r="S1172" s="26">
        <f>IF(A1172=A1171,0,1)</f>
        <v>0</v>
      </c>
      <c r="T1172" s="26">
        <f>IF(COUNTIF($B$4:B1172,B1172)=1,1,0)</f>
        <v>0</v>
      </c>
    </row>
    <row r="1173">
      <c r="A1173" s="14" t="inlineStr">
        <is>
          <t>JACOBINA</t>
        </is>
      </c>
      <c r="B1173" s="26" t="n">
        <v>46</v>
      </c>
      <c r="C1173" s="26" t="n">
        <v>1198</v>
      </c>
      <c r="D1173" s="14" t="inlineStr">
        <is>
          <t>ESCOLA MUNICIPAL MARIA JOSÉ TEÓFILO PASSOS</t>
        </is>
      </c>
      <c r="E1173" s="14" t="inlineStr">
        <is>
          <t>POVOADO ITAPICURU</t>
        </is>
      </c>
      <c r="F1173" s="14" t="inlineStr">
        <is>
          <t>POVOADO ITAPICURU - ZONA RURAL</t>
        </is>
      </c>
      <c r="G1173" s="27" t="inlineStr">
        <is>
          <t>44700-000</t>
        </is>
      </c>
      <c r="H1173" s="15" t="n">
        <v>1</v>
      </c>
      <c r="I1173" s="28" t="inlineStr">
        <is>
          <t>NÃO</t>
        </is>
      </c>
      <c r="J1173" s="29" t="n"/>
      <c r="K1173" s="14" t="str">
        <f>IF(J1173="","7. Acima de 2 km",IF(J1173&lt;=50,"1. Até 50 m",IF(J1173&lt;=100,"2. De 50 a 100 m",IF(J1173&lt;=200,"3. De 100 a 200 m",IF(J1173&lt;=300,"4. De 200 a 300 m",IF(J1173&lt;=500,"5. De 300 a 500 m","6. De 500 m a 2 km"))))))</f>
        <v>7. Acima de 2 km</v>
      </c>
      <c r="L1173" s="26" t="n">
        <v>0</v>
      </c>
      <c r="M1173" s="26" t="n">
        <v>0</v>
      </c>
      <c r="N1173" s="26" t="n">
        <v>0</v>
      </c>
      <c r="O1173" s="26" t="n">
        <v>0</v>
      </c>
      <c r="P1173" s="30" t="n">
        <v>-11.256937</v>
      </c>
      <c r="Q1173" s="30" t="n">
        <v>-40.5233751</v>
      </c>
      <c r="R1173" s="14" t="inlineStr">
        <is>
          <t>FORUM ELEITORAL, AVENIDA JOÃO FRAGA BRANDÃO, S/N CENTRO, JACOBINA-BA</t>
        </is>
      </c>
      <c r="S1173" s="26">
        <f>IF(A1173=A1172,0,1)</f>
        <v>0</v>
      </c>
      <c r="T1173" s="26">
        <f>IF(COUNTIF($B$4:B1173,B1173)=1,1,0)</f>
        <v>0</v>
      </c>
    </row>
    <row r="1174">
      <c r="A1174" s="14" t="inlineStr">
        <is>
          <t>JACOBINA</t>
        </is>
      </c>
      <c r="B1174" s="26" t="n">
        <v>46</v>
      </c>
      <c r="C1174" s="26" t="n">
        <v>1210</v>
      </c>
      <c r="D1174" s="14" t="inlineStr">
        <is>
          <t>ESCOLA MUNICIPAL JAIME ALMEIDA CRUZ</t>
        </is>
      </c>
      <c r="E1174" s="14" t="inlineStr">
        <is>
          <t>POVOADO CAFELÂNDIA</t>
        </is>
      </c>
      <c r="F1174" s="14" t="inlineStr">
        <is>
          <t>PRAÇA DO COMÉRCIO, S/N - ZONA RURAL</t>
        </is>
      </c>
      <c r="G1174" s="27" t="inlineStr">
        <is>
          <t>44700-000</t>
        </is>
      </c>
      <c r="H1174" s="15" t="n">
        <v>2</v>
      </c>
      <c r="I1174" s="28" t="inlineStr">
        <is>
          <t>NÃO</t>
        </is>
      </c>
      <c r="J1174" s="29" t="n"/>
      <c r="K1174" s="14" t="str">
        <f>IF(J1174="","7. Acima de 2 km",IF(J1174&lt;=50,"1. Até 50 m",IF(J1174&lt;=100,"2. De 50 a 100 m",IF(J1174&lt;=200,"3. De 100 a 200 m",IF(J1174&lt;=300,"4. De 200 a 300 m",IF(J1174&lt;=500,"5. De 300 a 500 m","6. De 500 m a 2 km"))))))</f>
        <v>7. Acima de 2 km</v>
      </c>
      <c r="L1174" s="26" t="n">
        <v>0</v>
      </c>
      <c r="M1174" s="26" t="n">
        <v>0</v>
      </c>
      <c r="N1174" s="26" t="n">
        <v>0</v>
      </c>
      <c r="O1174" s="26" t="n">
        <v>0</v>
      </c>
      <c r="P1174" s="30" t="n">
        <v>-11.0243467</v>
      </c>
      <c r="Q1174" s="30" t="n">
        <v>-40.53314</v>
      </c>
      <c r="R1174" s="14" t="inlineStr">
        <is>
          <t>FORUM ELEITORAL, AVENIDA JOÃO FRAGA BRANDÃO, S/N CENTRO, JACOBINA-BA</t>
        </is>
      </c>
      <c r="S1174" s="26">
        <f>IF(A1174=A1173,0,1)</f>
        <v>0</v>
      </c>
      <c r="T1174" s="26">
        <f>IF(COUNTIF($B$4:B1174,B1174)=1,1,0)</f>
        <v>0</v>
      </c>
    </row>
    <row r="1175">
      <c r="A1175" s="14" t="inlineStr">
        <is>
          <t>JACOBINA</t>
        </is>
      </c>
      <c r="B1175" s="26" t="n">
        <v>46</v>
      </c>
      <c r="C1175" s="26" t="n">
        <v>1228</v>
      </c>
      <c r="D1175" s="14" t="inlineStr">
        <is>
          <t>ESCOLA MUNICIPAL MAXIMINO ALVES DE MELO</t>
        </is>
      </c>
      <c r="E1175" s="14" t="inlineStr">
        <is>
          <t>POVOADO GENIPAPO De CAFELÂNDIA</t>
        </is>
      </c>
      <c r="F1175" s="14" t="inlineStr">
        <is>
          <t>POVOADO GENIPAPO DE CAFELÂNDIA - ZONA RURAL</t>
        </is>
      </c>
      <c r="G1175" s="27" t="inlineStr">
        <is>
          <t>44700-000</t>
        </is>
      </c>
      <c r="H1175" s="15" t="n">
        <v>1</v>
      </c>
      <c r="I1175" s="28" t="inlineStr">
        <is>
          <t>NÃO</t>
        </is>
      </c>
      <c r="J1175" s="29" t="n"/>
      <c r="K1175" s="14" t="str">
        <f>IF(J1175="","7. Acima de 2 km",IF(J1175&lt;=50,"1. Até 50 m",IF(J1175&lt;=100,"2. De 50 a 100 m",IF(J1175&lt;=200,"3. De 100 a 200 m",IF(J1175&lt;=300,"4. De 200 a 300 m",IF(J1175&lt;=500,"5. De 300 a 500 m","6. De 500 m a 2 km"))))))</f>
        <v>7. Acima de 2 km</v>
      </c>
      <c r="L1175" s="26" t="n">
        <v>0</v>
      </c>
      <c r="M1175" s="26" t="n">
        <v>0</v>
      </c>
      <c r="N1175" s="26" t="n">
        <v>0</v>
      </c>
      <c r="O1175" s="26" t="n">
        <v>0</v>
      </c>
      <c r="P1175" s="30" t="n">
        <v>-11.020965</v>
      </c>
      <c r="Q1175" s="30" t="n">
        <v>-40.588245</v>
      </c>
      <c r="R1175" s="14" t="inlineStr">
        <is>
          <t>FORUM ELEITORAL, AVENIDA JOÃO FRAGA BRANDÃO, S/N CENTRO, JACOBINA-BA</t>
        </is>
      </c>
      <c r="S1175" s="26">
        <f>IF(A1175=A1174,0,1)</f>
        <v>0</v>
      </c>
      <c r="T1175" s="26">
        <f>IF(COUNTIF($B$4:B1175,B1175)=1,1,0)</f>
        <v>0</v>
      </c>
    </row>
    <row r="1176">
      <c r="A1176" s="14" t="inlineStr">
        <is>
          <t>JACOBINA</t>
        </is>
      </c>
      <c r="B1176" s="26" t="n">
        <v>46</v>
      </c>
      <c r="C1176" s="26" t="n">
        <v>1236</v>
      </c>
      <c r="D1176" s="14" t="inlineStr">
        <is>
          <t>ESCOLA MUNICIPAL NEMÉSIO LIMA</t>
        </is>
      </c>
      <c r="E1176" s="14" t="inlineStr">
        <is>
          <t>POVOADO GENIPAPO</t>
        </is>
      </c>
      <c r="F1176" s="14" t="inlineStr">
        <is>
          <t>PRAÇA DO CENTRO - ZONA RURAL</t>
        </is>
      </c>
      <c r="G1176" s="27" t="inlineStr">
        <is>
          <t>44700-000</t>
        </is>
      </c>
      <c r="H1176" s="15" t="n">
        <v>2</v>
      </c>
      <c r="I1176" s="28" t="inlineStr">
        <is>
          <t>NÃO</t>
        </is>
      </c>
      <c r="J1176" s="29" t="n"/>
      <c r="K1176" s="14" t="str">
        <f>IF(J1176="","7. Acima de 2 km",IF(J1176&lt;=50,"1. Até 50 m",IF(J1176&lt;=100,"2. De 50 a 100 m",IF(J1176&lt;=200,"3. De 100 a 200 m",IF(J1176&lt;=300,"4. De 200 a 300 m",IF(J1176&lt;=500,"5. De 300 a 500 m","6. De 500 m a 2 km"))))))</f>
        <v>7. Acima de 2 km</v>
      </c>
      <c r="L1176" s="26" t="n">
        <v>0</v>
      </c>
      <c r="M1176" s="26" t="n">
        <v>0</v>
      </c>
      <c r="N1176" s="26" t="n">
        <v>0</v>
      </c>
      <c r="O1176" s="26" t="n">
        <v>0</v>
      </c>
      <c r="P1176" s="30" t="n">
        <v>-11.2664807</v>
      </c>
      <c r="Q1176" s="30" t="n">
        <v>-40.6004413</v>
      </c>
      <c r="R1176" s="14" t="inlineStr">
        <is>
          <t>FORUM ELEITORAL, AVENIDA JOÃO FRAGA BRANDÃO, S/N CENTRO, JACOBINA-BA</t>
        </is>
      </c>
      <c r="S1176" s="26">
        <f>IF(A1176=A1175,0,1)</f>
        <v>0</v>
      </c>
      <c r="T1176" s="26">
        <f>IF(COUNTIF($B$4:B1176,B1176)=1,1,0)</f>
        <v>0</v>
      </c>
    </row>
    <row r="1177">
      <c r="A1177" s="14" t="inlineStr">
        <is>
          <t>JACOBINA</t>
        </is>
      </c>
      <c r="B1177" s="26" t="n">
        <v>46</v>
      </c>
      <c r="C1177" s="26" t="n">
        <v>1244</v>
      </c>
      <c r="D1177" s="14" t="inlineStr">
        <is>
          <t>ESCOLA MUNICIPAL ALMIR LOPES DE SOUZA</t>
        </is>
      </c>
      <c r="E1177" s="14" t="inlineStr">
        <is>
          <t>POVOADO PAU FERRO</t>
        </is>
      </c>
      <c r="F1177" s="14" t="inlineStr">
        <is>
          <t>POVOADO PAU FERRO, S/N - ZONA RURAL</t>
        </is>
      </c>
      <c r="G1177" s="27" t="inlineStr">
        <is>
          <t>44700-000</t>
        </is>
      </c>
      <c r="H1177" s="15" t="n">
        <v>3</v>
      </c>
      <c r="I1177" s="28" t="inlineStr">
        <is>
          <t>NÃO</t>
        </is>
      </c>
      <c r="J1177" s="29" t="n"/>
      <c r="K1177" s="14" t="str">
        <f>IF(J1177="","7. Acima de 2 km",IF(J1177&lt;=50,"1. Até 50 m",IF(J1177&lt;=100,"2. De 50 a 100 m",IF(J1177&lt;=200,"3. De 100 a 200 m",IF(J1177&lt;=300,"4. De 200 a 300 m",IF(J1177&lt;=500,"5. De 300 a 500 m","6. De 500 m a 2 km"))))))</f>
        <v>7. Acima de 2 km</v>
      </c>
      <c r="L1177" s="26" t="n">
        <v>0</v>
      </c>
      <c r="M1177" s="26" t="n">
        <v>0</v>
      </c>
      <c r="N1177" s="26" t="n">
        <v>0</v>
      </c>
      <c r="O1177" s="26" t="n">
        <v>0</v>
      </c>
      <c r="P1177" s="30" t="n">
        <v>-11.166604</v>
      </c>
      <c r="Q1177" s="30" t="n">
        <v>-40.6274623</v>
      </c>
      <c r="R1177" s="14" t="inlineStr">
        <is>
          <t>FORUM ELEITORAL, AVENIDA JOÃO FRAGA BRANDÃO, S/N CENTRO, JACOBINA-BA</t>
        </is>
      </c>
      <c r="S1177" s="26">
        <f>IF(A1177=A1176,0,1)</f>
        <v>0</v>
      </c>
      <c r="T1177" s="26">
        <f>IF(COUNTIF($B$4:B1177,B1177)=1,1,0)</f>
        <v>0</v>
      </c>
    </row>
    <row r="1178">
      <c r="A1178" s="14" t="inlineStr">
        <is>
          <t>JACOBINA</t>
        </is>
      </c>
      <c r="B1178" s="26" t="n">
        <v>46</v>
      </c>
      <c r="C1178" s="26" t="n">
        <v>1252</v>
      </c>
      <c r="D1178" s="14" t="inlineStr">
        <is>
          <t>COLÉGIO MUNICIPAL DR. MARCOS JACOBINA</t>
        </is>
      </c>
      <c r="E1178" s="14" t="inlineStr">
        <is>
          <t>DISTRITO CAATINGA DO MOURA</t>
        </is>
      </c>
      <c r="F1178" s="14" t="inlineStr">
        <is>
          <t>RUA BELA VISTA, S/N - ZONA RURAL</t>
        </is>
      </c>
      <c r="G1178" s="27" t="inlineStr">
        <is>
          <t>44700-000</t>
        </is>
      </c>
      <c r="H1178" s="15" t="n">
        <v>7</v>
      </c>
      <c r="I1178" s="28" t="inlineStr">
        <is>
          <t>NÃO</t>
        </is>
      </c>
      <c r="J1178" s="29" t="n"/>
      <c r="K1178" s="14" t="str">
        <f>IF(J1178="","7. Acima de 2 km",IF(J1178&lt;=50,"1. Até 50 m",IF(J1178&lt;=100,"2. De 50 a 100 m",IF(J1178&lt;=200,"3. De 100 a 200 m",IF(J1178&lt;=300,"4. De 200 a 300 m",IF(J1178&lt;=500,"5. De 300 a 500 m","6. De 500 m a 2 km"))))))</f>
        <v>7. Acima de 2 km</v>
      </c>
      <c r="L1178" s="26" t="n">
        <v>0</v>
      </c>
      <c r="M1178" s="26" t="n">
        <v>0</v>
      </c>
      <c r="N1178" s="26" t="n">
        <v>0</v>
      </c>
      <c r="O1178" s="26" t="n">
        <v>0</v>
      </c>
      <c r="P1178" s="30" t="n">
        <v>-10.9761483</v>
      </c>
      <c r="Q1178" s="30" t="n">
        <v>-40.7620497</v>
      </c>
      <c r="R1178" s="14" t="inlineStr">
        <is>
          <t>FORUM ELEITORAL, AVENIDA JOÃO FRAGA BRANDÃO, S/N CENTRO, JACOBINA-BA</t>
        </is>
      </c>
      <c r="S1178" s="26">
        <f>IF(A1178=A1177,0,1)</f>
        <v>0</v>
      </c>
      <c r="T1178" s="26">
        <f>IF(COUNTIF($B$4:B1178,B1178)=1,1,0)</f>
        <v>0</v>
      </c>
    </row>
    <row r="1179">
      <c r="A1179" s="14" t="inlineStr">
        <is>
          <t>JACOBINA</t>
        </is>
      </c>
      <c r="B1179" s="26" t="n">
        <v>46</v>
      </c>
      <c r="C1179" s="26" t="n">
        <v>1295</v>
      </c>
      <c r="D1179" s="14" t="inlineStr">
        <is>
          <t>COLÉGIO ESTADUAL DO CAMPO DA CAATINGA DO MOURA</t>
        </is>
      </c>
      <c r="E1179" s="14" t="inlineStr">
        <is>
          <t>ROÇADO DE CAATINGA DO MOURA</t>
        </is>
      </c>
      <c r="F1179" s="14" t="inlineStr">
        <is>
          <t>PRAÇA DO ROÇADO DE CAATINGA DO MOURA, S/N - ZONA RURAL</t>
        </is>
      </c>
      <c r="G1179" s="27" t="inlineStr">
        <is>
          <t>44700-000</t>
        </is>
      </c>
      <c r="H1179" s="15" t="n">
        <v>3</v>
      </c>
      <c r="I1179" s="28" t="inlineStr">
        <is>
          <t>NÃO</t>
        </is>
      </c>
      <c r="J1179" s="29" t="n"/>
      <c r="K1179" s="14" t="str">
        <f>IF(J1179="","7. Acima de 2 km",IF(J1179&lt;=50,"1. Até 50 m",IF(J1179&lt;=100,"2. De 50 a 100 m",IF(J1179&lt;=200,"3. De 100 a 200 m",IF(J1179&lt;=300,"4. De 200 a 300 m",IF(J1179&lt;=500,"5. De 300 a 500 m","6. De 500 m a 2 km"))))))</f>
        <v>7. Acima de 2 km</v>
      </c>
      <c r="L1179" s="26" t="n">
        <v>0</v>
      </c>
      <c r="M1179" s="26" t="n">
        <v>0</v>
      </c>
      <c r="N1179" s="26" t="n">
        <v>0</v>
      </c>
      <c r="O1179" s="26" t="n">
        <v>0</v>
      </c>
      <c r="P1179" s="30" t="n">
        <v>-10.9892833</v>
      </c>
      <c r="Q1179" s="30" t="n">
        <v>-40.734895</v>
      </c>
      <c r="R1179" s="14" t="inlineStr">
        <is>
          <t>FORUM ELEITORAL, AVENIDA JOÃO FRAGA BRANDÃO, S/N CENTRO, JACOBINA-BA</t>
        </is>
      </c>
      <c r="S1179" s="26">
        <f>IF(A1179=A1178,0,1)</f>
        <v>0</v>
      </c>
      <c r="T1179" s="26">
        <f>IF(COUNTIF($B$4:B1179,B1179)=1,1,0)</f>
        <v>0</v>
      </c>
    </row>
    <row r="1180">
      <c r="A1180" s="14" t="inlineStr">
        <is>
          <t>JACOBINA</t>
        </is>
      </c>
      <c r="B1180" s="26" t="n">
        <v>46</v>
      </c>
      <c r="C1180" s="26" t="n">
        <v>1309</v>
      </c>
      <c r="D1180" s="14" t="inlineStr">
        <is>
          <t>COLÉGIO MUNICIPAL PEDRO DALTRO</t>
        </is>
      </c>
      <c r="E1180" s="14" t="inlineStr">
        <is>
          <t>POVOADO JUNCO</t>
        </is>
      </c>
      <c r="F1180" s="14" t="inlineStr">
        <is>
          <t>AV. DEPUTADO FRANCISCO ROCHA PIRES, S/N - ZONA RURAL</t>
        </is>
      </c>
      <c r="G1180" s="27" t="inlineStr">
        <is>
          <t>44700-000</t>
        </is>
      </c>
      <c r="H1180" s="15" t="n">
        <v>13</v>
      </c>
      <c r="I1180" s="28" t="inlineStr">
        <is>
          <t>NÃO</t>
        </is>
      </c>
      <c r="J1180" s="29" t="n"/>
      <c r="K1180" s="14" t="str">
        <f>IF(J1180="","7. Acima de 2 km",IF(J1180&lt;=50,"1. Até 50 m",IF(J1180&lt;=100,"2. De 50 a 100 m",IF(J1180&lt;=200,"3. De 100 a 200 m",IF(J1180&lt;=300,"4. De 200 a 300 m",IF(J1180&lt;=500,"5. De 300 a 500 m","6. De 500 m a 2 km"))))))</f>
        <v>7. Acima de 2 km</v>
      </c>
      <c r="L1180" s="26" t="n">
        <v>0</v>
      </c>
      <c r="M1180" s="26" t="n">
        <v>0</v>
      </c>
      <c r="N1180" s="26" t="n">
        <v>0</v>
      </c>
      <c r="O1180" s="26" t="n">
        <v>0</v>
      </c>
      <c r="P1180" s="30" t="n">
        <v>-11.3224227</v>
      </c>
      <c r="Q1180" s="30" t="n">
        <v>-40.1689472</v>
      </c>
      <c r="R1180" s="14" t="inlineStr">
        <is>
          <t>FORUM ELEITORAL, AVENIDA JOÃO FRAGA BRANDÃO, S/N CENTRO, JACOBINA-BA</t>
        </is>
      </c>
      <c r="S1180" s="26">
        <f>IF(A1180=A1179,0,1)</f>
        <v>0</v>
      </c>
      <c r="T1180" s="26">
        <f>IF(COUNTIF($B$4:B1180,B1180)=1,1,0)</f>
        <v>0</v>
      </c>
    </row>
    <row r="1181">
      <c r="A1181" s="14" t="inlineStr">
        <is>
          <t>JACOBINA</t>
        </is>
      </c>
      <c r="B1181" s="26" t="n">
        <v>46</v>
      </c>
      <c r="C1181" s="26" t="n">
        <v>1350</v>
      </c>
      <c r="D1181" s="14" t="inlineStr">
        <is>
          <t>COLÉGIO MUNICIPAL ELVIRA DA COSTA PINTO DIAS PIRES</t>
        </is>
      </c>
      <c r="E1181" s="14" t="inlineStr">
        <is>
          <t>DISTRITO PARAÍSO</t>
        </is>
      </c>
      <c r="F1181" s="14" t="inlineStr">
        <is>
          <t>AV. SANTA ROSA DE LIMA, S/N - ZONA RURAL</t>
        </is>
      </c>
      <c r="G1181" s="27" t="inlineStr">
        <is>
          <t>44700-000</t>
        </is>
      </c>
      <c r="H1181" s="15" t="n">
        <v>11</v>
      </c>
      <c r="I1181" s="28" t="inlineStr">
        <is>
          <t>NÃO</t>
        </is>
      </c>
      <c r="J1181" s="29" t="n"/>
      <c r="K1181" s="14" t="str">
        <f>IF(J1181="","7. Acima de 2 km",IF(J1181&lt;=50,"1. Até 50 m",IF(J1181&lt;=100,"2. De 50 a 100 m",IF(J1181&lt;=200,"3. De 100 a 200 m",IF(J1181&lt;=300,"4. De 200 a 300 m",IF(J1181&lt;=500,"5. De 300 a 500 m","6. De 500 m a 2 km"))))))</f>
        <v>7. Acima de 2 km</v>
      </c>
      <c r="L1181" s="26" t="n">
        <v>0</v>
      </c>
      <c r="M1181" s="26" t="n">
        <v>0</v>
      </c>
      <c r="N1181" s="26" t="n">
        <v>0</v>
      </c>
      <c r="O1181" s="26" t="n">
        <v>0</v>
      </c>
      <c r="P1181" s="30" t="n">
        <v>-11.2855093</v>
      </c>
      <c r="Q1181" s="30" t="n">
        <v>-40.277757</v>
      </c>
      <c r="R1181" s="14" t="inlineStr">
        <is>
          <t>FORUM ELEITORAL, AVENIDA JOÃO FRAGA BRANDÃO, S/N CENTRO, JACOBINA-BA</t>
        </is>
      </c>
      <c r="S1181" s="26">
        <f>IF(A1181=A1180,0,1)</f>
        <v>0</v>
      </c>
      <c r="T1181" s="26">
        <f>IF(COUNTIF($B$4:B1181,B1181)=1,1,0)</f>
        <v>0</v>
      </c>
    </row>
    <row r="1182">
      <c r="A1182" s="14" t="inlineStr">
        <is>
          <t>JACOBINA</t>
        </is>
      </c>
      <c r="B1182" s="26" t="n">
        <v>46</v>
      </c>
      <c r="C1182" s="26" t="n">
        <v>1384</v>
      </c>
      <c r="D1182" s="14" t="inlineStr">
        <is>
          <t>COLÉGIO MUNICIPAL JOSÉ PRADO ALVES</t>
        </is>
      </c>
      <c r="E1182" s="14" t="inlineStr">
        <is>
          <t>POVOADO LAGES DO BATATA</t>
        </is>
      </c>
      <c r="F1182" s="14" t="inlineStr">
        <is>
          <t>RUA QUINTINO ALVES, S/N - ZONA RURAL</t>
        </is>
      </c>
      <c r="G1182" s="27" t="inlineStr">
        <is>
          <t>44700-000</t>
        </is>
      </c>
      <c r="H1182" s="15" t="n">
        <v>10</v>
      </c>
      <c r="I1182" s="28" t="inlineStr">
        <is>
          <t>NÃO</t>
        </is>
      </c>
      <c r="J1182" s="29" t="n"/>
      <c r="K1182" s="14" t="str">
        <f>IF(J1182="","7. Acima de 2 km",IF(J1182&lt;=50,"1. Até 50 m",IF(J1182&lt;=100,"2. De 50 a 100 m",IF(J1182&lt;=200,"3. De 100 a 200 m",IF(J1182&lt;=300,"4. De 200 a 300 m",IF(J1182&lt;=500,"5. De 300 a 500 m","6. De 500 m a 2 km"))))))</f>
        <v>7. Acima de 2 km</v>
      </c>
      <c r="L1182" s="26" t="n">
        <v>0</v>
      </c>
      <c r="M1182" s="26" t="n">
        <v>0</v>
      </c>
      <c r="N1182" s="26" t="n">
        <v>0</v>
      </c>
      <c r="O1182" s="26" t="n">
        <v>0</v>
      </c>
      <c r="P1182" s="30" t="n">
        <v>-11.0544783</v>
      </c>
      <c r="Q1182" s="30" t="n">
        <v>-40.7808617</v>
      </c>
      <c r="R1182" s="14" t="inlineStr">
        <is>
          <t>FORUM ELEITORAL, AVENIDA JOÃO FRAGA BRANDÃO, S/N CENTRO, JACOBINA-BA</t>
        </is>
      </c>
      <c r="S1182" s="26">
        <f>IF(A1182=A1181,0,1)</f>
        <v>0</v>
      </c>
      <c r="T1182" s="26">
        <f>IF(COUNTIF($B$4:B1182,B1182)=1,1,0)</f>
        <v>0</v>
      </c>
    </row>
    <row r="1183">
      <c r="A1183" s="14" t="inlineStr">
        <is>
          <t>JACOBINA</t>
        </is>
      </c>
      <c r="B1183" s="26" t="n">
        <v>46</v>
      </c>
      <c r="C1183" s="26" t="n">
        <v>1430</v>
      </c>
      <c r="D1183" s="14" t="inlineStr">
        <is>
          <t>COLÉGIO MUNICIPAL JOSÉ VIEIRA IRMÃO</t>
        </is>
      </c>
      <c r="E1183" s="14" t="inlineStr">
        <is>
          <t>POVOADO CACHOEIRA GRANDE</t>
        </is>
      </c>
      <c r="F1183" s="14" t="inlineStr">
        <is>
          <t>RUA DEPUTADO FERNANDO DALTRO, 11 - ZONA RURAL</t>
        </is>
      </c>
      <c r="G1183" s="27" t="inlineStr">
        <is>
          <t>44700-000</t>
        </is>
      </c>
      <c r="H1183" s="15" t="n">
        <v>4</v>
      </c>
      <c r="I1183" s="28" t="inlineStr">
        <is>
          <t>NÃO</t>
        </is>
      </c>
      <c r="J1183" s="29" t="n"/>
      <c r="K1183" s="14" t="str">
        <f>IF(J1183="","7. Acima de 2 km",IF(J1183&lt;=50,"1. Até 50 m",IF(J1183&lt;=100,"2. De 50 a 100 m",IF(J1183&lt;=200,"3. De 100 a 200 m",IF(J1183&lt;=300,"4. De 200 a 300 m",IF(J1183&lt;=500,"5. De 300 a 500 m","6. De 500 m a 2 km"))))))</f>
        <v>7. Acima de 2 km</v>
      </c>
      <c r="L1183" s="26" t="n">
        <v>0</v>
      </c>
      <c r="M1183" s="26" t="n">
        <v>0</v>
      </c>
      <c r="N1183" s="26" t="n">
        <v>0</v>
      </c>
      <c r="O1183" s="26" t="n">
        <v>0</v>
      </c>
      <c r="P1183" s="30" t="n">
        <v>-11.3341733</v>
      </c>
      <c r="Q1183" s="30" t="n">
        <v>-40.41468</v>
      </c>
      <c r="R1183" s="14" t="inlineStr">
        <is>
          <t>FORUM ELEITORAL, AVENIDA JOÃO FRAGA BRANDÃO, S/N CENTRO, JACOBINA-BA</t>
        </is>
      </c>
      <c r="S1183" s="26">
        <f>IF(A1183=A1182,0,1)</f>
        <v>0</v>
      </c>
      <c r="T1183" s="26">
        <f>IF(COUNTIF($B$4:B1183,B1183)=1,1,0)</f>
        <v>0</v>
      </c>
    </row>
    <row r="1184">
      <c r="A1184" s="14" t="inlineStr">
        <is>
          <t>JACOBINA</t>
        </is>
      </c>
      <c r="B1184" s="26" t="n">
        <v>46</v>
      </c>
      <c r="C1184" s="26" t="n">
        <v>1449</v>
      </c>
      <c r="D1184" s="14" t="inlineStr">
        <is>
          <t>COLÉGIO MUNICIPAL ESTER TUPINAMBÁ DE MORAES</t>
        </is>
      </c>
      <c r="E1184" s="14" t="inlineStr">
        <is>
          <t>DISTRITO ITAPEIPU</t>
        </is>
      </c>
      <c r="F1184" s="14" t="inlineStr">
        <is>
          <t>PRAÇA DO COMÉRCIO, S/N - ZONA RURAL</t>
        </is>
      </c>
      <c r="G1184" s="27" t="inlineStr">
        <is>
          <t>44700-000</t>
        </is>
      </c>
      <c r="H1184" s="15" t="n">
        <v>2</v>
      </c>
      <c r="I1184" s="28" t="inlineStr">
        <is>
          <t>NÃO</t>
        </is>
      </c>
      <c r="J1184" s="29" t="n"/>
      <c r="K1184" s="14" t="str">
        <f>IF(J1184="","7. Acima de 2 km",IF(J1184&lt;=50,"1. Até 50 m",IF(J1184&lt;=100,"2. De 50 a 100 m",IF(J1184&lt;=200,"3. De 100 a 200 m",IF(J1184&lt;=300,"4. De 200 a 300 m",IF(J1184&lt;=500,"5. De 300 a 500 m","6. De 500 m a 2 km"))))))</f>
        <v>7. Acima de 2 km</v>
      </c>
      <c r="L1184" s="26" t="n">
        <v>0</v>
      </c>
      <c r="M1184" s="26" t="n">
        <v>0</v>
      </c>
      <c r="N1184" s="26" t="n">
        <v>0</v>
      </c>
      <c r="O1184" s="26" t="n">
        <v>0</v>
      </c>
      <c r="P1184" s="30" t="n">
        <v>-11.3146917</v>
      </c>
      <c r="Q1184" s="30" t="n">
        <v>-40.353885</v>
      </c>
      <c r="R1184" s="14" t="inlineStr">
        <is>
          <t>FORUM ELEITORAL, AVENIDA JOÃO FRAGA BRANDÃO, S/N CENTRO, JACOBINA-BA</t>
        </is>
      </c>
      <c r="S1184" s="26">
        <f>IF(A1184=A1183,0,1)</f>
        <v>0</v>
      </c>
      <c r="T1184" s="26">
        <f>IF(COUNTIF($B$4:B1184,B1184)=1,1,0)</f>
        <v>0</v>
      </c>
    </row>
    <row r="1185">
      <c r="A1185" s="14" t="inlineStr">
        <is>
          <t>JACOBINA</t>
        </is>
      </c>
      <c r="B1185" s="26" t="n">
        <v>46</v>
      </c>
      <c r="C1185" s="26" t="n">
        <v>1465</v>
      </c>
      <c r="D1185" s="14" t="inlineStr">
        <is>
          <t>ESCOLA MUNICIPAL YOLANDA DIAS ROCHA</t>
        </is>
      </c>
      <c r="E1185" s="14" t="inlineStr">
        <is>
          <t>POVOADO PONTILHÃO</t>
        </is>
      </c>
      <c r="F1185" s="14" t="inlineStr">
        <is>
          <t>POVOADO PONTILHÃO DE CANAVIEIRA - ZONA RURAL</t>
        </is>
      </c>
      <c r="G1185" s="27" t="inlineStr">
        <is>
          <t>44700-000</t>
        </is>
      </c>
      <c r="H1185" s="15" t="n">
        <v>1</v>
      </c>
      <c r="I1185" s="28" t="inlineStr">
        <is>
          <t>NÃO</t>
        </is>
      </c>
      <c r="J1185" s="29" t="n"/>
      <c r="K1185" s="14" t="str">
        <f>IF(J1185="","7. Acima de 2 km",IF(J1185&lt;=50,"1. Até 50 m",IF(J1185&lt;=100,"2. De 50 a 100 m",IF(J1185&lt;=200,"3. De 100 a 200 m",IF(J1185&lt;=300,"4. De 200 a 300 m",IF(J1185&lt;=500,"5. De 300 a 500 m","6. De 500 m a 2 km"))))))</f>
        <v>7. Acima de 2 km</v>
      </c>
      <c r="L1185" s="26" t="n">
        <v>0</v>
      </c>
      <c r="M1185" s="26" t="n">
        <v>0</v>
      </c>
      <c r="N1185" s="26" t="n">
        <v>0</v>
      </c>
      <c r="O1185" s="26" t="n">
        <v>0</v>
      </c>
      <c r="P1185" s="30" t="n">
        <v>-11.2080378</v>
      </c>
      <c r="Q1185" s="30" t="n">
        <v>-40.5453419</v>
      </c>
      <c r="R1185" s="14" t="inlineStr">
        <is>
          <t>FORUM ELEITORAL, AVENIDA JOÃO FRAGA BRANDÃO, S/N CENTRO, JACOBINA-BA</t>
        </is>
      </c>
      <c r="S1185" s="26">
        <f>IF(A1185=A1184,0,1)</f>
        <v>0</v>
      </c>
      <c r="T1185" s="26">
        <f>IF(COUNTIF($B$4:B1185,B1185)=1,1,0)</f>
        <v>0</v>
      </c>
    </row>
    <row r="1186">
      <c r="A1186" s="14" t="inlineStr">
        <is>
          <t>JACOBINA</t>
        </is>
      </c>
      <c r="B1186" s="26" t="n">
        <v>46</v>
      </c>
      <c r="C1186" s="26" t="n">
        <v>1473</v>
      </c>
      <c r="D1186" s="14" t="inlineStr">
        <is>
          <t>COLÉGIO MUNICIPAL LUÍS ALBERTO DOURADO DE CARVALHO</t>
        </is>
      </c>
      <c r="E1186" s="14" t="inlineStr">
        <is>
          <t>JACOBINA III</t>
        </is>
      </c>
      <c r="F1186" s="14" t="inlineStr">
        <is>
          <t>RUA ANÍSIA DE CARVALHO, S/N - ZONA URBANA</t>
        </is>
      </c>
      <c r="G1186" s="27" t="inlineStr">
        <is>
          <t>44700-000</t>
        </is>
      </c>
      <c r="H1186" s="15" t="n">
        <v>8</v>
      </c>
      <c r="I1186" s="28" t="inlineStr">
        <is>
          <t>NÃO</t>
        </is>
      </c>
      <c r="J1186" s="29" t="n">
        <v>530</v>
      </c>
      <c r="K1186" s="14" t="str">
        <f>IF(J1186="","7. Acima de 2 km",IF(J1186&lt;=50,"1. Até 50 m",IF(J1186&lt;=100,"2. De 50 a 100 m",IF(J1186&lt;=200,"3. De 100 a 200 m",IF(J1186&lt;=300,"4. De 200 a 300 m",IF(J1186&lt;=500,"5. De 300 a 500 m","6. De 500 m a 2 km"))))))</f>
        <v>6. De 500 m a 2 km</v>
      </c>
      <c r="L1186" s="26" t="n">
        <v>0</v>
      </c>
      <c r="M1186" s="26" t="n">
        <v>0</v>
      </c>
      <c r="N1186" s="26" t="n">
        <v>0</v>
      </c>
      <c r="O1186" s="26" t="n">
        <v>0</v>
      </c>
      <c r="P1186" s="30" t="n">
        <v>-11.1958929</v>
      </c>
      <c r="Q1186" s="30" t="n">
        <v>-40.5323312</v>
      </c>
      <c r="R1186" s="14" t="inlineStr">
        <is>
          <t>FORUM ELEITORAL, AVENIDA JOÃO FRAGA BRANDÃO, S/N CENTRO, JACOBINA-BA</t>
        </is>
      </c>
      <c r="S1186" s="26">
        <f>IF(A1186=A1185,0,1)</f>
        <v>0</v>
      </c>
      <c r="T1186" s="26">
        <f>IF(COUNTIF($B$4:B1186,B1186)=1,1,0)</f>
        <v>0</v>
      </c>
    </row>
    <row r="1187">
      <c r="A1187" s="14" t="inlineStr">
        <is>
          <t>JACOBINA</t>
        </is>
      </c>
      <c r="B1187" s="26" t="n">
        <v>46</v>
      </c>
      <c r="C1187" s="26" t="n">
        <v>1481</v>
      </c>
      <c r="D1187" s="14" t="inlineStr">
        <is>
          <t>ESCOLA MUNICIPAL FRANCISCO JOSÉ DOS SANTOS</t>
        </is>
      </c>
      <c r="E1187" s="14" t="inlineStr">
        <is>
          <t>POVOADO VÁRZEA DA LAGE</t>
        </is>
      </c>
      <c r="F1187" s="14" t="inlineStr">
        <is>
          <t>POVOADO VÁRZEA DA LAGE, S/N - ZONA RURAL</t>
        </is>
      </c>
      <c r="G1187" s="27" t="inlineStr">
        <is>
          <t>44700-000</t>
        </is>
      </c>
      <c r="H1187" s="15" t="n">
        <v>2</v>
      </c>
      <c r="I1187" s="28" t="inlineStr">
        <is>
          <t>NÃO</t>
        </is>
      </c>
      <c r="J1187" s="29" t="n"/>
      <c r="K1187" s="14" t="str">
        <f>IF(J1187="","7. Acima de 2 km",IF(J1187&lt;=50,"1. Até 50 m",IF(J1187&lt;=100,"2. De 50 a 100 m",IF(J1187&lt;=200,"3. De 100 a 200 m",IF(J1187&lt;=300,"4. De 200 a 300 m",IF(J1187&lt;=500,"5. De 300 a 500 m","6. De 500 m a 2 km"))))))</f>
        <v>7. Acima de 2 km</v>
      </c>
      <c r="L1187" s="26" t="n">
        <v>0</v>
      </c>
      <c r="M1187" s="26" t="n">
        <v>0</v>
      </c>
      <c r="N1187" s="26" t="n">
        <v>0</v>
      </c>
      <c r="O1187" s="26" t="n">
        <v>0</v>
      </c>
      <c r="P1187" s="30" t="n">
        <v>-11.2156167</v>
      </c>
      <c r="Q1187" s="30" t="n">
        <v>-40.41475</v>
      </c>
      <c r="R1187" s="14" t="inlineStr">
        <is>
          <t>FORUM ELEITORAL, AVENIDA JOÃO FRAGA BRANDÃO, S/N CENTRO, JACOBINA-BA</t>
        </is>
      </c>
      <c r="S1187" s="26">
        <f>IF(A1187=A1186,0,1)</f>
        <v>0</v>
      </c>
      <c r="T1187" s="26">
        <f>IF(COUNTIF($B$4:B1187,B1187)=1,1,0)</f>
        <v>0</v>
      </c>
    </row>
    <row r="1188">
      <c r="A1188" s="14" t="inlineStr">
        <is>
          <t>JACOBINA</t>
        </is>
      </c>
      <c r="B1188" s="26" t="n">
        <v>46</v>
      </c>
      <c r="C1188" s="26" t="n">
        <v>1490</v>
      </c>
      <c r="D1188" s="14" t="inlineStr">
        <is>
          <t>ESCOLA MUNICIPAL JOÃO BELO</t>
        </is>
      </c>
      <c r="E1188" s="14" t="inlineStr">
        <is>
          <t>PEDRA BRANCA</t>
        </is>
      </c>
      <c r="F1188" s="14" t="inlineStr">
        <is>
          <t>RUA GENEBALDO CORREIA, 137 - ZONA URBANA</t>
        </is>
      </c>
      <c r="G1188" s="27" t="inlineStr">
        <is>
          <t>44700-000</t>
        </is>
      </c>
      <c r="H1188" s="15" t="n">
        <v>3</v>
      </c>
      <c r="I1188" s="28" t="inlineStr">
        <is>
          <t>NÃO</t>
        </is>
      </c>
      <c r="J1188" s="29" t="n">
        <v>348.4</v>
      </c>
      <c r="K1188" s="14" t="str">
        <f>IF(J1188="","7. Acima de 2 km",IF(J1188&lt;=50,"1. Até 50 m",IF(J1188&lt;=100,"2. De 50 a 100 m",IF(J1188&lt;=200,"3. De 100 a 200 m",IF(J1188&lt;=300,"4. De 200 a 300 m",IF(J1188&lt;=500,"5. De 300 a 500 m","6. De 500 m a 2 km"))))))</f>
        <v>5. De 300 a 500 m</v>
      </c>
      <c r="L1188" s="26" t="n">
        <v>0</v>
      </c>
      <c r="M1188" s="26" t="n">
        <v>0</v>
      </c>
      <c r="N1188" s="26" t="n">
        <v>0</v>
      </c>
      <c r="O1188" s="26" t="n">
        <v>0</v>
      </c>
      <c r="P1188" s="30" t="n">
        <v>-11.1569801</v>
      </c>
      <c r="Q1188" s="30" t="n">
        <v>-40.5593955</v>
      </c>
      <c r="R1188" s="14" t="inlineStr">
        <is>
          <t>FORUM ELEITORAL, AVENIDA JOÃO FRAGA BRANDÃO, S/N CENTRO, JACOBINA-BA</t>
        </is>
      </c>
      <c r="S1188" s="26">
        <f>IF(A1188=A1187,0,1)</f>
        <v>0</v>
      </c>
      <c r="T1188" s="26">
        <f>IF(COUNTIF($B$4:B1188,B1188)=1,1,0)</f>
        <v>0</v>
      </c>
    </row>
    <row r="1189">
      <c r="A1189" s="14" t="inlineStr">
        <is>
          <t>JACOBINA</t>
        </is>
      </c>
      <c r="B1189" s="26" t="n">
        <v>46</v>
      </c>
      <c r="C1189" s="26" t="n">
        <v>1503</v>
      </c>
      <c r="D1189" s="14" t="inlineStr">
        <is>
          <t>ESCOLA MUNICIPAL MARTIM ROMÃO DOS SANTOS</t>
        </is>
      </c>
      <c r="E1189" s="14" t="inlineStr">
        <is>
          <t>POVOADO VELAME</t>
        </is>
      </c>
      <c r="F1189" s="14" t="inlineStr">
        <is>
          <t>VELAME DE BAIXO,S/N - ZONA RURAL</t>
        </is>
      </c>
      <c r="G1189" s="27" t="inlineStr">
        <is>
          <t>44700-000</t>
        </is>
      </c>
      <c r="H1189" s="15" t="n">
        <v>2</v>
      </c>
      <c r="I1189" s="28" t="inlineStr">
        <is>
          <t>NÃO</t>
        </is>
      </c>
      <c r="J1189" s="29" t="n"/>
      <c r="K1189" s="14" t="str">
        <f>IF(J1189="","7. Acima de 2 km",IF(J1189&lt;=50,"1. Até 50 m",IF(J1189&lt;=100,"2. De 50 a 100 m",IF(J1189&lt;=200,"3. De 100 a 200 m",IF(J1189&lt;=300,"4. De 200 a 300 m",IF(J1189&lt;=500,"5. De 300 a 500 m","6. De 500 m a 2 km"))))))</f>
        <v>7. Acima de 2 km</v>
      </c>
      <c r="L1189" s="26" t="n">
        <v>0</v>
      </c>
      <c r="M1189" s="26" t="n">
        <v>0</v>
      </c>
      <c r="N1189" s="26" t="n">
        <v>0</v>
      </c>
      <c r="O1189" s="26" t="n">
        <v>0</v>
      </c>
      <c r="P1189" s="30" t="n">
        <v>-11.1988489</v>
      </c>
      <c r="Q1189" s="30" t="n">
        <v>-40.5934165</v>
      </c>
      <c r="R1189" s="14" t="inlineStr">
        <is>
          <t>FORUM ELEITORAL, AVENIDA JOÃO FRAGA BRANDÃO, S/N CENTRO, JACOBINA-BA</t>
        </is>
      </c>
      <c r="S1189" s="26">
        <f>IF(A1189=A1188,0,1)</f>
        <v>0</v>
      </c>
      <c r="T1189" s="26">
        <f>IF(COUNTIF($B$4:B1189,B1189)=1,1,0)</f>
        <v>0</v>
      </c>
    </row>
    <row r="1190">
      <c r="A1190" s="14" t="inlineStr">
        <is>
          <t>JACOBINA</t>
        </is>
      </c>
      <c r="B1190" s="26" t="n">
        <v>46</v>
      </c>
      <c r="C1190" s="26" t="n">
        <v>1511</v>
      </c>
      <c r="D1190" s="14" t="inlineStr">
        <is>
          <t>ESCOLA MUNICIPAL JOSÉ JOAQUIM DA SILVA</t>
        </is>
      </c>
      <c r="E1190" s="14" t="inlineStr">
        <is>
          <t>POVOADO DE LAGOA DA CAATINGA DO MOURA</t>
        </is>
      </c>
      <c r="F1190" s="14" t="inlineStr">
        <is>
          <t>POVOADO DE LAGOA DA CAATINGA DO MOURA, S/N - ZONA RURAL</t>
        </is>
      </c>
      <c r="G1190" s="27" t="inlineStr">
        <is>
          <t>44700-000</t>
        </is>
      </c>
      <c r="H1190" s="15" t="n">
        <v>2</v>
      </c>
      <c r="I1190" s="28" t="inlineStr">
        <is>
          <t>NÃO</t>
        </is>
      </c>
      <c r="J1190" s="29" t="n"/>
      <c r="K1190" s="14" t="str">
        <f>IF(J1190="","7. Acima de 2 km",IF(J1190&lt;=50,"1. Até 50 m",IF(J1190&lt;=100,"2. De 50 a 100 m",IF(J1190&lt;=200,"3. De 100 a 200 m",IF(J1190&lt;=300,"4. De 200 a 300 m",IF(J1190&lt;=500,"5. De 300 a 500 m","6. De 500 m a 2 km"))))))</f>
        <v>7. Acima de 2 km</v>
      </c>
      <c r="L1190" s="26" t="n">
        <v>0</v>
      </c>
      <c r="M1190" s="26" t="n">
        <v>0</v>
      </c>
      <c r="N1190" s="26" t="n">
        <v>0</v>
      </c>
      <c r="O1190" s="26" t="n">
        <v>0</v>
      </c>
      <c r="P1190" s="30" t="n">
        <v>-10.9900583</v>
      </c>
      <c r="Q1190" s="30" t="n">
        <v>-40.7546028</v>
      </c>
      <c r="R1190" s="14" t="inlineStr">
        <is>
          <t>FORUM ELEITORAL, AVENIDA JOÃO FRAGA BRANDÃO, S/N CENTRO, JACOBINA-BA</t>
        </is>
      </c>
      <c r="S1190" s="26">
        <f>IF(A1190=A1189,0,1)</f>
        <v>0</v>
      </c>
      <c r="T1190" s="26">
        <f>IF(COUNTIF($B$4:B1190,B1190)=1,1,0)</f>
        <v>0</v>
      </c>
    </row>
    <row r="1191">
      <c r="A1191" s="14" t="inlineStr">
        <is>
          <t>JACOBINA</t>
        </is>
      </c>
      <c r="B1191" s="26" t="n">
        <v>46</v>
      </c>
      <c r="C1191" s="26" t="n">
        <v>1520</v>
      </c>
      <c r="D1191" s="14" t="inlineStr">
        <is>
          <t>COLÉGIO MUNICIPAL CRESCENCIANO FERNANDES PIRES</t>
        </is>
      </c>
      <c r="E1191" s="14" t="inlineStr">
        <is>
          <t>POVOADO ITAITU</t>
        </is>
      </c>
      <c r="F1191" s="14" t="inlineStr">
        <is>
          <t>RUA DO PRÉDIO, S/N - ZONA RURAL</t>
        </is>
      </c>
      <c r="G1191" s="27" t="inlineStr">
        <is>
          <t>44700-000</t>
        </is>
      </c>
      <c r="H1191" s="15" t="n">
        <v>4</v>
      </c>
      <c r="I1191" s="28" t="inlineStr">
        <is>
          <t>NÃO</t>
        </is>
      </c>
      <c r="J1191" s="29" t="n"/>
      <c r="K1191" s="14" t="str">
        <f>IF(J1191="","7. Acima de 2 km",IF(J1191&lt;=50,"1. Até 50 m",IF(J1191&lt;=100,"2. De 50 a 100 m",IF(J1191&lt;=200,"3. De 100 a 200 m",IF(J1191&lt;=300,"4. De 200 a 300 m",IF(J1191&lt;=500,"5. De 300 a 500 m","6. De 500 m a 2 km"))))))</f>
        <v>7. Acima de 2 km</v>
      </c>
      <c r="L1191" s="26" t="n">
        <v>0</v>
      </c>
      <c r="M1191" s="26" t="n">
        <v>0</v>
      </c>
      <c r="N1191" s="26" t="n">
        <v>0</v>
      </c>
      <c r="O1191" s="26" t="n">
        <v>0</v>
      </c>
      <c r="P1191" s="30" t="n">
        <v>-11.3376117</v>
      </c>
      <c r="Q1191" s="30" t="n">
        <v>-40.488375</v>
      </c>
      <c r="R1191" s="14" t="inlineStr">
        <is>
          <t>FORUM ELEITORAL, AVENIDA JOÃO FRAGA BRANDÃO, S/N CENTRO, JACOBINA-BA</t>
        </is>
      </c>
      <c r="S1191" s="26">
        <f>IF(A1191=A1190,0,1)</f>
        <v>0</v>
      </c>
      <c r="T1191" s="26">
        <f>IF(COUNTIF($B$4:B1191,B1191)=1,1,0)</f>
        <v>0</v>
      </c>
    </row>
    <row r="1192">
      <c r="A1192" s="14" t="inlineStr">
        <is>
          <t>JACOBINA</t>
        </is>
      </c>
      <c r="B1192" s="26" t="n">
        <v>46</v>
      </c>
      <c r="C1192" s="26" t="n">
        <v>1546</v>
      </c>
      <c r="D1192" s="14" t="inlineStr">
        <is>
          <t>ESCOLA MUNICIPAL MANOEL MESQUITA DE CARVALHO</t>
        </is>
      </c>
      <c r="E1192" s="14" t="inlineStr">
        <is>
          <t>POVOADO OLHOS D'ÁGUA DO GÓES</t>
        </is>
      </c>
      <c r="F1192" s="14" t="inlineStr">
        <is>
          <t>POVOADO DE OLHOS D'ÁGUA DO GÓES, S/N - ZONA RURAL</t>
        </is>
      </c>
      <c r="G1192" s="27" t="inlineStr">
        <is>
          <t>44700-000</t>
        </is>
      </c>
      <c r="H1192" s="15" t="n">
        <v>1</v>
      </c>
      <c r="I1192" s="28" t="inlineStr">
        <is>
          <t>NÃO</t>
        </is>
      </c>
      <c r="J1192" s="29" t="n"/>
      <c r="K1192" s="14" t="str">
        <f>IF(J1192="","7. Acima de 2 km",IF(J1192&lt;=50,"1. Até 50 m",IF(J1192&lt;=100,"2. De 50 a 100 m",IF(J1192&lt;=200,"3. De 100 a 200 m",IF(J1192&lt;=300,"4. De 200 a 300 m",IF(J1192&lt;=500,"5. De 300 a 500 m","6. De 500 m a 2 km"))))))</f>
        <v>7. Acima de 2 km</v>
      </c>
      <c r="L1192" s="26" t="n">
        <v>0</v>
      </c>
      <c r="M1192" s="26" t="n">
        <v>0</v>
      </c>
      <c r="N1192" s="26" t="n">
        <v>0</v>
      </c>
      <c r="O1192" s="26" t="n">
        <v>0</v>
      </c>
      <c r="P1192" s="30" t="n">
        <v>-11.2879771</v>
      </c>
      <c r="Q1192" s="30" t="n">
        <v>-40.597261</v>
      </c>
      <c r="R1192" s="14" t="inlineStr">
        <is>
          <t>FORUM ELEITORAL, AVENIDA JOÃO FRAGA BRANDÃO, S/N CENTRO, JACOBINA-BA</t>
        </is>
      </c>
      <c r="S1192" s="26">
        <f>IF(A1192=A1191,0,1)</f>
        <v>0</v>
      </c>
      <c r="T1192" s="26">
        <f>IF(COUNTIF($B$4:B1192,B1192)=1,1,0)</f>
        <v>0</v>
      </c>
    </row>
    <row r="1193">
      <c r="A1193" s="14" t="inlineStr">
        <is>
          <t>JACOBINA</t>
        </is>
      </c>
      <c r="B1193" s="26" t="n">
        <v>46</v>
      </c>
      <c r="C1193" s="26" t="n">
        <v>1554</v>
      </c>
      <c r="D1193" s="14" t="inlineStr">
        <is>
          <t>ESCOLA MUNICIPAL JOAQUIM LEONARDO DE CARVALHO</t>
        </is>
      </c>
      <c r="E1193" s="14" t="inlineStr">
        <is>
          <t>POVOADO OLHOS D'ÁGUA DE CAATINGA DO MOURA</t>
        </is>
      </c>
      <c r="F1193" s="14" t="inlineStr">
        <is>
          <t>POVOADO DE OLHOS D'ÁGUA DE CAATINGA DO MOURA - ZONA RURAL</t>
        </is>
      </c>
      <c r="G1193" s="27" t="inlineStr">
        <is>
          <t>44700-000</t>
        </is>
      </c>
      <c r="H1193" s="15" t="n">
        <v>1</v>
      </c>
      <c r="I1193" s="28" t="inlineStr">
        <is>
          <t>NÃO</t>
        </is>
      </c>
      <c r="J1193" s="29" t="n"/>
      <c r="K1193" s="14" t="str">
        <f>IF(J1193="","7. Acima de 2 km",IF(J1193&lt;=50,"1. Até 50 m",IF(J1193&lt;=100,"2. De 50 a 100 m",IF(J1193&lt;=200,"3. De 100 a 200 m",IF(J1193&lt;=300,"4. De 200 a 300 m",IF(J1193&lt;=500,"5. De 300 a 500 m","6. De 500 m a 2 km"))))))</f>
        <v>7. Acima de 2 km</v>
      </c>
      <c r="L1193" s="26" t="n">
        <v>0</v>
      </c>
      <c r="M1193" s="26" t="n">
        <v>0</v>
      </c>
      <c r="N1193" s="26" t="n">
        <v>0</v>
      </c>
      <c r="O1193" s="26" t="n">
        <v>0</v>
      </c>
      <c r="P1193" s="30" t="n">
        <v>-10.9877912</v>
      </c>
      <c r="Q1193" s="30" t="n">
        <v>-40.7157094</v>
      </c>
      <c r="R1193" s="14" t="inlineStr">
        <is>
          <t>FORUM ELEITORAL, AVENIDA JOÃO FRAGA BRANDÃO, S/N CENTRO, JACOBINA-BA</t>
        </is>
      </c>
      <c r="S1193" s="26">
        <f>IF(A1193=A1192,0,1)</f>
        <v>0</v>
      </c>
      <c r="T1193" s="26">
        <f>IF(COUNTIF($B$4:B1193,B1193)=1,1,0)</f>
        <v>0</v>
      </c>
    </row>
    <row r="1194">
      <c r="A1194" s="14" t="inlineStr">
        <is>
          <t>JACOBINA</t>
        </is>
      </c>
      <c r="B1194" s="26" t="n">
        <v>46</v>
      </c>
      <c r="C1194" s="26" t="n">
        <v>1597</v>
      </c>
      <c r="D1194" s="14" t="inlineStr">
        <is>
          <t>ESCOLA MUNICIPAL ZULEIDE PIRES</t>
        </is>
      </c>
      <c r="E1194" s="14" t="inlineStr">
        <is>
          <t>POVOADO PALMEIRINHA</t>
        </is>
      </c>
      <c r="F1194" s="14" t="inlineStr">
        <is>
          <t>POVOADO DE PALMEIRINHA, S/N - ZONA RURAL</t>
        </is>
      </c>
      <c r="G1194" s="27" t="inlineStr">
        <is>
          <t>44700-000</t>
        </is>
      </c>
      <c r="H1194" s="15" t="n">
        <v>2</v>
      </c>
      <c r="I1194" s="28" t="inlineStr">
        <is>
          <t>NÃO</t>
        </is>
      </c>
      <c r="J1194" s="29" t="n"/>
      <c r="K1194" s="14" t="str">
        <f>IF(J1194="","7. Acima de 2 km",IF(J1194&lt;=50,"1. Até 50 m",IF(J1194&lt;=100,"2. De 50 a 100 m",IF(J1194&lt;=200,"3. De 100 a 200 m",IF(J1194&lt;=300,"4. De 200 a 300 m",IF(J1194&lt;=500,"5. De 300 a 500 m","6. De 500 m a 2 km"))))))</f>
        <v>7. Acima de 2 km</v>
      </c>
      <c r="L1194" s="26" t="n">
        <v>0</v>
      </c>
      <c r="M1194" s="26" t="n">
        <v>0</v>
      </c>
      <c r="N1194" s="26" t="n">
        <v>0</v>
      </c>
      <c r="O1194" s="26" t="n">
        <v>0</v>
      </c>
      <c r="P1194" s="30" t="n">
        <v>-11.2129217</v>
      </c>
      <c r="Q1194" s="30" t="n">
        <v>-40.3703783</v>
      </c>
      <c r="R1194" s="14" t="inlineStr">
        <is>
          <t>FORUM ELEITORAL, AVENIDA JOÃO FRAGA BRANDÃO, S/N CENTRO, JACOBINA-BA</t>
        </is>
      </c>
      <c r="S1194" s="26">
        <f>IF(A1194=A1193,0,1)</f>
        <v>0</v>
      </c>
      <c r="T1194" s="26">
        <f>IF(COUNTIF($B$4:B1194,B1194)=1,1,0)</f>
        <v>0</v>
      </c>
    </row>
    <row r="1195">
      <c r="A1195" s="14" t="inlineStr">
        <is>
          <t>JACOBINA</t>
        </is>
      </c>
      <c r="B1195" s="26" t="n">
        <v>46</v>
      </c>
      <c r="C1195" s="26" t="n">
        <v>1600</v>
      </c>
      <c r="D1195" s="14" t="inlineStr">
        <is>
          <t>ESCOLA MUNICIPAL PROFESSOR CARLOS GOMES DA SILVA</t>
        </is>
      </c>
      <c r="E1195" s="14" t="inlineStr">
        <is>
          <t>BANANEIRA</t>
        </is>
      </c>
      <c r="F1195" s="14" t="inlineStr">
        <is>
          <t>RUA SANTA BARBARA, N 66 - ZONA URBANA</t>
        </is>
      </c>
      <c r="G1195" s="27" t="inlineStr">
        <is>
          <t>44700-000</t>
        </is>
      </c>
      <c r="H1195" s="15" t="n">
        <v>5</v>
      </c>
      <c r="I1195" s="28" t="inlineStr">
        <is>
          <t>NÃO</t>
        </is>
      </c>
      <c r="J1195" s="29" t="n">
        <v>765.1</v>
      </c>
      <c r="K1195" s="14" t="str">
        <f>IF(J1195="","7. Acima de 2 km",IF(J1195&lt;=50,"1. Até 50 m",IF(J1195&lt;=100,"2. De 50 a 100 m",IF(J1195&lt;=200,"3. De 100 a 200 m",IF(J1195&lt;=300,"4. De 200 a 300 m",IF(J1195&lt;=500,"5. De 300 a 500 m","6. De 500 m a 2 km"))))))</f>
        <v>6. De 500 m a 2 km</v>
      </c>
      <c r="L1195" s="26" t="n">
        <v>0</v>
      </c>
      <c r="M1195" s="26" t="n">
        <v>0</v>
      </c>
      <c r="N1195" s="26" t="n">
        <v>0</v>
      </c>
      <c r="O1195" s="26" t="n">
        <v>0</v>
      </c>
      <c r="P1195" s="30" t="n">
        <v>-11.1869872</v>
      </c>
      <c r="Q1195" s="30" t="n">
        <v>-40.4980542</v>
      </c>
      <c r="R1195" s="14" t="inlineStr">
        <is>
          <t>FORUM ELEITORAL, AVENIDA JOÃO FRAGA BRANDÃO, S/N CENTRO, JACOBINA-BA</t>
        </is>
      </c>
      <c r="S1195" s="26">
        <f>IF(A1195=A1194,0,1)</f>
        <v>0</v>
      </c>
      <c r="T1195" s="26">
        <f>IF(COUNTIF($B$4:B1195,B1195)=1,1,0)</f>
        <v>0</v>
      </c>
    </row>
    <row r="1196">
      <c r="A1196" s="14" t="inlineStr">
        <is>
          <t>JACOBINA</t>
        </is>
      </c>
      <c r="B1196" s="26" t="n">
        <v>46</v>
      </c>
      <c r="C1196" s="26" t="n">
        <v>1619</v>
      </c>
      <c r="D1196" s="14" t="inlineStr">
        <is>
          <t>COLÉGIO ESTADUAL DE JACOBINA (ANTIGO MODELO)</t>
        </is>
      </c>
      <c r="E1196" s="14" t="inlineStr">
        <is>
          <t>CAEIRA</t>
        </is>
      </c>
      <c r="F1196" s="14" t="inlineStr">
        <is>
          <t>AV. NOSSA SENHORA DA CONCEIÇÃO, S/N - ZONA URBANA</t>
        </is>
      </c>
      <c r="G1196" s="27" t="inlineStr">
        <is>
          <t>44700-000</t>
        </is>
      </c>
      <c r="H1196" s="15" t="n">
        <v>6</v>
      </c>
      <c r="I1196" s="28" t="inlineStr">
        <is>
          <t>NÃO</t>
        </is>
      </c>
      <c r="J1196" s="29" t="n">
        <v>991.8</v>
      </c>
      <c r="K1196" s="14" t="str">
        <f>IF(J1196="","7. Acima de 2 km",IF(J1196&lt;=50,"1. Até 50 m",IF(J1196&lt;=100,"2. De 50 a 100 m",IF(J1196&lt;=200,"3. De 100 a 200 m",IF(J1196&lt;=300,"4. De 200 a 300 m",IF(J1196&lt;=500,"5. De 300 a 500 m","6. De 500 m a 2 km"))))))</f>
        <v>6. De 500 m a 2 km</v>
      </c>
      <c r="L1196" s="26" t="n">
        <v>0</v>
      </c>
      <c r="M1196" s="26" t="n">
        <v>0</v>
      </c>
      <c r="N1196" s="26" t="n">
        <v>0</v>
      </c>
      <c r="O1196" s="26" t="n">
        <v>0</v>
      </c>
      <c r="P1196" s="30" t="n">
        <v>-11.1737886</v>
      </c>
      <c r="Q1196" s="30" t="n">
        <v>-40.5332657</v>
      </c>
      <c r="R1196" s="14" t="inlineStr">
        <is>
          <t>FORUM ELEITORAL, AVENIDA JOÃO FRAGA BRANDÃO, S/N CENTRO, JACOBINA-BA</t>
        </is>
      </c>
      <c r="S1196" s="26">
        <f>IF(A1196=A1195,0,1)</f>
        <v>0</v>
      </c>
      <c r="T1196" s="26">
        <f>IF(COUNTIF($B$4:B1196,B1196)=1,1,0)</f>
        <v>0</v>
      </c>
    </row>
    <row r="1197">
      <c r="A1197" s="14" t="inlineStr">
        <is>
          <t>JACOBINA</t>
        </is>
      </c>
      <c r="B1197" s="26" t="n">
        <v>46</v>
      </c>
      <c r="C1197" s="26" t="n">
        <v>1651</v>
      </c>
      <c r="D1197" s="14" t="inlineStr">
        <is>
          <t>ESCOLA MUNICIPAL AGNALDO MARCELINO GOMES</t>
        </is>
      </c>
      <c r="E1197" s="14" t="inlineStr">
        <is>
          <t>CATUABA</t>
        </is>
      </c>
      <c r="F1197" s="14" t="inlineStr">
        <is>
          <t>AV. SÃO FRANCISCO DE ASSIS, S/N - ZONA URBANA</t>
        </is>
      </c>
      <c r="G1197" s="27" t="inlineStr">
        <is>
          <t>44700-000</t>
        </is>
      </c>
      <c r="H1197" s="15" t="n">
        <v>4</v>
      </c>
      <c r="I1197" s="28" t="inlineStr">
        <is>
          <t>NÃO</t>
        </is>
      </c>
      <c r="J1197" s="29" t="n">
        <v>121.2</v>
      </c>
      <c r="K1197" s="14" t="str">
        <f>IF(J1197="","7. Acima de 2 km",IF(J1197&lt;=50,"1. Até 50 m",IF(J1197&lt;=100,"2. De 50 a 100 m",IF(J1197&lt;=200,"3. De 100 a 200 m",IF(J1197&lt;=300,"4. De 200 a 300 m",IF(J1197&lt;=500,"5. De 300 a 500 m","6. De 500 m a 2 km"))))))</f>
        <v>3. De 100 a 200 m</v>
      </c>
      <c r="L1197" s="26" t="n">
        <v>0</v>
      </c>
      <c r="M1197" s="26" t="n">
        <v>0</v>
      </c>
      <c r="N1197" s="26" t="n">
        <v>1</v>
      </c>
      <c r="O1197" s="26" t="n">
        <v>1</v>
      </c>
      <c r="P1197" s="30" t="n">
        <v>-11.1701722</v>
      </c>
      <c r="Q1197" s="30" t="n">
        <v>-40.5474646</v>
      </c>
      <c r="R1197" s="14" t="inlineStr">
        <is>
          <t>FORUM ELEITORAL, AVENIDA JOÃO FRAGA BRANDÃO, S/N CENTRO, JACOBINA-BA</t>
        </is>
      </c>
      <c r="S1197" s="26">
        <f>IF(A1197=A1196,0,1)</f>
        <v>0</v>
      </c>
      <c r="T1197" s="26">
        <f>IF(COUNTIF($B$4:B1197,B1197)=1,1,0)</f>
        <v>0</v>
      </c>
    </row>
    <row r="1198">
      <c r="A1198" s="14" t="inlineStr">
        <is>
          <t>JACOBINA</t>
        </is>
      </c>
      <c r="B1198" s="26" t="n">
        <v>46</v>
      </c>
      <c r="C1198" s="26" t="n">
        <v>1660</v>
      </c>
      <c r="D1198" s="14" t="inlineStr">
        <is>
          <t>COLÉGIO ESTADUAL  DE TEMPO INTEGRAL DE JUNCO</t>
        </is>
      </c>
      <c r="E1198" s="14" t="inlineStr">
        <is>
          <t>POVOADO JUNCO</t>
        </is>
      </c>
      <c r="F1198" s="14" t="inlineStr">
        <is>
          <t>AV. PRESIDENTE MÉDICI, S/N - ZONA RURAL</t>
        </is>
      </c>
      <c r="G1198" s="27" t="inlineStr">
        <is>
          <t>44700-000</t>
        </is>
      </c>
      <c r="H1198" s="15" t="n">
        <v>5</v>
      </c>
      <c r="I1198" s="28" t="inlineStr">
        <is>
          <t>NÃO</t>
        </is>
      </c>
      <c r="J1198" s="29" t="n"/>
      <c r="K1198" s="14" t="str">
        <f>IF(J1198="","7. Acima de 2 km",IF(J1198&lt;=50,"1. Até 50 m",IF(J1198&lt;=100,"2. De 50 a 100 m",IF(J1198&lt;=200,"3. De 100 a 200 m",IF(J1198&lt;=300,"4. De 200 a 300 m",IF(J1198&lt;=500,"5. De 300 a 500 m","6. De 500 m a 2 km"))))))</f>
        <v>7. Acima de 2 km</v>
      </c>
      <c r="L1198" s="26" t="n">
        <v>0</v>
      </c>
      <c r="M1198" s="26" t="n">
        <v>0</v>
      </c>
      <c r="N1198" s="26" t="n">
        <v>0</v>
      </c>
      <c r="O1198" s="26" t="n">
        <v>0</v>
      </c>
      <c r="P1198" s="30" t="n">
        <v>-11.3271993</v>
      </c>
      <c r="Q1198" s="30" t="n">
        <v>-40.1672988</v>
      </c>
      <c r="R1198" s="14" t="inlineStr">
        <is>
          <t>FORUM ELEITORAL, AVENIDA JOÃO FRAGA BRANDÃO, S/N CENTRO, JACOBINA-BA</t>
        </is>
      </c>
      <c r="S1198" s="26">
        <f>IF(A1198=A1197,0,1)</f>
        <v>0</v>
      </c>
      <c r="T1198" s="26">
        <f>IF(COUNTIF($B$4:B1198,B1198)=1,1,0)</f>
        <v>0</v>
      </c>
    </row>
    <row r="1199">
      <c r="A1199" s="14" t="inlineStr">
        <is>
          <t>JACOBINA</t>
        </is>
      </c>
      <c r="B1199" s="26" t="n">
        <v>46</v>
      </c>
      <c r="C1199" s="26" t="n">
        <v>1678</v>
      </c>
      <c r="D1199" s="14" t="inlineStr">
        <is>
          <t>CETEP - PIEMONTE DA DIAMANTINA II</t>
        </is>
      </c>
      <c r="E1199" s="14" t="inlineStr">
        <is>
          <t>NAZARÉ</t>
        </is>
      </c>
      <c r="F1199" s="14" t="inlineStr">
        <is>
          <t>AVENIDA CENTENÁRIO, S/N - ZONA URBANA</t>
        </is>
      </c>
      <c r="G1199" s="27" t="inlineStr">
        <is>
          <t>44700-000</t>
        </is>
      </c>
      <c r="H1199" s="15" t="n">
        <v>10</v>
      </c>
      <c r="I1199" s="28" t="inlineStr">
        <is>
          <t>NÃO</t>
        </is>
      </c>
      <c r="J1199" s="29" t="n">
        <v>1074</v>
      </c>
      <c r="K1199" s="14" t="str">
        <f>IF(J1199="","7. Acima de 2 km",IF(J1199&lt;=50,"1. Até 50 m",IF(J1199&lt;=100,"2. De 50 a 100 m",IF(J1199&lt;=200,"3. De 100 a 200 m",IF(J1199&lt;=300,"4. De 200 a 300 m",IF(J1199&lt;=500,"5. De 300 a 500 m","6. De 500 m a 2 km"))))))</f>
        <v>6. De 500 m a 2 km</v>
      </c>
      <c r="L1199" s="26" t="n">
        <v>0</v>
      </c>
      <c r="M1199" s="26" t="n">
        <v>0</v>
      </c>
      <c r="N1199" s="26" t="n">
        <v>0</v>
      </c>
      <c r="O1199" s="26" t="n">
        <v>0</v>
      </c>
      <c r="P1199" s="30" t="n">
        <v>-11.1825237</v>
      </c>
      <c r="Q1199" s="30" t="n">
        <v>-40.534054</v>
      </c>
      <c r="R1199" s="14" t="inlineStr">
        <is>
          <t>FORUM ELEITORAL, AVENIDA JOÃO FRAGA BRANDÃO, S/N CENTRO, JACOBINA-BA</t>
        </is>
      </c>
      <c r="S1199" s="26">
        <f>IF(A1199=A1198,0,1)</f>
        <v>0</v>
      </c>
      <c r="T1199" s="26">
        <f>IF(COUNTIF($B$4:B1199,B1199)=1,1,0)</f>
        <v>0</v>
      </c>
    </row>
    <row r="1200">
      <c r="A1200" s="14" t="inlineStr">
        <is>
          <t>JACOBINA</t>
        </is>
      </c>
      <c r="B1200" s="26" t="n">
        <v>46</v>
      </c>
      <c r="C1200" s="26" t="n">
        <v>1686</v>
      </c>
      <c r="D1200" s="14" t="inlineStr">
        <is>
          <t>ESCOLA MUNICIPAL PROFESSORA ADALICE FERREIRA NASCIMENTO</t>
        </is>
      </c>
      <c r="E1200" s="14" t="inlineStr">
        <is>
          <t>JACOBINA III</t>
        </is>
      </c>
      <c r="F1200" s="14" t="inlineStr">
        <is>
          <t>RUA A, N. 41 - ZONA URBANA</t>
        </is>
      </c>
      <c r="G1200" s="27" t="inlineStr">
        <is>
          <t>44700-000</t>
        </is>
      </c>
      <c r="H1200" s="15" t="n">
        <v>5</v>
      </c>
      <c r="I1200" s="28" t="inlineStr">
        <is>
          <t>NÃO</t>
        </is>
      </c>
      <c r="J1200" s="29" t="n">
        <v>737.2</v>
      </c>
      <c r="K1200" s="14" t="str">
        <f>IF(J1200="","7. Acima de 2 km",IF(J1200&lt;=50,"1. Até 50 m",IF(J1200&lt;=100,"2. De 50 a 100 m",IF(J1200&lt;=200,"3. De 100 a 200 m",IF(J1200&lt;=300,"4. De 200 a 300 m",IF(J1200&lt;=500,"5. De 300 a 500 m","6. De 500 m a 2 km"))))))</f>
        <v>6. De 500 m a 2 km</v>
      </c>
      <c r="L1200" s="26" t="n">
        <v>0</v>
      </c>
      <c r="M1200" s="26" t="n">
        <v>0</v>
      </c>
      <c r="N1200" s="26" t="n">
        <v>0</v>
      </c>
      <c r="O1200" s="26" t="n">
        <v>0</v>
      </c>
      <c r="P1200" s="30" t="n">
        <v>-11.1968558</v>
      </c>
      <c r="Q1200" s="30" t="n">
        <v>-40.5344228</v>
      </c>
      <c r="R1200" s="14" t="inlineStr">
        <is>
          <t>FORUM ELEITORAL, AVENIDA JOÃO FRAGA BRANDÃO, S/N CENTRO, JACOBINA-BA</t>
        </is>
      </c>
      <c r="S1200" s="26">
        <f>IF(A1200=A1199,0,1)</f>
        <v>0</v>
      </c>
      <c r="T1200" s="26">
        <f>IF(COUNTIF($B$4:B1200,B1200)=1,1,0)</f>
        <v>0</v>
      </c>
    </row>
    <row r="1201">
      <c r="A1201" s="14" t="inlineStr">
        <is>
          <t>JEQUIÉ</t>
        </is>
      </c>
      <c r="B1201" s="26" t="n">
        <v>22</v>
      </c>
      <c r="C1201" s="26" t="n">
        <v>1015</v>
      </c>
      <c r="D1201" s="14" t="inlineStr">
        <is>
          <t>COLÉGIO ESTADUAL PAULO FREIRE</t>
        </is>
      </c>
      <c r="E1201" s="14" t="inlineStr">
        <is>
          <t>JEQUIEZINHO</t>
        </is>
      </c>
      <c r="F1201" s="14" t="inlineStr">
        <is>
          <t>AVENIDA CESAR BORGES, S/N - ZONA URBANA</t>
        </is>
      </c>
      <c r="G1201" s="27" t="inlineStr">
        <is>
          <t>45200-000</t>
        </is>
      </c>
      <c r="H1201" s="15" t="n">
        <v>9</v>
      </c>
      <c r="I1201" s="28" t="inlineStr">
        <is>
          <t>NÃO</t>
        </is>
      </c>
      <c r="J1201" s="29" t="n">
        <v>452.9</v>
      </c>
      <c r="K1201" s="14" t="str">
        <f>IF(J1201="","7. Acima de 2 km",IF(J1201&lt;=50,"1. Até 50 m",IF(J1201&lt;=100,"2. De 50 a 100 m",IF(J1201&lt;=200,"3. De 100 a 200 m",IF(J1201&lt;=300,"4. De 200 a 300 m",IF(J1201&lt;=500,"5. De 300 a 500 m","6. De 500 m a 2 km"))))))</f>
        <v>5. De 300 a 500 m</v>
      </c>
      <c r="L1201" s="26" t="n">
        <v>0</v>
      </c>
      <c r="M1201" s="26" t="n">
        <v>0</v>
      </c>
      <c r="N1201" s="26" t="n">
        <v>0</v>
      </c>
      <c r="O1201" s="26" t="n">
        <v>0</v>
      </c>
      <c r="P1201" s="30" t="n">
        <v>-13.85824272</v>
      </c>
      <c r="Q1201" s="30" t="n">
        <v>-40.07424991</v>
      </c>
      <c r="R1201" s="14" t="inlineStr">
        <is>
          <t>FÓRUM ELEITORAL DE JEQUIÉ, RUA GILDÉLITO FERRAZ, Nº 3-B, JEQUIEZINHO, JEQUIÉ-BA</t>
        </is>
      </c>
      <c r="S1201" s="26">
        <f>IF(A1201=A1200,0,1)</f>
        <v>1</v>
      </c>
      <c r="T1201" s="26">
        <f>IF(COUNTIF($B$4:B1201,B1201)=1,1,0)</f>
        <v>1</v>
      </c>
    </row>
    <row r="1202">
      <c r="A1202" s="14" t="inlineStr">
        <is>
          <t>JEQUIÉ</t>
        </is>
      </c>
      <c r="B1202" s="26" t="n">
        <v>22</v>
      </c>
      <c r="C1202" s="26" t="n">
        <v>1023</v>
      </c>
      <c r="D1202" s="14" t="inlineStr">
        <is>
          <t>ESCOLA MUNICIPAL ANÍSIO TEIXEIRA</t>
        </is>
      </c>
      <c r="E1202" s="14" t="inlineStr">
        <is>
          <t>JEQUIEZINHO</t>
        </is>
      </c>
      <c r="F1202" s="14" t="inlineStr">
        <is>
          <t>RUA AGAPITO FERNANDES, N. 01 - ZONA URBANA</t>
        </is>
      </c>
      <c r="G1202" s="27" t="inlineStr">
        <is>
          <t>45200-000</t>
        </is>
      </c>
      <c r="H1202" s="15" t="n">
        <v>9</v>
      </c>
      <c r="I1202" s="28" t="inlineStr">
        <is>
          <t>NÃO</t>
        </is>
      </c>
      <c r="J1202" s="29" t="n">
        <v>267.4</v>
      </c>
      <c r="K1202" s="14" t="str">
        <f>IF(J1202="","7. Acima de 2 km",IF(J1202&lt;=50,"1. Até 50 m",IF(J1202&lt;=100,"2. De 50 a 100 m",IF(J1202&lt;=200,"3. De 100 a 200 m",IF(J1202&lt;=300,"4. De 200 a 300 m",IF(J1202&lt;=500,"5. De 300 a 500 m","6. De 500 m a 2 km"))))))</f>
        <v>4. De 200 a 300 m</v>
      </c>
      <c r="L1202" s="26" t="n">
        <v>0</v>
      </c>
      <c r="M1202" s="26" t="n">
        <v>0</v>
      </c>
      <c r="N1202" s="26" t="n">
        <v>0</v>
      </c>
      <c r="O1202" s="26" t="n">
        <v>1</v>
      </c>
      <c r="P1202" s="30" t="n">
        <v>-13.86927785</v>
      </c>
      <c r="Q1202" s="30" t="n">
        <v>-40.07068331</v>
      </c>
      <c r="R1202" s="14" t="inlineStr">
        <is>
          <t>FÓRUM ELEITORAL DE JEQUIÉ, RUA GILDÉLITO FERRAZ, Nº 3-B, JEQUIEZINHO, JEQUIÉ-BA</t>
        </is>
      </c>
      <c r="S1202" s="26">
        <f>IF(A1202=A1201,0,1)</f>
        <v>0</v>
      </c>
      <c r="T1202" s="26">
        <f>IF(COUNTIF($B$4:B1202,B1202)=1,1,0)</f>
        <v>0</v>
      </c>
    </row>
    <row r="1203">
      <c r="A1203" s="14" t="inlineStr">
        <is>
          <t>JEQUIÉ</t>
        </is>
      </c>
      <c r="B1203" s="26" t="n">
        <v>22</v>
      </c>
      <c r="C1203" s="26" t="n">
        <v>1031</v>
      </c>
      <c r="D1203" s="14" t="inlineStr">
        <is>
          <t>CAIC</t>
        </is>
      </c>
      <c r="E1203" s="14" t="inlineStr">
        <is>
          <t>JEQUIEZINHO</t>
        </is>
      </c>
      <c r="F1203" s="14" t="inlineStr">
        <is>
          <t>URBIS IV - ZONA URBANA</t>
        </is>
      </c>
      <c r="G1203" s="27" t="inlineStr">
        <is>
          <t>45200-000</t>
        </is>
      </c>
      <c r="H1203" s="15" t="n">
        <v>10</v>
      </c>
      <c r="I1203" s="28" t="inlineStr">
        <is>
          <t>NÃO</t>
        </is>
      </c>
      <c r="J1203" s="29" t="n">
        <v>444.3</v>
      </c>
      <c r="K1203" s="14" t="str">
        <f>IF(J1203="","7. Acima de 2 km",IF(J1203&lt;=50,"1. Até 50 m",IF(J1203&lt;=100,"2. De 50 a 100 m",IF(J1203&lt;=200,"3. De 100 a 200 m",IF(J1203&lt;=300,"4. De 200 a 300 m",IF(J1203&lt;=500,"5. De 300 a 500 m","6. De 500 m a 2 km"))))))</f>
        <v>5. De 300 a 500 m</v>
      </c>
      <c r="L1203" s="26" t="n">
        <v>0</v>
      </c>
      <c r="M1203" s="26" t="n">
        <v>0</v>
      </c>
      <c r="N1203" s="26" t="n">
        <v>0</v>
      </c>
      <c r="O1203" s="26" t="n">
        <v>0</v>
      </c>
      <c r="P1203" s="30" t="n">
        <v>-13.8754118</v>
      </c>
      <c r="Q1203" s="30" t="n">
        <v>-40.06492097</v>
      </c>
      <c r="R1203" s="14" t="inlineStr">
        <is>
          <t>FÓRUM ELEITORAL DE JEQUIÉ, RUA GILDÉLITO FERRAZ, Nº 3-B, JEQUIEZINHO, JEQUIÉ-BA</t>
        </is>
      </c>
      <c r="S1203" s="26">
        <f>IF(A1203=A1202,0,1)</f>
        <v>0</v>
      </c>
      <c r="T1203" s="26">
        <f>IF(COUNTIF($B$4:B1203,B1203)=1,1,0)</f>
        <v>0</v>
      </c>
    </row>
    <row r="1204">
      <c r="A1204" s="14" t="inlineStr">
        <is>
          <t>JEQUIÉ</t>
        </is>
      </c>
      <c r="B1204" s="26" t="n">
        <v>22</v>
      </c>
      <c r="C1204" s="26" t="n">
        <v>1040</v>
      </c>
      <c r="D1204" s="14" t="inlineStr">
        <is>
          <t>COLÉGIO DA POLÍCIA MILITAR LUIS NEVES COTRIM</t>
        </is>
      </c>
      <c r="E1204" s="14" t="inlineStr">
        <is>
          <t>JEQUIEZINHO</t>
        </is>
      </c>
      <c r="F1204" s="14" t="inlineStr">
        <is>
          <t>RUA MARIA ADÉLIA MELLEN, S/N - ZONA URBANA</t>
        </is>
      </c>
      <c r="G1204" s="27" t="inlineStr">
        <is>
          <t>45208-900</t>
        </is>
      </c>
      <c r="H1204" s="15" t="n">
        <v>11</v>
      </c>
      <c r="I1204" s="28" t="inlineStr">
        <is>
          <t>NÃO</t>
        </is>
      </c>
      <c r="J1204" s="29" t="n">
        <v>220.9</v>
      </c>
      <c r="K1204" s="14" t="str">
        <f>IF(J1204="","7. Acima de 2 km",IF(J1204&lt;=50,"1. Até 50 m",IF(J1204&lt;=100,"2. De 50 a 100 m",IF(J1204&lt;=200,"3. De 100 a 200 m",IF(J1204&lt;=300,"4. De 200 a 300 m",IF(J1204&lt;=500,"5. De 300 a 500 m","6. De 500 m a 2 km"))))))</f>
        <v>4. De 200 a 300 m</v>
      </c>
      <c r="L1204" s="26" t="n">
        <v>0</v>
      </c>
      <c r="M1204" s="26" t="n">
        <v>0</v>
      </c>
      <c r="N1204" s="26" t="n">
        <v>0</v>
      </c>
      <c r="O1204" s="26" t="n">
        <v>1</v>
      </c>
      <c r="P1204" s="30" t="n">
        <v>-13.86663089</v>
      </c>
      <c r="Q1204" s="30" t="n">
        <v>-40.06173067</v>
      </c>
      <c r="R1204" s="14" t="inlineStr">
        <is>
          <t>FÓRUM ELEITORAL DE JEQUIÉ, RUA GILDÉLITO FERRAZ, Nº 3-B, JEQUIEZINHO, JEQUIÉ-BA</t>
        </is>
      </c>
      <c r="S1204" s="26">
        <f>IF(A1204=A1203,0,1)</f>
        <v>0</v>
      </c>
      <c r="T1204" s="26">
        <f>IF(COUNTIF($B$4:B1204,B1204)=1,1,0)</f>
        <v>0</v>
      </c>
    </row>
    <row r="1205">
      <c r="A1205" s="14" t="inlineStr">
        <is>
          <t>JEQUIÉ</t>
        </is>
      </c>
      <c r="B1205" s="26" t="n">
        <v>22</v>
      </c>
      <c r="C1205" s="26" t="n">
        <v>1066</v>
      </c>
      <c r="D1205" s="14" t="inlineStr">
        <is>
          <t>GINÁSIO POLIVALENTE</t>
        </is>
      </c>
      <c r="E1205" s="14" t="inlineStr">
        <is>
          <t>JEQUIEZINHO</t>
        </is>
      </c>
      <c r="F1205" s="14" t="inlineStr">
        <is>
          <t>RUA FRANZ GEDEON S/N - ZONA URBANA</t>
        </is>
      </c>
      <c r="G1205" s="27" t="inlineStr">
        <is>
          <t>45200-000</t>
        </is>
      </c>
      <c r="H1205" s="15" t="n">
        <v>17</v>
      </c>
      <c r="I1205" s="28" t="inlineStr">
        <is>
          <t>NÃO</t>
        </is>
      </c>
      <c r="J1205" s="29" t="n">
        <v>186.4</v>
      </c>
      <c r="K1205" s="14" t="str">
        <f>IF(J1205="","7. Acima de 2 km",IF(J1205&lt;=50,"1. Até 50 m",IF(J1205&lt;=100,"2. De 50 a 100 m",IF(J1205&lt;=200,"3. De 100 a 200 m",IF(J1205&lt;=300,"4. De 200 a 300 m",IF(J1205&lt;=500,"5. De 300 a 500 m","6. De 500 m a 2 km"))))))</f>
        <v>3. De 100 a 200 m</v>
      </c>
      <c r="L1205" s="26" t="n">
        <v>0</v>
      </c>
      <c r="M1205" s="26" t="n">
        <v>0</v>
      </c>
      <c r="N1205" s="26" t="n">
        <v>1</v>
      </c>
      <c r="O1205" s="26" t="n">
        <v>1</v>
      </c>
      <c r="P1205" s="30" t="n">
        <v>-13.86615601</v>
      </c>
      <c r="Q1205" s="30" t="n">
        <v>-40.06477925</v>
      </c>
      <c r="R1205" s="14" t="inlineStr">
        <is>
          <t>FÓRUM ELEITORAL DE JEQUIÉ, RUA GILDÉLITO FERRAZ, Nº 3-B, JEQUIEZINHO, JEQUIÉ-BA</t>
        </is>
      </c>
      <c r="S1205" s="26">
        <f>IF(A1205=A1204,0,1)</f>
        <v>0</v>
      </c>
      <c r="T1205" s="26">
        <f>IF(COUNTIF($B$4:B1205,B1205)=1,1,0)</f>
        <v>0</v>
      </c>
    </row>
    <row r="1206">
      <c r="A1206" s="14" t="inlineStr">
        <is>
          <t>JEQUIÉ</t>
        </is>
      </c>
      <c r="B1206" s="26" t="n">
        <v>22</v>
      </c>
      <c r="C1206" s="26" t="n">
        <v>1074</v>
      </c>
      <c r="D1206" s="14" t="inlineStr">
        <is>
          <t>GRUPO ESCOLAR FERNANDO BARRETO</t>
        </is>
      </c>
      <c r="E1206" s="14" t="inlineStr">
        <is>
          <t>JEQUIEZINHO</t>
        </is>
      </c>
      <c r="F1206" s="14" t="inlineStr">
        <is>
          <t>RUA GUILHERME FERNANDES S/N - ZONA URBANA</t>
        </is>
      </c>
      <c r="G1206" s="27" t="inlineStr">
        <is>
          <t>45200-000</t>
        </is>
      </c>
      <c r="H1206" s="15" t="n">
        <v>7</v>
      </c>
      <c r="I1206" s="28" t="inlineStr">
        <is>
          <t>NÃO</t>
        </is>
      </c>
      <c r="J1206" s="29" t="n">
        <v>186.9</v>
      </c>
      <c r="K1206" s="14" t="str">
        <f>IF(J1206="","7. Acima de 2 km",IF(J1206&lt;=50,"1. Até 50 m",IF(J1206&lt;=100,"2. De 50 a 100 m",IF(J1206&lt;=200,"3. De 100 a 200 m",IF(J1206&lt;=300,"4. De 200 a 300 m",IF(J1206&lt;=500,"5. De 300 a 500 m","6. De 500 m a 2 km"))))))</f>
        <v>3. De 100 a 200 m</v>
      </c>
      <c r="L1206" s="26" t="n">
        <v>0</v>
      </c>
      <c r="M1206" s="26" t="n">
        <v>0</v>
      </c>
      <c r="N1206" s="26" t="n">
        <v>1</v>
      </c>
      <c r="O1206" s="26" t="n">
        <v>3</v>
      </c>
      <c r="P1206" s="30" t="n">
        <v>-13.86485334</v>
      </c>
      <c r="Q1206" s="30" t="n">
        <v>-40.072257</v>
      </c>
      <c r="R1206" s="14" t="inlineStr">
        <is>
          <t>FÓRUM ELEITORAL DE JEQUIÉ, RUA GILDÉLITO FERRAZ, Nº 3-B, JEQUIEZINHO, JEQUIÉ-BA</t>
        </is>
      </c>
      <c r="S1206" s="26">
        <f>IF(A1206=A1205,0,1)</f>
        <v>0</v>
      </c>
      <c r="T1206" s="26">
        <f>IF(COUNTIF($B$4:B1206,B1206)=1,1,0)</f>
        <v>0</v>
      </c>
    </row>
    <row r="1207">
      <c r="A1207" s="14" t="inlineStr">
        <is>
          <t>JEQUIÉ</t>
        </is>
      </c>
      <c r="B1207" s="26" t="n">
        <v>22</v>
      </c>
      <c r="C1207" s="26" t="n">
        <v>1082</v>
      </c>
      <c r="D1207" s="14" t="inlineStr">
        <is>
          <t>GINÁSIO DR. CELI DE FREITAS</t>
        </is>
      </c>
      <c r="E1207" s="14" t="inlineStr">
        <is>
          <t>JEQUIEZINHO</t>
        </is>
      </c>
      <c r="F1207" s="14" t="inlineStr">
        <is>
          <t>AV. JOSÉ MOREIRA SOBRINHO, S/N - ZONA URBANA</t>
        </is>
      </c>
      <c r="G1207" s="27" t="inlineStr">
        <is>
          <t>45200-000</t>
        </is>
      </c>
      <c r="H1207" s="15" t="n">
        <v>6</v>
      </c>
      <c r="I1207" s="28" t="inlineStr">
        <is>
          <t>NÃO</t>
        </is>
      </c>
      <c r="J1207" s="29" t="n">
        <v>220.3</v>
      </c>
      <c r="K1207" s="14" t="str">
        <f>IF(J1207="","7. Acima de 2 km",IF(J1207&lt;=50,"1. Até 50 m",IF(J1207&lt;=100,"2. De 50 a 100 m",IF(J1207&lt;=200,"3. De 100 a 200 m",IF(J1207&lt;=300,"4. De 200 a 300 m",IF(J1207&lt;=500,"5. De 300 a 500 m","6. De 500 m a 2 km"))))))</f>
        <v>4. De 200 a 300 m</v>
      </c>
      <c r="L1207" s="26" t="n">
        <v>0</v>
      </c>
      <c r="M1207" s="26" t="n">
        <v>0</v>
      </c>
      <c r="N1207" s="26" t="n">
        <v>0</v>
      </c>
      <c r="O1207" s="26" t="n">
        <v>1</v>
      </c>
      <c r="P1207" s="30" t="n">
        <v>-13.87035375</v>
      </c>
      <c r="Q1207" s="30" t="n">
        <v>-40.07149145</v>
      </c>
      <c r="R1207" s="14" t="inlineStr">
        <is>
          <t>FÓRUM ELEITORAL DE JEQUIÉ, RUA GILDÉLITO FERRAZ, Nº 3-B, JEQUIEZINHO, JEQUIÉ-BA</t>
        </is>
      </c>
      <c r="S1207" s="26">
        <f>IF(A1207=A1206,0,1)</f>
        <v>0</v>
      </c>
      <c r="T1207" s="26">
        <f>IF(COUNTIF($B$4:B1207,B1207)=1,1,0)</f>
        <v>0</v>
      </c>
    </row>
    <row r="1208">
      <c r="A1208" s="14" t="inlineStr">
        <is>
          <t>JEQUIÉ</t>
        </is>
      </c>
      <c r="B1208" s="26" t="n">
        <v>22</v>
      </c>
      <c r="C1208" s="26" t="n">
        <v>1139</v>
      </c>
      <c r="D1208" s="14" t="inlineStr">
        <is>
          <t>PREDIO ESCOLAR DE BARRA AVENIDA</t>
        </is>
      </c>
      <c r="E1208" s="14" t="inlineStr">
        <is>
          <t>POVOADO BARRA AVENIDA</t>
        </is>
      </c>
      <c r="F1208" s="14" t="inlineStr">
        <is>
          <t>POVOADO BARRA AVENIDA - ZONA RURAL</t>
        </is>
      </c>
      <c r="G1208" s="27" t="inlineStr">
        <is>
          <t>45200-000</t>
        </is>
      </c>
      <c r="H1208" s="15" t="n">
        <v>2</v>
      </c>
      <c r="I1208" s="28" t="inlineStr">
        <is>
          <t>NÃO</t>
        </is>
      </c>
      <c r="J1208" s="29" t="n"/>
      <c r="K1208" s="14" t="str">
        <f>IF(J1208="","7. Acima de 2 km",IF(J1208&lt;=50,"1. Até 50 m",IF(J1208&lt;=100,"2. De 50 a 100 m",IF(J1208&lt;=200,"3. De 100 a 200 m",IF(J1208&lt;=300,"4. De 200 a 300 m",IF(J1208&lt;=500,"5. De 300 a 500 m","6. De 500 m a 2 km"))))))</f>
        <v>7. Acima de 2 km</v>
      </c>
      <c r="L1208" s="26" t="n">
        <v>0</v>
      </c>
      <c r="M1208" s="26" t="n">
        <v>0</v>
      </c>
      <c r="N1208" s="26" t="n">
        <v>0</v>
      </c>
      <c r="O1208" s="26" t="n">
        <v>0</v>
      </c>
      <c r="P1208" s="30" t="n">
        <v>-14.02652</v>
      </c>
      <c r="Q1208" s="30" t="n">
        <v>-39.9052833</v>
      </c>
      <c r="R1208" s="14" t="inlineStr">
        <is>
          <t>FÓRUM ELEITORAL DE JEQUIÉ, RUA GILDÉLITO FERRAZ, Nº 3-B, JEQUIEZINHO, JEQUIÉ-BA</t>
        </is>
      </c>
      <c r="S1208" s="26">
        <f>IF(A1208=A1207,0,1)</f>
        <v>0</v>
      </c>
      <c r="T1208" s="26">
        <f>IF(COUNTIF($B$4:B1208,B1208)=1,1,0)</f>
        <v>0</v>
      </c>
    </row>
    <row r="1209">
      <c r="A1209" s="14" t="inlineStr">
        <is>
          <t>JEQUIÉ</t>
        </is>
      </c>
      <c r="B1209" s="26" t="n">
        <v>22</v>
      </c>
      <c r="C1209" s="26" t="n">
        <v>1147</v>
      </c>
      <c r="D1209" s="14" t="inlineStr">
        <is>
          <t>ESCOLA MUNICIPAL AGNELO MENEZES</t>
        </is>
      </c>
      <c r="E1209" s="14" t="inlineStr">
        <is>
          <t>POVOADO BARRAGEM DE PEDRA</t>
        </is>
      </c>
      <c r="F1209" s="14" t="inlineStr">
        <is>
          <t>POVOADO BARRAGEM DA PEDRA - ZONA RURAL</t>
        </is>
      </c>
      <c r="G1209" s="27" t="inlineStr">
        <is>
          <t>45200-000</t>
        </is>
      </c>
      <c r="H1209" s="15" t="n">
        <v>2</v>
      </c>
      <c r="I1209" s="28" t="inlineStr">
        <is>
          <t>NÃO</t>
        </is>
      </c>
      <c r="J1209" s="29" t="n"/>
      <c r="K1209" s="14" t="str">
        <f>IF(J1209="","7. Acima de 2 km",IF(J1209&lt;=50,"1. Até 50 m",IF(J1209&lt;=100,"2. De 50 a 100 m",IF(J1209&lt;=200,"3. De 100 a 200 m",IF(J1209&lt;=300,"4. De 200 a 300 m",IF(J1209&lt;=500,"5. De 300 a 500 m","6. De 500 m a 2 km"))))))</f>
        <v>7. Acima de 2 km</v>
      </c>
      <c r="L1209" s="26" t="n">
        <v>0</v>
      </c>
      <c r="M1209" s="26" t="n">
        <v>0</v>
      </c>
      <c r="N1209" s="26" t="n">
        <v>0</v>
      </c>
      <c r="O1209" s="26" t="n">
        <v>0</v>
      </c>
      <c r="P1209" s="30" t="n">
        <v>-13.8684209</v>
      </c>
      <c r="Q1209" s="30" t="n">
        <v>-40.2278211</v>
      </c>
      <c r="R1209" s="14" t="inlineStr">
        <is>
          <t>FÓRUM ELEITORAL DE JEQUIÉ, RUA GILDÉLITO FERRAZ, Nº 3-B, JEQUIEZINHO, JEQUIÉ-BA</t>
        </is>
      </c>
      <c r="S1209" s="26">
        <f>IF(A1209=A1208,0,1)</f>
        <v>0</v>
      </c>
      <c r="T1209" s="26">
        <f>IF(COUNTIF($B$4:B1209,B1209)=1,1,0)</f>
        <v>0</v>
      </c>
    </row>
    <row r="1210">
      <c r="A1210" s="14" t="inlineStr">
        <is>
          <t>JEQUIÉ</t>
        </is>
      </c>
      <c r="B1210" s="26" t="n">
        <v>22</v>
      </c>
      <c r="C1210" s="26" t="n">
        <v>1155</v>
      </c>
      <c r="D1210" s="14" t="inlineStr">
        <is>
          <t>GRUPO ESCOLAR SÃO JORGE</t>
        </is>
      </c>
      <c r="E1210" s="14" t="inlineStr">
        <is>
          <t>DISTRITO BAIXÃO</t>
        </is>
      </c>
      <c r="F1210" s="14" t="inlineStr">
        <is>
          <t>RUA DA ESTAÇÃO FERROVIÁRIA - ZONA RURAL</t>
        </is>
      </c>
      <c r="G1210" s="27" t="inlineStr">
        <is>
          <t>45200-000</t>
        </is>
      </c>
      <c r="H1210" s="15" t="n">
        <v>2</v>
      </c>
      <c r="I1210" s="28" t="inlineStr">
        <is>
          <t>NÃO</t>
        </is>
      </c>
      <c r="J1210" s="29" t="n"/>
      <c r="K1210" s="14" t="str">
        <f>IF(J1210="","7. Acima de 2 km",IF(J1210&lt;=50,"1. Até 50 m",IF(J1210&lt;=100,"2. De 50 a 100 m",IF(J1210&lt;=200,"3. De 100 a 200 m",IF(J1210&lt;=300,"4. De 200 a 300 m",IF(J1210&lt;=500,"5. De 300 a 500 m","6. De 500 m a 2 km"))))))</f>
        <v>7. Acima de 2 km</v>
      </c>
      <c r="L1210" s="26" t="n">
        <v>0</v>
      </c>
      <c r="M1210" s="26" t="n">
        <v>0</v>
      </c>
      <c r="N1210" s="26" t="n">
        <v>0</v>
      </c>
      <c r="O1210" s="26" t="n">
        <v>0</v>
      </c>
      <c r="P1210" s="30" t="n">
        <v>-13.6920033</v>
      </c>
      <c r="Q1210" s="30" t="n">
        <v>-40.0938483</v>
      </c>
      <c r="R1210" s="14" t="inlineStr">
        <is>
          <t>FÓRUM ELEITORAL DE JEQUIÉ, RUA GILDÉLITO FERRAZ, Nº 3-B, JEQUIEZINHO, JEQUIÉ-BA</t>
        </is>
      </c>
      <c r="S1210" s="26">
        <f>IF(A1210=A1209,0,1)</f>
        <v>0</v>
      </c>
      <c r="T1210" s="26">
        <f>IF(COUNTIF($B$4:B1210,B1210)=1,1,0)</f>
        <v>0</v>
      </c>
    </row>
    <row r="1211">
      <c r="A1211" s="14" t="inlineStr">
        <is>
          <t>JEQUIÉ</t>
        </is>
      </c>
      <c r="B1211" s="26" t="n">
        <v>22</v>
      </c>
      <c r="C1211" s="26" t="n">
        <v>1163</v>
      </c>
      <c r="D1211" s="14" t="inlineStr">
        <is>
          <t>GRUPO ESCOLAR JUDITH RABELLO BORGES</t>
        </is>
      </c>
      <c r="E1211" s="14" t="inlineStr">
        <is>
          <t>POVOADO MONTE BRANCO</t>
        </is>
      </c>
      <c r="F1211" s="14" t="inlineStr">
        <is>
          <t>RUA NOVA, S/N - ZONA RURAL</t>
        </is>
      </c>
      <c r="G1211" s="27" t="inlineStr">
        <is>
          <t>45200-000</t>
        </is>
      </c>
      <c r="H1211" s="15" t="n">
        <v>1</v>
      </c>
      <c r="I1211" s="28" t="inlineStr">
        <is>
          <t>NÃO</t>
        </is>
      </c>
      <c r="J1211" s="29" t="n"/>
      <c r="K1211" s="14" t="str">
        <f>IF(J1211="","7. Acima de 2 km",IF(J1211&lt;=50,"1. Até 50 m",IF(J1211&lt;=100,"2. De 50 a 100 m",IF(J1211&lt;=200,"3. De 100 a 200 m",IF(J1211&lt;=300,"4. De 200 a 300 m",IF(J1211&lt;=500,"5. De 300 a 500 m","6. De 500 m a 2 km"))))))</f>
        <v>7. Acima de 2 km</v>
      </c>
      <c r="L1211" s="26" t="n">
        <v>0</v>
      </c>
      <c r="M1211" s="26" t="n">
        <v>0</v>
      </c>
      <c r="N1211" s="26" t="n">
        <v>0</v>
      </c>
      <c r="O1211" s="26" t="n">
        <v>0</v>
      </c>
      <c r="P1211" s="30" t="n">
        <v>-13.8429717</v>
      </c>
      <c r="Q1211" s="30" t="n">
        <v>-40.3712033</v>
      </c>
      <c r="R1211" s="14" t="inlineStr">
        <is>
          <t>FÓRUM ELEITORAL DE JEQUIÉ, RUA GILDÉLITO FERRAZ, Nº 3-B, JEQUIEZINHO, JEQUIÉ-BA</t>
        </is>
      </c>
      <c r="S1211" s="26">
        <f>IF(A1211=A1210,0,1)</f>
        <v>0</v>
      </c>
      <c r="T1211" s="26">
        <f>IF(COUNTIF($B$4:B1211,B1211)=1,1,0)</f>
        <v>0</v>
      </c>
    </row>
    <row r="1212">
      <c r="A1212" s="14" t="inlineStr">
        <is>
          <t>JEQUIÉ</t>
        </is>
      </c>
      <c r="B1212" s="26" t="n">
        <v>22</v>
      </c>
      <c r="C1212" s="26" t="n">
        <v>1171</v>
      </c>
      <c r="D1212" s="14" t="inlineStr">
        <is>
          <t>ASSOCIAÇÃO COMUNITÁRIA DOS AGRICULTORES DE BOA VISTA</t>
        </is>
      </c>
      <c r="E1212" s="14" t="inlineStr">
        <is>
          <t>POVOADO BOA VISTA</t>
        </is>
      </c>
      <c r="F1212" s="14" t="inlineStr">
        <is>
          <t>POVOADO BOA VISTA - ZONA RURAL</t>
        </is>
      </c>
      <c r="G1212" s="27" t="inlineStr">
        <is>
          <t>45200-000</t>
        </is>
      </c>
      <c r="H1212" s="15" t="n">
        <v>2</v>
      </c>
      <c r="I1212" s="28" t="inlineStr">
        <is>
          <t>NÃO</t>
        </is>
      </c>
      <c r="J1212" s="29" t="n"/>
      <c r="K1212" s="14" t="str">
        <f>IF(J1212="","7. Acima de 2 km",IF(J1212&lt;=50,"1. Até 50 m",IF(J1212&lt;=100,"2. De 50 a 100 m",IF(J1212&lt;=200,"3. De 100 a 200 m",IF(J1212&lt;=300,"4. De 200 a 300 m",IF(J1212&lt;=500,"5. De 300 a 500 m","6. De 500 m a 2 km"))))))</f>
        <v>7. Acima de 2 km</v>
      </c>
      <c r="L1212" s="26" t="n">
        <v>0</v>
      </c>
      <c r="M1212" s="26" t="n">
        <v>0</v>
      </c>
      <c r="N1212" s="26" t="n">
        <v>0</v>
      </c>
      <c r="O1212" s="26" t="n">
        <v>0</v>
      </c>
      <c r="P1212" s="30" t="n">
        <v>-13.825735</v>
      </c>
      <c r="Q1212" s="30" t="n">
        <v>-40.478375</v>
      </c>
      <c r="R1212" s="14" t="inlineStr">
        <is>
          <t>FÓRUM ELEITORAL DE JEQUIÉ, RUA GILDÉLITO FERRAZ, Nº 3-B, JEQUIEZINHO, JEQUIÉ-BA</t>
        </is>
      </c>
      <c r="S1212" s="26">
        <f>IF(A1212=A1211,0,1)</f>
        <v>0</v>
      </c>
      <c r="T1212" s="26">
        <f>IF(COUNTIF($B$4:B1212,B1212)=1,1,0)</f>
        <v>0</v>
      </c>
    </row>
    <row r="1213">
      <c r="A1213" s="14" t="inlineStr">
        <is>
          <t>JEQUIÉ</t>
        </is>
      </c>
      <c r="B1213" s="26" t="n">
        <v>22</v>
      </c>
      <c r="C1213" s="26" t="n">
        <v>1180</v>
      </c>
      <c r="D1213" s="14" t="inlineStr">
        <is>
          <t>GRUPO ESCOLAR LUÍS CARLOS BRAGA</t>
        </is>
      </c>
      <c r="E1213" s="14" t="inlineStr">
        <is>
          <t>DISTRITO BOAÇU</t>
        </is>
      </c>
      <c r="F1213" s="14" t="inlineStr">
        <is>
          <t>DISTRITO BOAÇU - ZONA RURAL</t>
        </is>
      </c>
      <c r="G1213" s="27" t="inlineStr">
        <is>
          <t>45200-000</t>
        </is>
      </c>
      <c r="H1213" s="15" t="n">
        <v>3</v>
      </c>
      <c r="I1213" s="28" t="inlineStr">
        <is>
          <t>NÃO</t>
        </is>
      </c>
      <c r="J1213" s="29" t="n"/>
      <c r="K1213" s="14" t="str">
        <f>IF(J1213="","7. Acima de 2 km",IF(J1213&lt;=50,"1. Até 50 m",IF(J1213&lt;=100,"2. De 50 a 100 m",IF(J1213&lt;=200,"3. De 100 a 200 m",IF(J1213&lt;=300,"4. De 200 a 300 m",IF(J1213&lt;=500,"5. De 300 a 500 m","6. De 500 m a 2 km"))))))</f>
        <v>7. Acima de 2 km</v>
      </c>
      <c r="L1213" s="26" t="n">
        <v>0</v>
      </c>
      <c r="M1213" s="26" t="n">
        <v>0</v>
      </c>
      <c r="N1213" s="26" t="n">
        <v>0</v>
      </c>
      <c r="O1213" s="26" t="n">
        <v>0</v>
      </c>
      <c r="P1213" s="30" t="n">
        <v>-13.9873017</v>
      </c>
      <c r="Q1213" s="30" t="n">
        <v>-40.1803817</v>
      </c>
      <c r="R1213" s="14" t="inlineStr">
        <is>
          <t>FÓRUM ELEITORAL DE JEQUIÉ, RUA GILDÉLITO FERRAZ, Nº 3-B, JEQUIEZINHO, JEQUIÉ-BA</t>
        </is>
      </c>
      <c r="S1213" s="26">
        <f>IF(A1213=A1212,0,1)</f>
        <v>0</v>
      </c>
      <c r="T1213" s="26">
        <f>IF(COUNTIF($B$4:B1213,B1213)=1,1,0)</f>
        <v>0</v>
      </c>
    </row>
    <row r="1214">
      <c r="A1214" s="14" t="inlineStr">
        <is>
          <t>JEQUIÉ</t>
        </is>
      </c>
      <c r="B1214" s="26" t="n">
        <v>22</v>
      </c>
      <c r="C1214" s="26" t="n">
        <v>1198</v>
      </c>
      <c r="D1214" s="14" t="inlineStr">
        <is>
          <t>ESCOLA MUNICIPAL SILVIA VIEIRA</t>
        </is>
      </c>
      <c r="E1214" s="14" t="inlineStr">
        <is>
          <t>DISTRITO ORIENTE NOVO</t>
        </is>
      </c>
      <c r="F1214" s="14" t="inlineStr">
        <is>
          <t>PRAÇA DA IGREJA - ZONA RURAL</t>
        </is>
      </c>
      <c r="G1214" s="27" t="inlineStr">
        <is>
          <t>45200-000</t>
        </is>
      </c>
      <c r="H1214" s="15" t="n">
        <v>2</v>
      </c>
      <c r="I1214" s="28" t="inlineStr">
        <is>
          <t>NÃO</t>
        </is>
      </c>
      <c r="J1214" s="29" t="n"/>
      <c r="K1214" s="14" t="str">
        <f>IF(J1214="","7. Acima de 2 km",IF(J1214&lt;=50,"1. Até 50 m",IF(J1214&lt;=100,"2. De 50 a 100 m",IF(J1214&lt;=200,"3. De 100 a 200 m",IF(J1214&lt;=300,"4. De 200 a 300 m",IF(J1214&lt;=500,"5. De 300 a 500 m","6. De 500 m a 2 km"))))))</f>
        <v>7. Acima de 2 km</v>
      </c>
      <c r="L1214" s="26" t="n">
        <v>0</v>
      </c>
      <c r="M1214" s="26" t="n">
        <v>0</v>
      </c>
      <c r="N1214" s="26" t="n">
        <v>0</v>
      </c>
      <c r="O1214" s="26" t="n">
        <v>0</v>
      </c>
      <c r="P1214" s="30" t="n">
        <v>-14.17894</v>
      </c>
      <c r="Q1214" s="30" t="n">
        <v>-40.1087302</v>
      </c>
      <c r="R1214" s="14" t="inlineStr">
        <is>
          <t>FÓRUM ELEITORAL DE JEQUIÉ, RUA GILDÉLITO FERRAZ, Nº 3-B, JEQUIEZINHO, JEQUIÉ-BA</t>
        </is>
      </c>
      <c r="S1214" s="26">
        <f>IF(A1214=A1213,0,1)</f>
        <v>0</v>
      </c>
      <c r="T1214" s="26">
        <f>IF(COUNTIF($B$4:B1214,B1214)=1,1,0)</f>
        <v>0</v>
      </c>
    </row>
    <row r="1215">
      <c r="A1215" s="14" t="inlineStr">
        <is>
          <t>JEQUIÉ</t>
        </is>
      </c>
      <c r="B1215" s="26" t="n">
        <v>22</v>
      </c>
      <c r="C1215" s="26" t="n">
        <v>1287</v>
      </c>
      <c r="D1215" s="14" t="inlineStr">
        <is>
          <t>GRUPO ESCOLAR MUNICIPAL PROFESSORA EDINALVA MIRANDA ALMEIDA</t>
        </is>
      </c>
      <c r="E1215" s="14" t="inlineStr">
        <is>
          <t>DISTRITO ITAJURU</t>
        </is>
      </c>
      <c r="F1215" s="14" t="inlineStr">
        <is>
          <t>RUA DO CACAU, S/N - ZONA RURAL</t>
        </is>
      </c>
      <c r="G1215" s="27" t="inlineStr">
        <is>
          <t>45200-000</t>
        </is>
      </c>
      <c r="H1215" s="15" t="n">
        <v>5</v>
      </c>
      <c r="I1215" s="28" t="inlineStr">
        <is>
          <t>NÃO</t>
        </is>
      </c>
      <c r="J1215" s="29" t="n"/>
      <c r="K1215" s="14" t="str">
        <f>IF(J1215="","7. Acima de 2 km",IF(J1215&lt;=50,"1. Até 50 m",IF(J1215&lt;=100,"2. De 50 a 100 m",IF(J1215&lt;=200,"3. De 100 a 200 m",IF(J1215&lt;=300,"4. De 200 a 300 m",IF(J1215&lt;=500,"5. De 300 a 500 m","6. De 500 m a 2 km"))))))</f>
        <v>7. Acima de 2 km</v>
      </c>
      <c r="L1215" s="26" t="n">
        <v>0</v>
      </c>
      <c r="M1215" s="26" t="n">
        <v>0</v>
      </c>
      <c r="N1215" s="26" t="n">
        <v>0</v>
      </c>
      <c r="O1215" s="26" t="n">
        <v>0</v>
      </c>
      <c r="P1215" s="30" t="n">
        <v>-14.07094</v>
      </c>
      <c r="Q1215" s="30" t="n">
        <v>-39.9433933</v>
      </c>
      <c r="R1215" s="14" t="inlineStr">
        <is>
          <t>FÓRUM ELEITORAL DE JEQUIÉ, RUA GILDÉLITO FERRAZ, Nº 3-B, JEQUIEZINHO, JEQUIÉ-BA</t>
        </is>
      </c>
      <c r="S1215" s="26">
        <f>IF(A1215=A1214,0,1)</f>
        <v>0</v>
      </c>
      <c r="T1215" s="26">
        <f>IF(COUNTIF($B$4:B1215,B1215)=1,1,0)</f>
        <v>0</v>
      </c>
    </row>
    <row r="1216">
      <c r="A1216" s="14" t="inlineStr">
        <is>
          <t>JEQUIÉ</t>
        </is>
      </c>
      <c r="B1216" s="26" t="n">
        <v>22</v>
      </c>
      <c r="C1216" s="26" t="n">
        <v>1341</v>
      </c>
      <c r="D1216" s="14" t="inlineStr">
        <is>
          <t>ESCOLA MUNICIPAL MAURO ALMEIDA</t>
        </is>
      </c>
      <c r="E1216" s="14" t="inlineStr">
        <is>
          <t>POVOADO NOVA ESPERANÇA</t>
        </is>
      </c>
      <c r="F1216" s="14" t="inlineStr">
        <is>
          <t>POVOADO NOVA ESPERANÇA - ZONA RURAL</t>
        </is>
      </c>
      <c r="G1216" s="27" t="inlineStr">
        <is>
          <t>45200-000</t>
        </is>
      </c>
      <c r="H1216" s="15" t="n">
        <v>4</v>
      </c>
      <c r="I1216" s="28" t="inlineStr">
        <is>
          <t>NÃO</t>
        </is>
      </c>
      <c r="J1216" s="29" t="n"/>
      <c r="K1216" s="14" t="str">
        <f>IF(J1216="","7. Acima de 2 km",IF(J1216&lt;=50,"1. Até 50 m",IF(J1216&lt;=100,"2. De 50 a 100 m",IF(J1216&lt;=200,"3. De 100 a 200 m",IF(J1216&lt;=300,"4. De 200 a 300 m",IF(J1216&lt;=500,"5. De 300 a 500 m","6. De 500 m a 2 km"))))))</f>
        <v>7. Acima de 2 km</v>
      </c>
      <c r="L1216" s="26" t="n">
        <v>0</v>
      </c>
      <c r="M1216" s="26" t="n">
        <v>0</v>
      </c>
      <c r="N1216" s="26" t="n">
        <v>0</v>
      </c>
      <c r="O1216" s="26" t="n">
        <v>0</v>
      </c>
      <c r="P1216" s="30" t="n">
        <v>-14.0265383</v>
      </c>
      <c r="Q1216" s="30" t="n">
        <v>-40.137495</v>
      </c>
      <c r="R1216" s="14" t="inlineStr">
        <is>
          <t>FÓRUM ELEITORAL DE JEQUIÉ, RUA GILDÉLITO FERRAZ, Nº 3-B, JEQUIEZINHO, JEQUIÉ-BA</t>
        </is>
      </c>
      <c r="S1216" s="26">
        <f>IF(A1216=A1215,0,1)</f>
        <v>0</v>
      </c>
      <c r="T1216" s="26">
        <f>IF(COUNTIF($B$4:B1216,B1216)=1,1,0)</f>
        <v>0</v>
      </c>
    </row>
    <row r="1217">
      <c r="A1217" s="14" t="inlineStr">
        <is>
          <t>JEQUIÉ</t>
        </is>
      </c>
      <c r="B1217" s="26" t="n">
        <v>22</v>
      </c>
      <c r="C1217" s="26" t="n">
        <v>1350</v>
      </c>
      <c r="D1217" s="14" t="inlineStr">
        <is>
          <t>GRUPO ESCOLAR  MUNICIPAL DE SANTA CLARA</t>
        </is>
      </c>
      <c r="E1217" s="14" t="inlineStr">
        <is>
          <t>POVOADO SANTA CLARA</t>
        </is>
      </c>
      <c r="F1217" s="14" t="inlineStr">
        <is>
          <t>POVOADO SANTA CLARA - ZONA RURAL</t>
        </is>
      </c>
      <c r="G1217" s="27" t="inlineStr">
        <is>
          <t>45200-000</t>
        </is>
      </c>
      <c r="H1217" s="15" t="n">
        <v>1</v>
      </c>
      <c r="I1217" s="28" t="inlineStr">
        <is>
          <t>NÃO</t>
        </is>
      </c>
      <c r="J1217" s="29" t="n"/>
      <c r="K1217" s="14" t="str">
        <f>IF(J1217="","7. Acima de 2 km",IF(J1217&lt;=50,"1. Até 50 m",IF(J1217&lt;=100,"2. De 50 a 100 m",IF(J1217&lt;=200,"3. De 100 a 200 m",IF(J1217&lt;=300,"4. De 200 a 300 m",IF(J1217&lt;=500,"5. De 300 a 500 m","6. De 500 m a 2 km"))))))</f>
        <v>7. Acima de 2 km</v>
      </c>
      <c r="L1217" s="26" t="n">
        <v>0</v>
      </c>
      <c r="M1217" s="26" t="n">
        <v>0</v>
      </c>
      <c r="N1217" s="26" t="n">
        <v>0</v>
      </c>
      <c r="O1217" s="26" t="n">
        <v>0</v>
      </c>
      <c r="P1217" s="30" t="n">
        <v>-13.92367</v>
      </c>
      <c r="Q1217" s="30" t="n">
        <v>-40.3976017</v>
      </c>
      <c r="R1217" s="14" t="inlineStr">
        <is>
          <t>FÓRUM ELEITORAL DE JEQUIÉ, RUA GILDÉLITO FERRAZ, Nº 3-B, JEQUIEZINHO, JEQUIÉ-BA</t>
        </is>
      </c>
      <c r="S1217" s="26">
        <f>IF(A1217=A1216,0,1)</f>
        <v>0</v>
      </c>
      <c r="T1217" s="26">
        <f>IF(COUNTIF($B$4:B1217,B1217)=1,1,0)</f>
        <v>0</v>
      </c>
    </row>
    <row r="1218">
      <c r="A1218" s="14" t="inlineStr">
        <is>
          <t>JEQUIÉ</t>
        </is>
      </c>
      <c r="B1218" s="26" t="n">
        <v>22</v>
      </c>
      <c r="C1218" s="26" t="n">
        <v>1368</v>
      </c>
      <c r="D1218" s="14" t="inlineStr">
        <is>
          <t>COLÉGIO JOSÉ SIMÕES DE CARVALHO</t>
        </is>
      </c>
      <c r="E1218" s="14" t="inlineStr">
        <is>
          <t>TROPICAL</t>
        </is>
      </c>
      <c r="F1218" s="14" t="inlineStr">
        <is>
          <t>AVENIDA CACHOEIRINHA - ZONA URBANA</t>
        </is>
      </c>
      <c r="G1218" s="27" t="inlineStr">
        <is>
          <t>45209-162</t>
        </is>
      </c>
      <c r="H1218" s="15" t="n">
        <v>3</v>
      </c>
      <c r="I1218" s="28" t="inlineStr">
        <is>
          <t>NÃO</t>
        </is>
      </c>
      <c r="J1218" s="29" t="n"/>
      <c r="K1218" s="14" t="str">
        <f>IF(J1218="","7. Acima de 2 km",IF(J1218&lt;=50,"1. Até 50 m",IF(J1218&lt;=100,"2. De 50 a 100 m",IF(J1218&lt;=200,"3. De 100 a 200 m",IF(J1218&lt;=300,"4. De 200 a 300 m",IF(J1218&lt;=500,"5. De 300 a 500 m","6. De 500 m a 2 km"))))))</f>
        <v>7. Acima de 2 km</v>
      </c>
      <c r="L1218" s="26" t="n">
        <v>0</v>
      </c>
      <c r="M1218" s="26" t="n">
        <v>0</v>
      </c>
      <c r="N1218" s="26" t="n">
        <v>0</v>
      </c>
      <c r="O1218" s="26" t="n">
        <v>0</v>
      </c>
      <c r="P1218" s="30" t="n">
        <v>-13.89784908</v>
      </c>
      <c r="Q1218" s="30" t="n">
        <v>-40.03877574</v>
      </c>
      <c r="R1218" s="14" t="inlineStr">
        <is>
          <t>FÓRUM ELEITORAL DE JEQUIÉ, RUA GILDÉLITO FERRAZ, Nº 3-B, JEQUIEZINHO, JEQUIÉ-BA</t>
        </is>
      </c>
      <c r="S1218" s="26">
        <f>IF(A1218=A1217,0,1)</f>
        <v>0</v>
      </c>
      <c r="T1218" s="26">
        <f>IF(COUNTIF($B$4:B1218,B1218)=1,1,0)</f>
        <v>0</v>
      </c>
    </row>
    <row r="1219">
      <c r="A1219" s="14" t="inlineStr">
        <is>
          <t>JEQUIÉ</t>
        </is>
      </c>
      <c r="B1219" s="26" t="n">
        <v>22</v>
      </c>
      <c r="C1219" s="26" t="n">
        <v>1406</v>
      </c>
      <c r="D1219" s="14" t="inlineStr">
        <is>
          <t>GRUPO ESCOLAR DANIEL ANDRADE</t>
        </is>
      </c>
      <c r="E1219" s="14" t="inlineStr">
        <is>
          <t>POVOADO TAMARINDO</t>
        </is>
      </c>
      <c r="F1219" s="14" t="inlineStr">
        <is>
          <t>POVOADO TAMARINDO - ZONA RURAL</t>
        </is>
      </c>
      <c r="G1219" s="27" t="inlineStr">
        <is>
          <t>45200-000</t>
        </is>
      </c>
      <c r="H1219" s="15" t="n">
        <v>2</v>
      </c>
      <c r="I1219" s="28" t="inlineStr">
        <is>
          <t>NÃO</t>
        </is>
      </c>
      <c r="J1219" s="29" t="n"/>
      <c r="K1219" s="14" t="str">
        <f>IF(J1219="","7. Acima de 2 km",IF(J1219&lt;=50,"1. Até 50 m",IF(J1219&lt;=100,"2. De 50 a 100 m",IF(J1219&lt;=200,"3. De 100 a 200 m",IF(J1219&lt;=300,"4. De 200 a 300 m",IF(J1219&lt;=500,"5. De 300 a 500 m","6. De 500 m a 2 km"))))))</f>
        <v>7. Acima de 2 km</v>
      </c>
      <c r="L1219" s="26" t="n">
        <v>0</v>
      </c>
      <c r="M1219" s="26" t="n">
        <v>0</v>
      </c>
      <c r="N1219" s="26" t="n">
        <v>0</v>
      </c>
      <c r="O1219" s="26" t="n">
        <v>0</v>
      </c>
      <c r="P1219" s="30" t="n">
        <v>-14.050185</v>
      </c>
      <c r="Q1219" s="30" t="n">
        <v>-39.9853933</v>
      </c>
      <c r="R1219" s="14" t="inlineStr">
        <is>
          <t>FÓRUM ELEITORAL DE JEQUIÉ, RUA GILDÉLITO FERRAZ, Nº 3-B, JEQUIEZINHO, JEQUIÉ-BA</t>
        </is>
      </c>
      <c r="S1219" s="26">
        <f>IF(A1219=A1218,0,1)</f>
        <v>0</v>
      </c>
      <c r="T1219" s="26">
        <f>IF(COUNTIF($B$4:B1219,B1219)=1,1,0)</f>
        <v>0</v>
      </c>
    </row>
    <row r="1220">
      <c r="A1220" s="14" t="inlineStr">
        <is>
          <t>JEQUIÉ</t>
        </is>
      </c>
      <c r="B1220" s="26" t="n">
        <v>22</v>
      </c>
      <c r="C1220" s="26" t="n">
        <v>1465</v>
      </c>
      <c r="D1220" s="14" t="inlineStr">
        <is>
          <t>GRUPO ESCOLAR JOSÉ XAVIER DE SOUZA</t>
        </is>
      </c>
      <c r="E1220" s="14" t="inlineStr">
        <is>
          <t>POVOADO SANTA RITA</t>
        </is>
      </c>
      <c r="F1220" s="14" t="inlineStr">
        <is>
          <t>POVOADO SANTA RITA - ZONA RURAL</t>
        </is>
      </c>
      <c r="G1220" s="27" t="inlineStr">
        <is>
          <t>45200-000</t>
        </is>
      </c>
      <c r="H1220" s="15" t="n">
        <v>1</v>
      </c>
      <c r="I1220" s="28" t="inlineStr">
        <is>
          <t>NÃO</t>
        </is>
      </c>
      <c r="J1220" s="29" t="n"/>
      <c r="K1220" s="14" t="str">
        <f>IF(J1220="","7. Acima de 2 km",IF(J1220&lt;=50,"1. Até 50 m",IF(J1220&lt;=100,"2. De 50 a 100 m",IF(J1220&lt;=200,"3. De 100 a 200 m",IF(J1220&lt;=300,"4. De 200 a 300 m",IF(J1220&lt;=500,"5. De 300 a 500 m","6. De 500 m a 2 km"))))))</f>
        <v>7. Acima de 2 km</v>
      </c>
      <c r="L1220" s="26" t="n">
        <v>0</v>
      </c>
      <c r="M1220" s="26" t="n">
        <v>0</v>
      </c>
      <c r="N1220" s="26" t="n">
        <v>0</v>
      </c>
      <c r="O1220" s="26" t="n">
        <v>0</v>
      </c>
      <c r="P1220" s="30" t="n">
        <v>-13.8885917</v>
      </c>
      <c r="Q1220" s="30" t="n">
        <v>-40.4243417</v>
      </c>
      <c r="R1220" s="14" t="inlineStr">
        <is>
          <t>FÓRUM ELEITORAL DE JEQUIÉ, RUA GILDÉLITO FERRAZ, Nº 3-B, JEQUIEZINHO, JEQUIÉ-BA</t>
        </is>
      </c>
      <c r="S1220" s="26">
        <f>IF(A1220=A1219,0,1)</f>
        <v>0</v>
      </c>
      <c r="T1220" s="26">
        <f>IF(COUNTIF($B$4:B1220,B1220)=1,1,0)</f>
        <v>0</v>
      </c>
    </row>
    <row r="1221">
      <c r="A1221" s="14" t="inlineStr">
        <is>
          <t>JEQUIÉ</t>
        </is>
      </c>
      <c r="B1221" s="26" t="n">
        <v>22</v>
      </c>
      <c r="C1221" s="26" t="n">
        <v>1473</v>
      </c>
      <c r="D1221" s="14" t="inlineStr">
        <is>
          <t>GRUPO ESCOLAR VIOLETA MONTAL</t>
        </is>
      </c>
      <c r="E1221" s="14" t="inlineStr">
        <is>
          <t>POVOADO MORRO VERDE</t>
        </is>
      </c>
      <c r="F1221" s="14" t="inlineStr">
        <is>
          <t>POVOADO MORRO VERDE - ZONA RURAL</t>
        </is>
      </c>
      <c r="G1221" s="27" t="inlineStr">
        <is>
          <t>45200-000</t>
        </is>
      </c>
      <c r="H1221" s="15" t="n">
        <v>1</v>
      </c>
      <c r="I1221" s="28" t="inlineStr">
        <is>
          <t>NÃO</t>
        </is>
      </c>
      <c r="J1221" s="29" t="n"/>
      <c r="K1221" s="14" t="str">
        <f>IF(J1221="","7. Acima de 2 km",IF(J1221&lt;=50,"1. Até 50 m",IF(J1221&lt;=100,"2. De 50 a 100 m",IF(J1221&lt;=200,"3. De 100 a 200 m",IF(J1221&lt;=300,"4. De 200 a 300 m",IF(J1221&lt;=500,"5. De 300 a 500 m","6. De 500 m a 2 km"))))))</f>
        <v>7. Acima de 2 km</v>
      </c>
      <c r="L1221" s="26" t="n">
        <v>0</v>
      </c>
      <c r="M1221" s="26" t="n">
        <v>0</v>
      </c>
      <c r="N1221" s="26" t="n">
        <v>0</v>
      </c>
      <c r="O1221" s="26" t="n">
        <v>0</v>
      </c>
      <c r="P1221" s="30" t="n">
        <v>-13.7383717</v>
      </c>
      <c r="Q1221" s="30" t="n">
        <v>-40.318525</v>
      </c>
      <c r="R1221" s="14" t="inlineStr">
        <is>
          <t>FÓRUM ELEITORAL DE JEQUIÉ, RUA GILDÉLITO FERRAZ, Nº 3-B, JEQUIEZINHO, JEQUIÉ-BA</t>
        </is>
      </c>
      <c r="S1221" s="26">
        <f>IF(A1221=A1220,0,1)</f>
        <v>0</v>
      </c>
      <c r="T1221" s="26">
        <f>IF(COUNTIF($B$4:B1221,B1221)=1,1,0)</f>
        <v>0</v>
      </c>
    </row>
    <row r="1222">
      <c r="A1222" s="14" t="inlineStr">
        <is>
          <t>JEQUIÉ</t>
        </is>
      </c>
      <c r="B1222" s="26" t="n">
        <v>22</v>
      </c>
      <c r="C1222" s="26" t="n">
        <v>1490</v>
      </c>
      <c r="D1222" s="14" t="inlineStr">
        <is>
          <t>COLÉGIO ANITA RABELLO BARRETO</t>
        </is>
      </c>
      <c r="E1222" s="14" t="inlineStr">
        <is>
          <t>KM 4</t>
        </is>
      </c>
      <c r="F1222" s="14" t="inlineStr">
        <is>
          <t>RUA ADEMAR DE BARROS S/N - ZONA URBANA</t>
        </is>
      </c>
      <c r="G1222" s="27" t="inlineStr">
        <is>
          <t>45200-000</t>
        </is>
      </c>
      <c r="H1222" s="15" t="n">
        <v>5</v>
      </c>
      <c r="I1222" s="28" t="inlineStr">
        <is>
          <t>NÃO</t>
        </is>
      </c>
      <c r="J1222" s="29" t="n">
        <v>832.2</v>
      </c>
      <c r="K1222" s="14" t="str">
        <f>IF(J1222="","7. Acima de 2 km",IF(J1222&lt;=50,"1. Até 50 m",IF(J1222&lt;=100,"2. De 50 a 100 m",IF(J1222&lt;=200,"3. De 100 a 200 m",IF(J1222&lt;=300,"4. De 200 a 300 m",IF(J1222&lt;=500,"5. De 300 a 500 m","6. De 500 m a 2 km"))))))</f>
        <v>6. De 500 m a 2 km</v>
      </c>
      <c r="L1222" s="26" t="n">
        <v>0</v>
      </c>
      <c r="M1222" s="26" t="n">
        <v>0</v>
      </c>
      <c r="N1222" s="26" t="n">
        <v>0</v>
      </c>
      <c r="O1222" s="26" t="n">
        <v>0</v>
      </c>
      <c r="P1222" s="30" t="n">
        <v>-13.87082058</v>
      </c>
      <c r="Q1222" s="30" t="n">
        <v>-40.11907948</v>
      </c>
      <c r="R1222" s="14" t="inlineStr">
        <is>
          <t>FÓRUM ELEITORAL DE JEQUIÉ, RUA GILDÉLITO FERRAZ, Nº 3-B, JEQUIEZINHO, JEQUIÉ-BA</t>
        </is>
      </c>
      <c r="S1222" s="26">
        <f>IF(A1222=A1221,0,1)</f>
        <v>0</v>
      </c>
      <c r="T1222" s="26">
        <f>IF(COUNTIF($B$4:B1222,B1222)=1,1,0)</f>
        <v>0</v>
      </c>
    </row>
    <row r="1223">
      <c r="A1223" s="14" t="inlineStr">
        <is>
          <t>JEQUIÉ</t>
        </is>
      </c>
      <c r="B1223" s="26" t="n">
        <v>22</v>
      </c>
      <c r="C1223" s="26" t="n">
        <v>1546</v>
      </c>
      <c r="D1223" s="14" t="inlineStr">
        <is>
          <t>GRUPO ESCOLAR MUNICIPAL JOÃO FRANCISCO</t>
        </is>
      </c>
      <c r="E1223" s="14" t="inlineStr">
        <is>
          <t>POVOADO LIMOEIRO</t>
        </is>
      </c>
      <c r="F1223" s="14" t="inlineStr">
        <is>
          <t>POVOADO LIMOEIRO - ZONA RURAL</t>
        </is>
      </c>
      <c r="G1223" s="27" t="inlineStr">
        <is>
          <t>45200-000</t>
        </is>
      </c>
      <c r="H1223" s="15" t="n">
        <v>1</v>
      </c>
      <c r="I1223" s="28" t="inlineStr">
        <is>
          <t>NÃO</t>
        </is>
      </c>
      <c r="J1223" s="29" t="n"/>
      <c r="K1223" s="14" t="str">
        <f>IF(J1223="","7. Acima de 2 km",IF(J1223&lt;=50,"1. Até 50 m",IF(J1223&lt;=100,"2. De 50 a 100 m",IF(J1223&lt;=200,"3. De 100 a 200 m",IF(J1223&lt;=300,"4. De 200 a 300 m",IF(J1223&lt;=500,"5. De 300 a 500 m","6. De 500 m a 2 km"))))))</f>
        <v>7. Acima de 2 km</v>
      </c>
      <c r="L1223" s="26" t="n">
        <v>0</v>
      </c>
      <c r="M1223" s="26" t="n">
        <v>0</v>
      </c>
      <c r="N1223" s="26" t="n">
        <v>0</v>
      </c>
      <c r="O1223" s="26" t="n">
        <v>0</v>
      </c>
      <c r="P1223" s="30" t="n">
        <v>-13.7371433</v>
      </c>
      <c r="Q1223" s="30" t="n">
        <v>-39.9797867</v>
      </c>
      <c r="R1223" s="14" t="inlineStr">
        <is>
          <t>FÓRUM ELEITORAL DE JEQUIÉ, RUA GILDÉLITO FERRAZ, Nº 3-B, JEQUIEZINHO, JEQUIÉ-BA</t>
        </is>
      </c>
      <c r="S1223" s="26">
        <f>IF(A1223=A1222,0,1)</f>
        <v>0</v>
      </c>
      <c r="T1223" s="26">
        <f>IF(COUNTIF($B$4:B1223,B1223)=1,1,0)</f>
        <v>0</v>
      </c>
    </row>
    <row r="1224">
      <c r="A1224" s="14" t="inlineStr">
        <is>
          <t>JEQUIÉ</t>
        </is>
      </c>
      <c r="B1224" s="26" t="n">
        <v>22</v>
      </c>
      <c r="C1224" s="26" t="n">
        <v>1570</v>
      </c>
      <c r="D1224" s="14" t="inlineStr">
        <is>
          <t>GRUPO ESCOLAR DORIVAL BORGES</t>
        </is>
      </c>
      <c r="E1224" s="14" t="inlineStr">
        <is>
          <t>BAIXA DO BONFIM</t>
        </is>
      </c>
      <c r="F1224" s="14" t="inlineStr">
        <is>
          <t>RUA BAIXA SENHOR DO BONFIM - ZONA URBANA</t>
        </is>
      </c>
      <c r="G1224" s="27" t="inlineStr">
        <is>
          <t>45214-999</t>
        </is>
      </c>
      <c r="H1224" s="15" t="n">
        <v>4</v>
      </c>
      <c r="I1224" s="28" t="inlineStr">
        <is>
          <t>NÃO</t>
        </is>
      </c>
      <c r="J1224" s="29" t="n">
        <v>1385.5</v>
      </c>
      <c r="K1224" s="14" t="str">
        <f>IF(J1224="","7. Acima de 2 km",IF(J1224&lt;=50,"1. Até 50 m",IF(J1224&lt;=100,"2. De 50 a 100 m",IF(J1224&lt;=200,"3. De 100 a 200 m",IF(J1224&lt;=300,"4. De 200 a 300 m",IF(J1224&lt;=500,"5. De 300 a 500 m","6. De 500 m a 2 km"))))))</f>
        <v>6. De 500 m a 2 km</v>
      </c>
      <c r="L1224" s="26" t="n">
        <v>0</v>
      </c>
      <c r="M1224" s="26" t="n">
        <v>0</v>
      </c>
      <c r="N1224" s="26" t="n">
        <v>0</v>
      </c>
      <c r="O1224" s="26" t="n">
        <v>0</v>
      </c>
      <c r="P1224" s="30" t="n">
        <v>-13.88172716</v>
      </c>
      <c r="Q1224" s="30" t="n">
        <v>-40.05121413</v>
      </c>
      <c r="R1224" s="14" t="inlineStr">
        <is>
          <t>FÓRUM ELEITORAL DE JEQUIÉ, RUA GILDÉLITO FERRAZ, Nº 3-B, JEQUIEZINHO, JEQUIÉ-BA</t>
        </is>
      </c>
      <c r="S1224" s="26">
        <f>IF(A1224=A1223,0,1)</f>
        <v>0</v>
      </c>
      <c r="T1224" s="26">
        <f>IF(COUNTIF($B$4:B1224,B1224)=1,1,0)</f>
        <v>0</v>
      </c>
    </row>
    <row r="1225">
      <c r="A1225" s="14" t="inlineStr">
        <is>
          <t>JEQUIÉ</t>
        </is>
      </c>
      <c r="B1225" s="26" t="n">
        <v>22</v>
      </c>
      <c r="C1225" s="26" t="n">
        <v>1589</v>
      </c>
      <c r="D1225" s="14" t="inlineStr">
        <is>
          <t>GRUPO ESCOLAR MUNICIPAL LOURDES MOREIRA GIUDICE</t>
        </is>
      </c>
      <c r="E1225" s="14" t="inlineStr">
        <is>
          <t>POVOADO FRISUBA</t>
        </is>
      </c>
      <c r="F1225" s="14" t="inlineStr">
        <is>
          <t>POVOADO FRISUBA - ZONA RURAL</t>
        </is>
      </c>
      <c r="G1225" s="27" t="inlineStr">
        <is>
          <t>45200-000</t>
        </is>
      </c>
      <c r="H1225" s="15" t="n">
        <v>2</v>
      </c>
      <c r="I1225" s="28" t="inlineStr">
        <is>
          <t>NÃO</t>
        </is>
      </c>
      <c r="J1225" s="29" t="n"/>
      <c r="K1225" s="14" t="str">
        <f>IF(J1225="","7. Acima de 2 km",IF(J1225&lt;=50,"1. Até 50 m",IF(J1225&lt;=100,"2. De 50 a 100 m",IF(J1225&lt;=200,"3. De 100 a 200 m",IF(J1225&lt;=300,"4. De 200 a 300 m",IF(J1225&lt;=500,"5. De 300 a 500 m","6. De 500 m a 2 km"))))))</f>
        <v>7. Acima de 2 km</v>
      </c>
      <c r="L1225" s="26" t="n">
        <v>0</v>
      </c>
      <c r="M1225" s="26" t="n">
        <v>0</v>
      </c>
      <c r="N1225" s="26" t="n">
        <v>0</v>
      </c>
      <c r="O1225" s="26" t="n">
        <v>0</v>
      </c>
      <c r="P1225" s="30" t="n">
        <v>-13.926545</v>
      </c>
      <c r="Q1225" s="30" t="n">
        <v>-40.0233117</v>
      </c>
      <c r="R1225" s="14" t="inlineStr">
        <is>
          <t>FÓRUM ELEITORAL DE JEQUIÉ, RUA GILDÉLITO FERRAZ, Nº 3-B, JEQUIEZINHO, JEQUIÉ-BA</t>
        </is>
      </c>
      <c r="S1225" s="26">
        <f>IF(A1225=A1224,0,1)</f>
        <v>0</v>
      </c>
      <c r="T1225" s="26">
        <f>IF(COUNTIF($B$4:B1225,B1225)=1,1,0)</f>
        <v>0</v>
      </c>
    </row>
    <row r="1226">
      <c r="A1226" s="14" t="inlineStr">
        <is>
          <t>JEQUIÉ</t>
        </is>
      </c>
      <c r="B1226" s="26" t="n">
        <v>22</v>
      </c>
      <c r="C1226" s="26" t="n">
        <v>1619</v>
      </c>
      <c r="D1226" s="14" t="inlineStr">
        <is>
          <t>ESCOLA MUNICIPAL JOAQUIM MARQUES MONTEIRO</t>
        </is>
      </c>
      <c r="E1226" s="14" t="inlineStr">
        <is>
          <t>JEQUIEZINHO</t>
        </is>
      </c>
      <c r="F1226" s="14" t="inlineStr">
        <is>
          <t>RUA CIDADE DE BRASÍLIA S/N CONJ. HAB. BRASIL NOVO - ZONA URBANA</t>
        </is>
      </c>
      <c r="G1226" s="27" t="inlineStr">
        <is>
          <t>45200-000</t>
        </is>
      </c>
      <c r="H1226" s="15" t="n">
        <v>5</v>
      </c>
      <c r="I1226" s="28" t="inlineStr">
        <is>
          <t>NÃO</t>
        </is>
      </c>
      <c r="J1226" s="29" t="n">
        <v>1362.2</v>
      </c>
      <c r="K1226" s="14" t="str">
        <f>IF(J1226="","7. Acima de 2 km",IF(J1226&lt;=50,"1. Até 50 m",IF(J1226&lt;=100,"2. De 50 a 100 m",IF(J1226&lt;=200,"3. De 100 a 200 m",IF(J1226&lt;=300,"4. De 200 a 300 m",IF(J1226&lt;=500,"5. De 300 a 500 m","6. De 500 m a 2 km"))))))</f>
        <v>6. De 500 m a 2 km</v>
      </c>
      <c r="L1226" s="26" t="n">
        <v>0</v>
      </c>
      <c r="M1226" s="26" t="n">
        <v>0</v>
      </c>
      <c r="N1226" s="26" t="n">
        <v>0</v>
      </c>
      <c r="O1226" s="26" t="n">
        <v>0</v>
      </c>
      <c r="P1226" s="30" t="n">
        <v>-13.85565613</v>
      </c>
      <c r="Q1226" s="30" t="n">
        <v>-40.06269517</v>
      </c>
      <c r="R1226" s="14" t="inlineStr">
        <is>
          <t>FÓRUM ELEITORAL DE JEQUIÉ, RUA GILDÉLITO FERRAZ, Nº 3-B, JEQUIEZINHO, JEQUIÉ-BA</t>
        </is>
      </c>
      <c r="S1226" s="26">
        <f>IF(A1226=A1225,0,1)</f>
        <v>0</v>
      </c>
      <c r="T1226" s="26">
        <f>IF(COUNTIF($B$4:B1226,B1226)=1,1,0)</f>
        <v>0</v>
      </c>
    </row>
    <row r="1227">
      <c r="A1227" s="14" t="inlineStr">
        <is>
          <t>JEQUIÉ</t>
        </is>
      </c>
      <c r="B1227" s="26" t="n">
        <v>22</v>
      </c>
      <c r="C1227" s="26" t="n">
        <v>1643</v>
      </c>
      <c r="D1227" s="14" t="inlineStr">
        <is>
          <t>ESCOLA WILMA BRITO SARMENTO</t>
        </is>
      </c>
      <c r="E1227" s="14" t="inlineStr">
        <is>
          <t>JEQUIEZINHO</t>
        </is>
      </c>
      <c r="F1227" s="14" t="inlineStr">
        <is>
          <t>RUA E, LOTEAMENTO ÁGUA BRANCA, S/N - ZONA URBANA</t>
        </is>
      </c>
      <c r="G1227" s="27" t="inlineStr">
        <is>
          <t>45206-727</t>
        </is>
      </c>
      <c r="H1227" s="15" t="n">
        <v>7</v>
      </c>
      <c r="I1227" s="28" t="inlineStr">
        <is>
          <t>NÃO</t>
        </is>
      </c>
      <c r="J1227" s="29" t="n">
        <v>1407</v>
      </c>
      <c r="K1227" s="14" t="str">
        <f>IF(J1227="","7. Acima de 2 km",IF(J1227&lt;=50,"1. Até 50 m",IF(J1227&lt;=100,"2. De 50 a 100 m",IF(J1227&lt;=200,"3. De 100 a 200 m",IF(J1227&lt;=300,"4. De 200 a 300 m",IF(J1227&lt;=500,"5. De 300 a 500 m","6. De 500 m a 2 km"))))))</f>
        <v>6. De 500 m a 2 km</v>
      </c>
      <c r="L1227" s="26" t="n">
        <v>0</v>
      </c>
      <c r="M1227" s="26" t="n">
        <v>0</v>
      </c>
      <c r="N1227" s="26" t="n">
        <v>0</v>
      </c>
      <c r="O1227" s="26" t="n">
        <v>0</v>
      </c>
      <c r="P1227" s="30" t="n">
        <v>-13.85590393</v>
      </c>
      <c r="Q1227" s="30" t="n">
        <v>-40.05587774</v>
      </c>
      <c r="R1227" s="14" t="inlineStr">
        <is>
          <t>FÓRUM ELEITORAL DE JEQUIÉ, RUA GILDÉLITO FERRAZ, Nº 3-B, JEQUIEZINHO, JEQUIÉ-BA</t>
        </is>
      </c>
      <c r="S1227" s="26">
        <f>IF(A1227=A1226,0,1)</f>
        <v>0</v>
      </c>
      <c r="T1227" s="26">
        <f>IF(COUNTIF($B$4:B1227,B1227)=1,1,0)</f>
        <v>0</v>
      </c>
    </row>
    <row r="1228">
      <c r="A1228" s="14" t="inlineStr">
        <is>
          <t>JEQUIÉ</t>
        </is>
      </c>
      <c r="B1228" s="26" t="n">
        <v>22</v>
      </c>
      <c r="C1228" s="26" t="n">
        <v>1678</v>
      </c>
      <c r="D1228" s="14" t="inlineStr">
        <is>
          <t>ESCOLA MARIA BASTOS DAMASCENO</t>
        </is>
      </c>
      <c r="E1228" s="14" t="inlineStr">
        <is>
          <t>POVOADO VOLTA DO RIO</t>
        </is>
      </c>
      <c r="F1228" s="14" t="inlineStr">
        <is>
          <t>POVOADO VOLTA DO RIO - ZONA RURAL</t>
        </is>
      </c>
      <c r="G1228" s="27" t="inlineStr">
        <is>
          <t>45200-000</t>
        </is>
      </c>
      <c r="H1228" s="15" t="n">
        <v>1</v>
      </c>
      <c r="I1228" s="28" t="inlineStr">
        <is>
          <t>NÃO</t>
        </is>
      </c>
      <c r="J1228" s="29" t="n"/>
      <c r="K1228" s="14" t="str">
        <f>IF(J1228="","7. Acima de 2 km",IF(J1228&lt;=50,"1. Até 50 m",IF(J1228&lt;=100,"2. De 50 a 100 m",IF(J1228&lt;=200,"3. De 100 a 200 m",IF(J1228&lt;=300,"4. De 200 a 300 m",IF(J1228&lt;=500,"5. De 300 a 500 m","6. De 500 m a 2 km"))))))</f>
        <v>7. Acima de 2 km</v>
      </c>
      <c r="L1228" s="26" t="n">
        <v>0</v>
      </c>
      <c r="M1228" s="26" t="n">
        <v>0</v>
      </c>
      <c r="N1228" s="26" t="n">
        <v>0</v>
      </c>
      <c r="O1228" s="26" t="n">
        <v>0</v>
      </c>
      <c r="P1228" s="30" t="n">
        <v>-14.01769</v>
      </c>
      <c r="Q1228" s="30" t="n">
        <v>-40.0262833</v>
      </c>
      <c r="R1228" s="14" t="inlineStr">
        <is>
          <t>FÓRUM ELEITORAL DE JEQUIÉ, RUA GILDÉLITO FERRAZ, Nº 3-B, JEQUIEZINHO, JEQUIÉ-BA</t>
        </is>
      </c>
      <c r="S1228" s="26">
        <f>IF(A1228=A1227,0,1)</f>
        <v>0</v>
      </c>
      <c r="T1228" s="26">
        <f>IF(COUNTIF($B$4:B1228,B1228)=1,1,0)</f>
        <v>0</v>
      </c>
    </row>
    <row r="1229">
      <c r="A1229" s="14" t="inlineStr">
        <is>
          <t>JEQUIÉ</t>
        </is>
      </c>
      <c r="B1229" s="26" t="n">
        <v>22</v>
      </c>
      <c r="C1229" s="26" t="n">
        <v>1686</v>
      </c>
      <c r="D1229" s="14" t="inlineStr">
        <is>
          <t>COLÉGIO MUNICIPAL ESTELA CÂMARA DUBOIS</t>
        </is>
      </c>
      <c r="E1229" s="14" t="inlineStr">
        <is>
          <t>JEQUIEZINHO</t>
        </is>
      </c>
      <c r="F1229" s="14" t="inlineStr">
        <is>
          <t>RUA D S/N URBIS III - ZONA URBANA</t>
        </is>
      </c>
      <c r="G1229" s="27" t="inlineStr">
        <is>
          <t>45200-000</t>
        </is>
      </c>
      <c r="H1229" s="15" t="n">
        <v>7</v>
      </c>
      <c r="I1229" s="28" t="inlineStr">
        <is>
          <t>NÃO</t>
        </is>
      </c>
      <c r="J1229" s="29" t="n">
        <v>717.8</v>
      </c>
      <c r="K1229" s="14" t="str">
        <f>IF(J1229="","7. Acima de 2 km",IF(J1229&lt;=50,"1. Até 50 m",IF(J1229&lt;=100,"2. De 50 a 100 m",IF(J1229&lt;=200,"3. De 100 a 200 m",IF(J1229&lt;=300,"4. De 200 a 300 m",IF(J1229&lt;=500,"5. De 300 a 500 m","6. De 500 m a 2 km"))))))</f>
        <v>6. De 500 m a 2 km</v>
      </c>
      <c r="L1229" s="26" t="n">
        <v>0</v>
      </c>
      <c r="M1229" s="26" t="n">
        <v>0</v>
      </c>
      <c r="N1229" s="26" t="n">
        <v>0</v>
      </c>
      <c r="O1229" s="26" t="n">
        <v>0</v>
      </c>
      <c r="P1229" s="30" t="n">
        <v>-13.87774923</v>
      </c>
      <c r="Q1229" s="30" t="n">
        <v>-40.06410666</v>
      </c>
      <c r="R1229" s="14" t="inlineStr">
        <is>
          <t>FÓRUM ELEITORAL DE JEQUIÉ, RUA GILDÉLITO FERRAZ, Nº 3-B, JEQUIEZINHO, JEQUIÉ-BA</t>
        </is>
      </c>
      <c r="S1229" s="26">
        <f>IF(A1229=A1228,0,1)</f>
        <v>0</v>
      </c>
      <c r="T1229" s="26">
        <f>IF(COUNTIF($B$4:B1229,B1229)=1,1,0)</f>
        <v>0</v>
      </c>
    </row>
    <row r="1230">
      <c r="A1230" s="14" t="inlineStr">
        <is>
          <t>JEQUIÉ</t>
        </is>
      </c>
      <c r="B1230" s="26" t="n">
        <v>22</v>
      </c>
      <c r="C1230" s="26" t="n">
        <v>1732</v>
      </c>
      <c r="D1230" s="14" t="inlineStr">
        <is>
          <t>COLÉGIO MARIA JOSÉ LIMA SILVEIRA</t>
        </is>
      </c>
      <c r="E1230" s="14" t="inlineStr">
        <is>
          <t>JEQUIEZINHO</t>
        </is>
      </c>
      <c r="F1230" s="14" t="inlineStr">
        <is>
          <t>RUA EXISTENTE 1, N 28, VILA RODOVIÁRIA - ZONA URBANA</t>
        </is>
      </c>
      <c r="G1230" s="27" t="inlineStr">
        <is>
          <t>45207-241</t>
        </is>
      </c>
      <c r="H1230" s="15" t="n">
        <v>8</v>
      </c>
      <c r="I1230" s="28" t="inlineStr">
        <is>
          <t>NÃO</t>
        </is>
      </c>
      <c r="J1230" s="29" t="n">
        <v>894.8</v>
      </c>
      <c r="K1230" s="14" t="str">
        <f>IF(J1230="","7. Acima de 2 km",IF(J1230&lt;=50,"1. Até 50 m",IF(J1230&lt;=100,"2. De 50 a 100 m",IF(J1230&lt;=200,"3. De 100 a 200 m",IF(J1230&lt;=300,"4. De 200 a 300 m",IF(J1230&lt;=500,"5. De 300 a 500 m","6. De 500 m a 2 km"))))))</f>
        <v>6. De 500 m a 2 km</v>
      </c>
      <c r="L1230" s="26" t="n">
        <v>0</v>
      </c>
      <c r="M1230" s="26" t="n">
        <v>0</v>
      </c>
      <c r="N1230" s="26" t="n">
        <v>0</v>
      </c>
      <c r="O1230" s="26" t="n">
        <v>0</v>
      </c>
      <c r="P1230" s="30" t="n">
        <v>-13.86088782</v>
      </c>
      <c r="Q1230" s="30" t="n">
        <v>-40.0559986</v>
      </c>
      <c r="R1230" s="14" t="inlineStr">
        <is>
          <t>FÓRUM ELEITORAL DE JEQUIÉ, RUA GILDÉLITO FERRAZ, Nº 3-B, JEQUIEZINHO, JEQUIÉ-BA</t>
        </is>
      </c>
      <c r="S1230" s="26">
        <f>IF(A1230=A1229,0,1)</f>
        <v>0</v>
      </c>
      <c r="T1230" s="26">
        <f>IF(COUNTIF($B$4:B1230,B1230)=1,1,0)</f>
        <v>0</v>
      </c>
    </row>
    <row r="1231">
      <c r="A1231" s="14" t="inlineStr">
        <is>
          <t>JEQUIÉ</t>
        </is>
      </c>
      <c r="B1231" s="26" t="n">
        <v>22</v>
      </c>
      <c r="C1231" s="26" t="n">
        <v>1740</v>
      </c>
      <c r="D1231" s="14" t="inlineStr">
        <is>
          <t>COLÉGIO ESTADUAL LUÍSA MAHIM</t>
        </is>
      </c>
      <c r="E1231" s="14" t="inlineStr">
        <is>
          <t>MANDACARU</t>
        </is>
      </c>
      <c r="F1231" s="14" t="inlineStr">
        <is>
          <t>RUA PROF. RAIMUNDO FERNANDES COSTA, 100 - LOT. ITAIGARA - ZONA URBANA</t>
        </is>
      </c>
      <c r="G1231" s="27" t="inlineStr">
        <is>
          <t>45210-376</t>
        </is>
      </c>
      <c r="H1231" s="15" t="n">
        <v>11</v>
      </c>
      <c r="I1231" s="28" t="inlineStr">
        <is>
          <t>NÃO</t>
        </is>
      </c>
      <c r="J1231" s="29" t="n">
        <v>308.4</v>
      </c>
      <c r="K1231" s="14" t="str">
        <f>IF(J1231="","7. Acima de 2 km",IF(J1231&lt;=50,"1. Até 50 m",IF(J1231&lt;=100,"2. De 50 a 100 m",IF(J1231&lt;=200,"3. De 100 a 200 m",IF(J1231&lt;=300,"4. De 200 a 300 m",IF(J1231&lt;=500,"5. De 300 a 500 m","6. De 500 m a 2 km"))))))</f>
        <v>5. De 300 a 500 m</v>
      </c>
      <c r="L1231" s="26" t="n">
        <v>0</v>
      </c>
      <c r="M1231" s="26" t="n">
        <v>0</v>
      </c>
      <c r="N1231" s="26" t="n">
        <v>0</v>
      </c>
      <c r="O1231" s="26" t="n">
        <v>0</v>
      </c>
      <c r="P1231" s="30" t="n">
        <v>-13.87646125</v>
      </c>
      <c r="Q1231" s="30" t="n">
        <v>-40.08201689</v>
      </c>
      <c r="R1231" s="14" t="inlineStr">
        <is>
          <t>FÓRUM ELEITORAL DE JEQUIÉ, RUA GILDÉLITO FERRAZ, Nº 3-B, JEQUIEZINHO, JEQUIÉ-BA</t>
        </is>
      </c>
      <c r="S1231" s="26">
        <f>IF(A1231=A1230,0,1)</f>
        <v>0</v>
      </c>
      <c r="T1231" s="26">
        <f>IF(COUNTIF($B$4:B1231,B1231)=1,1,0)</f>
        <v>0</v>
      </c>
    </row>
    <row r="1232">
      <c r="A1232" s="14" t="inlineStr">
        <is>
          <t>JEQUIÉ</t>
        </is>
      </c>
      <c r="B1232" s="26" t="n">
        <v>22</v>
      </c>
      <c r="C1232" s="26" t="n">
        <v>1759</v>
      </c>
      <c r="D1232" s="14" t="inlineStr">
        <is>
          <t>COLÉGIO MUNICIPAL PROFESSORA ALIRIA ARGOLO PEREIRA</t>
        </is>
      </c>
      <c r="E1232" s="14" t="inlineStr">
        <is>
          <t>MANDACARU</t>
        </is>
      </c>
      <c r="F1232" s="14" t="inlineStr">
        <is>
          <t>RUA BRUNO NETO, S/N - ZONA URBANA</t>
        </is>
      </c>
      <c r="G1232" s="27" t="inlineStr">
        <is>
          <t>45200-100</t>
        </is>
      </c>
      <c r="H1232" s="15" t="n">
        <v>5</v>
      </c>
      <c r="I1232" s="28" t="inlineStr">
        <is>
          <t>NÃO</t>
        </is>
      </c>
      <c r="J1232" s="29" t="n">
        <v>429.9</v>
      </c>
      <c r="K1232" s="14" t="str">
        <f>IF(J1232="","7. Acima de 2 km",IF(J1232&lt;=50,"1. Até 50 m",IF(J1232&lt;=100,"2. De 50 a 100 m",IF(J1232&lt;=200,"3. De 100 a 200 m",IF(J1232&lt;=300,"4. De 200 a 300 m",IF(J1232&lt;=500,"5. De 300 a 500 m","6. De 500 m a 2 km"))))))</f>
        <v>5. De 300 a 500 m</v>
      </c>
      <c r="L1232" s="26" t="n">
        <v>0</v>
      </c>
      <c r="M1232" s="26" t="n">
        <v>0</v>
      </c>
      <c r="N1232" s="26" t="n">
        <v>0</v>
      </c>
      <c r="O1232" s="26" t="n">
        <v>0</v>
      </c>
      <c r="P1232" s="30" t="n">
        <v>-13.87906031</v>
      </c>
      <c r="Q1232" s="30" t="n">
        <v>-40.08618543</v>
      </c>
      <c r="R1232" s="14" t="inlineStr">
        <is>
          <t>FÓRUM ELEITORAL DE JEQUIÉ, RUA GILDÉLITO FERRAZ, Nº 3-B, JEQUIEZINHO, JEQUIÉ-BA</t>
        </is>
      </c>
      <c r="S1232" s="26">
        <f>IF(A1232=A1231,0,1)</f>
        <v>0</v>
      </c>
      <c r="T1232" s="26">
        <f>IF(COUNTIF($B$4:B1232,B1232)=1,1,0)</f>
        <v>0</v>
      </c>
    </row>
    <row r="1233">
      <c r="A1233" s="14" t="inlineStr">
        <is>
          <t>JEQUIÉ</t>
        </is>
      </c>
      <c r="B1233" s="26" t="n">
        <v>22</v>
      </c>
      <c r="C1233" s="26" t="n">
        <v>1767</v>
      </c>
      <c r="D1233" s="14" t="inlineStr">
        <is>
          <t>UNIVERSIDADE ESTADUAL SUDOESTE DA BAHIA</t>
        </is>
      </c>
      <c r="E1233" s="14" t="inlineStr">
        <is>
          <t>JEQUIEZINHO</t>
        </is>
      </c>
      <c r="F1233" s="14" t="inlineStr">
        <is>
          <t>AV JOSÉ MOREIRA SOBRINHO S/N - ZONA URBANA</t>
        </is>
      </c>
      <c r="G1233" s="27" t="inlineStr">
        <is>
          <t>45206-191</t>
        </is>
      </c>
      <c r="H1233" s="15" t="n">
        <v>7</v>
      </c>
      <c r="I1233" s="28" t="inlineStr">
        <is>
          <t>NÃO</t>
        </is>
      </c>
      <c r="J1233" s="29" t="n">
        <v>368</v>
      </c>
      <c r="K1233" s="14" t="str">
        <f>IF(J1233="","7. Acima de 2 km",IF(J1233&lt;=50,"1. Até 50 m",IF(J1233&lt;=100,"2. De 50 a 100 m",IF(J1233&lt;=200,"3. De 100 a 200 m",IF(J1233&lt;=300,"4. De 200 a 300 m",IF(J1233&lt;=500,"5. De 300 a 500 m","6. De 500 m a 2 km"))))))</f>
        <v>5. De 300 a 500 m</v>
      </c>
      <c r="L1233" s="26" t="n">
        <v>0</v>
      </c>
      <c r="M1233" s="26" t="n">
        <v>0</v>
      </c>
      <c r="N1233" s="26" t="n">
        <v>0</v>
      </c>
      <c r="O1233" s="26" t="n">
        <v>0</v>
      </c>
      <c r="P1233" s="30" t="n">
        <v>-13.8741241</v>
      </c>
      <c r="Q1233" s="30" t="n">
        <v>-40.0703163</v>
      </c>
      <c r="R1233" s="14" t="inlineStr">
        <is>
          <t>FÓRUM ELEITORAL DE JEQUIÉ, RUA GILDÉLITO FERRAZ, Nº 3-B, JEQUIEZINHO, JEQUIÉ-BA</t>
        </is>
      </c>
      <c r="S1233" s="26">
        <f>IF(A1233=A1232,0,1)</f>
        <v>0</v>
      </c>
      <c r="T1233" s="26">
        <f>IF(COUNTIF($B$4:B1233,B1233)=1,1,0)</f>
        <v>0</v>
      </c>
    </row>
    <row r="1234">
      <c r="A1234" s="14" t="inlineStr">
        <is>
          <t>JEQUIÉ</t>
        </is>
      </c>
      <c r="B1234" s="26" t="n">
        <v>22</v>
      </c>
      <c r="C1234" s="26" t="n">
        <v>1775</v>
      </c>
      <c r="D1234" s="14" t="inlineStr">
        <is>
          <t>ESCOLA NOVA CULTURAL</t>
        </is>
      </c>
      <c r="E1234" s="14" t="inlineStr">
        <is>
          <t>MANDACARU</t>
        </is>
      </c>
      <c r="F1234" s="14" t="inlineStr">
        <is>
          <t>RUA MADUREIRA, N 103 - ZONA URBANA</t>
        </is>
      </c>
      <c r="G1234" s="27" t="inlineStr">
        <is>
          <t>45210-054</t>
        </is>
      </c>
      <c r="H1234" s="15" t="n">
        <v>4</v>
      </c>
      <c r="I1234" s="28" t="inlineStr">
        <is>
          <t>NÃO</t>
        </is>
      </c>
      <c r="J1234" s="29" t="n">
        <v>123</v>
      </c>
      <c r="K1234" s="14" t="str">
        <f>IF(J1234="","7. Acima de 2 km",IF(J1234&lt;=50,"1. Até 50 m",IF(J1234&lt;=100,"2. De 50 a 100 m",IF(J1234&lt;=200,"3. De 100 a 200 m",IF(J1234&lt;=300,"4. De 200 a 300 m",IF(J1234&lt;=500,"5. De 300 a 500 m","6. De 500 m a 2 km"))))))</f>
        <v>3. De 100 a 200 m</v>
      </c>
      <c r="L1234" s="26" t="n">
        <v>0</v>
      </c>
      <c r="M1234" s="26" t="n">
        <v>0</v>
      </c>
      <c r="N1234" s="26" t="n">
        <v>1</v>
      </c>
      <c r="O1234" s="26" t="n">
        <v>2</v>
      </c>
      <c r="P1234" s="30" t="n">
        <v>-13.87030518</v>
      </c>
      <c r="Q1234" s="30" t="n">
        <v>-40.0837801</v>
      </c>
      <c r="R1234" s="14" t="inlineStr">
        <is>
          <t>FÓRUM ELEITORAL DE JEQUIÉ, RUA GILDÉLITO FERRAZ, Nº 3-B, JEQUIEZINHO, JEQUIÉ-BA</t>
        </is>
      </c>
      <c r="S1234" s="26">
        <f>IF(A1234=A1233,0,1)</f>
        <v>0</v>
      </c>
      <c r="T1234" s="26">
        <f>IF(COUNTIF($B$4:B1234,B1234)=1,1,0)</f>
        <v>0</v>
      </c>
    </row>
    <row r="1235">
      <c r="A1235" s="14" t="inlineStr">
        <is>
          <t>JEQUIÉ</t>
        </is>
      </c>
      <c r="B1235" s="26" t="n">
        <v>22</v>
      </c>
      <c r="C1235" s="26" t="n">
        <v>1783</v>
      </c>
      <c r="D1235" s="14" t="inlineStr">
        <is>
          <t>COLÉGIO ESTADUAL LUIS NAVARRO DE BRITO</t>
        </is>
      </c>
      <c r="E1235" s="14" t="inlineStr">
        <is>
          <t>KM-3</t>
        </is>
      </c>
      <c r="F1235" s="14" t="inlineStr">
        <is>
          <t>PRAÇA NAVARRO DE BRITO, S/N - ZONA URBANA</t>
        </is>
      </c>
      <c r="G1235" s="27" t="inlineStr">
        <is>
          <t>45200-000</t>
        </is>
      </c>
      <c r="H1235" s="15" t="n">
        <v>8</v>
      </c>
      <c r="I1235" s="28" t="inlineStr">
        <is>
          <t>NÃO</t>
        </is>
      </c>
      <c r="J1235" s="29" t="n">
        <v>1723.3</v>
      </c>
      <c r="K1235" s="14" t="str">
        <f>IF(J1235="","7. Acima de 2 km",IF(J1235&lt;=50,"1. Até 50 m",IF(J1235&lt;=100,"2. De 50 a 100 m",IF(J1235&lt;=200,"3. De 100 a 200 m",IF(J1235&lt;=300,"4. De 200 a 300 m",IF(J1235&lt;=500,"5. De 300 a 500 m","6. De 500 m a 2 km"))))))</f>
        <v>6. De 500 m a 2 km</v>
      </c>
      <c r="L1235" s="26" t="n">
        <v>0</v>
      </c>
      <c r="M1235" s="26" t="n">
        <v>0</v>
      </c>
      <c r="N1235" s="26" t="n">
        <v>0</v>
      </c>
      <c r="O1235" s="26" t="n">
        <v>0</v>
      </c>
      <c r="P1235" s="30" t="n">
        <v>-13.87226739</v>
      </c>
      <c r="Q1235" s="30" t="n">
        <v>-40.09898605</v>
      </c>
      <c r="R1235" s="14" t="inlineStr">
        <is>
          <t>FÓRUM ELEITORAL DE JEQUIÉ, RUA GILDÉLITO FERRAZ, Nº 3-B, JEQUIEZINHO, JEQUIÉ-BA</t>
        </is>
      </c>
      <c r="S1235" s="26">
        <f>IF(A1235=A1234,0,1)</f>
        <v>0</v>
      </c>
      <c r="T1235" s="26">
        <f>IF(COUNTIF($B$4:B1235,B1235)=1,1,0)</f>
        <v>0</v>
      </c>
    </row>
    <row r="1236">
      <c r="A1236" s="14" t="inlineStr">
        <is>
          <t>JEQUIÉ</t>
        </is>
      </c>
      <c r="B1236" s="26" t="n">
        <v>22</v>
      </c>
      <c r="C1236" s="26" t="n">
        <v>1791</v>
      </c>
      <c r="D1236" s="14" t="inlineStr">
        <is>
          <t>ESCOLA MUNICIPAL NOSSA SENHORA DA LUZ</t>
        </is>
      </c>
      <c r="E1236" s="14" t="inlineStr">
        <is>
          <t>KM-3</t>
        </is>
      </c>
      <c r="F1236" s="14" t="inlineStr">
        <is>
          <t>AVENIDA ULISSES COELHO LIMA, S/N - ZONA URBANA</t>
        </is>
      </c>
      <c r="G1236" s="27" t="inlineStr">
        <is>
          <t>45200-000</t>
        </is>
      </c>
      <c r="H1236" s="15" t="n">
        <v>7</v>
      </c>
      <c r="I1236" s="28" t="inlineStr">
        <is>
          <t>NÃO</t>
        </is>
      </c>
      <c r="J1236" s="29" t="n">
        <v>458</v>
      </c>
      <c r="K1236" s="14" t="str">
        <f>IF(J1236="","7. Acima de 2 km",IF(J1236&lt;=50,"1. Até 50 m",IF(J1236&lt;=100,"2. De 50 a 100 m",IF(J1236&lt;=200,"3. De 100 a 200 m",IF(J1236&lt;=300,"4. De 200 a 300 m",IF(J1236&lt;=500,"5. De 300 a 500 m","6. De 500 m a 2 km"))))))</f>
        <v>5. De 300 a 500 m</v>
      </c>
      <c r="L1236" s="26" t="n">
        <v>0</v>
      </c>
      <c r="M1236" s="26" t="n">
        <v>0</v>
      </c>
      <c r="N1236" s="26" t="n">
        <v>0</v>
      </c>
      <c r="O1236" s="26" t="n">
        <v>0</v>
      </c>
      <c r="P1236" s="30" t="n">
        <v>-13.87162296</v>
      </c>
      <c r="Q1236" s="30" t="n">
        <v>-40.10629324</v>
      </c>
      <c r="R1236" s="14" t="inlineStr">
        <is>
          <t>FÓRUM ELEITORAL DE JEQUIÉ, RUA GILDÉLITO FERRAZ, Nº 3-B, JEQUIEZINHO, JEQUIÉ-BA</t>
        </is>
      </c>
      <c r="S1236" s="26">
        <f>IF(A1236=A1235,0,1)</f>
        <v>0</v>
      </c>
      <c r="T1236" s="26">
        <f>IF(COUNTIF($B$4:B1236,B1236)=1,1,0)</f>
        <v>0</v>
      </c>
    </row>
    <row r="1237">
      <c r="A1237" s="14" t="inlineStr">
        <is>
          <t>JEQUIÉ</t>
        </is>
      </c>
      <c r="B1237" s="26" t="n">
        <v>22</v>
      </c>
      <c r="C1237" s="26" t="n">
        <v>1805</v>
      </c>
      <c r="D1237" s="14" t="inlineStr">
        <is>
          <t>GRUPO ESCOLAR PROFESSORA ADELAIDE RODRIGUES</t>
        </is>
      </c>
      <c r="E1237" s="14" t="inlineStr">
        <is>
          <t>MANDACARU</t>
        </is>
      </c>
      <c r="F1237" s="14" t="inlineStr">
        <is>
          <t>RUA BOTAFOGO S/N - ZONA URBANA</t>
        </is>
      </c>
      <c r="G1237" s="27" t="inlineStr">
        <is>
          <t>45207-040</t>
        </is>
      </c>
      <c r="H1237" s="15" t="n">
        <v>5</v>
      </c>
      <c r="I1237" s="28" t="inlineStr">
        <is>
          <t>NÃO</t>
        </is>
      </c>
      <c r="J1237" s="29" t="n">
        <v>342.6</v>
      </c>
      <c r="K1237" s="14" t="str">
        <f>IF(J1237="","7. Acima de 2 km",IF(J1237&lt;=50,"1. Até 50 m",IF(J1237&lt;=100,"2. De 50 a 100 m",IF(J1237&lt;=200,"3. De 100 a 200 m",IF(J1237&lt;=300,"4. De 200 a 300 m",IF(J1237&lt;=500,"5. De 300 a 500 m","6. De 500 m a 2 km"))))))</f>
        <v>5. De 300 a 500 m</v>
      </c>
      <c r="L1237" s="26" t="n">
        <v>0</v>
      </c>
      <c r="M1237" s="26" t="n">
        <v>0</v>
      </c>
      <c r="N1237" s="26" t="n">
        <v>0</v>
      </c>
      <c r="O1237" s="26" t="n">
        <v>0</v>
      </c>
      <c r="P1237" s="30" t="n">
        <v>-13.87178903</v>
      </c>
      <c r="Q1237" s="30" t="n">
        <v>-40.08214333</v>
      </c>
      <c r="R1237" s="14" t="inlineStr">
        <is>
          <t>FÓRUM ELEITORAL DE JEQUIÉ, RUA GILDÉLITO FERRAZ, Nº 3-B, JEQUIEZINHO, JEQUIÉ-BA</t>
        </is>
      </c>
      <c r="S1237" s="26">
        <f>IF(A1237=A1236,0,1)</f>
        <v>0</v>
      </c>
      <c r="T1237" s="26">
        <f>IF(COUNTIF($B$4:B1237,B1237)=1,1,0)</f>
        <v>0</v>
      </c>
    </row>
    <row r="1238">
      <c r="A1238" s="14" t="inlineStr">
        <is>
          <t>JEQUIÉ</t>
        </is>
      </c>
      <c r="B1238" s="26" t="n">
        <v>22</v>
      </c>
      <c r="C1238" s="26" t="n">
        <v>1813</v>
      </c>
      <c r="D1238" s="14" t="inlineStr">
        <is>
          <t>COLÉGIO ESTADUAL LUIS VIANA FILHO</t>
        </is>
      </c>
      <c r="E1238" s="14" t="inlineStr">
        <is>
          <t>JEQUIEZINHO</t>
        </is>
      </c>
      <c r="F1238" s="14" t="inlineStr">
        <is>
          <t>AV LIONS CLUB - ZONA URBANA</t>
        </is>
      </c>
      <c r="G1238" s="27" t="inlineStr">
        <is>
          <t>45206-020</t>
        </is>
      </c>
      <c r="H1238" s="15" t="n">
        <v>7</v>
      </c>
      <c r="I1238" s="28" t="inlineStr">
        <is>
          <t>NÃO</t>
        </is>
      </c>
      <c r="J1238" s="29" t="n">
        <v>198.3</v>
      </c>
      <c r="K1238" s="14" t="str">
        <f>IF(J1238="","7. Acima de 2 km",IF(J1238&lt;=50,"1. Até 50 m",IF(J1238&lt;=100,"2. De 50 a 100 m",IF(J1238&lt;=200,"3. De 100 a 200 m",IF(J1238&lt;=300,"4. De 200 a 300 m",IF(J1238&lt;=500,"5. De 300 a 500 m","6. De 500 m a 2 km"))))))</f>
        <v>3. De 100 a 200 m</v>
      </c>
      <c r="L1238" s="26" t="n">
        <v>0</v>
      </c>
      <c r="M1238" s="26" t="n">
        <v>0</v>
      </c>
      <c r="N1238" s="26" t="n">
        <v>1</v>
      </c>
      <c r="O1238" s="26" t="n">
        <v>1</v>
      </c>
      <c r="P1238" s="30" t="n">
        <v>-13.86939979</v>
      </c>
      <c r="Q1238" s="30" t="n">
        <v>-40.07617393</v>
      </c>
      <c r="R1238" s="14" t="inlineStr">
        <is>
          <t>FÓRUM ELEITORAL DE JEQUIÉ, RUA GILDÉLITO FERRAZ, Nº 3-B, JEQUIEZINHO, JEQUIÉ-BA</t>
        </is>
      </c>
      <c r="S1238" s="26">
        <f>IF(A1238=A1237,0,1)</f>
        <v>0</v>
      </c>
      <c r="T1238" s="26">
        <f>IF(COUNTIF($B$4:B1238,B1238)=1,1,0)</f>
        <v>0</v>
      </c>
    </row>
    <row r="1239">
      <c r="A1239" s="14" t="inlineStr">
        <is>
          <t>JEQUIÉ</t>
        </is>
      </c>
      <c r="B1239" s="26" t="n">
        <v>22</v>
      </c>
      <c r="C1239" s="26" t="n">
        <v>1821</v>
      </c>
      <c r="D1239" s="14" t="inlineStr">
        <is>
          <t>CENTRO EDUCACIONAL SENADOR JOÃO CALMON</t>
        </is>
      </c>
      <c r="E1239" s="14" t="inlineStr">
        <is>
          <t>MANDACARU</t>
        </is>
      </c>
      <c r="F1239" s="14" t="inlineStr">
        <is>
          <t>RUA JOSÉ BARROS MEIRA, S/N - ZONA URBANA</t>
        </is>
      </c>
      <c r="G1239" s="27" t="inlineStr">
        <is>
          <t>45207-070</t>
        </is>
      </c>
      <c r="H1239" s="15" t="n">
        <v>6</v>
      </c>
      <c r="I1239" s="28" t="inlineStr">
        <is>
          <t>NÃO</t>
        </is>
      </c>
      <c r="J1239" s="29" t="n">
        <v>376.2</v>
      </c>
      <c r="K1239" s="14" t="str">
        <f>IF(J1239="","7. Acima de 2 km",IF(J1239&lt;=50,"1. Até 50 m",IF(J1239&lt;=100,"2. De 50 a 100 m",IF(J1239&lt;=200,"3. De 100 a 200 m",IF(J1239&lt;=300,"4. De 200 a 300 m",IF(J1239&lt;=500,"5. De 300 a 500 m","6. De 500 m a 2 km"))))))</f>
        <v>5. De 300 a 500 m</v>
      </c>
      <c r="L1239" s="26" t="n">
        <v>0</v>
      </c>
      <c r="M1239" s="26" t="n">
        <v>0</v>
      </c>
      <c r="N1239" s="26" t="n">
        <v>0</v>
      </c>
      <c r="O1239" s="26" t="n">
        <v>0</v>
      </c>
      <c r="P1239" s="30" t="n">
        <v>-13.87202339</v>
      </c>
      <c r="Q1239" s="30" t="n">
        <v>-40.08178646</v>
      </c>
      <c r="R1239" s="14" t="inlineStr">
        <is>
          <t>FÓRUM ELEITORAL DE JEQUIÉ, RUA GILDÉLITO FERRAZ, Nº 3-B, JEQUIEZINHO, JEQUIÉ-BA</t>
        </is>
      </c>
      <c r="S1239" s="26">
        <f>IF(A1239=A1238,0,1)</f>
        <v>0</v>
      </c>
      <c r="T1239" s="26">
        <f>IF(COUNTIF($B$4:B1239,B1239)=1,1,0)</f>
        <v>0</v>
      </c>
    </row>
    <row r="1240">
      <c r="A1240" s="14" t="inlineStr">
        <is>
          <t>JEQUIÉ</t>
        </is>
      </c>
      <c r="B1240" s="26" t="n">
        <v>22</v>
      </c>
      <c r="C1240" s="26" t="n">
        <v>1830</v>
      </c>
      <c r="D1240" s="14" t="inlineStr">
        <is>
          <t>CRECHE MUNICIPAL DR. ASTOLPHO DOS SANTOS</t>
        </is>
      </c>
      <c r="E1240" s="14" t="inlineStr">
        <is>
          <t>AMARALINA</t>
        </is>
      </c>
      <c r="F1240" s="14" t="inlineStr">
        <is>
          <t>RUA 5, QD 36 - ZONA URBANA</t>
        </is>
      </c>
      <c r="G1240" s="27" t="inlineStr">
        <is>
          <t>45200-000</t>
        </is>
      </c>
      <c r="H1240" s="15" t="n">
        <v>3</v>
      </c>
      <c r="I1240" s="28" t="inlineStr">
        <is>
          <t>NÃO</t>
        </is>
      </c>
      <c r="J1240" s="29" t="n">
        <v>1485.2</v>
      </c>
      <c r="K1240" s="14" t="str">
        <f>IF(J1240="","7. Acima de 2 km",IF(J1240&lt;=50,"1. Até 50 m",IF(J1240&lt;=100,"2. De 50 a 100 m",IF(J1240&lt;=200,"3. De 100 a 200 m",IF(J1240&lt;=300,"4. De 200 a 300 m",IF(J1240&lt;=500,"5. De 300 a 500 m","6. De 500 m a 2 km"))))))</f>
        <v>6. De 500 m a 2 km</v>
      </c>
      <c r="L1240" s="26" t="n">
        <v>0</v>
      </c>
      <c r="M1240" s="26" t="n">
        <v>0</v>
      </c>
      <c r="N1240" s="26" t="n">
        <v>0</v>
      </c>
      <c r="O1240" s="26" t="n">
        <v>0</v>
      </c>
      <c r="P1240" s="30" t="n">
        <v>-13.83737524</v>
      </c>
      <c r="Q1240" s="30" t="n">
        <v>-40.06801475</v>
      </c>
      <c r="R1240" s="14" t="inlineStr">
        <is>
          <t>FÓRUM ELEITORAL DE JEQUIÉ, RUA GILDÉLITO FERRAZ, Nº 3-B, JEQUIEZINHO, JEQUIÉ-BA</t>
        </is>
      </c>
      <c r="S1240" s="26">
        <f>IF(A1240=A1239,0,1)</f>
        <v>0</v>
      </c>
      <c r="T1240" s="26">
        <f>IF(COUNTIF($B$4:B1240,B1240)=1,1,0)</f>
        <v>0</v>
      </c>
    </row>
    <row r="1241">
      <c r="A1241" s="14" t="inlineStr">
        <is>
          <t>JEQUIÉ</t>
        </is>
      </c>
      <c r="B1241" s="26" t="n">
        <v>22</v>
      </c>
      <c r="C1241" s="26" t="n">
        <v>1848</v>
      </c>
      <c r="D1241" s="14" t="inlineStr">
        <is>
          <t>ESCOLA MUNICIPAL BOA VISTA</t>
        </is>
      </c>
      <c r="E1241" s="14" t="inlineStr">
        <is>
          <t>POMPÍLIO SAMPAIO</t>
        </is>
      </c>
      <c r="F1241" s="14" t="inlineStr">
        <is>
          <t>RUA CRISTÓVÃO MEIRA GONDIM, SN</t>
        </is>
      </c>
      <c r="G1241" s="27" t="inlineStr">
        <is>
          <t>45206-081</t>
        </is>
      </c>
      <c r="H1241" s="15" t="n">
        <v>3</v>
      </c>
      <c r="I1241" s="28" t="inlineStr">
        <is>
          <t>NÃO</t>
        </is>
      </c>
      <c r="J1241" s="29" t="n">
        <v>814.9</v>
      </c>
      <c r="K1241" s="14" t="str">
        <f>IF(J1241="","7. Acima de 2 km",IF(J1241&lt;=50,"1. Até 50 m",IF(J1241&lt;=100,"2. De 50 a 100 m",IF(J1241&lt;=200,"3. De 100 a 200 m",IF(J1241&lt;=300,"4. De 200 a 300 m",IF(J1241&lt;=500,"5. De 300 a 500 m","6. De 500 m a 2 km"))))))</f>
        <v>6. De 500 m a 2 km</v>
      </c>
      <c r="L1241" s="26" t="n">
        <v>0</v>
      </c>
      <c r="M1241" s="26" t="n">
        <v>0</v>
      </c>
      <c r="N1241" s="26" t="n">
        <v>0</v>
      </c>
      <c r="O1241" s="26" t="n">
        <v>0</v>
      </c>
      <c r="P1241" s="30" t="n">
        <v>-13.85352783</v>
      </c>
      <c r="Q1241" s="30" t="n">
        <v>-40.06892722</v>
      </c>
      <c r="R1241" s="14" t="inlineStr">
        <is>
          <t>FÓRUM ELEITORAL DE JEQUIÉ, RUA GILDÉLITO FERRAZ, Nº 3-B, JEQUIEZINHO, JEQUIÉ-BA</t>
        </is>
      </c>
      <c r="S1241" s="26">
        <f>IF(A1241=A1240,0,1)</f>
        <v>0</v>
      </c>
      <c r="T1241" s="26">
        <f>IF(COUNTIF($B$4:B1241,B1241)=1,1,0)</f>
        <v>0</v>
      </c>
    </row>
    <row r="1242">
      <c r="A1242" s="14" t="inlineStr">
        <is>
          <t>JEQUIÉ</t>
        </is>
      </c>
      <c r="B1242" s="26" t="n">
        <v>22</v>
      </c>
      <c r="C1242" s="26" t="n">
        <v>1899</v>
      </c>
      <c r="D1242" s="14" t="inlineStr">
        <is>
          <t>COLÉGIO MUNICIPAL UNIÃO DO POVO</t>
        </is>
      </c>
      <c r="E1242" s="14" t="inlineStr">
        <is>
          <t>KM 4</t>
        </is>
      </c>
      <c r="F1242" s="14" t="inlineStr">
        <is>
          <t>KM 4 - ZONA URBANA</t>
        </is>
      </c>
      <c r="G1242" s="27" t="inlineStr">
        <is>
          <t>45208-240</t>
        </is>
      </c>
      <c r="H1242" s="15" t="n">
        <v>1</v>
      </c>
      <c r="I1242" s="28" t="inlineStr">
        <is>
          <t>NÃO</t>
        </is>
      </c>
      <c r="J1242" s="29" t="n">
        <v>389.6</v>
      </c>
      <c r="K1242" s="14" t="str">
        <f>IF(J1242="","7. Acima de 2 km",IF(J1242&lt;=50,"1. Até 50 m",IF(J1242&lt;=100,"2. De 50 a 100 m",IF(J1242&lt;=200,"3. De 100 a 200 m",IF(J1242&lt;=300,"4. De 200 a 300 m",IF(J1242&lt;=500,"5. De 300 a 500 m","6. De 500 m a 2 km"))))))</f>
        <v>5. De 300 a 500 m</v>
      </c>
      <c r="L1242" s="26" t="n">
        <v>0</v>
      </c>
      <c r="M1242" s="26" t="n">
        <v>0</v>
      </c>
      <c r="N1242" s="26" t="n">
        <v>0</v>
      </c>
      <c r="O1242" s="26" t="n">
        <v>0</v>
      </c>
      <c r="P1242" s="30" t="n">
        <v>-13.87275222</v>
      </c>
      <c r="Q1242" s="30" t="n">
        <v>-40.11461993</v>
      </c>
      <c r="R1242" s="14" t="inlineStr">
        <is>
          <t>FÓRUM ELEITORAL DE JEQUIÉ, RUA GILDÉLITO FERRAZ, Nº 3-B, JEQUIEZINHO, JEQUIÉ-BA</t>
        </is>
      </c>
      <c r="S1242" s="26">
        <f>IF(A1242=A1241,0,1)</f>
        <v>0</v>
      </c>
      <c r="T1242" s="26">
        <f>IF(COUNTIF($B$4:B1242,B1242)=1,1,0)</f>
        <v>0</v>
      </c>
    </row>
    <row r="1243">
      <c r="A1243" s="14" t="inlineStr">
        <is>
          <t>JEQUIÉ</t>
        </is>
      </c>
      <c r="B1243" s="26" t="n">
        <v>22</v>
      </c>
      <c r="C1243" s="26" t="n">
        <v>1902</v>
      </c>
      <c r="D1243" s="14" t="inlineStr">
        <is>
          <t>ESCOLA MUNICIPAL ANA SILVA</t>
        </is>
      </c>
      <c r="E1243" s="14" t="inlineStr">
        <is>
          <t>MANDACARU</t>
        </is>
      </c>
      <c r="F1243" s="14" t="inlineStr">
        <is>
          <t>ITAIGARA</t>
        </is>
      </c>
      <c r="G1243" s="27" t="inlineStr">
        <is>
          <t>45207-330</t>
        </is>
      </c>
      <c r="H1243" s="15" t="n">
        <v>1</v>
      </c>
      <c r="I1243" s="28" t="inlineStr">
        <is>
          <t>NÃO</t>
        </is>
      </c>
      <c r="J1243" s="29" t="n">
        <v>613.4</v>
      </c>
      <c r="K1243" s="14" t="str">
        <f>IF(J1243="","7. Acima de 2 km",IF(J1243&lt;=50,"1. Até 50 m",IF(J1243&lt;=100,"2. De 50 a 100 m",IF(J1243&lt;=200,"3. De 100 a 200 m",IF(J1243&lt;=300,"4. De 200 a 300 m",IF(J1243&lt;=500,"5. De 300 a 500 m","6. De 500 m a 2 km"))))))</f>
        <v>6. De 500 m a 2 km</v>
      </c>
      <c r="L1243" s="26" t="n">
        <v>0</v>
      </c>
      <c r="M1243" s="26" t="n">
        <v>0</v>
      </c>
      <c r="N1243" s="26" t="n">
        <v>0</v>
      </c>
      <c r="O1243" s="26" t="n">
        <v>0</v>
      </c>
      <c r="P1243" s="30" t="n">
        <v>-13.88070763</v>
      </c>
      <c r="Q1243" s="30" t="n">
        <v>-40.08649676</v>
      </c>
      <c r="R1243" s="14" t="inlineStr">
        <is>
          <t>FÓRUM ELEITORAL DE JEQUIÉ, RUA GILDÉLITO FERRAZ, Nº 3-B, JEQUIEZINHO, JEQUIÉ-BA</t>
        </is>
      </c>
      <c r="S1243" s="26">
        <f>IF(A1243=A1242,0,1)</f>
        <v>0</v>
      </c>
      <c r="T1243" s="26">
        <f>IF(COUNTIF($B$4:B1243,B1243)=1,1,0)</f>
        <v>0</v>
      </c>
    </row>
    <row r="1244">
      <c r="A1244" s="14" t="inlineStr">
        <is>
          <t>JEQUIÉ</t>
        </is>
      </c>
      <c r="B1244" s="26" t="n">
        <v>22</v>
      </c>
      <c r="C1244" s="26" t="n">
        <v>1910</v>
      </c>
      <c r="D1244" s="14" t="inlineStr">
        <is>
          <t>CENTRO DE EDUCAÇÃO INFANTIL JORGE LUIZ OLIVEIRA DE JESUS</t>
        </is>
      </c>
      <c r="E1244" s="14" t="inlineStr">
        <is>
          <t>JEQUIEZINHO</t>
        </is>
      </c>
      <c r="F1244" s="14" t="inlineStr">
        <is>
          <t>RUA CIDADE DE BRASÍLIA, S/N</t>
        </is>
      </c>
      <c r="G1244" s="27" t="inlineStr">
        <is>
          <t>45208-903</t>
        </is>
      </c>
      <c r="H1244" s="15" t="n">
        <v>3</v>
      </c>
      <c r="I1244" s="28" t="inlineStr">
        <is>
          <t>NÃO</t>
        </is>
      </c>
      <c r="J1244" s="29" t="n">
        <v>1408.1</v>
      </c>
      <c r="K1244" s="14" t="str">
        <f>IF(J1244="","7. Acima de 2 km",IF(J1244&lt;=50,"1. Até 50 m",IF(J1244&lt;=100,"2. De 50 a 100 m",IF(J1244&lt;=200,"3. De 100 a 200 m",IF(J1244&lt;=300,"4. De 200 a 300 m",IF(J1244&lt;=500,"5. De 300 a 500 m","6. De 500 m a 2 km"))))))</f>
        <v>6. De 500 m a 2 km</v>
      </c>
      <c r="L1244" s="26" t="n">
        <v>0</v>
      </c>
      <c r="M1244" s="26" t="n">
        <v>0</v>
      </c>
      <c r="N1244" s="26" t="n">
        <v>0</v>
      </c>
      <c r="O1244" s="26" t="n">
        <v>0</v>
      </c>
      <c r="P1244" s="30" t="n">
        <v>-13.85527306</v>
      </c>
      <c r="Q1244" s="30" t="n">
        <v>-40.06150261</v>
      </c>
      <c r="R1244" s="14" t="inlineStr">
        <is>
          <t>FÓRUM ELEITORAL DE JEQUIÉ, RUA GILDÉLITO FERRAZ, Nº 3-B, JEQUIEZINHO, JEQUIÉ-BA</t>
        </is>
      </c>
      <c r="S1244" s="26">
        <f>IF(A1244=A1243,0,1)</f>
        <v>0</v>
      </c>
      <c r="T1244" s="26">
        <f>IF(COUNTIF($B$4:B1244,B1244)=1,1,0)</f>
        <v>0</v>
      </c>
    </row>
    <row r="1245">
      <c r="A1245" s="14" t="inlineStr">
        <is>
          <t>JEQUIÉ</t>
        </is>
      </c>
      <c r="B1245" s="26" t="n">
        <v>22</v>
      </c>
      <c r="C1245" s="26" t="n">
        <v>1929</v>
      </c>
      <c r="D1245" s="14" t="inlineStr">
        <is>
          <t>COLÉGIO OSWALDO EVANGELISTA</t>
        </is>
      </c>
      <c r="E1245" s="14" t="inlineStr">
        <is>
          <t>POVOADO BARRAGEM DE PEDRA</t>
        </is>
      </c>
      <c r="F1245" s="14" t="inlineStr">
        <is>
          <t>REGIÃO DO CANOÃO - ZONA RURAL</t>
        </is>
      </c>
      <c r="G1245" s="27" t="inlineStr">
        <is>
          <t>45211-899</t>
        </is>
      </c>
      <c r="H1245" s="15" t="n">
        <v>1</v>
      </c>
      <c r="I1245" s="28" t="inlineStr">
        <is>
          <t>NÃO</t>
        </is>
      </c>
      <c r="J1245" s="29" t="n"/>
      <c r="K1245" s="14" t="str">
        <f>IF(J1245="","7. Acima de 2 km",IF(J1245&lt;=50,"1. Até 50 m",IF(J1245&lt;=100,"2. De 50 a 100 m",IF(J1245&lt;=200,"3. De 100 a 200 m",IF(J1245&lt;=300,"4. De 200 a 300 m",IF(J1245&lt;=500,"5. De 300 a 500 m","6. De 500 m a 2 km"))))))</f>
        <v>7. Acima de 2 km</v>
      </c>
      <c r="L1245" s="26" t="n">
        <v>0</v>
      </c>
      <c r="M1245" s="26" t="n">
        <v>0</v>
      </c>
      <c r="N1245" s="26" t="n">
        <v>0</v>
      </c>
      <c r="O1245" s="26" t="n">
        <v>0</v>
      </c>
      <c r="P1245" s="30" t="n">
        <v>-13.8629467</v>
      </c>
      <c r="Q1245" s="30" t="n">
        <v>-40.2986283</v>
      </c>
      <c r="R1245" s="14" t="inlineStr">
        <is>
          <t>FÓRUM ELEITORAL DE JEQUIÉ, RUA GILDÉLITO FERRAZ, Nº 3-B, JEQUIEZINHO, JEQUIÉ-BA</t>
        </is>
      </c>
      <c r="S1245" s="26">
        <f>IF(A1245=A1244,0,1)</f>
        <v>0</v>
      </c>
      <c r="T1245" s="26">
        <f>IF(COUNTIF($B$4:B1245,B1245)=1,1,0)</f>
        <v>0</v>
      </c>
    </row>
    <row r="1246">
      <c r="A1246" s="14" t="inlineStr">
        <is>
          <t>JEQUIÉ</t>
        </is>
      </c>
      <c r="B1246" s="26" t="n">
        <v>23</v>
      </c>
      <c r="C1246" s="26" t="n">
        <v>1368</v>
      </c>
      <c r="D1246" s="14" t="inlineStr">
        <is>
          <t>CENTRO MUNICIPAL DE TEMPO INTEGRAL ADEMAR VIEIRA</t>
        </is>
      </c>
      <c r="E1246" s="14" t="inlineStr">
        <is>
          <t>JOAQUIM ROMÃO</t>
        </is>
      </c>
      <c r="F1246" s="14" t="inlineStr">
        <is>
          <t>PRAÇA PAPA JOÃO XXIII, S/N - ZONA URBANA</t>
        </is>
      </c>
      <c r="G1246" s="27" t="inlineStr">
        <is>
          <t>45200-000</t>
        </is>
      </c>
      <c r="H1246" s="15" t="n">
        <v>5</v>
      </c>
      <c r="I1246" s="28" t="inlineStr">
        <is>
          <t>NÃO</t>
        </is>
      </c>
      <c r="J1246" s="29" t="n">
        <v>177.6</v>
      </c>
      <c r="K1246" s="14" t="str">
        <f>IF(J1246="","7. Acima de 2 km",IF(J1246&lt;=50,"1. Até 50 m",IF(J1246&lt;=100,"2. De 50 a 100 m",IF(J1246&lt;=200,"3. De 100 a 200 m",IF(J1246&lt;=300,"4. De 200 a 300 m",IF(J1246&lt;=500,"5. De 300 a 500 m","6. De 500 m a 2 km"))))))</f>
        <v>3. De 100 a 200 m</v>
      </c>
      <c r="L1246" s="26" t="n">
        <v>0</v>
      </c>
      <c r="M1246" s="26" t="n">
        <v>0</v>
      </c>
      <c r="N1246" s="26" t="n">
        <v>1</v>
      </c>
      <c r="O1246" s="26" t="n">
        <v>1</v>
      </c>
      <c r="P1246" s="30" t="n">
        <v>-13.8617864</v>
      </c>
      <c r="Q1246" s="30" t="n">
        <v>-40.0895732</v>
      </c>
      <c r="R1246" s="14" t="inlineStr">
        <is>
          <t>FÓRUM ELEITORAL DE JEQUIÉ, RUA GILDÉLITO FERRAZ, Nº 3-B, JEQUIEZINHO, JEQUIÉ/BA</t>
        </is>
      </c>
      <c r="S1246" s="26">
        <f>IF(A1246=A1245,0,1)</f>
        <v>0</v>
      </c>
      <c r="T1246" s="26">
        <f>IF(COUNTIF($B$4:B1246,B1246)=1,1,0)</f>
        <v>1</v>
      </c>
    </row>
    <row r="1247">
      <c r="A1247" s="14" t="inlineStr">
        <is>
          <t>JEQUIÉ</t>
        </is>
      </c>
      <c r="B1247" s="26" t="n">
        <v>23</v>
      </c>
      <c r="C1247" s="26" t="n">
        <v>1384</v>
      </c>
      <c r="D1247" s="14" t="inlineStr">
        <is>
          <t>CENTRO EDUCACIONAL PROFESSOR BRITO</t>
        </is>
      </c>
      <c r="E1247" s="14" t="inlineStr">
        <is>
          <t>JOAQUIM ROMÃO</t>
        </is>
      </c>
      <c r="F1247" s="14" t="inlineStr">
        <is>
          <t>RUA ITAJURU, S/N - ZONA URBANA</t>
        </is>
      </c>
      <c r="G1247" s="27" t="inlineStr">
        <is>
          <t>45202-160</t>
        </is>
      </c>
      <c r="H1247" s="15" t="n">
        <v>10</v>
      </c>
      <c r="I1247" s="28" t="inlineStr">
        <is>
          <t>NÃO</t>
        </is>
      </c>
      <c r="J1247" s="29" t="n">
        <v>377.8</v>
      </c>
      <c r="K1247" s="14" t="str">
        <f>IF(J1247="","7. Acima de 2 km",IF(J1247&lt;=50,"1. Até 50 m",IF(J1247&lt;=100,"2. De 50 a 100 m",IF(J1247&lt;=200,"3. De 100 a 200 m",IF(J1247&lt;=300,"4. De 200 a 300 m",IF(J1247&lt;=500,"5. De 300 a 500 m","6. De 500 m a 2 km"))))))</f>
        <v>5. De 300 a 500 m</v>
      </c>
      <c r="L1247" s="26" t="n">
        <v>0</v>
      </c>
      <c r="M1247" s="26" t="n">
        <v>0</v>
      </c>
      <c r="N1247" s="26" t="n">
        <v>0</v>
      </c>
      <c r="O1247" s="26" t="n">
        <v>0</v>
      </c>
      <c r="P1247" s="30" t="n">
        <v>-13.858101</v>
      </c>
      <c r="Q1247" s="30" t="n">
        <v>-40.0938539</v>
      </c>
      <c r="R1247" s="14" t="inlineStr">
        <is>
          <t>FÓRUM ELEITORAL DE JEQUIÉ, RUA GILDÉLITO FERRAZ, Nº 3-B, JEQUIEZINHO, JEQUIÉ/BA</t>
        </is>
      </c>
      <c r="S1247" s="26">
        <f>IF(A1247=A1246,0,1)</f>
        <v>0</v>
      </c>
      <c r="T1247" s="26">
        <f>IF(COUNTIF($B$4:B1247,B1247)=1,1,0)</f>
        <v>0</v>
      </c>
    </row>
    <row r="1248">
      <c r="A1248" s="14" t="inlineStr">
        <is>
          <t>JEQUIÉ</t>
        </is>
      </c>
      <c r="B1248" s="26" t="n">
        <v>23</v>
      </c>
      <c r="C1248" s="26" t="n">
        <v>1449</v>
      </c>
      <c r="D1248" s="14" t="inlineStr">
        <is>
          <t>ESCOLA MUNICIPAL PROF. AURINO NERY ( FEIRINHA )</t>
        </is>
      </c>
      <c r="E1248" s="14" t="inlineStr">
        <is>
          <t>JOAQUIM ROMÃO</t>
        </is>
      </c>
      <c r="F1248" s="14" t="inlineStr">
        <is>
          <t>RUA JOÃO JOSÉ DUARTE, S/N - ZONA URBANA</t>
        </is>
      </c>
      <c r="G1248" s="27" t="inlineStr">
        <is>
          <t>45200-660</t>
        </is>
      </c>
      <c r="H1248" s="15" t="n">
        <v>9</v>
      </c>
      <c r="I1248" s="28" t="inlineStr">
        <is>
          <t>NÃO</t>
        </is>
      </c>
      <c r="J1248" s="29" t="n">
        <v>139</v>
      </c>
      <c r="K1248" s="14" t="str">
        <f>IF(J1248="","7. Acima de 2 km",IF(J1248&lt;=50,"1. Até 50 m",IF(J1248&lt;=100,"2. De 50 a 100 m",IF(J1248&lt;=200,"3. De 100 a 200 m",IF(J1248&lt;=300,"4. De 200 a 300 m",IF(J1248&lt;=500,"5. De 300 a 500 m","6. De 500 m a 2 km"))))))</f>
        <v>3. De 100 a 200 m</v>
      </c>
      <c r="L1248" s="26" t="n">
        <v>0</v>
      </c>
      <c r="M1248" s="26" t="n">
        <v>0</v>
      </c>
      <c r="N1248" s="26" t="n">
        <v>1</v>
      </c>
      <c r="O1248" s="26" t="n">
        <v>1</v>
      </c>
      <c r="P1248" s="30" t="n">
        <v>-13.8557317</v>
      </c>
      <c r="Q1248" s="30" t="n">
        <v>-40.0926783</v>
      </c>
      <c r="R1248" s="14" t="inlineStr">
        <is>
          <t>FÓRUM ELEITORAL DE JEQUIÉ, RUA GILDÉLITO FERRAZ, Nº 3-B, JEQUIEZINHO, JEQUIÉ/BA</t>
        </is>
      </c>
      <c r="S1248" s="26">
        <f>IF(A1248=A1247,0,1)</f>
        <v>0</v>
      </c>
      <c r="T1248" s="26">
        <f>IF(COUNTIF($B$4:B1248,B1248)=1,1,0)</f>
        <v>0</v>
      </c>
    </row>
    <row r="1249">
      <c r="A1249" s="14" t="inlineStr">
        <is>
          <t>JEQUIÉ</t>
        </is>
      </c>
      <c r="B1249" s="26" t="n">
        <v>23</v>
      </c>
      <c r="C1249" s="26" t="n">
        <v>1457</v>
      </c>
      <c r="D1249" s="14" t="inlineStr">
        <is>
          <t>CENTRO EDUCACIONAL MINISTRO SIMÕES FILHO</t>
        </is>
      </c>
      <c r="E1249" s="14" t="inlineStr">
        <is>
          <t>JOAQUIM ROMÃO</t>
        </is>
      </c>
      <c r="F1249" s="14" t="inlineStr">
        <is>
          <t>AV. TOTE LOMANTO, S/N - ZONA URBANA</t>
        </is>
      </c>
      <c r="G1249" s="27" t="inlineStr">
        <is>
          <t>45200-100</t>
        </is>
      </c>
      <c r="H1249" s="15" t="n">
        <v>6</v>
      </c>
      <c r="I1249" s="28" t="inlineStr">
        <is>
          <t>SIM</t>
        </is>
      </c>
      <c r="J1249" s="29" t="n">
        <v>8.9</v>
      </c>
      <c r="K1249" s="14" t="str">
        <f>IF(J1249="","7. Acima de 2 km",IF(J1249&lt;=50,"1. Até 50 m",IF(J1249&lt;=100,"2. De 50 a 100 m",IF(J1249&lt;=200,"3. De 100 a 200 m",IF(J1249&lt;=300,"4. De 200 a 300 m",IF(J1249&lt;=500,"5. De 300 a 500 m","6. De 500 m a 2 km"))))))</f>
        <v>1. Até 50 m</v>
      </c>
      <c r="L1249" s="26" t="n">
        <v>1</v>
      </c>
      <c r="M1249" s="26" t="n">
        <v>1</v>
      </c>
      <c r="N1249" s="26" t="n">
        <v>1</v>
      </c>
      <c r="O1249" s="26" t="n">
        <v>1</v>
      </c>
      <c r="P1249" s="30" t="n">
        <v>-13.8441229</v>
      </c>
      <c r="Q1249" s="30" t="n">
        <v>-40.0961559</v>
      </c>
      <c r="R1249" s="14" t="inlineStr">
        <is>
          <t>FÓRUM ELEITORAL DE JEQUIÉ, RUA GILDÉLITO FERRAZ, Nº 3-B, JEQUIEZINHO, JEQUIÉ/BA</t>
        </is>
      </c>
      <c r="S1249" s="26">
        <f>IF(A1249=A1248,0,1)</f>
        <v>0</v>
      </c>
      <c r="T1249" s="26">
        <f>IF(COUNTIF($B$4:B1249,B1249)=1,1,0)</f>
        <v>0</v>
      </c>
    </row>
    <row r="1250">
      <c r="A1250" s="14" t="inlineStr">
        <is>
          <t>JEQUIÉ</t>
        </is>
      </c>
      <c r="B1250" s="26" t="n">
        <v>23</v>
      </c>
      <c r="C1250" s="26" t="n">
        <v>1465</v>
      </c>
      <c r="D1250" s="14" t="inlineStr">
        <is>
          <t>CENTRO EDUCACIONAL PRESIDENTE MÉDICI</t>
        </is>
      </c>
      <c r="E1250" s="14" t="inlineStr">
        <is>
          <t>JOAQUIM ROMÃO</t>
        </is>
      </c>
      <c r="F1250" s="14" t="inlineStr">
        <is>
          <t>RUA PRINCESA ISABEL S/N - ZONA URBANA</t>
        </is>
      </c>
      <c r="G1250" s="27" t="inlineStr">
        <is>
          <t>45201-180</t>
        </is>
      </c>
      <c r="H1250" s="15" t="n">
        <v>15</v>
      </c>
      <c r="I1250" s="28" t="inlineStr">
        <is>
          <t>NÃO</t>
        </is>
      </c>
      <c r="J1250" s="29" t="n">
        <v>444.4</v>
      </c>
      <c r="K1250" s="14" t="str">
        <f>IF(J1250="","7. Acima de 2 km",IF(J1250&lt;=50,"1. Até 50 m",IF(J1250&lt;=100,"2. De 50 a 100 m",IF(J1250&lt;=200,"3. De 100 a 200 m",IF(J1250&lt;=300,"4. De 200 a 300 m",IF(J1250&lt;=500,"5. De 300 a 500 m","6. De 500 m a 2 km"))))))</f>
        <v>5. De 300 a 500 m</v>
      </c>
      <c r="L1250" s="26" t="n">
        <v>0</v>
      </c>
      <c r="M1250" s="26" t="n">
        <v>0</v>
      </c>
      <c r="N1250" s="26" t="n">
        <v>0</v>
      </c>
      <c r="O1250" s="26" t="n">
        <v>0</v>
      </c>
      <c r="P1250" s="30" t="n">
        <v>-13.8579677</v>
      </c>
      <c r="Q1250" s="30" t="n">
        <v>-40.094772</v>
      </c>
      <c r="R1250" s="14" t="inlineStr">
        <is>
          <t>FÓRUM ELEITORAL DE JEQUIÉ, RUA GILDÉLITO FERRAZ, Nº 3-B, JEQUIEZINHO, JEQUIÉ/BA</t>
        </is>
      </c>
      <c r="S1250" s="26">
        <f>IF(A1250=A1249,0,1)</f>
        <v>0</v>
      </c>
      <c r="T1250" s="26">
        <f>IF(COUNTIF($B$4:B1250,B1250)=1,1,0)</f>
        <v>0</v>
      </c>
    </row>
    <row r="1251">
      <c r="A1251" s="14" t="inlineStr">
        <is>
          <t>JEQUIÉ</t>
        </is>
      </c>
      <c r="B1251" s="26" t="n">
        <v>23</v>
      </c>
      <c r="C1251" s="26" t="n">
        <v>1473</v>
      </c>
      <c r="D1251" s="14" t="inlineStr">
        <is>
          <t>ESCOLA MUNICIPAL AMÉLIA RIBEIRO</t>
        </is>
      </c>
      <c r="E1251" s="14" t="inlineStr">
        <is>
          <t>CANSANÇÃO</t>
        </is>
      </c>
      <c r="F1251" s="14" t="inlineStr">
        <is>
          <t>AV. GUSTAVO DOS SANTOS RIBEIRO, S/N - ZONA URBANA</t>
        </is>
      </c>
      <c r="G1251" s="27" t="inlineStr">
        <is>
          <t>45200-000</t>
        </is>
      </c>
      <c r="H1251" s="15" t="n">
        <v>4</v>
      </c>
      <c r="I1251" s="28" t="inlineStr">
        <is>
          <t>NÃO</t>
        </is>
      </c>
      <c r="J1251" s="29" t="n">
        <v>1320.1</v>
      </c>
      <c r="K1251" s="14" t="str">
        <f>IF(J1251="","7. Acima de 2 km",IF(J1251&lt;=50,"1. Até 50 m",IF(J1251&lt;=100,"2. De 50 a 100 m",IF(J1251&lt;=200,"3. De 100 a 200 m",IF(J1251&lt;=300,"4. De 200 a 300 m",IF(J1251&lt;=500,"5. De 300 a 500 m","6. De 500 m a 2 km"))))))</f>
        <v>6. De 500 m a 2 km</v>
      </c>
      <c r="L1251" s="26" t="n">
        <v>0</v>
      </c>
      <c r="M1251" s="26" t="n">
        <v>0</v>
      </c>
      <c r="N1251" s="26" t="n">
        <v>0</v>
      </c>
      <c r="O1251" s="26" t="n">
        <v>0</v>
      </c>
      <c r="P1251" s="30" t="n">
        <v>-13.8591295</v>
      </c>
      <c r="Q1251" s="30" t="n">
        <v>-40.1030939</v>
      </c>
      <c r="R1251" s="14" t="inlineStr">
        <is>
          <t>FÓRUM ELEITORAL DE JEQUIÉ, RUA GILDÉLITO FERRAZ, Nº 3-B, JEQUIEZINHO, JEQUIÉ/BA</t>
        </is>
      </c>
      <c r="S1251" s="26">
        <f>IF(A1251=A1250,0,1)</f>
        <v>0</v>
      </c>
      <c r="T1251" s="26">
        <f>IF(COUNTIF($B$4:B1251,B1251)=1,1,0)</f>
        <v>0</v>
      </c>
    </row>
    <row r="1252">
      <c r="A1252" s="14" t="inlineStr">
        <is>
          <t>JEQUIÉ</t>
        </is>
      </c>
      <c r="B1252" s="26" t="n">
        <v>23</v>
      </c>
      <c r="C1252" s="26" t="n">
        <v>1562</v>
      </c>
      <c r="D1252" s="14" t="inlineStr">
        <is>
          <t>ESCOLA MUNICIPAL PROF. FLORIPES SODRÉ</t>
        </is>
      </c>
      <c r="E1252" s="14" t="inlineStr">
        <is>
          <t>CANSANÇÃO</t>
        </is>
      </c>
      <c r="F1252" s="14" t="inlineStr">
        <is>
          <t>AV GUSTAVO DOS SANTOS RIBEIRO, S/N - ZONA URBANA</t>
        </is>
      </c>
      <c r="G1252" s="27" t="inlineStr">
        <is>
          <t>45200-000</t>
        </is>
      </c>
      <c r="H1252" s="15" t="n">
        <v>8</v>
      </c>
      <c r="I1252" s="28" t="inlineStr">
        <is>
          <t>NÃO</t>
        </is>
      </c>
      <c r="J1252" s="29" t="n">
        <v>1313.2</v>
      </c>
      <c r="K1252" s="14" t="str">
        <f>IF(J1252="","7. Acima de 2 km",IF(J1252&lt;=50,"1. Até 50 m",IF(J1252&lt;=100,"2. De 50 a 100 m",IF(J1252&lt;=200,"3. De 100 a 200 m",IF(J1252&lt;=300,"4. De 200 a 300 m",IF(J1252&lt;=500,"5. De 300 a 500 m","6. De 500 m a 2 km"))))))</f>
        <v>6. De 500 m a 2 km</v>
      </c>
      <c r="L1252" s="26" t="n">
        <v>0</v>
      </c>
      <c r="M1252" s="26" t="n">
        <v>0</v>
      </c>
      <c r="N1252" s="26" t="n">
        <v>0</v>
      </c>
      <c r="O1252" s="26" t="n">
        <v>0</v>
      </c>
      <c r="P1252" s="30" t="n">
        <v>-13.8605859</v>
      </c>
      <c r="Q1252" s="30" t="n">
        <v>-40.1060605</v>
      </c>
      <c r="R1252" s="14" t="inlineStr">
        <is>
          <t>FÓRUM ELEITORAL DE JEQUIÉ, RUA GILDÉLITO FERRAZ, Nº 3-B, JEQUIEZINHO, JEQUIÉ/BA</t>
        </is>
      </c>
      <c r="S1252" s="26">
        <f>IF(A1252=A1251,0,1)</f>
        <v>0</v>
      </c>
      <c r="T1252" s="26">
        <f>IF(COUNTIF($B$4:B1252,B1252)=1,1,0)</f>
        <v>0</v>
      </c>
    </row>
    <row r="1253">
      <c r="A1253" s="14" t="inlineStr">
        <is>
          <t>JEQUIÉ</t>
        </is>
      </c>
      <c r="B1253" s="26" t="n">
        <v>23</v>
      </c>
      <c r="C1253" s="26" t="n">
        <v>1589</v>
      </c>
      <c r="D1253" s="14" t="inlineStr">
        <is>
          <t>ESCOLA MUNICIPAL MARIA BIONDI</t>
        </is>
      </c>
      <c r="E1253" s="14" t="inlineStr">
        <is>
          <t>KENNEDY</t>
        </is>
      </c>
      <c r="F1253" s="14" t="inlineStr">
        <is>
          <t>RUA MARIA BIONDI S/N - ZONA URBANA</t>
        </is>
      </c>
      <c r="G1253" s="27" t="inlineStr">
        <is>
          <t>45201-530</t>
        </is>
      </c>
      <c r="H1253" s="15" t="n">
        <v>7</v>
      </c>
      <c r="I1253" s="28" t="inlineStr">
        <is>
          <t>NÃO</t>
        </is>
      </c>
      <c r="J1253" s="29" t="n"/>
      <c r="K1253" s="14" t="str">
        <f>IF(J1253="","7. Acima de 2 km",IF(J1253&lt;=50,"1. Até 50 m",IF(J1253&lt;=100,"2. De 50 a 100 m",IF(J1253&lt;=200,"3. De 100 a 200 m",IF(J1253&lt;=300,"4. De 200 a 300 m",IF(J1253&lt;=500,"5. De 300 a 500 m","6. De 500 m a 2 km"))))))</f>
        <v>7. Acima de 2 km</v>
      </c>
      <c r="L1253" s="26" t="n">
        <v>0</v>
      </c>
      <c r="M1253" s="26" t="n">
        <v>0</v>
      </c>
      <c r="N1253" s="26" t="n">
        <v>0</v>
      </c>
      <c r="O1253" s="26" t="n">
        <v>0</v>
      </c>
      <c r="P1253" s="30" t="n">
        <v>-13.8570222</v>
      </c>
      <c r="Q1253" s="30" t="n">
        <v>-40.1102878</v>
      </c>
      <c r="R1253" s="14" t="inlineStr">
        <is>
          <t>FÓRUM ELEITORAL DE JEQUIÉ, RUA GILDÉLITO FERRAZ, Nº 3-B, JEQUIEZINHO, JEQUIÉ/BA</t>
        </is>
      </c>
      <c r="S1253" s="26">
        <f>IF(A1253=A1252,0,1)</f>
        <v>0</v>
      </c>
      <c r="T1253" s="26">
        <f>IF(COUNTIF($B$4:B1253,B1253)=1,1,0)</f>
        <v>0</v>
      </c>
    </row>
    <row r="1254">
      <c r="A1254" s="14" t="inlineStr">
        <is>
          <t>JEQUIÉ</t>
        </is>
      </c>
      <c r="B1254" s="26" t="n">
        <v>23</v>
      </c>
      <c r="C1254" s="26" t="n">
        <v>2054</v>
      </c>
      <c r="D1254" s="14" t="inlineStr">
        <is>
          <t>COLÉGIO ESTADUAL FIRMO NUNES DE OLIVEIRA</t>
        </is>
      </c>
      <c r="E1254" s="14" t="inlineStr">
        <is>
          <t>JOAQUIM ROMÃO</t>
        </is>
      </c>
      <c r="F1254" s="14" t="inlineStr">
        <is>
          <t>AV. LOMANTO JÚNIOR, S/N - ZONA URBANA</t>
        </is>
      </c>
      <c r="G1254" s="27" t="inlineStr">
        <is>
          <t>45200-565</t>
        </is>
      </c>
      <c r="H1254" s="15" t="n">
        <v>14</v>
      </c>
      <c r="I1254" s="28" t="inlineStr">
        <is>
          <t>NÃO</t>
        </is>
      </c>
      <c r="J1254" s="29" t="n">
        <v>540.1</v>
      </c>
      <c r="K1254" s="14" t="str">
        <f>IF(J1254="","7. Acima de 2 km",IF(J1254&lt;=50,"1. Até 50 m",IF(J1254&lt;=100,"2. De 50 a 100 m",IF(J1254&lt;=200,"3. De 100 a 200 m",IF(J1254&lt;=300,"4. De 200 a 300 m",IF(J1254&lt;=500,"5. De 300 a 500 m","6. De 500 m a 2 km"))))))</f>
        <v>6. De 500 m a 2 km</v>
      </c>
      <c r="L1254" s="26" t="n">
        <v>0</v>
      </c>
      <c r="M1254" s="26" t="n">
        <v>0</v>
      </c>
      <c r="N1254" s="26" t="n">
        <v>0</v>
      </c>
      <c r="O1254" s="26" t="n">
        <v>0</v>
      </c>
      <c r="P1254" s="30" t="n">
        <v>-13.8608306</v>
      </c>
      <c r="Q1254" s="30" t="n">
        <v>-40.0933901</v>
      </c>
      <c r="R1254" s="14" t="inlineStr">
        <is>
          <t>FÓRUM ELEITORAL DE JEQUIÉ, RUA GILDÉLITO FERRAZ, Nº 3-B, JEQUIEZINHO, JEQUIÉ/BA</t>
        </is>
      </c>
      <c r="S1254" s="26">
        <f>IF(A1254=A1253,0,1)</f>
        <v>0</v>
      </c>
      <c r="T1254" s="26">
        <f>IF(COUNTIF($B$4:B1254,B1254)=1,1,0)</f>
        <v>0</v>
      </c>
    </row>
    <row r="1255">
      <c r="A1255" s="14" t="inlineStr">
        <is>
          <t>JEQUIÉ</t>
        </is>
      </c>
      <c r="B1255" s="26" t="n">
        <v>23</v>
      </c>
      <c r="C1255" s="26" t="n">
        <v>2097</v>
      </c>
      <c r="D1255" s="14" t="inlineStr">
        <is>
          <t>COLÉGIO ESTADUAL DOUTOR MILTON SANTOS</t>
        </is>
      </c>
      <c r="E1255" s="14" t="inlineStr">
        <is>
          <t>JOAQUIM ROMÃO</t>
        </is>
      </c>
      <c r="F1255" s="14" t="inlineStr">
        <is>
          <t>RUA DOM CLIMÉRIO, S/N - ZONA URBANA</t>
        </is>
      </c>
      <c r="G1255" s="27" t="inlineStr">
        <is>
          <t>45202-650</t>
        </is>
      </c>
      <c r="H1255" s="15" t="n">
        <v>9</v>
      </c>
      <c r="I1255" s="28" t="inlineStr">
        <is>
          <t>NÃO</t>
        </is>
      </c>
      <c r="J1255" s="29" t="n">
        <v>114.7</v>
      </c>
      <c r="K1255" s="14" t="str">
        <f>IF(J1255="","7. Acima de 2 km",IF(J1255&lt;=50,"1. Até 50 m",IF(J1255&lt;=100,"2. De 50 a 100 m",IF(J1255&lt;=200,"3. De 100 a 200 m",IF(J1255&lt;=300,"4. De 200 a 300 m",IF(J1255&lt;=500,"5. De 300 a 500 m","6. De 500 m a 2 km"))))))</f>
        <v>3. De 100 a 200 m</v>
      </c>
      <c r="L1255" s="26" t="n">
        <v>0</v>
      </c>
      <c r="M1255" s="26" t="n">
        <v>0</v>
      </c>
      <c r="N1255" s="26" t="n">
        <v>1</v>
      </c>
      <c r="O1255" s="26" t="n">
        <v>2</v>
      </c>
      <c r="P1255" s="30" t="n">
        <v>-13.8503448</v>
      </c>
      <c r="Q1255" s="30" t="n">
        <v>-40.0916308</v>
      </c>
      <c r="R1255" s="14" t="inlineStr">
        <is>
          <t>FÓRUM ELEITORAL DE JEQUIÉ, RUA GILDÉLITO FERRAZ, Nº 3-B, JEQUIEZINHO, JEQUIÉ/BA</t>
        </is>
      </c>
      <c r="S1255" s="26">
        <f>IF(A1255=A1254,0,1)</f>
        <v>0</v>
      </c>
      <c r="T1255" s="26">
        <f>IF(COUNTIF($B$4:B1255,B1255)=1,1,0)</f>
        <v>0</v>
      </c>
    </row>
    <row r="1256">
      <c r="A1256" s="14" t="inlineStr">
        <is>
          <t>JEQUIÉ</t>
        </is>
      </c>
      <c r="B1256" s="26" t="n">
        <v>23</v>
      </c>
      <c r="C1256" s="26" t="n">
        <v>2119</v>
      </c>
      <c r="D1256" s="14" t="inlineStr">
        <is>
          <t>ESCOLA MUNICIPAL JOSÉ DE ANCHIETA (CAJUEIRO)</t>
        </is>
      </c>
      <c r="E1256" s="14" t="inlineStr">
        <is>
          <t>POVOADO CAJUEIRO</t>
        </is>
      </c>
      <c r="F1256" s="14" t="inlineStr">
        <is>
          <t>POVOADO CAJUEIRO - ZONA RURAL</t>
        </is>
      </c>
      <c r="G1256" s="27" t="inlineStr">
        <is>
          <t>45200-000</t>
        </is>
      </c>
      <c r="H1256" s="15" t="n">
        <v>2</v>
      </c>
      <c r="I1256" s="28" t="inlineStr">
        <is>
          <t>NÃO</t>
        </is>
      </c>
      <c r="J1256" s="29" t="n"/>
      <c r="K1256" s="14" t="str">
        <f>IF(J1256="","7. Acima de 2 km",IF(J1256&lt;=50,"1. Até 50 m",IF(J1256&lt;=100,"2. De 50 a 100 m",IF(J1256&lt;=200,"3. De 100 a 200 m",IF(J1256&lt;=300,"4. De 200 a 300 m",IF(J1256&lt;=500,"5. De 300 a 500 m","6. De 500 m a 2 km"))))))</f>
        <v>7. Acima de 2 km</v>
      </c>
      <c r="L1256" s="26" t="n">
        <v>0</v>
      </c>
      <c r="M1256" s="26" t="n">
        <v>0</v>
      </c>
      <c r="N1256" s="26" t="n">
        <v>0</v>
      </c>
      <c r="O1256" s="26" t="n">
        <v>0</v>
      </c>
      <c r="P1256" s="30" t="n">
        <v>-13.9458006</v>
      </c>
      <c r="Q1256" s="30" t="n">
        <v>-39.9757446</v>
      </c>
      <c r="R1256" s="14" t="inlineStr">
        <is>
          <t>FÓRUM ELEITORAL DE JEQUIÉ, RUA GILDÉLITO FERRAZ, Nº 3-B, JEQUIEZINHO, JEQUIÉ/BA</t>
        </is>
      </c>
      <c r="S1256" s="26">
        <f>IF(A1256=A1255,0,1)</f>
        <v>0</v>
      </c>
      <c r="T1256" s="26">
        <f>IF(COUNTIF($B$4:B1256,B1256)=1,1,0)</f>
        <v>0</v>
      </c>
    </row>
    <row r="1257">
      <c r="A1257" s="14" t="inlineStr">
        <is>
          <t>JEQUIÉ</t>
        </is>
      </c>
      <c r="B1257" s="26" t="n">
        <v>23</v>
      </c>
      <c r="C1257" s="26" t="n">
        <v>2127</v>
      </c>
      <c r="D1257" s="14" t="inlineStr">
        <is>
          <t>ESCOLA MUNICIPAL ARGEMIRO CARDOSO (MARCELA)</t>
        </is>
      </c>
      <c r="E1257" s="14" t="inlineStr">
        <is>
          <t>POVOADO MARCELA</t>
        </is>
      </c>
      <c r="F1257" s="14" t="inlineStr">
        <is>
          <t>POVOADO MARCELA - ZONA RURAL</t>
        </is>
      </c>
      <c r="G1257" s="27" t="inlineStr">
        <is>
          <t>45200-000</t>
        </is>
      </c>
      <c r="H1257" s="15" t="n">
        <v>2</v>
      </c>
      <c r="I1257" s="28" t="inlineStr">
        <is>
          <t>NÃO</t>
        </is>
      </c>
      <c r="J1257" s="29" t="n"/>
      <c r="K1257" s="14" t="str">
        <f>IF(J1257="","7. Acima de 2 km",IF(J1257&lt;=50,"1. Até 50 m",IF(J1257&lt;=100,"2. De 50 a 100 m",IF(J1257&lt;=200,"3. De 100 a 200 m",IF(J1257&lt;=300,"4. De 200 a 300 m",IF(J1257&lt;=500,"5. De 300 a 500 m","6. De 500 m a 2 km"))))))</f>
        <v>7. Acima de 2 km</v>
      </c>
      <c r="L1257" s="26" t="n">
        <v>0</v>
      </c>
      <c r="M1257" s="26" t="n">
        <v>0</v>
      </c>
      <c r="N1257" s="26" t="n">
        <v>0</v>
      </c>
      <c r="O1257" s="26" t="n">
        <v>0</v>
      </c>
      <c r="P1257" s="30" t="n">
        <v>-13.847665</v>
      </c>
      <c r="Q1257" s="30" t="n">
        <v>-39.8126633</v>
      </c>
      <c r="R1257" s="14" t="inlineStr">
        <is>
          <t>FÓRUM ELEITORAL DE JEQUIÉ, RUA GILDÉLITO FERRAZ, Nº 3-B, JEQUIEZINHO, JEQUIÉ/BA</t>
        </is>
      </c>
      <c r="S1257" s="26">
        <f>IF(A1257=A1256,0,1)</f>
        <v>0</v>
      </c>
      <c r="T1257" s="26">
        <f>IF(COUNTIF($B$4:B1257,B1257)=1,1,0)</f>
        <v>0</v>
      </c>
    </row>
    <row r="1258">
      <c r="A1258" s="14" t="inlineStr">
        <is>
          <t>JEQUIÉ</t>
        </is>
      </c>
      <c r="B1258" s="26" t="n">
        <v>23</v>
      </c>
      <c r="C1258" s="26" t="n">
        <v>2135</v>
      </c>
      <c r="D1258" s="14" t="inlineStr">
        <is>
          <t>GRUPO ESCOLAR CARMÉLIA ALVES (RIO DO MUTUM )</t>
        </is>
      </c>
      <c r="E1258" s="14" t="inlineStr">
        <is>
          <t>POVOADO RIO DO MUTUM</t>
        </is>
      </c>
      <c r="F1258" s="14" t="inlineStr">
        <is>
          <t>POVOADO RIO DO MUTUM - ZONA RURAL</t>
        </is>
      </c>
      <c r="G1258" s="27" t="inlineStr">
        <is>
          <t>45200-000</t>
        </is>
      </c>
      <c r="H1258" s="15" t="n">
        <v>1</v>
      </c>
      <c r="I1258" s="28" t="inlineStr">
        <is>
          <t>NÃO</t>
        </is>
      </c>
      <c r="J1258" s="29" t="n"/>
      <c r="K1258" s="14" t="str">
        <f>IF(J1258="","7. Acima de 2 km",IF(J1258&lt;=50,"1. Até 50 m",IF(J1258&lt;=100,"2. De 50 a 100 m",IF(J1258&lt;=200,"3. De 100 a 200 m",IF(J1258&lt;=300,"4. De 200 a 300 m",IF(J1258&lt;=500,"5. De 300 a 500 m","6. De 500 m a 2 km"))))))</f>
        <v>7. Acima de 2 km</v>
      </c>
      <c r="L1258" s="26" t="n">
        <v>0</v>
      </c>
      <c r="M1258" s="26" t="n">
        <v>0</v>
      </c>
      <c r="N1258" s="26" t="n">
        <v>0</v>
      </c>
      <c r="O1258" s="26" t="n">
        <v>0</v>
      </c>
      <c r="P1258" s="30" t="n">
        <v>-13.75007</v>
      </c>
      <c r="Q1258" s="30" t="n">
        <v>-39.8839333</v>
      </c>
      <c r="R1258" s="14" t="inlineStr">
        <is>
          <t>FÓRUM ELEITORAL DE JEQUIÉ, RUA GILDÉLITO FERRAZ, Nº 3-B, JEQUIEZINHO, JEQUIÉ/BA</t>
        </is>
      </c>
      <c r="S1258" s="26">
        <f>IF(A1258=A1257,0,1)</f>
        <v>0</v>
      </c>
      <c r="T1258" s="26">
        <f>IF(COUNTIF($B$4:B1258,B1258)=1,1,0)</f>
        <v>0</v>
      </c>
    </row>
    <row r="1259">
      <c r="A1259" s="14" t="inlineStr">
        <is>
          <t>JEQUIÉ</t>
        </is>
      </c>
      <c r="B1259" s="26" t="n">
        <v>23</v>
      </c>
      <c r="C1259" s="26" t="n">
        <v>2143</v>
      </c>
      <c r="D1259" s="14" t="inlineStr">
        <is>
          <t>ESCOLA MUNICIPAL CLÁUDIA GORDILHO LOMANTO (RIO PRETO DO COSTA)</t>
        </is>
      </c>
      <c r="E1259" s="14" t="inlineStr">
        <is>
          <t>POVOADO RIO PRETO DO COSTA</t>
        </is>
      </c>
      <c r="F1259" s="14" t="inlineStr">
        <is>
          <t>POVOADO RIO PRETO DO COSTA - ZONA RURAL</t>
        </is>
      </c>
      <c r="G1259" s="27" t="inlineStr">
        <is>
          <t>45200-000</t>
        </is>
      </c>
      <c r="H1259" s="15" t="n">
        <v>2</v>
      </c>
      <c r="I1259" s="28" t="inlineStr">
        <is>
          <t>NÃO</t>
        </is>
      </c>
      <c r="J1259" s="29" t="n"/>
      <c r="K1259" s="14" t="str">
        <f>IF(J1259="","7. Acima de 2 km",IF(J1259&lt;=50,"1. Até 50 m",IF(J1259&lt;=100,"2. De 50 a 100 m",IF(J1259&lt;=200,"3. De 100 a 200 m",IF(J1259&lt;=300,"4. De 200 a 300 m",IF(J1259&lt;=500,"5. De 300 a 500 m","6. De 500 m a 2 km"))))))</f>
        <v>7. Acima de 2 km</v>
      </c>
      <c r="L1259" s="26" t="n">
        <v>0</v>
      </c>
      <c r="M1259" s="26" t="n">
        <v>0</v>
      </c>
      <c r="N1259" s="26" t="n">
        <v>0</v>
      </c>
      <c r="O1259" s="26" t="n">
        <v>0</v>
      </c>
      <c r="P1259" s="30" t="n">
        <v>-13.774</v>
      </c>
      <c r="Q1259" s="30" t="n">
        <v>-39.9411467</v>
      </c>
      <c r="R1259" s="14" t="inlineStr">
        <is>
          <t>FÓRUM ELEITORAL DE JEQUIÉ, RUA GILDÉLITO FERRAZ, Nº 3-B, JEQUIEZINHO, JEQUIÉ/BA</t>
        </is>
      </c>
      <c r="S1259" s="26">
        <f>IF(A1259=A1258,0,1)</f>
        <v>0</v>
      </c>
      <c r="T1259" s="26">
        <f>IF(COUNTIF($B$4:B1259,B1259)=1,1,0)</f>
        <v>0</v>
      </c>
    </row>
    <row r="1260">
      <c r="A1260" s="14" t="inlineStr">
        <is>
          <t>JEQUIÉ</t>
        </is>
      </c>
      <c r="B1260" s="26" t="n">
        <v>23</v>
      </c>
      <c r="C1260" s="26" t="n">
        <v>2151</v>
      </c>
      <c r="D1260" s="14" t="inlineStr">
        <is>
          <t>ASSOCIAÇÃO DE MORADORES DA LAGOA DANTAS</t>
        </is>
      </c>
      <c r="E1260" s="14" t="inlineStr">
        <is>
          <t>POVOADO LAGOA DANTAS</t>
        </is>
      </c>
      <c r="F1260" s="14" t="inlineStr">
        <is>
          <t>POVOADO LAGOA DANTAS - ZONA RURAL</t>
        </is>
      </c>
      <c r="G1260" s="27" t="inlineStr">
        <is>
          <t>45200-000</t>
        </is>
      </c>
      <c r="H1260" s="15" t="n">
        <v>1</v>
      </c>
      <c r="I1260" s="28" t="inlineStr">
        <is>
          <t>NÃO</t>
        </is>
      </c>
      <c r="J1260" s="29" t="n"/>
      <c r="K1260" s="14" t="str">
        <f>IF(J1260="","7. Acima de 2 km",IF(J1260&lt;=50,"1. Até 50 m",IF(J1260&lt;=100,"2. De 50 a 100 m",IF(J1260&lt;=200,"3. De 100 a 200 m",IF(J1260&lt;=300,"4. De 200 a 300 m",IF(J1260&lt;=500,"5. De 300 a 500 m","6. De 500 m a 2 km"))))))</f>
        <v>7. Acima de 2 km</v>
      </c>
      <c r="L1260" s="26" t="n">
        <v>0</v>
      </c>
      <c r="M1260" s="26" t="n">
        <v>0</v>
      </c>
      <c r="N1260" s="26" t="n">
        <v>0</v>
      </c>
      <c r="O1260" s="26" t="n">
        <v>0</v>
      </c>
      <c r="P1260" s="30" t="n">
        <v>-14.0464128</v>
      </c>
      <c r="Q1260" s="30" t="n">
        <v>-39.9390186</v>
      </c>
      <c r="R1260" s="14" t="inlineStr">
        <is>
          <t>FÓRUM ELEITORAL DE JEQUIÉ, RUA GILDÉLITO FERRAZ, Nº 3-B, JEQUIEZINHO, JEQUIÉ/BA</t>
        </is>
      </c>
      <c r="S1260" s="26">
        <f>IF(A1260=A1259,0,1)</f>
        <v>0</v>
      </c>
      <c r="T1260" s="26">
        <f>IF(COUNTIF($B$4:B1260,B1260)=1,1,0)</f>
        <v>0</v>
      </c>
    </row>
    <row r="1261">
      <c r="A1261" s="14" t="inlineStr">
        <is>
          <t>JEQUIÉ</t>
        </is>
      </c>
      <c r="B1261" s="26" t="n">
        <v>23</v>
      </c>
      <c r="C1261" s="26" t="n">
        <v>2160</v>
      </c>
      <c r="D1261" s="14" t="inlineStr">
        <is>
          <t>COLÉGIO ESTADUAL PROFESSORA FARAÍLDES SANTOS</t>
        </is>
      </c>
      <c r="E1261" s="14" t="inlineStr">
        <is>
          <t>CURRAL NOVO</t>
        </is>
      </c>
      <c r="F1261" s="14" t="inlineStr">
        <is>
          <t>PRAÇA CURRAL NOVO, S/N - ZONA URBANA</t>
        </is>
      </c>
      <c r="G1261" s="27" t="inlineStr">
        <is>
          <t>45200-000</t>
        </is>
      </c>
      <c r="H1261" s="15" t="n">
        <v>8</v>
      </c>
      <c r="I1261" s="28" t="inlineStr">
        <is>
          <t>NÃO</t>
        </is>
      </c>
      <c r="J1261" s="29" t="n"/>
      <c r="K1261" s="14" t="str">
        <f>IF(J1261="","7. Acima de 2 km",IF(J1261&lt;=50,"1. Até 50 m",IF(J1261&lt;=100,"2. De 50 a 100 m",IF(J1261&lt;=200,"3. De 100 a 200 m",IF(J1261&lt;=300,"4. De 200 a 300 m",IF(J1261&lt;=500,"5. De 300 a 500 m","6. De 500 m a 2 km"))))))</f>
        <v>7. Acima de 2 km</v>
      </c>
      <c r="L1261" s="26" t="n">
        <v>0</v>
      </c>
      <c r="M1261" s="26" t="n">
        <v>0</v>
      </c>
      <c r="N1261" s="26" t="n">
        <v>0</v>
      </c>
      <c r="O1261" s="26" t="n">
        <v>0</v>
      </c>
      <c r="P1261" s="30" t="n">
        <v>-13.8651778</v>
      </c>
      <c r="Q1261" s="30" t="n">
        <v>-40.1304055</v>
      </c>
      <c r="R1261" s="14" t="inlineStr">
        <is>
          <t>FÓRUM ELEITORAL DE JEQUIÉ, RUA GILDÉLITO FERRAZ, Nº 3-B, JEQUIEZINHO, JEQUIÉ/BA</t>
        </is>
      </c>
      <c r="S1261" s="26">
        <f>IF(A1261=A1260,0,1)</f>
        <v>0</v>
      </c>
      <c r="T1261" s="26">
        <f>IF(COUNTIF($B$4:B1261,B1261)=1,1,0)</f>
        <v>0</v>
      </c>
    </row>
    <row r="1262">
      <c r="A1262" s="14" t="inlineStr">
        <is>
          <t>JEQUIÉ</t>
        </is>
      </c>
      <c r="B1262" s="26" t="n">
        <v>23</v>
      </c>
      <c r="C1262" s="26" t="n">
        <v>2178</v>
      </c>
      <c r="D1262" s="14" t="inlineStr">
        <is>
          <t>GRUPO ESCOLAR ADOLFO RIBEIRO</t>
        </is>
      </c>
      <c r="E1262" s="14" t="inlineStr">
        <is>
          <t>SÃO JUDAS TADEU</t>
        </is>
      </c>
      <c r="F1262" s="14" t="inlineStr">
        <is>
          <t>RUA ANTÔNIO ORRICO S/N - ZONA URBANA</t>
        </is>
      </c>
      <c r="G1262" s="27" t="inlineStr">
        <is>
          <t>45200-000</t>
        </is>
      </c>
      <c r="H1262" s="15" t="n">
        <v>7</v>
      </c>
      <c r="I1262" s="28" t="inlineStr">
        <is>
          <t>NÃO</t>
        </is>
      </c>
      <c r="J1262" s="29" t="n">
        <v>770.6</v>
      </c>
      <c r="K1262" s="14" t="str">
        <f>IF(J1262="","7. Acima de 2 km",IF(J1262&lt;=50,"1. Até 50 m",IF(J1262&lt;=100,"2. De 50 a 100 m",IF(J1262&lt;=200,"3. De 100 a 200 m",IF(J1262&lt;=300,"4. De 200 a 300 m",IF(J1262&lt;=500,"5. De 300 a 500 m","6. De 500 m a 2 km"))))))</f>
        <v>6. De 500 m a 2 km</v>
      </c>
      <c r="L1262" s="26" t="n">
        <v>0</v>
      </c>
      <c r="M1262" s="26" t="n">
        <v>0</v>
      </c>
      <c r="N1262" s="26" t="n">
        <v>0</v>
      </c>
      <c r="O1262" s="26" t="n">
        <v>0</v>
      </c>
      <c r="P1262" s="30" t="n">
        <v>-13.8422567</v>
      </c>
      <c r="Q1262" s="30" t="n">
        <v>-40.0730762</v>
      </c>
      <c r="R1262" s="14" t="inlineStr">
        <is>
          <t>FÓRUM ELEITORAL DE JEQUIÉ, RUA GILDÉLITO FERRAZ, Nº 3-B, JEQUIEZINHO, JEQUIÉ/BA</t>
        </is>
      </c>
      <c r="S1262" s="26">
        <f>IF(A1262=A1261,0,1)</f>
        <v>0</v>
      </c>
      <c r="T1262" s="26">
        <f>IF(COUNTIF($B$4:B1262,B1262)=1,1,0)</f>
        <v>0</v>
      </c>
    </row>
    <row r="1263">
      <c r="A1263" s="14" t="inlineStr">
        <is>
          <t>JEQUIÉ</t>
        </is>
      </c>
      <c r="B1263" s="26" t="n">
        <v>23</v>
      </c>
      <c r="C1263" s="26" t="n">
        <v>2186</v>
      </c>
      <c r="D1263" s="14" t="inlineStr">
        <is>
          <t>GRUPO ESCOLAR MINISTRO JARBAS PASSARINHO (ITAIBÓ)</t>
        </is>
      </c>
      <c r="E1263" s="14" t="inlineStr">
        <is>
          <t>DISTRITO ITAIBÓ</t>
        </is>
      </c>
      <c r="F1263" s="14" t="inlineStr">
        <is>
          <t>DISTRITO ITAIBÓ - ZONA RURAL</t>
        </is>
      </c>
      <c r="G1263" s="27" t="inlineStr">
        <is>
          <t>45200-000</t>
        </is>
      </c>
      <c r="H1263" s="15" t="n">
        <v>1</v>
      </c>
      <c r="I1263" s="28" t="inlineStr">
        <is>
          <t>NÃO</t>
        </is>
      </c>
      <c r="J1263" s="29" t="n"/>
      <c r="K1263" s="14" t="str">
        <f>IF(J1263="","7. Acima de 2 km",IF(J1263&lt;=50,"1. Até 50 m",IF(J1263&lt;=100,"2. De 50 a 100 m",IF(J1263&lt;=200,"3. De 100 a 200 m",IF(J1263&lt;=300,"4. De 200 a 300 m",IF(J1263&lt;=500,"5. De 300 a 500 m","6. De 500 m a 2 km"))))))</f>
        <v>7. Acima de 2 km</v>
      </c>
      <c r="L1263" s="26" t="n">
        <v>0</v>
      </c>
      <c r="M1263" s="26" t="n">
        <v>0</v>
      </c>
      <c r="N1263" s="26" t="n">
        <v>0</v>
      </c>
      <c r="O1263" s="26" t="n">
        <v>0</v>
      </c>
      <c r="P1263" s="30" t="n">
        <v>-13.9419385</v>
      </c>
      <c r="Q1263" s="30" t="n">
        <v>-39.7398908</v>
      </c>
      <c r="R1263" s="14" t="inlineStr">
        <is>
          <t>FÓRUM ELEITORAL DE JEQUIÉ, RUA GILDÉLITO FERRAZ, Nº 3-B, JEQUIEZINHO, JEQUIÉ/BA</t>
        </is>
      </c>
      <c r="S1263" s="26">
        <f>IF(A1263=A1262,0,1)</f>
        <v>0</v>
      </c>
      <c r="T1263" s="26">
        <f>IF(COUNTIF($B$4:B1263,B1263)=1,1,0)</f>
        <v>0</v>
      </c>
    </row>
    <row r="1264">
      <c r="A1264" s="14" t="inlineStr">
        <is>
          <t>JEQUIÉ</t>
        </is>
      </c>
      <c r="B1264" s="26" t="n">
        <v>23</v>
      </c>
      <c r="C1264" s="26" t="n">
        <v>2194</v>
      </c>
      <c r="D1264" s="14" t="inlineStr">
        <is>
          <t>GRUPO ESCOLAR JOSÉ BATISTA NEVES (CAMPO LARGO)</t>
        </is>
      </c>
      <c r="E1264" s="14" t="inlineStr">
        <is>
          <t>POVOADO CAMPO LARGO</t>
        </is>
      </c>
      <c r="F1264" s="14" t="inlineStr">
        <is>
          <t>POVOADO CAMPO LARGO - ZONA RURAL</t>
        </is>
      </c>
      <c r="G1264" s="27" t="inlineStr">
        <is>
          <t>45200-000</t>
        </is>
      </c>
      <c r="H1264" s="15" t="n">
        <v>2</v>
      </c>
      <c r="I1264" s="28" t="inlineStr">
        <is>
          <t>NÃO</t>
        </is>
      </c>
      <c r="J1264" s="29" t="n"/>
      <c r="K1264" s="14" t="str">
        <f>IF(J1264="","7. Acima de 2 km",IF(J1264&lt;=50,"1. Até 50 m",IF(J1264&lt;=100,"2. De 50 a 100 m",IF(J1264&lt;=200,"3. De 100 a 200 m",IF(J1264&lt;=300,"4. De 200 a 300 m",IF(J1264&lt;=500,"5. De 300 a 500 m","6. De 500 m a 2 km"))))))</f>
        <v>7. Acima de 2 km</v>
      </c>
      <c r="L1264" s="26" t="n">
        <v>0</v>
      </c>
      <c r="M1264" s="26" t="n">
        <v>0</v>
      </c>
      <c r="N1264" s="26" t="n">
        <v>0</v>
      </c>
      <c r="O1264" s="26" t="n">
        <v>0</v>
      </c>
      <c r="P1264" s="30" t="n">
        <v>-13.854635</v>
      </c>
      <c r="Q1264" s="30" t="n">
        <v>-39.9039333</v>
      </c>
      <c r="R1264" s="14" t="inlineStr">
        <is>
          <t>FÓRUM ELEITORAL DE JEQUIÉ, RUA GILDÉLITO FERRAZ, Nº 3-B, JEQUIEZINHO, JEQUIÉ/BA</t>
        </is>
      </c>
      <c r="S1264" s="26">
        <f>IF(A1264=A1263,0,1)</f>
        <v>0</v>
      </c>
      <c r="T1264" s="26">
        <f>IF(COUNTIF($B$4:B1264,B1264)=1,1,0)</f>
        <v>0</v>
      </c>
    </row>
    <row r="1265">
      <c r="A1265" s="14" t="inlineStr">
        <is>
          <t>JEQUIÉ</t>
        </is>
      </c>
      <c r="B1265" s="26" t="n">
        <v>23</v>
      </c>
      <c r="C1265" s="26" t="n">
        <v>2208</v>
      </c>
      <c r="D1265" s="14" t="inlineStr">
        <is>
          <t>ESCOLA MUNICIPAL SANTO ANTÔNIO DE PÁDUA ( DEUS DARÁ )</t>
        </is>
      </c>
      <c r="E1265" s="14" t="inlineStr">
        <is>
          <t>POVOADO DEUS DARÁ</t>
        </is>
      </c>
      <c r="F1265" s="14" t="inlineStr">
        <is>
          <t>POVOADO DEUS DARÁ - ZONA RURAL</t>
        </is>
      </c>
      <c r="G1265" s="27" t="inlineStr">
        <is>
          <t>45200-000</t>
        </is>
      </c>
      <c r="H1265" s="15" t="n">
        <v>1</v>
      </c>
      <c r="I1265" s="28" t="inlineStr">
        <is>
          <t>NÃO</t>
        </is>
      </c>
      <c r="J1265" s="29" t="n"/>
      <c r="K1265" s="14" t="str">
        <f>IF(J1265="","7. Acima de 2 km",IF(J1265&lt;=50,"1. Até 50 m",IF(J1265&lt;=100,"2. De 50 a 100 m",IF(J1265&lt;=200,"3. De 100 a 200 m",IF(J1265&lt;=300,"4. De 200 a 300 m",IF(J1265&lt;=500,"5. De 300 a 500 m","6. De 500 m a 2 km"))))))</f>
        <v>7. Acima de 2 km</v>
      </c>
      <c r="L1265" s="26" t="n">
        <v>0</v>
      </c>
      <c r="M1265" s="26" t="n">
        <v>0</v>
      </c>
      <c r="N1265" s="26" t="n">
        <v>0</v>
      </c>
      <c r="O1265" s="26" t="n">
        <v>0</v>
      </c>
      <c r="P1265" s="30" t="n">
        <v>-13.7106333</v>
      </c>
      <c r="Q1265" s="30" t="n">
        <v>-39.8915983</v>
      </c>
      <c r="R1265" s="14" t="inlineStr">
        <is>
          <t>FÓRUM ELEITORAL DE JEQUIÉ, RUA GILDÉLITO FERRAZ, Nº 3-B, JEQUIEZINHO, JEQUIÉ/BA</t>
        </is>
      </c>
      <c r="S1265" s="26">
        <f>IF(A1265=A1264,0,1)</f>
        <v>0</v>
      </c>
      <c r="T1265" s="26">
        <f>IF(COUNTIF($B$4:B1265,B1265)=1,1,0)</f>
        <v>0</v>
      </c>
    </row>
    <row r="1266">
      <c r="A1266" s="14" t="inlineStr">
        <is>
          <t>JEQUIÉ</t>
        </is>
      </c>
      <c r="B1266" s="26" t="n">
        <v>23</v>
      </c>
      <c r="C1266" s="26" t="n">
        <v>2224</v>
      </c>
      <c r="D1266" s="14" t="inlineStr">
        <is>
          <t>GRUPO ESCOLAR HILDA RODRIGUES</t>
        </is>
      </c>
      <c r="E1266" s="14" t="inlineStr">
        <is>
          <t>POVOADO RIO DAS PEDRAS</t>
        </is>
      </c>
      <c r="F1266" s="14" t="inlineStr">
        <is>
          <t>POVOADO RIO DAS PEDRAS - ZONA RURAL</t>
        </is>
      </c>
      <c r="G1266" s="27" t="inlineStr">
        <is>
          <t>45200-000</t>
        </is>
      </c>
      <c r="H1266" s="15" t="n">
        <v>1</v>
      </c>
      <c r="I1266" s="28" t="inlineStr">
        <is>
          <t>NÃO</t>
        </is>
      </c>
      <c r="J1266" s="29" t="n"/>
      <c r="K1266" s="14" t="str">
        <f>IF(J1266="","7. Acima de 2 km",IF(J1266&lt;=50,"1. Até 50 m",IF(J1266&lt;=100,"2. De 50 a 100 m",IF(J1266&lt;=200,"3. De 100 a 200 m",IF(J1266&lt;=300,"4. De 200 a 300 m",IF(J1266&lt;=500,"5. De 300 a 500 m","6. De 500 m a 2 km"))))))</f>
        <v>7. Acima de 2 km</v>
      </c>
      <c r="L1266" s="26" t="n">
        <v>0</v>
      </c>
      <c r="M1266" s="26" t="n">
        <v>0</v>
      </c>
      <c r="N1266" s="26" t="n">
        <v>0</v>
      </c>
      <c r="O1266" s="26" t="n">
        <v>0</v>
      </c>
      <c r="P1266" s="30" t="n">
        <v>-13.755946</v>
      </c>
      <c r="Q1266" s="30" t="n">
        <v>-39.8516064</v>
      </c>
      <c r="R1266" s="14" t="inlineStr">
        <is>
          <t>FÓRUM ELEITORAL DE JEQUIÉ, RUA GILDÉLITO FERRAZ, Nº 3-B, JEQUIEZINHO, JEQUIÉ/BA</t>
        </is>
      </c>
      <c r="S1266" s="26">
        <f>IF(A1266=A1265,0,1)</f>
        <v>0</v>
      </c>
      <c r="T1266" s="26">
        <f>IF(COUNTIF($B$4:B1266,B1266)=1,1,0)</f>
        <v>0</v>
      </c>
    </row>
    <row r="1267">
      <c r="A1267" s="14" t="inlineStr">
        <is>
          <t>JEQUIÉ</t>
        </is>
      </c>
      <c r="B1267" s="26" t="n">
        <v>23</v>
      </c>
      <c r="C1267" s="26" t="n">
        <v>2232</v>
      </c>
      <c r="D1267" s="14" t="inlineStr">
        <is>
          <t>ESCOLA MUNICIPAL ROMUALDO BISPO FREITAS (RIO DO ANTONIO)</t>
        </is>
      </c>
      <c r="E1267" s="14" t="inlineStr">
        <is>
          <t>POVOADO RIO DO ANTÔNIO</t>
        </is>
      </c>
      <c r="F1267" s="14" t="inlineStr">
        <is>
          <t>POVOADO RIO DO ANTONIO - ZONA RURAL</t>
        </is>
      </c>
      <c r="G1267" s="27" t="inlineStr">
        <is>
          <t>45200-000</t>
        </is>
      </c>
      <c r="H1267" s="15" t="n">
        <v>1</v>
      </c>
      <c r="I1267" s="28" t="inlineStr">
        <is>
          <t>NÃO</t>
        </is>
      </c>
      <c r="J1267" s="29" t="n"/>
      <c r="K1267" s="14" t="str">
        <f>IF(J1267="","7. Acima de 2 km",IF(J1267&lt;=50,"1. Até 50 m",IF(J1267&lt;=100,"2. De 50 a 100 m",IF(J1267&lt;=200,"3. De 100 a 200 m",IF(J1267&lt;=300,"4. De 200 a 300 m",IF(J1267&lt;=500,"5. De 300 a 500 m","6. De 500 m a 2 km"))))))</f>
        <v>7. Acima de 2 km</v>
      </c>
      <c r="L1267" s="26" t="n">
        <v>0</v>
      </c>
      <c r="M1267" s="26" t="n">
        <v>0</v>
      </c>
      <c r="N1267" s="26" t="n">
        <v>0</v>
      </c>
      <c r="O1267" s="26" t="n">
        <v>0</v>
      </c>
      <c r="P1267" s="30" t="n">
        <v>-13.7094733</v>
      </c>
      <c r="Q1267" s="30" t="n">
        <v>-39.8600017</v>
      </c>
      <c r="R1267" s="14" t="inlineStr">
        <is>
          <t>FÓRUM ELEITORAL DE JEQUIÉ, RUA GILDÉLITO FERRAZ, Nº 3-B, JEQUIEZINHO, JEQUIÉ/BA</t>
        </is>
      </c>
      <c r="S1267" s="26">
        <f>IF(A1267=A1266,0,1)</f>
        <v>0</v>
      </c>
      <c r="T1267" s="26">
        <f>IF(COUNTIF($B$4:B1267,B1267)=1,1,0)</f>
        <v>0</v>
      </c>
    </row>
    <row r="1268">
      <c r="A1268" s="14" t="inlineStr">
        <is>
          <t>JEQUIÉ</t>
        </is>
      </c>
      <c r="B1268" s="26" t="n">
        <v>23</v>
      </c>
      <c r="C1268" s="26" t="n">
        <v>2240</v>
      </c>
      <c r="D1268" s="14" t="inlineStr">
        <is>
          <t>GRUPO ESCOLAR CORINA LEAL ( FAZENDA VELHA )</t>
        </is>
      </c>
      <c r="E1268" s="14" t="inlineStr">
        <is>
          <t>POVOADO FAZENDA VELHA</t>
        </is>
      </c>
      <c r="F1268" s="14" t="inlineStr">
        <is>
          <t>POVOADO FAZENDA VELHA - ZONA RURAL</t>
        </is>
      </c>
      <c r="G1268" s="27" t="inlineStr">
        <is>
          <t>45200-000</t>
        </is>
      </c>
      <c r="H1268" s="15" t="n">
        <v>3</v>
      </c>
      <c r="I1268" s="28" t="inlineStr">
        <is>
          <t>NÃO</t>
        </is>
      </c>
      <c r="J1268" s="29" t="n"/>
      <c r="K1268" s="14" t="str">
        <f>IF(J1268="","7. Acima de 2 km",IF(J1268&lt;=50,"1. Até 50 m",IF(J1268&lt;=100,"2. De 50 a 100 m",IF(J1268&lt;=200,"3. De 100 a 200 m",IF(J1268&lt;=300,"4. De 200 a 300 m",IF(J1268&lt;=500,"5. De 300 a 500 m","6. De 500 m a 2 km"))))))</f>
        <v>7. Acima de 2 km</v>
      </c>
      <c r="L1268" s="26" t="n">
        <v>0</v>
      </c>
      <c r="M1268" s="26" t="n">
        <v>0</v>
      </c>
      <c r="N1268" s="26" t="n">
        <v>0</v>
      </c>
      <c r="O1268" s="26" t="n">
        <v>0</v>
      </c>
      <c r="P1268" s="30" t="n">
        <v>-13.8755717</v>
      </c>
      <c r="Q1268" s="30" t="n">
        <v>-40.1863633</v>
      </c>
      <c r="R1268" s="14" t="inlineStr">
        <is>
          <t>FÓRUM ELEITORAL DE JEQUIÉ, RUA GILDÉLITO FERRAZ, Nº 3-B, JEQUIEZINHO, JEQUIÉ/BA</t>
        </is>
      </c>
      <c r="S1268" s="26">
        <f>IF(A1268=A1267,0,1)</f>
        <v>0</v>
      </c>
      <c r="T1268" s="26">
        <f>IF(COUNTIF($B$4:B1268,B1268)=1,1,0)</f>
        <v>0</v>
      </c>
    </row>
    <row r="1269">
      <c r="A1269" s="14" t="inlineStr">
        <is>
          <t>JEQUIÉ</t>
        </is>
      </c>
      <c r="B1269" s="26" t="n">
        <v>23</v>
      </c>
      <c r="C1269" s="26" t="n">
        <v>2259</v>
      </c>
      <c r="D1269" s="14" t="inlineStr">
        <is>
          <t>GRUPO ESCOLAR  PROF EDVALDO BOAVENTURA (EMILIANO)</t>
        </is>
      </c>
      <c r="E1269" s="14" t="inlineStr">
        <is>
          <t>POVOADO EMILIANO</t>
        </is>
      </c>
      <c r="F1269" s="14" t="inlineStr">
        <is>
          <t>POVOADO EMILIANO - ZONA RURAL</t>
        </is>
      </c>
      <c r="G1269" s="27" t="inlineStr">
        <is>
          <t>45200-000</t>
        </is>
      </c>
      <c r="H1269" s="15" t="n">
        <v>2</v>
      </c>
      <c r="I1269" s="28" t="inlineStr">
        <is>
          <t>NÃO</t>
        </is>
      </c>
      <c r="J1269" s="29" t="n"/>
      <c r="K1269" s="14" t="str">
        <f>IF(J1269="","7. Acima de 2 km",IF(J1269&lt;=50,"1. Até 50 m",IF(J1269&lt;=100,"2. De 50 a 100 m",IF(J1269&lt;=200,"3. De 100 a 200 m",IF(J1269&lt;=300,"4. De 200 a 300 m",IF(J1269&lt;=500,"5. De 300 a 500 m","6. De 500 m a 2 km"))))))</f>
        <v>7. Acima de 2 km</v>
      </c>
      <c r="L1269" s="26" t="n">
        <v>0</v>
      </c>
      <c r="M1269" s="26" t="n">
        <v>0</v>
      </c>
      <c r="N1269" s="26" t="n">
        <v>0</v>
      </c>
      <c r="O1269" s="26" t="n">
        <v>0</v>
      </c>
      <c r="P1269" s="30" t="n">
        <v>-13.8424446</v>
      </c>
      <c r="Q1269" s="30" t="n">
        <v>-39.8704385</v>
      </c>
      <c r="R1269" s="14" t="inlineStr">
        <is>
          <t>FÓRUM ELEITORAL DE JEQUIÉ, RUA GILDÉLITO FERRAZ, Nº 3-B, JEQUIEZINHO, JEQUIÉ/BA</t>
        </is>
      </c>
      <c r="S1269" s="26">
        <f>IF(A1269=A1268,0,1)</f>
        <v>0</v>
      </c>
      <c r="T1269" s="26">
        <f>IF(COUNTIF($B$4:B1269,B1269)=1,1,0)</f>
        <v>0</v>
      </c>
    </row>
    <row r="1270">
      <c r="A1270" s="14" t="inlineStr">
        <is>
          <t>JEQUIÉ</t>
        </is>
      </c>
      <c r="B1270" s="26" t="n">
        <v>23</v>
      </c>
      <c r="C1270" s="26" t="n">
        <v>2267</v>
      </c>
      <c r="D1270" s="14" t="inlineStr">
        <is>
          <t>GRUPO ESCOLAR LANDULFO CARIBÉ (FLORESTAL)</t>
        </is>
      </c>
      <c r="E1270" s="14" t="inlineStr">
        <is>
          <t>POVOADO FLORESTAL</t>
        </is>
      </c>
      <c r="F1270" s="14" t="inlineStr">
        <is>
          <t>POVOADO FLORESTAL - ZONA RURAL</t>
        </is>
      </c>
      <c r="G1270" s="27" t="inlineStr">
        <is>
          <t>45200-000</t>
        </is>
      </c>
      <c r="H1270" s="15" t="n">
        <v>5</v>
      </c>
      <c r="I1270" s="28" t="inlineStr">
        <is>
          <t>NÃO</t>
        </is>
      </c>
      <c r="J1270" s="29" t="n"/>
      <c r="K1270" s="14" t="str">
        <f>IF(J1270="","7. Acima de 2 km",IF(J1270&lt;=50,"1. Até 50 m",IF(J1270&lt;=100,"2. De 50 a 100 m",IF(J1270&lt;=200,"3. De 100 a 200 m",IF(J1270&lt;=300,"4. De 200 a 300 m",IF(J1270&lt;=500,"5. De 300 a 500 m","6. De 500 m a 2 km"))))))</f>
        <v>7. Acima de 2 km</v>
      </c>
      <c r="L1270" s="26" t="n">
        <v>0</v>
      </c>
      <c r="M1270" s="26" t="n">
        <v>0</v>
      </c>
      <c r="N1270" s="26" t="n">
        <v>0</v>
      </c>
      <c r="O1270" s="26" t="n">
        <v>0</v>
      </c>
      <c r="P1270" s="30" t="n">
        <v>-13.7995883</v>
      </c>
      <c r="Q1270" s="30" t="n">
        <v>-39.8471967</v>
      </c>
      <c r="R1270" s="14" t="inlineStr">
        <is>
          <t>FÓRUM ELEITORAL DE JEQUIÉ, RUA GILDÉLITO FERRAZ, Nº 3-B, JEQUIEZINHO, JEQUIÉ/BA</t>
        </is>
      </c>
      <c r="S1270" s="26">
        <f>IF(A1270=A1269,0,1)</f>
        <v>0</v>
      </c>
      <c r="T1270" s="26">
        <f>IF(COUNTIF($B$4:B1270,B1270)=1,1,0)</f>
        <v>0</v>
      </c>
    </row>
    <row r="1271">
      <c r="A1271" s="14" t="inlineStr">
        <is>
          <t>JEQUIÉ</t>
        </is>
      </c>
      <c r="B1271" s="26" t="n">
        <v>23</v>
      </c>
      <c r="C1271" s="26" t="n">
        <v>2291</v>
      </c>
      <c r="D1271" s="14" t="inlineStr">
        <is>
          <t>PRÉDIO DO ANT. PROF. AURINO NERY (COIN)</t>
        </is>
      </c>
      <c r="E1271" s="14" t="inlineStr">
        <is>
          <t>JOAQUIM ROMÃO</t>
        </is>
      </c>
      <c r="F1271" s="14" t="inlineStr">
        <is>
          <t>RUA URBANO DE ALMEIDA NETO, LOT. SOL NASCENTE - ZONA URBANA</t>
        </is>
      </c>
      <c r="G1271" s="27" t="inlineStr">
        <is>
          <t>45200-000</t>
        </is>
      </c>
      <c r="H1271" s="15" t="n">
        <v>2</v>
      </c>
      <c r="I1271" s="28" t="inlineStr">
        <is>
          <t>NÃO</t>
        </is>
      </c>
      <c r="J1271" s="29" t="n">
        <v>624.1</v>
      </c>
      <c r="K1271" s="14" t="str">
        <f>IF(J1271="","7. Acima de 2 km",IF(J1271&lt;=50,"1. Até 50 m",IF(J1271&lt;=100,"2. De 50 a 100 m",IF(J1271&lt;=200,"3. De 100 a 200 m",IF(J1271&lt;=300,"4. De 200 a 300 m",IF(J1271&lt;=500,"5. De 300 a 500 m","6. De 500 m a 2 km"))))))</f>
        <v>6. De 500 m a 2 km</v>
      </c>
      <c r="L1271" s="26" t="n">
        <v>0</v>
      </c>
      <c r="M1271" s="26" t="n">
        <v>0</v>
      </c>
      <c r="N1271" s="26" t="n">
        <v>0</v>
      </c>
      <c r="O1271" s="26" t="n">
        <v>0</v>
      </c>
      <c r="P1271" s="30" t="n">
        <v>-13.8550941</v>
      </c>
      <c r="Q1271" s="30" t="n">
        <v>-40.0978265</v>
      </c>
      <c r="R1271" s="14" t="inlineStr">
        <is>
          <t>FÓRUM ELEITORAL DE JEQUIÉ, RUA GILDÉLITO FERRAZ, Nº 3-B, JEQUIEZINHO, JEQUIÉ/BA</t>
        </is>
      </c>
      <c r="S1271" s="26">
        <f>IF(A1271=A1270,0,1)</f>
        <v>0</v>
      </c>
      <c r="T1271" s="26">
        <f>IF(COUNTIF($B$4:B1271,B1271)=1,1,0)</f>
        <v>0</v>
      </c>
    </row>
    <row r="1272">
      <c r="A1272" s="14" t="inlineStr">
        <is>
          <t>JEQUIÉ</t>
        </is>
      </c>
      <c r="B1272" s="26" t="n">
        <v>23</v>
      </c>
      <c r="C1272" s="26" t="n">
        <v>2305</v>
      </c>
      <c r="D1272" s="14" t="inlineStr">
        <is>
          <t>CEEP REGIS PACHECO</t>
        </is>
      </c>
      <c r="E1272" s="14" t="inlineStr">
        <is>
          <t>CAMPO DO AMÉRICA</t>
        </is>
      </c>
      <c r="F1272" s="14" t="inlineStr">
        <is>
          <t>RUA XV DE NOVEMBRO, SN - ZONA URBANA</t>
        </is>
      </c>
      <c r="G1272" s="27" t="inlineStr">
        <is>
          <t>45200-000</t>
        </is>
      </c>
      <c r="H1272" s="15" t="n">
        <v>13</v>
      </c>
      <c r="I1272" s="28" t="inlineStr">
        <is>
          <t>NÃO</t>
        </is>
      </c>
      <c r="J1272" s="29" t="n">
        <v>300</v>
      </c>
      <c r="K1272" s="14" t="str">
        <f>IF(J1272="","7. Acima de 2 km",IF(J1272&lt;=50,"1. Até 50 m",IF(J1272&lt;=100,"2. De 50 a 100 m",IF(J1272&lt;=200,"3. De 100 a 200 m",IF(J1272&lt;=300,"4. De 200 a 300 m",IF(J1272&lt;=500,"5. De 300 a 500 m","6. De 500 m a 2 km"))))))</f>
        <v>4. De 200 a 300 m</v>
      </c>
      <c r="L1272" s="26" t="n">
        <v>0</v>
      </c>
      <c r="M1272" s="26" t="n">
        <v>0</v>
      </c>
      <c r="N1272" s="26" t="n">
        <v>0</v>
      </c>
      <c r="O1272" s="26" t="n">
        <v>0</v>
      </c>
      <c r="P1272" s="30" t="n">
        <v>-13.8556484</v>
      </c>
      <c r="Q1272" s="30" t="n">
        <v>-40.0764658</v>
      </c>
      <c r="R1272" s="14" t="inlineStr">
        <is>
          <t>FÓRUM ELEITORAL DE JEQUIÉ, RUA GILDÉLITO FERRAZ, Nº 3-B, JEQUIEZINHO, JEQUIÉ/BA</t>
        </is>
      </c>
      <c r="S1272" s="26">
        <f>IF(A1272=A1271,0,1)</f>
        <v>0</v>
      </c>
      <c r="T1272" s="26">
        <f>IF(COUNTIF($B$4:B1272,B1272)=1,1,0)</f>
        <v>0</v>
      </c>
    </row>
    <row r="1273">
      <c r="A1273" s="14" t="inlineStr">
        <is>
          <t>JEQUIÉ</t>
        </is>
      </c>
      <c r="B1273" s="26" t="n">
        <v>23</v>
      </c>
      <c r="C1273" s="26" t="n">
        <v>2313</v>
      </c>
      <c r="D1273" s="14" t="inlineStr">
        <is>
          <t>COLÉGIO MATISSE</t>
        </is>
      </c>
      <c r="E1273" s="14" t="inlineStr">
        <is>
          <t>CENTRO</t>
        </is>
      </c>
      <c r="F1273" s="14" t="inlineStr">
        <is>
          <t>RUA DOM PEDRO II, N 267 - ZONA URBANA</t>
        </is>
      </c>
      <c r="G1273" s="27" t="inlineStr">
        <is>
          <t>45200-000</t>
        </is>
      </c>
      <c r="H1273" s="15" t="n">
        <v>7</v>
      </c>
      <c r="I1273" s="28" t="inlineStr">
        <is>
          <t>NÃO</t>
        </is>
      </c>
      <c r="J1273" s="29" t="n">
        <v>281.5</v>
      </c>
      <c r="K1273" s="14" t="str">
        <f>IF(J1273="","7. Acima de 2 km",IF(J1273&lt;=50,"1. Até 50 m",IF(J1273&lt;=100,"2. De 50 a 100 m",IF(J1273&lt;=200,"3. De 100 a 200 m",IF(J1273&lt;=300,"4. De 200 a 300 m",IF(J1273&lt;=500,"5. De 300 a 500 m","6. De 500 m a 2 km"))))))</f>
        <v>4. De 200 a 300 m</v>
      </c>
      <c r="L1273" s="26" t="n">
        <v>0</v>
      </c>
      <c r="M1273" s="26" t="n">
        <v>0</v>
      </c>
      <c r="N1273" s="26" t="n">
        <v>0</v>
      </c>
      <c r="O1273" s="26" t="n">
        <v>1</v>
      </c>
      <c r="P1273" s="30" t="n">
        <v>-13.8551441</v>
      </c>
      <c r="Q1273" s="30" t="n">
        <v>-40.0830109</v>
      </c>
      <c r="R1273" s="14" t="inlineStr">
        <is>
          <t>FÓRUM ELEITORAL DE JEQUIÉ, RUA GILDÉLITO FERRAZ, Nº 3-B, JEQUIEZINHO, JEQUIÉ/BA</t>
        </is>
      </c>
      <c r="S1273" s="26">
        <f>IF(A1273=A1272,0,1)</f>
        <v>0</v>
      </c>
      <c r="T1273" s="26">
        <f>IF(COUNTIF($B$4:B1273,B1273)=1,1,0)</f>
        <v>0</v>
      </c>
    </row>
    <row r="1274">
      <c r="A1274" s="14" t="inlineStr">
        <is>
          <t>JEQUIÉ</t>
        </is>
      </c>
      <c r="B1274" s="26" t="n">
        <v>23</v>
      </c>
      <c r="C1274" s="26" t="n">
        <v>2321</v>
      </c>
      <c r="D1274" s="14" t="inlineStr">
        <is>
          <t>UNIDADE DE SAÚDE - QUEIMADAS - POÇO DANTAS</t>
        </is>
      </c>
      <c r="E1274" s="14" t="inlineStr">
        <is>
          <t>POVOADO QUEIMADAS</t>
        </is>
      </c>
      <c r="F1274" s="14" t="inlineStr">
        <is>
          <t>POVOADO POÇO DANTAS - ZONA RURAL</t>
        </is>
      </c>
      <c r="G1274" s="27" t="inlineStr">
        <is>
          <t>45200-000</t>
        </is>
      </c>
      <c r="H1274" s="15" t="n">
        <v>1</v>
      </c>
      <c r="I1274" s="28" t="inlineStr">
        <is>
          <t>NÃO</t>
        </is>
      </c>
      <c r="J1274" s="29" t="n"/>
      <c r="K1274" s="14" t="str">
        <f>IF(J1274="","7. Acima de 2 km",IF(J1274&lt;=50,"1. Até 50 m",IF(J1274&lt;=100,"2. De 50 a 100 m",IF(J1274&lt;=200,"3. De 100 a 200 m",IF(J1274&lt;=300,"4. De 200 a 300 m",IF(J1274&lt;=500,"5. De 300 a 500 m","6. De 500 m a 2 km"))))))</f>
        <v>7. Acima de 2 km</v>
      </c>
      <c r="L1274" s="26" t="n">
        <v>0</v>
      </c>
      <c r="M1274" s="26" t="n">
        <v>0</v>
      </c>
      <c r="N1274" s="26" t="n">
        <v>0</v>
      </c>
      <c r="O1274" s="26" t="n">
        <v>0</v>
      </c>
      <c r="P1274" s="30" t="n">
        <v>-13.784406</v>
      </c>
      <c r="Q1274" s="30" t="n">
        <v>-40.0681859</v>
      </c>
      <c r="R1274" s="14" t="inlineStr">
        <is>
          <t>FÓRUM ELEITORAL DE JEQUIÉ, RUA GILDÉLITO FERRAZ, Nº 3-B, JEQUIEZINHO, JEQUIÉ/BA</t>
        </is>
      </c>
      <c r="S1274" s="26">
        <f>IF(A1274=A1273,0,1)</f>
        <v>0</v>
      </c>
      <c r="T1274" s="26">
        <f>IF(COUNTIF($B$4:B1274,B1274)=1,1,0)</f>
        <v>0</v>
      </c>
    </row>
    <row r="1275">
      <c r="A1275" s="14" t="inlineStr">
        <is>
          <t>JEQUIÉ</t>
        </is>
      </c>
      <c r="B1275" s="26" t="n">
        <v>23</v>
      </c>
      <c r="C1275" s="26" t="n">
        <v>2330</v>
      </c>
      <c r="D1275" s="14" t="inlineStr">
        <is>
          <t>ESCOLA MUNICIPAL GERCINO COELHO</t>
        </is>
      </c>
      <c r="E1275" s="14" t="inlineStr">
        <is>
          <t>JOAQUIM ROMÃO</t>
        </is>
      </c>
      <c r="F1275" s="14" t="inlineStr">
        <is>
          <t>RUA DA LINHA, S/N - ZONA URBANA CAIXA D'ÁGUA</t>
        </is>
      </c>
      <c r="G1275" s="27" t="inlineStr">
        <is>
          <t>45203-581</t>
        </is>
      </c>
      <c r="H1275" s="15" t="n">
        <v>5</v>
      </c>
      <c r="I1275" s="28" t="inlineStr">
        <is>
          <t>NÃO</t>
        </is>
      </c>
      <c r="J1275" s="29" t="n">
        <v>431.1</v>
      </c>
      <c r="K1275" s="14" t="str">
        <f>IF(J1275="","7. Acima de 2 km",IF(J1275&lt;=50,"1. Até 50 m",IF(J1275&lt;=100,"2. De 50 a 100 m",IF(J1275&lt;=200,"3. De 100 a 200 m",IF(J1275&lt;=300,"4. De 200 a 300 m",IF(J1275&lt;=500,"5. De 300 a 500 m","6. De 500 m a 2 km"))))))</f>
        <v>5. De 300 a 500 m</v>
      </c>
      <c r="L1275" s="26" t="n">
        <v>0</v>
      </c>
      <c r="M1275" s="26" t="n">
        <v>0</v>
      </c>
      <c r="N1275" s="26" t="n">
        <v>0</v>
      </c>
      <c r="O1275" s="26" t="n">
        <v>0</v>
      </c>
      <c r="P1275" s="30" t="n">
        <v>-13.8495209</v>
      </c>
      <c r="Q1275" s="30" t="n">
        <v>-40.0887676</v>
      </c>
      <c r="R1275" s="14" t="inlineStr">
        <is>
          <t>FÓRUM ELEITORAL DE JEQUIÉ, RUA GILDÉLITO FERRAZ, Nº 3-B, JEQUIEZINHO, JEQUIÉ/BA</t>
        </is>
      </c>
      <c r="S1275" s="26">
        <f>IF(A1275=A1274,0,1)</f>
        <v>0</v>
      </c>
      <c r="T1275" s="26">
        <f>IF(COUNTIF($B$4:B1275,B1275)=1,1,0)</f>
        <v>0</v>
      </c>
    </row>
    <row r="1276">
      <c r="A1276" s="14" t="inlineStr">
        <is>
          <t>JEQUIÉ</t>
        </is>
      </c>
      <c r="B1276" s="26" t="n">
        <v>23</v>
      </c>
      <c r="C1276" s="26" t="n">
        <v>2348</v>
      </c>
      <c r="D1276" s="14" t="inlineStr">
        <is>
          <t>ESCOLA MUNICIPAL JOSÉ FRANCISCO DE ALMEIDA</t>
        </is>
      </c>
      <c r="E1276" s="14" t="inlineStr">
        <is>
          <t>KENNEDY</t>
        </is>
      </c>
      <c r="F1276" s="14" t="inlineStr">
        <is>
          <t>AV. GOV. LOMANTO JUNIOR, S/N - ZONA URBANA</t>
        </is>
      </c>
      <c r="G1276" s="27" t="inlineStr">
        <is>
          <t>45200-000</t>
        </is>
      </c>
      <c r="H1276" s="15" t="n">
        <v>2</v>
      </c>
      <c r="I1276" s="28" t="inlineStr">
        <is>
          <t>NÃO</t>
        </is>
      </c>
      <c r="J1276" s="29" t="n">
        <v>1597.2</v>
      </c>
      <c r="K1276" s="14" t="str">
        <f>IF(J1276="","7. Acima de 2 km",IF(J1276&lt;=50,"1. Até 50 m",IF(J1276&lt;=100,"2. De 50 a 100 m",IF(J1276&lt;=200,"3. De 100 a 200 m",IF(J1276&lt;=300,"4. De 200 a 300 m",IF(J1276&lt;=500,"5. De 300 a 500 m","6. De 500 m a 2 km"))))))</f>
        <v>6. De 500 m a 2 km</v>
      </c>
      <c r="L1276" s="26" t="n">
        <v>0</v>
      </c>
      <c r="M1276" s="26" t="n">
        <v>0</v>
      </c>
      <c r="N1276" s="26" t="n">
        <v>0</v>
      </c>
      <c r="O1276" s="26" t="n">
        <v>0</v>
      </c>
      <c r="P1276" s="30" t="n">
        <v>-13.8575219</v>
      </c>
      <c r="Q1276" s="30" t="n">
        <v>-40.1153732</v>
      </c>
      <c r="R1276" s="14" t="inlineStr">
        <is>
          <t>FÓRUM ELEITORAL DE JEQUIÉ, RUA GILDÉLITO FERRAZ, Nº 3-B, JEQUIEZINHO, JEQUIÉ/BA</t>
        </is>
      </c>
      <c r="S1276" s="26">
        <f>IF(A1276=A1275,0,1)</f>
        <v>0</v>
      </c>
      <c r="T1276" s="26">
        <f>IF(COUNTIF($B$4:B1276,B1276)=1,1,0)</f>
        <v>0</v>
      </c>
    </row>
    <row r="1277">
      <c r="A1277" s="14" t="inlineStr">
        <is>
          <t>JEQUIÉ</t>
        </is>
      </c>
      <c r="B1277" s="26" t="n">
        <v>23</v>
      </c>
      <c r="C1277" s="26" t="n">
        <v>2356</v>
      </c>
      <c r="D1277" s="14" t="inlineStr">
        <is>
          <t>ESCOLA MUNICIPAL CURRAL NOVO</t>
        </is>
      </c>
      <c r="E1277" s="14" t="inlineStr">
        <is>
          <t>CURRAL NOVO</t>
        </is>
      </c>
      <c r="F1277" s="14" t="inlineStr">
        <is>
          <t>RUA ALBERTO ALMEIDA JÚNIOR, S/N, QUADRA 76 - ZONA URBANA</t>
        </is>
      </c>
      <c r="G1277" s="27" t="inlineStr">
        <is>
          <t>45200-000</t>
        </is>
      </c>
      <c r="H1277" s="15" t="n">
        <v>2</v>
      </c>
      <c r="I1277" s="28" t="inlineStr">
        <is>
          <t>NÃO</t>
        </is>
      </c>
      <c r="J1277" s="29" t="n">
        <v>1380.1</v>
      </c>
      <c r="K1277" s="14" t="str">
        <f>IF(J1277="","7. Acima de 2 km",IF(J1277&lt;=50,"1. Até 50 m",IF(J1277&lt;=100,"2. De 50 a 100 m",IF(J1277&lt;=200,"3. De 100 a 200 m",IF(J1277&lt;=300,"4. De 200 a 300 m",IF(J1277&lt;=500,"5. De 300 a 500 m","6. De 500 m a 2 km"))))))</f>
        <v>6. De 500 m a 2 km</v>
      </c>
      <c r="L1277" s="26" t="n">
        <v>0</v>
      </c>
      <c r="M1277" s="26" t="n">
        <v>0</v>
      </c>
      <c r="N1277" s="26" t="n">
        <v>0</v>
      </c>
      <c r="O1277" s="26" t="n">
        <v>0</v>
      </c>
      <c r="P1277" s="30" t="n">
        <v>-13.8621583</v>
      </c>
      <c r="Q1277" s="30" t="n">
        <v>-40.1201317</v>
      </c>
      <c r="R1277" s="14" t="inlineStr">
        <is>
          <t>FÓRUM ELEITORAL DE JEQUIÉ, RUA GILDÉLITO FERRAZ, Nº 3-B, JEQUIEZINHO, JEQUIÉ/BA</t>
        </is>
      </c>
      <c r="S1277" s="26">
        <f>IF(A1277=A1276,0,1)</f>
        <v>0</v>
      </c>
      <c r="T1277" s="26">
        <f>IF(COUNTIF($B$4:B1277,B1277)=1,1,0)</f>
        <v>0</v>
      </c>
    </row>
    <row r="1278">
      <c r="A1278" s="14" t="inlineStr">
        <is>
          <t>JEQUIÉ</t>
        </is>
      </c>
      <c r="B1278" s="26" t="n">
        <v>23</v>
      </c>
      <c r="C1278" s="26" t="n">
        <v>2364</v>
      </c>
      <c r="D1278" s="14" t="inlineStr">
        <is>
          <t>FTC - FACULDADE DE TECNOLOGIA E CIÊNCIA DE JEQUIÉ</t>
        </is>
      </c>
      <c r="E1278" s="14" t="inlineStr">
        <is>
          <t>SÃO JUDAS TADEU</t>
        </is>
      </c>
      <c r="F1278" s="14" t="inlineStr">
        <is>
          <t>AV.ADOLFO RIBEIRO, N 357 - ZONA URBANA</t>
        </is>
      </c>
      <c r="G1278" s="27" t="inlineStr">
        <is>
          <t>45200-000</t>
        </is>
      </c>
      <c r="H1278" s="15" t="n">
        <v>6</v>
      </c>
      <c r="I1278" s="28" t="inlineStr">
        <is>
          <t>NÃO</t>
        </is>
      </c>
      <c r="J1278" s="29" t="n">
        <v>202.5</v>
      </c>
      <c r="K1278" s="14" t="str">
        <f>IF(J1278="","7. Acima de 2 km",IF(J1278&lt;=50,"1. Até 50 m",IF(J1278&lt;=100,"2. De 50 a 100 m",IF(J1278&lt;=200,"3. De 100 a 200 m",IF(J1278&lt;=300,"4. De 200 a 300 m",IF(J1278&lt;=500,"5. De 300 a 500 m","6. De 500 m a 2 km"))))))</f>
        <v>4. De 200 a 300 m</v>
      </c>
      <c r="L1278" s="26" t="n">
        <v>0</v>
      </c>
      <c r="M1278" s="26" t="n">
        <v>0</v>
      </c>
      <c r="N1278" s="26" t="n">
        <v>0</v>
      </c>
      <c r="O1278" s="26" t="n">
        <v>1</v>
      </c>
      <c r="P1278" s="30" t="n">
        <v>-13.8478581</v>
      </c>
      <c r="Q1278" s="30" t="n">
        <v>-40.0763241</v>
      </c>
      <c r="R1278" s="14" t="inlineStr">
        <is>
          <t>FÓRUM ELEITORAL DE JEQUIÉ, RUA GILDÉLITO FERRAZ, Nº 3-B, JEQUIEZINHO, JEQUIÉ/BA</t>
        </is>
      </c>
      <c r="S1278" s="26">
        <f>IF(A1278=A1277,0,1)</f>
        <v>0</v>
      </c>
      <c r="T1278" s="26">
        <f>IF(COUNTIF($B$4:B1278,B1278)=1,1,0)</f>
        <v>0</v>
      </c>
    </row>
    <row r="1279">
      <c r="A1279" s="14" t="inlineStr">
        <is>
          <t>JEQUIÉ</t>
        </is>
      </c>
      <c r="B1279" s="26" t="n">
        <v>23</v>
      </c>
      <c r="C1279" s="26" t="n">
        <v>2372</v>
      </c>
      <c r="D1279" s="14" t="inlineStr">
        <is>
          <t>ESCOLA MUNICIPAL MARIA HILDENFOR DOS REIS RODRIGUES</t>
        </is>
      </c>
      <c r="E1279" s="14" t="inlineStr">
        <is>
          <t>POVOADO BARRINHA</t>
        </is>
      </c>
      <c r="F1279" s="14" t="inlineStr">
        <is>
          <t>POVOADO BARRINHA - ZONA RURAL</t>
        </is>
      </c>
      <c r="G1279" s="27" t="inlineStr">
        <is>
          <t>45200-000</t>
        </is>
      </c>
      <c r="H1279" s="15" t="n">
        <v>1</v>
      </c>
      <c r="I1279" s="28" t="inlineStr">
        <is>
          <t>NÃO</t>
        </is>
      </c>
      <c r="J1279" s="29" t="n"/>
      <c r="K1279" s="14" t="str">
        <f>IF(J1279="","7. Acima de 2 km",IF(J1279&lt;=50,"1. Até 50 m",IF(J1279&lt;=100,"2. De 50 a 100 m",IF(J1279&lt;=200,"3. De 100 a 200 m",IF(J1279&lt;=300,"4. De 200 a 300 m",IF(J1279&lt;=500,"5. De 300 a 500 m","6. De 500 m a 2 km"))))))</f>
        <v>7. Acima de 2 km</v>
      </c>
      <c r="L1279" s="26" t="n">
        <v>0</v>
      </c>
      <c r="M1279" s="26" t="n">
        <v>0</v>
      </c>
      <c r="N1279" s="26" t="n">
        <v>0</v>
      </c>
      <c r="O1279" s="26" t="n">
        <v>0</v>
      </c>
      <c r="P1279" s="30" t="n">
        <v>-13.8624083</v>
      </c>
      <c r="Q1279" s="30" t="n">
        <v>-39.8247517</v>
      </c>
      <c r="R1279" s="14" t="inlineStr">
        <is>
          <t>FÓRUM ELEITORAL DE JEQUIÉ, RUA GILDÉLITO FERRAZ, Nº 3-B, JEQUIEZINHO, JEQUIÉ/BA</t>
        </is>
      </c>
      <c r="S1279" s="26">
        <f>IF(A1279=A1278,0,1)</f>
        <v>0</v>
      </c>
      <c r="T1279" s="26">
        <f>IF(COUNTIF($B$4:B1279,B1279)=1,1,0)</f>
        <v>0</v>
      </c>
    </row>
    <row r="1280">
      <c r="A1280" s="14" t="inlineStr">
        <is>
          <t>JUAZEIRO</t>
        </is>
      </c>
      <c r="B1280" s="26" t="n">
        <v>47</v>
      </c>
      <c r="C1280" s="26" t="n">
        <v>1040</v>
      </c>
      <c r="D1280" s="14" t="inlineStr">
        <is>
          <t>SECRETARIA MUNICIPAL DE EDUCAÇÃO E ESPORTE - SEE</t>
        </is>
      </c>
      <c r="E1280" s="14" t="inlineStr">
        <is>
          <t>CENTRO</t>
        </is>
      </c>
      <c r="F1280" s="14" t="inlineStr">
        <is>
          <t>RUA ANTONIO PEDRO, S/N - ZONA URBANA</t>
        </is>
      </c>
      <c r="G1280" s="27" t="inlineStr">
        <is>
          <t>48900-000</t>
        </is>
      </c>
      <c r="H1280" s="15" t="n">
        <v>4</v>
      </c>
      <c r="I1280" s="28" t="inlineStr">
        <is>
          <t>NÃO</t>
        </is>
      </c>
      <c r="J1280" s="29" t="n">
        <v>132.5</v>
      </c>
      <c r="K1280" s="14" t="str">
        <f>IF(J1280="","7. Acima de 2 km",IF(J1280&lt;=50,"1. Até 50 m",IF(J1280&lt;=100,"2. De 50 a 100 m",IF(J1280&lt;=200,"3. De 100 a 200 m",IF(J1280&lt;=300,"4. De 200 a 300 m",IF(J1280&lt;=500,"5. De 300 a 500 m","6. De 500 m a 2 km"))))))</f>
        <v>3. De 100 a 200 m</v>
      </c>
      <c r="L1280" s="26" t="n">
        <v>0</v>
      </c>
      <c r="M1280" s="26" t="n">
        <v>0</v>
      </c>
      <c r="N1280" s="26" t="n">
        <v>4</v>
      </c>
      <c r="O1280" s="26" t="n">
        <v>9</v>
      </c>
      <c r="P1280" s="30" t="n">
        <v>-9.4130769</v>
      </c>
      <c r="Q1280" s="30" t="n">
        <v>-40.5014672</v>
      </c>
      <c r="R1280" s="14" t="inlineStr">
        <is>
          <t xml:space="preserve"> FÓRUM ELEITORAL DE JUAZEIRO, RUA DOS BANDEIRANTES, S/N, BAIRRO JOÃO XXIII, JUAZEIRO/BA</t>
        </is>
      </c>
      <c r="S1280" s="26">
        <f>IF(A1280=A1279,0,1)</f>
        <v>1</v>
      </c>
      <c r="T1280" s="26">
        <f>IF(COUNTIF($B$4:B1280,B1280)=1,1,0)</f>
        <v>1</v>
      </c>
    </row>
    <row r="1281">
      <c r="A1281" s="14" t="inlineStr">
        <is>
          <t>JUAZEIRO</t>
        </is>
      </c>
      <c r="B1281" s="26" t="n">
        <v>47</v>
      </c>
      <c r="C1281" s="26" t="n">
        <v>1104</v>
      </c>
      <c r="D1281" s="14" t="inlineStr">
        <is>
          <t>SEDES SECRETARIA DE DESENVOLVIMENTO SOCIAL, DA MULHER E DIVERSIDADE</t>
        </is>
      </c>
      <c r="E1281" s="14" t="inlineStr">
        <is>
          <t>CENTRO</t>
        </is>
      </c>
      <c r="F1281" s="14" t="inlineStr">
        <is>
          <t>PRAÇA IMACULADA CONCEIÇÃO S/N - ZONA URBANA</t>
        </is>
      </c>
      <c r="G1281" s="27" t="inlineStr">
        <is>
          <t>48900-000</t>
        </is>
      </c>
      <c r="H1281" s="15" t="n">
        <v>4</v>
      </c>
      <c r="I1281" s="28" t="inlineStr">
        <is>
          <t>NÃO</t>
        </is>
      </c>
      <c r="J1281" s="29" t="n">
        <v>120.4</v>
      </c>
      <c r="K1281" s="14" t="str">
        <f>IF(J1281="","7. Acima de 2 km",IF(J1281&lt;=50,"1. Até 50 m",IF(J1281&lt;=100,"2. De 50 a 100 m",IF(J1281&lt;=200,"3. De 100 a 200 m",IF(J1281&lt;=300,"4. De 200 a 300 m",IF(J1281&lt;=500,"5. De 300 a 500 m","6. De 500 m a 2 km"))))))</f>
        <v>3. De 100 a 200 m</v>
      </c>
      <c r="L1281" s="26" t="n">
        <v>0</v>
      </c>
      <c r="M1281" s="26" t="n">
        <v>0</v>
      </c>
      <c r="N1281" s="26" t="n">
        <v>2</v>
      </c>
      <c r="O1281" s="26" t="n">
        <v>2</v>
      </c>
      <c r="P1281" s="30" t="n">
        <v>-9.4120384</v>
      </c>
      <c r="Q1281" s="30" t="n">
        <v>-40.4989342</v>
      </c>
      <c r="R1281" s="14" t="inlineStr">
        <is>
          <t xml:space="preserve"> FÓRUM ELEITORAL DE JUAZEIRO, RUA DOS BANDEIRANTES, S/N, BAIRRO JOÃO XXIII, JUAZEIRO/BA</t>
        </is>
      </c>
      <c r="S1281" s="26">
        <f>IF(A1281=A1280,0,1)</f>
        <v>0</v>
      </c>
      <c r="T1281" s="26">
        <f>IF(COUNTIF($B$4:B1281,B1281)=1,1,0)</f>
        <v>0</v>
      </c>
    </row>
    <row r="1282">
      <c r="A1282" s="14" t="inlineStr">
        <is>
          <t>JUAZEIRO</t>
        </is>
      </c>
      <c r="B1282" s="26" t="n">
        <v>47</v>
      </c>
      <c r="C1282" s="26" t="n">
        <v>1120</v>
      </c>
      <c r="D1282" s="14" t="inlineStr">
        <is>
          <t>ESCOLA LUIS CURSINO DA FRANÇA CARDOSO</t>
        </is>
      </c>
      <c r="E1282" s="14" t="inlineStr">
        <is>
          <t>TANCREDO NEVES</t>
        </is>
      </c>
      <c r="F1282" s="14" t="inlineStr">
        <is>
          <t>RUA C, S/N - ZONA URBANA</t>
        </is>
      </c>
      <c r="G1282" s="27" t="inlineStr">
        <is>
          <t>48900-000</t>
        </is>
      </c>
      <c r="H1282" s="15" t="n">
        <v>4</v>
      </c>
      <c r="I1282" s="28" t="inlineStr">
        <is>
          <t>NÃO</t>
        </is>
      </c>
      <c r="J1282" s="29" t="n">
        <v>252.3</v>
      </c>
      <c r="K1282" s="14" t="str">
        <f>IF(J1282="","7. Acima de 2 km",IF(J1282&lt;=50,"1. Até 50 m",IF(J1282&lt;=100,"2. De 50 a 100 m",IF(J1282&lt;=200,"3. De 100 a 200 m",IF(J1282&lt;=300,"4. De 200 a 300 m",IF(J1282&lt;=500,"5. De 300 a 500 m","6. De 500 m a 2 km"))))))</f>
        <v>4. De 200 a 300 m</v>
      </c>
      <c r="L1282" s="26" t="n">
        <v>0</v>
      </c>
      <c r="M1282" s="26" t="n">
        <v>0</v>
      </c>
      <c r="N1282" s="26" t="n">
        <v>0</v>
      </c>
      <c r="O1282" s="26" t="n">
        <v>1</v>
      </c>
      <c r="P1282" s="30" t="n">
        <v>-9.443443500000001</v>
      </c>
      <c r="Q1282" s="30" t="n">
        <v>-40.4894378</v>
      </c>
      <c r="R1282" s="14" t="inlineStr">
        <is>
          <t xml:space="preserve"> FÓRUM ELEITORAL DE JUAZEIRO, RUA DOS BANDEIRANTES, S/N, BAIRRO JOÃO XXIII, JUAZEIRO/BA</t>
        </is>
      </c>
      <c r="S1282" s="26">
        <f>IF(A1282=A1281,0,1)</f>
        <v>0</v>
      </c>
      <c r="T1282" s="26">
        <f>IF(COUNTIF($B$4:B1282,B1282)=1,1,0)</f>
        <v>0</v>
      </c>
    </row>
    <row r="1283">
      <c r="A1283" s="14" t="inlineStr">
        <is>
          <t>JUAZEIRO</t>
        </is>
      </c>
      <c r="B1283" s="26" t="n">
        <v>47</v>
      </c>
      <c r="C1283" s="26" t="n">
        <v>1139</v>
      </c>
      <c r="D1283" s="14" t="inlineStr">
        <is>
          <t>NUCLEO TERRITORIAL DE EDUCAÇÃO 10</t>
        </is>
      </c>
      <c r="E1283" s="14" t="inlineStr">
        <is>
          <t>CENTRO</t>
        </is>
      </c>
      <c r="F1283" s="14" t="inlineStr">
        <is>
          <t>RUA GOES CALMON S/N - ZONA URBANA</t>
        </is>
      </c>
      <c r="G1283" s="27" t="inlineStr">
        <is>
          <t>48900-000</t>
        </is>
      </c>
      <c r="H1283" s="15" t="n">
        <v>4</v>
      </c>
      <c r="I1283" s="28" t="inlineStr">
        <is>
          <t>SIM</t>
        </is>
      </c>
      <c r="J1283" s="29" t="n">
        <v>91.09999999999999</v>
      </c>
      <c r="K1283" s="14" t="str">
        <f>IF(J1283="","7. Acima de 2 km",IF(J1283&lt;=50,"1. Até 50 m",IF(J1283&lt;=100,"2. De 50 a 100 m",IF(J1283&lt;=200,"3. De 100 a 200 m",IF(J1283&lt;=300,"4. De 200 a 300 m",IF(J1283&lt;=500,"5. De 300 a 500 m","6. De 500 m a 2 km"))))))</f>
        <v>2. De 50 a 100 m</v>
      </c>
      <c r="L1283" s="26" t="n">
        <v>0</v>
      </c>
      <c r="M1283" s="26" t="n">
        <v>1</v>
      </c>
      <c r="N1283" s="26" t="n">
        <v>5</v>
      </c>
      <c r="O1283" s="26" t="n">
        <v>10</v>
      </c>
      <c r="P1283" s="30" t="n">
        <v>-9.4119204</v>
      </c>
      <c r="Q1283" s="30" t="n">
        <v>-40.5013051</v>
      </c>
      <c r="R1283" s="14" t="inlineStr">
        <is>
          <t xml:space="preserve"> FÓRUM ELEITORAL DE JUAZEIRO, RUA DOS BANDEIRANTES, S/N, BAIRRO JOÃO XXIII, JUAZEIRO/BA</t>
        </is>
      </c>
      <c r="S1283" s="26">
        <f>IF(A1283=A1282,0,1)</f>
        <v>0</v>
      </c>
      <c r="T1283" s="26">
        <f>IF(COUNTIF($B$4:B1283,B1283)=1,1,0)</f>
        <v>0</v>
      </c>
    </row>
    <row r="1284">
      <c r="A1284" s="14" t="inlineStr">
        <is>
          <t>JUAZEIRO</t>
        </is>
      </c>
      <c r="B1284" s="26" t="n">
        <v>47</v>
      </c>
      <c r="C1284" s="26" t="n">
        <v>1147</v>
      </c>
      <c r="D1284" s="14" t="inlineStr">
        <is>
          <t>COLÉGIO DOUTOR EDSON RIBEIRO</t>
        </is>
      </c>
      <c r="E1284" s="14" t="inlineStr">
        <is>
          <t>CENTRO</t>
        </is>
      </c>
      <c r="F1284" s="14" t="inlineStr">
        <is>
          <t>PRAÇA BARÃO DO RIO BRANCO, S/N - ZONA URBANA</t>
        </is>
      </c>
      <c r="G1284" s="27" t="inlineStr">
        <is>
          <t>48900-000</t>
        </is>
      </c>
      <c r="H1284" s="15" t="n">
        <v>6</v>
      </c>
      <c r="I1284" s="28" t="inlineStr">
        <is>
          <t>SIM</t>
        </is>
      </c>
      <c r="J1284" s="29" t="n">
        <v>40.5</v>
      </c>
      <c r="K1284" s="14" t="str">
        <f>IF(J1284="","7. Acima de 2 km",IF(J1284&lt;=50,"1. Até 50 m",IF(J1284&lt;=100,"2. De 50 a 100 m",IF(J1284&lt;=200,"3. De 100 a 200 m",IF(J1284&lt;=300,"4. De 200 a 300 m",IF(J1284&lt;=500,"5. De 300 a 500 m","6. De 500 m a 2 km"))))))</f>
        <v>1. Até 50 m</v>
      </c>
      <c r="L1284" s="26" t="n">
        <v>1</v>
      </c>
      <c r="M1284" s="26" t="n">
        <v>2</v>
      </c>
      <c r="N1284" s="26" t="n">
        <v>5</v>
      </c>
      <c r="O1284" s="26" t="n">
        <v>8</v>
      </c>
      <c r="P1284" s="30" t="n">
        <v>-9.410696700000001</v>
      </c>
      <c r="Q1284" s="30" t="n">
        <v>-40.5048417</v>
      </c>
      <c r="R1284" s="14" t="inlineStr">
        <is>
          <t xml:space="preserve"> FÓRUM ELEITORAL DE JUAZEIRO, RUA DOS BANDEIRANTES, S/N, BAIRRO JOÃO XXIII, JUAZEIRO/BA</t>
        </is>
      </c>
      <c r="S1284" s="26">
        <f>IF(A1284=A1283,0,1)</f>
        <v>0</v>
      </c>
      <c r="T1284" s="26">
        <f>IF(COUNTIF($B$4:B1284,B1284)=1,1,0)</f>
        <v>0</v>
      </c>
    </row>
    <row r="1285">
      <c r="A1285" s="14" t="inlineStr">
        <is>
          <t>JUAZEIRO</t>
        </is>
      </c>
      <c r="B1285" s="26" t="n">
        <v>47</v>
      </c>
      <c r="C1285" s="26" t="n">
        <v>1155</v>
      </c>
      <c r="D1285" s="14" t="inlineStr">
        <is>
          <t>ESCOLA TEREZINHA FERREIRA DE OLIVEIRA</t>
        </is>
      </c>
      <c r="E1285" s="14" t="inlineStr">
        <is>
          <t>TABULEIRO</t>
        </is>
      </c>
      <c r="F1285" s="14" t="inlineStr">
        <is>
          <t>RUA 6 S/N - ZONA URBANA</t>
        </is>
      </c>
      <c r="G1285" s="27" t="inlineStr">
        <is>
          <t>48900-000</t>
        </is>
      </c>
      <c r="H1285" s="15" t="n">
        <v>11</v>
      </c>
      <c r="I1285" s="28" t="inlineStr">
        <is>
          <t>NÃO</t>
        </is>
      </c>
      <c r="J1285" s="29" t="n">
        <v>170.4</v>
      </c>
      <c r="K1285" s="14" t="str">
        <f>IF(J1285="","7. Acima de 2 km",IF(J1285&lt;=50,"1. Até 50 m",IF(J1285&lt;=100,"2. De 50 a 100 m",IF(J1285&lt;=200,"3. De 100 a 200 m",IF(J1285&lt;=300,"4. De 200 a 300 m",IF(J1285&lt;=500,"5. De 300 a 500 m","6. De 500 m a 2 km"))))))</f>
        <v>3. De 100 a 200 m</v>
      </c>
      <c r="L1285" s="26" t="n">
        <v>0</v>
      </c>
      <c r="M1285" s="26" t="n">
        <v>0</v>
      </c>
      <c r="N1285" s="26" t="n">
        <v>1</v>
      </c>
      <c r="O1285" s="26" t="n">
        <v>2</v>
      </c>
      <c r="P1285" s="30" t="n">
        <v>-9.4329479</v>
      </c>
      <c r="Q1285" s="30" t="n">
        <v>-40.4753803</v>
      </c>
      <c r="R1285" s="14" t="inlineStr">
        <is>
          <t xml:space="preserve"> FÓRUM ELEITORAL DE JUAZEIRO, RUA DOS BANDEIRANTES, S/N, BAIRRO JOÃO XXIII, JUAZEIRO/BA</t>
        </is>
      </c>
      <c r="S1285" s="26">
        <f>IF(A1285=A1284,0,1)</f>
        <v>0</v>
      </c>
      <c r="T1285" s="26">
        <f>IF(COUNTIF($B$4:B1285,B1285)=1,1,0)</f>
        <v>0</v>
      </c>
    </row>
    <row r="1286">
      <c r="A1286" s="14" t="inlineStr">
        <is>
          <t>JUAZEIRO</t>
        </is>
      </c>
      <c r="B1286" s="26" t="n">
        <v>47</v>
      </c>
      <c r="C1286" s="26" t="n">
        <v>1198</v>
      </c>
      <c r="D1286" s="14" t="inlineStr">
        <is>
          <t>FÓRUM CONSELHEIRO LUIZ VIANA</t>
        </is>
      </c>
      <c r="E1286" s="14" t="inlineStr">
        <is>
          <t>ALAGADIÇO</t>
        </is>
      </c>
      <c r="F1286" s="14" t="inlineStr">
        <is>
          <t>TRAVESSA VENEZA, S/N - ZONA URBANA</t>
        </is>
      </c>
      <c r="G1286" s="27" t="inlineStr">
        <is>
          <t>48900-000</t>
        </is>
      </c>
      <c r="H1286" s="15" t="n">
        <v>3</v>
      </c>
      <c r="I1286" s="28" t="inlineStr">
        <is>
          <t>NÃO</t>
        </is>
      </c>
      <c r="J1286" s="29" t="n">
        <v>416.3</v>
      </c>
      <c r="K1286" s="14" t="str">
        <f>IF(J1286="","7. Acima de 2 km",IF(J1286&lt;=50,"1. Até 50 m",IF(J1286&lt;=100,"2. De 50 a 100 m",IF(J1286&lt;=200,"3. De 100 a 200 m",IF(J1286&lt;=300,"4. De 200 a 300 m",IF(J1286&lt;=500,"5. De 300 a 500 m","6. De 500 m a 2 km"))))))</f>
        <v>5. De 300 a 500 m</v>
      </c>
      <c r="L1286" s="26" t="n">
        <v>0</v>
      </c>
      <c r="M1286" s="26" t="n">
        <v>0</v>
      </c>
      <c r="N1286" s="26" t="n">
        <v>0</v>
      </c>
      <c r="O1286" s="26" t="n">
        <v>0</v>
      </c>
      <c r="P1286" s="30" t="n">
        <v>-9.4182471</v>
      </c>
      <c r="Q1286" s="30" t="n">
        <v>-40.5025612</v>
      </c>
      <c r="R1286" s="14" t="inlineStr">
        <is>
          <t xml:space="preserve"> FÓRUM ELEITORAL DE JUAZEIRO, RUA DOS BANDEIRANTES, S/N, BAIRRO JOÃO XXIII, JUAZEIRO/BA</t>
        </is>
      </c>
      <c r="S1286" s="26">
        <f>IF(A1286=A1285,0,1)</f>
        <v>0</v>
      </c>
      <c r="T1286" s="26">
        <f>IF(COUNTIF($B$4:B1286,B1286)=1,1,0)</f>
        <v>0</v>
      </c>
    </row>
    <row r="1287">
      <c r="A1287" s="14" t="inlineStr">
        <is>
          <t>JUAZEIRO</t>
        </is>
      </c>
      <c r="B1287" s="26" t="n">
        <v>47</v>
      </c>
      <c r="C1287" s="26" t="n">
        <v>1236</v>
      </c>
      <c r="D1287" s="14" t="inlineStr">
        <is>
          <t>ESCOLA MUNICIPAL PROFESSORA CRENILDES LUIZ BRANDÃO</t>
        </is>
      </c>
      <c r="E1287" s="14" t="inlineStr">
        <is>
          <t>CORÉIA</t>
        </is>
      </c>
      <c r="F1287" s="14" t="inlineStr">
        <is>
          <t>RUA ALFREDO NUNES DE OLIVEIRA - ZONA URBANA</t>
        </is>
      </c>
      <c r="G1287" s="27" t="inlineStr">
        <is>
          <t>48900-000</t>
        </is>
      </c>
      <c r="H1287" s="15" t="n">
        <v>2</v>
      </c>
      <c r="I1287" s="28" t="inlineStr">
        <is>
          <t>NÃO</t>
        </is>
      </c>
      <c r="J1287" s="29" t="n">
        <v>427.9</v>
      </c>
      <c r="K1287" s="14" t="str">
        <f>IF(J1287="","7. Acima de 2 km",IF(J1287&lt;=50,"1. Até 50 m",IF(J1287&lt;=100,"2. De 50 a 100 m",IF(J1287&lt;=200,"3. De 100 a 200 m",IF(J1287&lt;=300,"4. De 200 a 300 m",IF(J1287&lt;=500,"5. De 300 a 500 m","6. De 500 m a 2 km"))))))</f>
        <v>5. De 300 a 500 m</v>
      </c>
      <c r="L1287" s="26" t="n">
        <v>0</v>
      </c>
      <c r="M1287" s="26" t="n">
        <v>0</v>
      </c>
      <c r="N1287" s="26" t="n">
        <v>0</v>
      </c>
      <c r="O1287" s="26" t="n">
        <v>0</v>
      </c>
      <c r="P1287" s="30" t="n">
        <v>-9.4160948</v>
      </c>
      <c r="Q1287" s="30" t="n">
        <v>-40.496452</v>
      </c>
      <c r="R1287" s="14" t="inlineStr">
        <is>
          <t xml:space="preserve"> FÓRUM ELEITORAL DE JUAZEIRO, RUA DOS BANDEIRANTES, S/N, BAIRRO JOÃO XXIII, JUAZEIRO/BA</t>
        </is>
      </c>
      <c r="S1287" s="26">
        <f>IF(A1287=A1286,0,1)</f>
        <v>0</v>
      </c>
      <c r="T1287" s="26">
        <f>IF(COUNTIF($B$4:B1287,B1287)=1,1,0)</f>
        <v>0</v>
      </c>
    </row>
    <row r="1288">
      <c r="A1288" s="14" t="inlineStr">
        <is>
          <t>JUAZEIRO</t>
        </is>
      </c>
      <c r="B1288" s="26" t="n">
        <v>47</v>
      </c>
      <c r="C1288" s="26" t="n">
        <v>1279</v>
      </c>
      <c r="D1288" s="14" t="inlineStr">
        <is>
          <t>CENTRO EDUCACIONAL PROFISSIONAL DO SERTÃO DO SÃO FRANCISCO - CETEP</t>
        </is>
      </c>
      <c r="E1288" s="14" t="inlineStr">
        <is>
          <t>SÃO GERALDO</t>
        </is>
      </c>
      <c r="F1288" s="14" t="inlineStr">
        <is>
          <t>AV. EDGARD CHASTINET, S/N - ZONA URBANA</t>
        </is>
      </c>
      <c r="G1288" s="27" t="inlineStr">
        <is>
          <t>48900-000</t>
        </is>
      </c>
      <c r="H1288" s="15" t="n">
        <v>16</v>
      </c>
      <c r="I1288" s="28" t="inlineStr">
        <is>
          <t>NÃO</t>
        </is>
      </c>
      <c r="J1288" s="29" t="n">
        <v>997.8</v>
      </c>
      <c r="K1288" s="14" t="str">
        <f>IF(J1288="","7. Acima de 2 km",IF(J1288&lt;=50,"1. Até 50 m",IF(J1288&lt;=100,"2. De 50 a 100 m",IF(J1288&lt;=200,"3. De 100 a 200 m",IF(J1288&lt;=300,"4. De 200 a 300 m",IF(J1288&lt;=500,"5. De 300 a 500 m","6. De 500 m a 2 km"))))))</f>
        <v>6. De 500 m a 2 km</v>
      </c>
      <c r="L1288" s="26" t="n">
        <v>0</v>
      </c>
      <c r="M1288" s="26" t="n">
        <v>0</v>
      </c>
      <c r="N1288" s="26" t="n">
        <v>0</v>
      </c>
      <c r="O1288" s="26" t="n">
        <v>0</v>
      </c>
      <c r="P1288" s="30" t="n">
        <v>-9.4225355</v>
      </c>
      <c r="Q1288" s="30" t="n">
        <v>-40.4846872</v>
      </c>
      <c r="R1288" s="14" t="inlineStr">
        <is>
          <t xml:space="preserve"> FÓRUM ELEITORAL DE JUAZEIRO, RUA DOS BANDEIRANTES, S/N, BAIRRO JOÃO XXIII, JUAZEIRO/BA</t>
        </is>
      </c>
      <c r="S1288" s="26">
        <f>IF(A1288=A1287,0,1)</f>
        <v>0</v>
      </c>
      <c r="T1288" s="26">
        <f>IF(COUNTIF($B$4:B1288,B1288)=1,1,0)</f>
        <v>0</v>
      </c>
    </row>
    <row r="1289">
      <c r="A1289" s="14" t="inlineStr">
        <is>
          <t>JUAZEIRO</t>
        </is>
      </c>
      <c r="B1289" s="26" t="n">
        <v>47</v>
      </c>
      <c r="C1289" s="26" t="n">
        <v>1295</v>
      </c>
      <c r="D1289" s="14" t="inlineStr">
        <is>
          <t>UNEB - DEPARTAMENTO DE CIÊNCIAS HUMANAS - DCH III</t>
        </is>
      </c>
      <c r="E1289" s="14" t="inlineStr">
        <is>
          <t>SÃO GERALDO</t>
        </is>
      </c>
      <c r="F1289" s="14" t="inlineStr">
        <is>
          <t>AVENIDA ENGENHEIRO EDGARD CHASTINET, S/N - ZONA URBANA</t>
        </is>
      </c>
      <c r="G1289" s="27" t="inlineStr">
        <is>
          <t>48900-000</t>
        </is>
      </c>
      <c r="H1289" s="15" t="n">
        <v>9</v>
      </c>
      <c r="I1289" s="28" t="inlineStr">
        <is>
          <t>NÃO</t>
        </is>
      </c>
      <c r="J1289" s="29" t="n">
        <v>1129.6</v>
      </c>
      <c r="K1289" s="14" t="str">
        <f>IF(J1289="","7. Acima de 2 km",IF(J1289&lt;=50,"1. Até 50 m",IF(J1289&lt;=100,"2. De 50 a 100 m",IF(J1289&lt;=200,"3. De 100 a 200 m",IF(J1289&lt;=300,"4. De 200 a 300 m",IF(J1289&lt;=500,"5. De 300 a 500 m","6. De 500 m a 2 km"))))))</f>
        <v>6. De 500 m a 2 km</v>
      </c>
      <c r="L1289" s="26" t="n">
        <v>0</v>
      </c>
      <c r="M1289" s="26" t="n">
        <v>0</v>
      </c>
      <c r="N1289" s="26" t="n">
        <v>0</v>
      </c>
      <c r="O1289" s="26" t="n">
        <v>0</v>
      </c>
      <c r="P1289" s="30" t="n">
        <v>-9.418465299999999</v>
      </c>
      <c r="Q1289" s="30" t="n">
        <v>-40.4898465</v>
      </c>
      <c r="R1289" s="14" t="inlineStr">
        <is>
          <t xml:space="preserve"> FÓRUM ELEITORAL DE JUAZEIRO, RUA DOS BANDEIRANTES, S/N, BAIRRO JOÃO XXIII, JUAZEIRO/BA</t>
        </is>
      </c>
      <c r="S1289" s="26">
        <f>IF(A1289=A1288,0,1)</f>
        <v>0</v>
      </c>
      <c r="T1289" s="26">
        <f>IF(COUNTIF($B$4:B1289,B1289)=1,1,0)</f>
        <v>0</v>
      </c>
    </row>
    <row r="1290">
      <c r="A1290" s="14" t="inlineStr">
        <is>
          <t>JUAZEIRO</t>
        </is>
      </c>
      <c r="B1290" s="26" t="n">
        <v>47</v>
      </c>
      <c r="C1290" s="26" t="n">
        <v>1309</v>
      </c>
      <c r="D1290" s="14" t="inlineStr">
        <is>
          <t>FÓRUM TRABALHISTA ORLANDO GOMES (JUSTIÇA DO TRABALHO)</t>
        </is>
      </c>
      <c r="E1290" s="14" t="inlineStr">
        <is>
          <t>ALAGADIÇO</t>
        </is>
      </c>
      <c r="F1290" s="14" t="inlineStr">
        <is>
          <t>TRAVESSA JOSÉ GUERRA DE SANTANA, 165 - ZONA URBANA</t>
        </is>
      </c>
      <c r="G1290" s="27" t="inlineStr">
        <is>
          <t>48905-350</t>
        </is>
      </c>
      <c r="H1290" s="15" t="n">
        <v>3</v>
      </c>
      <c r="I1290" s="28" t="inlineStr">
        <is>
          <t>NÃO</t>
        </is>
      </c>
      <c r="J1290" s="29" t="n">
        <v>401.7</v>
      </c>
      <c r="K1290" s="14" t="str">
        <f>IF(J1290="","7. Acima de 2 km",IF(J1290&lt;=50,"1. Até 50 m",IF(J1290&lt;=100,"2. De 50 a 100 m",IF(J1290&lt;=200,"3. De 100 a 200 m",IF(J1290&lt;=300,"4. De 200 a 300 m",IF(J1290&lt;=500,"5. De 300 a 500 m","6. De 500 m a 2 km"))))))</f>
        <v>5. De 300 a 500 m</v>
      </c>
      <c r="L1290" s="26" t="n">
        <v>0</v>
      </c>
      <c r="M1290" s="26" t="n">
        <v>0</v>
      </c>
      <c r="N1290" s="26" t="n">
        <v>0</v>
      </c>
      <c r="O1290" s="26" t="n">
        <v>0</v>
      </c>
      <c r="P1290" s="30" t="n">
        <v>-9.4185933</v>
      </c>
      <c r="Q1290" s="30" t="n">
        <v>-40.5026523</v>
      </c>
      <c r="R1290" s="14" t="inlineStr">
        <is>
          <t xml:space="preserve"> FÓRUM ELEITORAL DE JUAZEIRO, RUA DOS BANDEIRANTES, S/N, BAIRRO JOÃO XXIII, JUAZEIRO/BA</t>
        </is>
      </c>
      <c r="S1290" s="26">
        <f>IF(A1290=A1289,0,1)</f>
        <v>0</v>
      </c>
      <c r="T1290" s="26">
        <f>IF(COUNTIF($B$4:B1290,B1290)=1,1,0)</f>
        <v>0</v>
      </c>
    </row>
    <row r="1291">
      <c r="A1291" s="14" t="inlineStr">
        <is>
          <t>JUAZEIRO</t>
        </is>
      </c>
      <c r="B1291" s="26" t="n">
        <v>47</v>
      </c>
      <c r="C1291" s="26" t="n">
        <v>1317</v>
      </c>
      <c r="D1291" s="14" t="inlineStr">
        <is>
          <t>COLÉGIO MUNICIPAL PAULO VI</t>
        </is>
      </c>
      <c r="E1291" s="14" t="inlineStr">
        <is>
          <t>SANTA MARIA GORETTI</t>
        </is>
      </c>
      <c r="F1291" s="14" t="inlineStr">
        <is>
          <t>RUA DO JAPÃO S/N - ZONA URBANA</t>
        </is>
      </c>
      <c r="G1291" s="27" t="inlineStr">
        <is>
          <t>48900-000</t>
        </is>
      </c>
      <c r="H1291" s="15" t="n">
        <v>14</v>
      </c>
      <c r="I1291" s="28" t="inlineStr">
        <is>
          <t>NÃO</t>
        </is>
      </c>
      <c r="J1291" s="29" t="n">
        <v>693.2</v>
      </c>
      <c r="K1291" s="14" t="str">
        <f>IF(J1291="","7. Acima de 2 km",IF(J1291&lt;=50,"1. Até 50 m",IF(J1291&lt;=100,"2. De 50 a 100 m",IF(J1291&lt;=200,"3. De 100 a 200 m",IF(J1291&lt;=300,"4. De 200 a 300 m",IF(J1291&lt;=500,"5. De 300 a 500 m","6. De 500 m a 2 km"))))))</f>
        <v>6. De 500 m a 2 km</v>
      </c>
      <c r="L1291" s="26" t="n">
        <v>0</v>
      </c>
      <c r="M1291" s="26" t="n">
        <v>0</v>
      </c>
      <c r="N1291" s="26" t="n">
        <v>0</v>
      </c>
      <c r="O1291" s="26" t="n">
        <v>0</v>
      </c>
      <c r="P1291" s="30" t="n">
        <v>-9.4197259</v>
      </c>
      <c r="Q1291" s="30" t="n">
        <v>-40.4992876</v>
      </c>
      <c r="R1291" s="14" t="inlineStr">
        <is>
          <t xml:space="preserve"> FÓRUM ELEITORAL DE JUAZEIRO, RUA DOS BANDEIRANTES, S/N, BAIRRO JOÃO XXIII, JUAZEIRO/BA</t>
        </is>
      </c>
      <c r="S1291" s="26">
        <f>IF(A1291=A1290,0,1)</f>
        <v>0</v>
      </c>
      <c r="T1291" s="26">
        <f>IF(COUNTIF($B$4:B1291,B1291)=1,1,0)</f>
        <v>0</v>
      </c>
    </row>
    <row r="1292">
      <c r="A1292" s="14" t="inlineStr">
        <is>
          <t>JUAZEIRO</t>
        </is>
      </c>
      <c r="B1292" s="26" t="n">
        <v>47</v>
      </c>
      <c r="C1292" s="26" t="n">
        <v>1325</v>
      </c>
      <c r="D1292" s="14" t="inlineStr">
        <is>
          <t>AGÊNCIA DO INSS</t>
        </is>
      </c>
      <c r="E1292" s="14" t="inlineStr">
        <is>
          <t>SANTA MARIA GORETTI</t>
        </is>
      </c>
      <c r="F1292" s="14" t="inlineStr">
        <is>
          <t>AVENIDA ADOLFO VIANA, S/N - ZONA URBANA</t>
        </is>
      </c>
      <c r="G1292" s="27" t="inlineStr">
        <is>
          <t>48900-000</t>
        </is>
      </c>
      <c r="H1292" s="15" t="n">
        <v>4</v>
      </c>
      <c r="I1292" s="28" t="inlineStr">
        <is>
          <t>NÃO</t>
        </is>
      </c>
      <c r="J1292" s="29" t="n">
        <v>461.6</v>
      </c>
      <c r="K1292" s="14" t="str">
        <f>IF(J1292="","7. Acima de 2 km",IF(J1292&lt;=50,"1. Até 50 m",IF(J1292&lt;=100,"2. De 50 a 100 m",IF(J1292&lt;=200,"3. De 100 a 200 m",IF(J1292&lt;=300,"4. De 200 a 300 m",IF(J1292&lt;=500,"5. De 300 a 500 m","6. De 500 m a 2 km"))))))</f>
        <v>5. De 300 a 500 m</v>
      </c>
      <c r="L1292" s="26" t="n">
        <v>0</v>
      </c>
      <c r="M1292" s="26" t="n">
        <v>0</v>
      </c>
      <c r="N1292" s="26" t="n">
        <v>0</v>
      </c>
      <c r="O1292" s="26" t="n">
        <v>0</v>
      </c>
      <c r="P1292" s="30" t="n">
        <v>-9.4206378</v>
      </c>
      <c r="Q1292" s="30" t="n">
        <v>-40.5012993</v>
      </c>
      <c r="R1292" s="14" t="inlineStr">
        <is>
          <t xml:space="preserve"> FÓRUM ELEITORAL DE JUAZEIRO, RUA DOS BANDEIRANTES, S/N, BAIRRO JOÃO XXIII, JUAZEIRO/BA</t>
        </is>
      </c>
      <c r="S1292" s="26">
        <f>IF(A1292=A1291,0,1)</f>
        <v>0</v>
      </c>
      <c r="T1292" s="26">
        <f>IF(COUNTIF($B$4:B1292,B1292)=1,1,0)</f>
        <v>0</v>
      </c>
    </row>
    <row r="1293">
      <c r="A1293" s="14" t="inlineStr">
        <is>
          <t>JUAZEIRO</t>
        </is>
      </c>
      <c r="B1293" s="26" t="n">
        <v>47</v>
      </c>
      <c r="C1293" s="26" t="n">
        <v>1333</v>
      </c>
      <c r="D1293" s="14" t="inlineStr">
        <is>
          <t>ESCOLA JUDITE LEAL COSTA</t>
        </is>
      </c>
      <c r="E1293" s="14" t="inlineStr">
        <is>
          <t>SANTA MARIA GORETTI</t>
        </is>
      </c>
      <c r="F1293" s="14" t="inlineStr">
        <is>
          <t>RUA DO JAPÃO S/N - ZONA URBANA</t>
        </is>
      </c>
      <c r="G1293" s="27" t="inlineStr">
        <is>
          <t>48900-000</t>
        </is>
      </c>
      <c r="H1293" s="15" t="n">
        <v>4</v>
      </c>
      <c r="I1293" s="28" t="inlineStr">
        <is>
          <t>NÃO</t>
        </is>
      </c>
      <c r="J1293" s="29" t="n">
        <v>693.3</v>
      </c>
      <c r="K1293" s="14" t="str">
        <f>IF(J1293="","7. Acima de 2 km",IF(J1293&lt;=50,"1. Até 50 m",IF(J1293&lt;=100,"2. De 50 a 100 m",IF(J1293&lt;=200,"3. De 100 a 200 m",IF(J1293&lt;=300,"4. De 200 a 300 m",IF(J1293&lt;=500,"5. De 300 a 500 m","6. De 500 m a 2 km"))))))</f>
        <v>6. De 500 m a 2 km</v>
      </c>
      <c r="L1293" s="26" t="n">
        <v>0</v>
      </c>
      <c r="M1293" s="26" t="n">
        <v>0</v>
      </c>
      <c r="N1293" s="26" t="n">
        <v>0</v>
      </c>
      <c r="O1293" s="26" t="n">
        <v>0</v>
      </c>
      <c r="P1293" s="30" t="n">
        <v>-9.419493599999999</v>
      </c>
      <c r="Q1293" s="30" t="n">
        <v>-40.4993348</v>
      </c>
      <c r="R1293" s="14" t="inlineStr">
        <is>
          <t xml:space="preserve"> FÓRUM ELEITORAL DE JUAZEIRO, RUA DOS BANDEIRANTES, S/N, BAIRRO JOÃO XXIII, JUAZEIRO/BA</t>
        </is>
      </c>
      <c r="S1293" s="26">
        <f>IF(A1293=A1292,0,1)</f>
        <v>0</v>
      </c>
      <c r="T1293" s="26">
        <f>IF(COUNTIF($B$4:B1293,B1293)=1,1,0)</f>
        <v>0</v>
      </c>
    </row>
    <row r="1294">
      <c r="A1294" s="14" t="inlineStr">
        <is>
          <t>JUAZEIRO</t>
        </is>
      </c>
      <c r="B1294" s="26" t="n">
        <v>47</v>
      </c>
      <c r="C1294" s="26" t="n">
        <v>1376</v>
      </c>
      <c r="D1294" s="14" t="inlineStr">
        <is>
          <t>CENTRO EST. DE EDUC. PROF. EM GESTÃO DE NEGÓCIO DO NORTE BAIANO-CEEP</t>
        </is>
      </c>
      <c r="E1294" s="14" t="inlineStr">
        <is>
          <t>CAJUEIRO</t>
        </is>
      </c>
      <c r="F1294" s="14" t="inlineStr">
        <is>
          <t>RUA DO CAJUEIRO, S/N - ZONA URBANA</t>
        </is>
      </c>
      <c r="G1294" s="27" t="inlineStr">
        <is>
          <t>48900-000</t>
        </is>
      </c>
      <c r="H1294" s="15" t="n">
        <v>8</v>
      </c>
      <c r="I1294" s="28" t="inlineStr">
        <is>
          <t>NÃO</t>
        </is>
      </c>
      <c r="J1294" s="29" t="n">
        <v>930.3</v>
      </c>
      <c r="K1294" s="14" t="str">
        <f>IF(J1294="","7. Acima de 2 km",IF(J1294&lt;=50,"1. Até 50 m",IF(J1294&lt;=100,"2. De 50 a 100 m",IF(J1294&lt;=200,"3. De 100 a 200 m",IF(J1294&lt;=300,"4. De 200 a 300 m",IF(J1294&lt;=500,"5. De 300 a 500 m","6. De 500 m a 2 km"))))))</f>
        <v>6. De 500 m a 2 km</v>
      </c>
      <c r="L1294" s="26" t="n">
        <v>0</v>
      </c>
      <c r="M1294" s="26" t="n">
        <v>0</v>
      </c>
      <c r="N1294" s="26" t="n">
        <v>0</v>
      </c>
      <c r="O1294" s="26" t="n">
        <v>0</v>
      </c>
      <c r="P1294" s="30" t="n">
        <v>-9.416446799999999</v>
      </c>
      <c r="Q1294" s="30" t="n">
        <v>-40.4911462</v>
      </c>
      <c r="R1294" s="14" t="inlineStr">
        <is>
          <t xml:space="preserve"> FÓRUM ELEITORAL DE JUAZEIRO, RUA DOS BANDEIRANTES, S/N, BAIRRO JOÃO XXIII, JUAZEIRO/BA</t>
        </is>
      </c>
      <c r="S1294" s="26">
        <f>IF(A1294=A1293,0,1)</f>
        <v>0</v>
      </c>
      <c r="T1294" s="26">
        <f>IF(COUNTIF($B$4:B1294,B1294)=1,1,0)</f>
        <v>0</v>
      </c>
    </row>
    <row r="1295">
      <c r="A1295" s="14" t="inlineStr">
        <is>
          <t>JUAZEIRO</t>
        </is>
      </c>
      <c r="B1295" s="26" t="n">
        <v>47</v>
      </c>
      <c r="C1295" s="26" t="n">
        <v>1392</v>
      </c>
      <c r="D1295" s="14" t="inlineStr">
        <is>
          <t>COLÉGIO ESTADUAL HILDETE LOMANTO</t>
        </is>
      </c>
      <c r="E1295" s="14" t="inlineStr">
        <is>
          <t>CENTRO</t>
        </is>
      </c>
      <c r="F1295" s="14" t="inlineStr">
        <is>
          <t>RUA OSCAR RIBEIRO 73 - ZONA URBANA</t>
        </is>
      </c>
      <c r="G1295" s="27" t="inlineStr">
        <is>
          <t>48904-090</t>
        </is>
      </c>
      <c r="H1295" s="15" t="n">
        <v>8</v>
      </c>
      <c r="I1295" s="28" t="inlineStr">
        <is>
          <t>NÃO</t>
        </is>
      </c>
      <c r="J1295" s="29" t="n">
        <v>215.9</v>
      </c>
      <c r="K1295" s="14" t="str">
        <f>IF(J1295="","7. Acima de 2 km",IF(J1295&lt;=50,"1. Até 50 m",IF(J1295&lt;=100,"2. De 50 a 100 m",IF(J1295&lt;=200,"3. De 100 a 200 m",IF(J1295&lt;=300,"4. De 200 a 300 m",IF(J1295&lt;=500,"5. De 300 a 500 m","6. De 500 m a 2 km"))))))</f>
        <v>4. De 200 a 300 m</v>
      </c>
      <c r="L1295" s="26" t="n">
        <v>0</v>
      </c>
      <c r="M1295" s="26" t="n">
        <v>0</v>
      </c>
      <c r="N1295" s="26" t="n">
        <v>0</v>
      </c>
      <c r="O1295" s="26" t="n">
        <v>2</v>
      </c>
      <c r="P1295" s="30" t="n">
        <v>-9.415411600000001</v>
      </c>
      <c r="Q1295" s="30" t="n">
        <v>-40.5015098</v>
      </c>
      <c r="R1295" s="14" t="inlineStr">
        <is>
          <t xml:space="preserve"> FÓRUM ELEITORAL DE JUAZEIRO, RUA DOS BANDEIRANTES, S/N, BAIRRO JOÃO XXIII, JUAZEIRO/BA</t>
        </is>
      </c>
      <c r="S1295" s="26">
        <f>IF(A1295=A1294,0,1)</f>
        <v>0</v>
      </c>
      <c r="T1295" s="26">
        <f>IF(COUNTIF($B$4:B1295,B1295)=1,1,0)</f>
        <v>0</v>
      </c>
    </row>
    <row r="1296">
      <c r="A1296" s="14" t="inlineStr">
        <is>
          <t>JUAZEIRO</t>
        </is>
      </c>
      <c r="B1296" s="26" t="n">
        <v>47</v>
      </c>
      <c r="C1296" s="26" t="n">
        <v>1406</v>
      </c>
      <c r="D1296" s="14" t="inlineStr">
        <is>
          <t>COLÉGIO ESTADUAL LOMANTO JÚNIOR</t>
        </is>
      </c>
      <c r="E1296" s="14" t="inlineStr">
        <is>
          <t>CASTELO BRANCO</t>
        </is>
      </c>
      <c r="F1296" s="14" t="inlineStr">
        <is>
          <t>AVENIDA MACHADO DE ASSIS S/N - ZONA URBANA</t>
        </is>
      </c>
      <c r="G1296" s="27" t="inlineStr">
        <is>
          <t>48900-000</t>
        </is>
      </c>
      <c r="H1296" s="15" t="n">
        <v>15</v>
      </c>
      <c r="I1296" s="28" t="inlineStr">
        <is>
          <t>NÃO</t>
        </is>
      </c>
      <c r="J1296" s="29" t="n">
        <v>187.8</v>
      </c>
      <c r="K1296" s="14" t="str">
        <f>IF(J1296="","7. Acima de 2 km",IF(J1296&lt;=50,"1. Até 50 m",IF(J1296&lt;=100,"2. De 50 a 100 m",IF(J1296&lt;=200,"3. De 100 a 200 m",IF(J1296&lt;=300,"4. De 200 a 300 m",IF(J1296&lt;=500,"5. De 300 a 500 m","6. De 500 m a 2 km"))))))</f>
        <v>3. De 100 a 200 m</v>
      </c>
      <c r="L1296" s="26" t="n">
        <v>0</v>
      </c>
      <c r="M1296" s="26" t="n">
        <v>0</v>
      </c>
      <c r="N1296" s="26" t="n">
        <v>1</v>
      </c>
      <c r="O1296" s="26" t="n">
        <v>2</v>
      </c>
      <c r="P1296" s="30" t="n">
        <v>-9.437180700000001</v>
      </c>
      <c r="Q1296" s="30" t="n">
        <v>-40.4951983</v>
      </c>
      <c r="R1296" s="14" t="inlineStr">
        <is>
          <t xml:space="preserve"> FÓRUM ELEITORAL DE JUAZEIRO, RUA DOS BANDEIRANTES, S/N, BAIRRO JOÃO XXIII, JUAZEIRO/BA</t>
        </is>
      </c>
      <c r="S1296" s="26">
        <f>IF(A1296=A1295,0,1)</f>
        <v>0</v>
      </c>
      <c r="T1296" s="26">
        <f>IF(COUNTIF($B$4:B1296,B1296)=1,1,0)</f>
        <v>0</v>
      </c>
    </row>
    <row r="1297">
      <c r="A1297" s="14" t="inlineStr">
        <is>
          <t>JUAZEIRO</t>
        </is>
      </c>
      <c r="B1297" s="26" t="n">
        <v>47</v>
      </c>
      <c r="C1297" s="26" t="n">
        <v>1414</v>
      </c>
      <c r="D1297" s="14" t="inlineStr">
        <is>
          <t>ESCOLA MUNICIPAL HELENA CELESTINO</t>
        </is>
      </c>
      <c r="E1297" s="14" t="inlineStr">
        <is>
          <t>CASTELO BRANCO</t>
        </is>
      </c>
      <c r="F1297" s="14" t="inlineStr">
        <is>
          <t>PRAÇA AMÉRICO TANURI, S/N - ZONA URBANA</t>
        </is>
      </c>
      <c r="G1297" s="27" t="inlineStr">
        <is>
          <t>48900-000</t>
        </is>
      </c>
      <c r="H1297" s="15" t="n">
        <v>9</v>
      </c>
      <c r="I1297" s="28" t="inlineStr">
        <is>
          <t>NÃO</t>
        </is>
      </c>
      <c r="J1297" s="29" t="n">
        <v>365.1</v>
      </c>
      <c r="K1297" s="14" t="str">
        <f>IF(J1297="","7. Acima de 2 km",IF(J1297&lt;=50,"1. Até 50 m",IF(J1297&lt;=100,"2. De 50 a 100 m",IF(J1297&lt;=200,"3. De 100 a 200 m",IF(J1297&lt;=300,"4. De 200 a 300 m",IF(J1297&lt;=500,"5. De 300 a 500 m","6. De 500 m a 2 km"))))))</f>
        <v>5. De 300 a 500 m</v>
      </c>
      <c r="L1297" s="26" t="n">
        <v>0</v>
      </c>
      <c r="M1297" s="26" t="n">
        <v>0</v>
      </c>
      <c r="N1297" s="26" t="n">
        <v>0</v>
      </c>
      <c r="O1297" s="26" t="n">
        <v>0</v>
      </c>
      <c r="P1297" s="30" t="n">
        <v>-9.438736199999999</v>
      </c>
      <c r="Q1297" s="30" t="n">
        <v>-40.4924195</v>
      </c>
      <c r="R1297" s="14" t="inlineStr">
        <is>
          <t xml:space="preserve"> FÓRUM ELEITORAL DE JUAZEIRO, RUA DOS BANDEIRANTES, S/N, BAIRRO JOÃO XXIII, JUAZEIRO/BA</t>
        </is>
      </c>
      <c r="S1297" s="26">
        <f>IF(A1297=A1296,0,1)</f>
        <v>0</v>
      </c>
      <c r="T1297" s="26">
        <f>IF(COUNTIF($B$4:B1297,B1297)=1,1,0)</f>
        <v>0</v>
      </c>
    </row>
    <row r="1298">
      <c r="A1298" s="14" t="inlineStr">
        <is>
          <t>JUAZEIRO</t>
        </is>
      </c>
      <c r="B1298" s="26" t="n">
        <v>47</v>
      </c>
      <c r="C1298" s="26" t="n">
        <v>1422</v>
      </c>
      <c r="D1298" s="14" t="inlineStr">
        <is>
          <t>COLÉGIO MODELO LUIZ EDUARDO MAGALHÃES</t>
        </is>
      </c>
      <c r="E1298" s="14" t="inlineStr">
        <is>
          <t>JOÃO XXIII</t>
        </is>
      </c>
      <c r="F1298" s="14" t="inlineStr">
        <is>
          <t>AV. LOMANTO JÚNIOR, KM 03 - ZONA URBANA</t>
        </is>
      </c>
      <c r="G1298" s="27" t="inlineStr">
        <is>
          <t>48900-000</t>
        </is>
      </c>
      <c r="H1298" s="15" t="n">
        <v>9</v>
      </c>
      <c r="I1298" s="28" t="inlineStr">
        <is>
          <t>SIM</t>
        </is>
      </c>
      <c r="J1298" s="29" t="n">
        <v>24.5</v>
      </c>
      <c r="K1298" s="14" t="str">
        <f>IF(J1298="","7. Acima de 2 km",IF(J1298&lt;=50,"1. Até 50 m",IF(J1298&lt;=100,"2. De 50 a 100 m",IF(J1298&lt;=200,"3. De 100 a 200 m",IF(J1298&lt;=300,"4. De 200 a 300 m",IF(J1298&lt;=500,"5. De 300 a 500 m","6. De 500 m a 2 km"))))))</f>
        <v>1. Até 50 m</v>
      </c>
      <c r="L1298" s="26" t="n">
        <v>1</v>
      </c>
      <c r="M1298" s="26" t="n">
        <v>1</v>
      </c>
      <c r="N1298" s="26" t="n">
        <v>2</v>
      </c>
      <c r="O1298" s="26" t="n">
        <v>2</v>
      </c>
      <c r="P1298" s="30" t="n">
        <v>-9.436966399999999</v>
      </c>
      <c r="Q1298" s="30" t="n">
        <v>-40.4971215</v>
      </c>
      <c r="R1298" s="14" t="inlineStr">
        <is>
          <t xml:space="preserve"> FÓRUM ELEITORAL DE JUAZEIRO, RUA DOS BANDEIRANTES, S/N, BAIRRO JOÃO XXIII, JUAZEIRO/BA</t>
        </is>
      </c>
      <c r="S1298" s="26">
        <f>IF(A1298=A1297,0,1)</f>
        <v>0</v>
      </c>
      <c r="T1298" s="26">
        <f>IF(COUNTIF($B$4:B1298,B1298)=1,1,0)</f>
        <v>0</v>
      </c>
    </row>
    <row r="1299">
      <c r="A1299" s="14" t="inlineStr">
        <is>
          <t>JUAZEIRO</t>
        </is>
      </c>
      <c r="B1299" s="26" t="n">
        <v>47</v>
      </c>
      <c r="C1299" s="26" t="n">
        <v>1457</v>
      </c>
      <c r="D1299" s="14" t="inlineStr">
        <is>
          <t>ESCOLA DO ROTARY</t>
        </is>
      </c>
      <c r="E1299" s="14" t="inlineStr">
        <is>
          <t>ALTO DO CRUZEIRO</t>
        </is>
      </c>
      <c r="F1299" s="14" t="inlineStr">
        <is>
          <t>RUA PADRE FEIJÓ, S/N - ZONA URBANA</t>
        </is>
      </c>
      <c r="G1299" s="27" t="inlineStr">
        <is>
          <t>48900-000</t>
        </is>
      </c>
      <c r="H1299" s="15" t="n">
        <v>8</v>
      </c>
      <c r="I1299" s="28" t="inlineStr">
        <is>
          <t>NÃO</t>
        </is>
      </c>
      <c r="J1299" s="29" t="n">
        <v>140.9</v>
      </c>
      <c r="K1299" s="14" t="str">
        <f>IF(J1299="","7. Acima de 2 km",IF(J1299&lt;=50,"1. Até 50 m",IF(J1299&lt;=100,"2. De 50 a 100 m",IF(J1299&lt;=200,"3. De 100 a 200 m",IF(J1299&lt;=300,"4. De 200 a 300 m",IF(J1299&lt;=500,"5. De 300 a 500 m","6. De 500 m a 2 km"))))))</f>
        <v>3. De 100 a 200 m</v>
      </c>
      <c r="L1299" s="26" t="n">
        <v>0</v>
      </c>
      <c r="M1299" s="26" t="n">
        <v>0</v>
      </c>
      <c r="N1299" s="26" t="n">
        <v>1</v>
      </c>
      <c r="O1299" s="26" t="n">
        <v>1</v>
      </c>
      <c r="P1299" s="30" t="n">
        <v>-9.4312019</v>
      </c>
      <c r="Q1299" s="30" t="n">
        <v>-40.4977161</v>
      </c>
      <c r="R1299" s="14" t="inlineStr">
        <is>
          <t xml:space="preserve"> FÓRUM ELEITORAL DE JUAZEIRO, RUA DOS BANDEIRANTES, S/N, BAIRRO JOÃO XXIII, JUAZEIRO/BA</t>
        </is>
      </c>
      <c r="S1299" s="26">
        <f>IF(A1299=A1298,0,1)</f>
        <v>0</v>
      </c>
      <c r="T1299" s="26">
        <f>IF(COUNTIF($B$4:B1299,B1299)=1,1,0)</f>
        <v>0</v>
      </c>
    </row>
    <row r="1300">
      <c r="A1300" s="14" t="inlineStr">
        <is>
          <t>JUAZEIRO</t>
        </is>
      </c>
      <c r="B1300" s="26" t="n">
        <v>47</v>
      </c>
      <c r="C1300" s="26" t="n">
        <v>1490</v>
      </c>
      <c r="D1300" s="14" t="inlineStr">
        <is>
          <t>ESCOLA LUDUGERO COSTA</t>
        </is>
      </c>
      <c r="E1300" s="14" t="inlineStr">
        <is>
          <t>LOMANTO JÚNIOR</t>
        </is>
      </c>
      <c r="F1300" s="14" t="inlineStr">
        <is>
          <t>TRAVESSA SANTA TEREZINHA, S/N - ZONA URBANA</t>
        </is>
      </c>
      <c r="G1300" s="27" t="inlineStr">
        <is>
          <t>48900-000</t>
        </is>
      </c>
      <c r="H1300" s="15" t="n">
        <v>7</v>
      </c>
      <c r="I1300" s="28" t="inlineStr">
        <is>
          <t>NÃO</t>
        </is>
      </c>
      <c r="J1300" s="29" t="n">
        <v>659.4</v>
      </c>
      <c r="K1300" s="14" t="str">
        <f>IF(J1300="","7. Acima de 2 km",IF(J1300&lt;=50,"1. Até 50 m",IF(J1300&lt;=100,"2. De 50 a 100 m",IF(J1300&lt;=200,"3. De 100 a 200 m",IF(J1300&lt;=300,"4. De 200 a 300 m",IF(J1300&lt;=500,"5. De 300 a 500 m","6. De 500 m a 2 km"))))))</f>
        <v>6. De 500 m a 2 km</v>
      </c>
      <c r="L1300" s="26" t="n">
        <v>0</v>
      </c>
      <c r="M1300" s="26" t="n">
        <v>0</v>
      </c>
      <c r="N1300" s="26" t="n">
        <v>0</v>
      </c>
      <c r="O1300" s="26" t="n">
        <v>0</v>
      </c>
      <c r="P1300" s="30" t="n">
        <v>-9.424780999999999</v>
      </c>
      <c r="Q1300" s="30" t="n">
        <v>-40.49672</v>
      </c>
      <c r="R1300" s="14" t="inlineStr">
        <is>
          <t xml:space="preserve"> FÓRUM ELEITORAL DE JUAZEIRO, RUA DOS BANDEIRANTES, S/N, BAIRRO JOÃO XXIII, JUAZEIRO/BA</t>
        </is>
      </c>
      <c r="S1300" s="26">
        <f>IF(A1300=A1299,0,1)</f>
        <v>0</v>
      </c>
      <c r="T1300" s="26">
        <f>IF(COUNTIF($B$4:B1300,B1300)=1,1,0)</f>
        <v>0</v>
      </c>
    </row>
    <row r="1301">
      <c r="A1301" s="14" t="inlineStr">
        <is>
          <t>JUAZEIRO</t>
        </is>
      </c>
      <c r="B1301" s="26" t="n">
        <v>47</v>
      </c>
      <c r="C1301" s="26" t="n">
        <v>1538</v>
      </c>
      <c r="D1301" s="14" t="inlineStr">
        <is>
          <t>ESCOLA CECÍLIO MATOS</t>
        </is>
      </c>
      <c r="E1301" s="14" t="inlineStr">
        <is>
          <t>ALAGADIÇO</t>
        </is>
      </c>
      <c r="F1301" s="14" t="inlineStr">
        <is>
          <t>AVENIDA MESTRE LULA, S/N - ZONA URBANA</t>
        </is>
      </c>
      <c r="G1301" s="27" t="inlineStr">
        <is>
          <t>48900-000</t>
        </is>
      </c>
      <c r="H1301" s="15" t="n">
        <v>6</v>
      </c>
      <c r="I1301" s="28" t="inlineStr">
        <is>
          <t>NÃO</t>
        </is>
      </c>
      <c r="J1301" s="29" t="n">
        <v>194.4</v>
      </c>
      <c r="K1301" s="14" t="str">
        <f>IF(J1301="","7. Acima de 2 km",IF(J1301&lt;=50,"1. Até 50 m",IF(J1301&lt;=100,"2. De 50 a 100 m",IF(J1301&lt;=200,"3. De 100 a 200 m",IF(J1301&lt;=300,"4. De 200 a 300 m",IF(J1301&lt;=500,"5. De 300 a 500 m","6. De 500 m a 2 km"))))))</f>
        <v>3. De 100 a 200 m</v>
      </c>
      <c r="L1301" s="26" t="n">
        <v>0</v>
      </c>
      <c r="M1301" s="26" t="n">
        <v>0</v>
      </c>
      <c r="N1301" s="26" t="n">
        <v>1</v>
      </c>
      <c r="O1301" s="26" t="n">
        <v>1</v>
      </c>
      <c r="P1301" s="30" t="n">
        <v>-9.4191532</v>
      </c>
      <c r="Q1301" s="30" t="n">
        <v>-40.5051317</v>
      </c>
      <c r="R1301" s="14" t="inlineStr">
        <is>
          <t xml:space="preserve"> FÓRUM ELEITORAL DE JUAZEIRO, RUA DOS BANDEIRANTES, S/N, BAIRRO JOÃO XXIII, JUAZEIRO/BA</t>
        </is>
      </c>
      <c r="S1301" s="26">
        <f>IF(A1301=A1300,0,1)</f>
        <v>0</v>
      </c>
      <c r="T1301" s="26">
        <f>IF(COUNTIF($B$4:B1301,B1301)=1,1,0)</f>
        <v>0</v>
      </c>
    </row>
    <row r="1302">
      <c r="A1302" s="14" t="inlineStr">
        <is>
          <t>JUAZEIRO</t>
        </is>
      </c>
      <c r="B1302" s="26" t="n">
        <v>47</v>
      </c>
      <c r="C1302" s="26" t="n">
        <v>1546</v>
      </c>
      <c r="D1302" s="14" t="inlineStr">
        <is>
          <t>ESCOLA MUNICIPAL CELSO CAVALCANTE DE CARVALHO</t>
        </is>
      </c>
      <c r="E1302" s="14" t="inlineStr">
        <is>
          <t>PROJETO MANDACARU I</t>
        </is>
      </c>
      <c r="F1302" s="14" t="inlineStr">
        <is>
          <t>PROJETO MANDACARU I - ZONA RURAL</t>
        </is>
      </c>
      <c r="G1302" s="27" t="inlineStr">
        <is>
          <t>48900-000</t>
        </is>
      </c>
      <c r="H1302" s="15" t="n">
        <v>7</v>
      </c>
      <c r="I1302" s="28" t="inlineStr">
        <is>
          <t>NÃO</t>
        </is>
      </c>
      <c r="J1302" s="29" t="n">
        <v>672.7</v>
      </c>
      <c r="K1302" s="14" t="str">
        <f>IF(J1302="","7. Acima de 2 km",IF(J1302&lt;=50,"1. Até 50 m",IF(J1302&lt;=100,"2. De 50 a 100 m",IF(J1302&lt;=200,"3. De 100 a 200 m",IF(J1302&lt;=300,"4. De 200 a 300 m",IF(J1302&lt;=500,"5. De 300 a 500 m","6. De 500 m a 2 km"))))))</f>
        <v>6. De 500 m a 2 km</v>
      </c>
      <c r="L1302" s="26" t="n">
        <v>0</v>
      </c>
      <c r="M1302" s="26" t="n">
        <v>0</v>
      </c>
      <c r="N1302" s="26" t="n">
        <v>0</v>
      </c>
      <c r="O1302" s="26" t="n">
        <v>0</v>
      </c>
      <c r="P1302" s="30" t="n">
        <v>-9.386894699999999</v>
      </c>
      <c r="Q1302" s="30" t="n">
        <v>-40.4258681</v>
      </c>
      <c r="R1302" s="14" t="inlineStr">
        <is>
          <t xml:space="preserve"> FÓRUM ELEITORAL DE JUAZEIRO, RUA DOS BANDEIRANTES, S/N, BAIRRO JOÃO XXIII, JUAZEIRO/BA</t>
        </is>
      </c>
      <c r="S1302" s="26">
        <f>IF(A1302=A1301,0,1)</f>
        <v>0</v>
      </c>
      <c r="T1302" s="26">
        <f>IF(COUNTIF($B$4:B1302,B1302)=1,1,0)</f>
        <v>0</v>
      </c>
    </row>
    <row r="1303">
      <c r="A1303" s="14" t="inlineStr">
        <is>
          <t>JUAZEIRO</t>
        </is>
      </c>
      <c r="B1303" s="26" t="n">
        <v>47</v>
      </c>
      <c r="C1303" s="26" t="n">
        <v>1554</v>
      </c>
      <c r="D1303" s="14" t="inlineStr">
        <is>
          <t>ESCOLA DINORAH ALBERNAZ MELO DA SILVA</t>
        </is>
      </c>
      <c r="E1303" s="14" t="inlineStr">
        <is>
          <t>ITABERABA</t>
        </is>
      </c>
      <c r="F1303" s="14" t="inlineStr">
        <is>
          <t>RUA 1, S/N - ZONA URBANA</t>
        </is>
      </c>
      <c r="G1303" s="27" t="inlineStr">
        <is>
          <t>48900-000</t>
        </is>
      </c>
      <c r="H1303" s="15" t="n">
        <v>11</v>
      </c>
      <c r="I1303" s="28" t="inlineStr">
        <is>
          <t>NÃO</t>
        </is>
      </c>
      <c r="J1303" s="29" t="n">
        <v>159.1</v>
      </c>
      <c r="K1303" s="14" t="str">
        <f>IF(J1303="","7. Acima de 2 km",IF(J1303&lt;=50,"1. Até 50 m",IF(J1303&lt;=100,"2. De 50 a 100 m",IF(J1303&lt;=200,"3. De 100 a 200 m",IF(J1303&lt;=300,"4. De 200 a 300 m",IF(J1303&lt;=500,"5. De 300 a 500 m","6. De 500 m a 2 km"))))))</f>
        <v>3. De 100 a 200 m</v>
      </c>
      <c r="L1303" s="26" t="n">
        <v>0</v>
      </c>
      <c r="M1303" s="26" t="n">
        <v>0</v>
      </c>
      <c r="N1303" s="26" t="n">
        <v>1</v>
      </c>
      <c r="O1303" s="26" t="n">
        <v>2</v>
      </c>
      <c r="P1303" s="30" t="n">
        <v>-9.4484391</v>
      </c>
      <c r="Q1303" s="30" t="n">
        <v>-40.4852665</v>
      </c>
      <c r="R1303" s="14" t="inlineStr">
        <is>
          <t xml:space="preserve"> FÓRUM ELEITORAL DE JUAZEIRO, RUA DOS BANDEIRANTES, S/N, BAIRRO JOÃO XXIII, JUAZEIRO/BA</t>
        </is>
      </c>
      <c r="S1303" s="26">
        <f>IF(A1303=A1302,0,1)</f>
        <v>0</v>
      </c>
      <c r="T1303" s="26">
        <f>IF(COUNTIF($B$4:B1303,B1303)=1,1,0)</f>
        <v>0</v>
      </c>
    </row>
    <row r="1304">
      <c r="A1304" s="14" t="inlineStr">
        <is>
          <t>JUAZEIRO</t>
        </is>
      </c>
      <c r="B1304" s="26" t="n">
        <v>47</v>
      </c>
      <c r="C1304" s="26" t="n">
        <v>1570</v>
      </c>
      <c r="D1304" s="14" t="inlineStr">
        <is>
          <t>ESCOLA MANDACARU (JARDIM PRIMAVERA)</t>
        </is>
      </c>
      <c r="E1304" s="14" t="inlineStr">
        <is>
          <t>JARDIM PRIMAVERA</t>
        </is>
      </c>
      <c r="F1304" s="14" t="inlineStr">
        <is>
          <t>POVOADO JARDIM PRIMAVERA, S/N - ZONA  RURAL</t>
        </is>
      </c>
      <c r="G1304" s="27" t="inlineStr">
        <is>
          <t>48900-000</t>
        </is>
      </c>
      <c r="H1304" s="15" t="n">
        <v>5</v>
      </c>
      <c r="I1304" s="28" t="inlineStr">
        <is>
          <t>NÃO</t>
        </is>
      </c>
      <c r="J1304" s="29" t="n"/>
      <c r="K1304" s="14" t="str">
        <f>IF(J1304="","7. Acima de 2 km",IF(J1304&lt;=50,"1. Até 50 m",IF(J1304&lt;=100,"2. De 50 a 100 m",IF(J1304&lt;=200,"3. De 100 a 200 m",IF(J1304&lt;=300,"4. De 200 a 300 m",IF(J1304&lt;=500,"5. De 300 a 500 m","6. De 500 m a 2 km"))))))</f>
        <v>7. Acima de 2 km</v>
      </c>
      <c r="L1304" s="26" t="n">
        <v>0</v>
      </c>
      <c r="M1304" s="26" t="n">
        <v>0</v>
      </c>
      <c r="N1304" s="26" t="n">
        <v>0</v>
      </c>
      <c r="O1304" s="26" t="n">
        <v>0</v>
      </c>
      <c r="P1304" s="30" t="n">
        <v>-9.455795200000001</v>
      </c>
      <c r="Q1304" s="30" t="n">
        <v>-40.4170991</v>
      </c>
      <c r="R1304" s="14" t="inlineStr">
        <is>
          <t xml:space="preserve"> FÓRUM ELEITORAL DE JUAZEIRO, RUA DOS BANDEIRANTES, S/N, BAIRRO JOÃO XXIII, JUAZEIRO/BA</t>
        </is>
      </c>
      <c r="S1304" s="26">
        <f>IF(A1304=A1303,0,1)</f>
        <v>0</v>
      </c>
      <c r="T1304" s="26">
        <f>IF(COUNTIF($B$4:B1304,B1304)=1,1,0)</f>
        <v>0</v>
      </c>
    </row>
    <row r="1305">
      <c r="A1305" s="14" t="inlineStr">
        <is>
          <t>JUAZEIRO</t>
        </is>
      </c>
      <c r="B1305" s="26" t="n">
        <v>47</v>
      </c>
      <c r="C1305" s="26" t="n">
        <v>1678</v>
      </c>
      <c r="D1305" s="14" t="inlineStr">
        <is>
          <t>PRISIONAL - CONJUNTO PENAL DE JUAZEIRO - BA</t>
        </is>
      </c>
      <c r="E1305" s="14" t="inlineStr">
        <is>
          <t>ESTRADA JUAZEIRO/CARNAÍBA</t>
        </is>
      </c>
      <c r="F1305" s="14" t="inlineStr">
        <is>
          <t>BR 407, S/N, KM 10 - ZONA URBANA</t>
        </is>
      </c>
      <c r="G1305" s="27" t="inlineStr">
        <is>
          <t>48900-000</t>
        </is>
      </c>
      <c r="H1305" s="15" t="n">
        <v>1</v>
      </c>
      <c r="I1305" s="28" t="inlineStr">
        <is>
          <t>SIM</t>
        </is>
      </c>
      <c r="J1305" s="29" t="n">
        <v>69.09999999999999</v>
      </c>
      <c r="K1305" s="14" t="str">
        <f>IF(J1305="","7. Acima de 2 km",IF(J1305&lt;=50,"1. Até 50 m",IF(J1305&lt;=100,"2. De 50 a 100 m",IF(J1305&lt;=200,"3. De 100 a 200 m",IF(J1305&lt;=300,"4. De 200 a 300 m",IF(J1305&lt;=500,"5. De 300 a 500 m","6. De 500 m a 2 km"))))))</f>
        <v>2. De 50 a 100 m</v>
      </c>
      <c r="L1305" s="26" t="n">
        <v>0</v>
      </c>
      <c r="M1305" s="26" t="n">
        <v>4</v>
      </c>
      <c r="N1305" s="26" t="n">
        <v>5</v>
      </c>
      <c r="O1305" s="26" t="n">
        <v>5</v>
      </c>
      <c r="P1305" s="30" t="n">
        <v>-9.4860126</v>
      </c>
      <c r="Q1305" s="30" t="n">
        <v>-40.4729712</v>
      </c>
      <c r="R1305" s="14" t="inlineStr">
        <is>
          <t xml:space="preserve"> FÓRUM ELEITORAL DE JUAZEIRO, RUA DOS BANDEIRANTES, S/N, BAIRRO JOÃO XXIII, JUAZEIRO/BA</t>
        </is>
      </c>
      <c r="S1305" s="26">
        <f>IF(A1305=A1304,0,1)</f>
        <v>0</v>
      </c>
      <c r="T1305" s="26">
        <f>IF(COUNTIF($B$4:B1305,B1305)=1,1,0)</f>
        <v>0</v>
      </c>
    </row>
    <row r="1306">
      <c r="A1306" s="14" t="inlineStr">
        <is>
          <t>JUAZEIRO</t>
        </is>
      </c>
      <c r="B1306" s="26" t="n">
        <v>47</v>
      </c>
      <c r="C1306" s="26" t="n">
        <v>1686</v>
      </c>
      <c r="D1306" s="14" t="inlineStr">
        <is>
          <t>GRUPO ESCOLAR MARIA MONTEIRO BACELAR</t>
        </is>
      </c>
      <c r="E1306" s="14" t="inlineStr">
        <is>
          <t>POVOADO RODEADOURO</t>
        </is>
      </c>
      <c r="F1306" s="14" t="inlineStr">
        <is>
          <t>RUA DA IGREJA, S/N - ZONA RURAL</t>
        </is>
      </c>
      <c r="G1306" s="27" t="inlineStr">
        <is>
          <t>48900-000</t>
        </is>
      </c>
      <c r="H1306" s="15" t="n">
        <v>2</v>
      </c>
      <c r="I1306" s="28" t="inlineStr">
        <is>
          <t>NÃO</t>
        </is>
      </c>
      <c r="J1306" s="29" t="n"/>
      <c r="K1306" s="14" t="str">
        <f>IF(J1306="","7. Acima de 2 km",IF(J1306&lt;=50,"1. Até 50 m",IF(J1306&lt;=100,"2. De 50 a 100 m",IF(J1306&lt;=200,"3. De 100 a 200 m",IF(J1306&lt;=300,"4. De 200 a 300 m",IF(J1306&lt;=500,"5. De 300 a 500 m","6. De 500 m a 2 km"))))))</f>
        <v>7. Acima de 2 km</v>
      </c>
      <c r="L1306" s="26" t="n">
        <v>0</v>
      </c>
      <c r="M1306" s="26" t="n">
        <v>0</v>
      </c>
      <c r="N1306" s="26" t="n">
        <v>0</v>
      </c>
      <c r="O1306" s="26" t="n">
        <v>0</v>
      </c>
      <c r="P1306" s="30" t="n">
        <v>-9.4709284</v>
      </c>
      <c r="Q1306" s="30" t="n">
        <v>-40.5724494</v>
      </c>
      <c r="R1306" s="14" t="inlineStr">
        <is>
          <t xml:space="preserve"> FÓRUM ELEITORAL DE JUAZEIRO, RUA DOS BANDEIRANTES, S/N, BAIRRO JOÃO XXIII, JUAZEIRO/BA</t>
        </is>
      </c>
      <c r="S1306" s="26">
        <f>IF(A1306=A1305,0,1)</f>
        <v>0</v>
      </c>
      <c r="T1306" s="26">
        <f>IF(COUNTIF($B$4:B1306,B1306)=1,1,0)</f>
        <v>0</v>
      </c>
    </row>
    <row r="1307">
      <c r="A1307" s="14" t="inlineStr">
        <is>
          <t>JUAZEIRO</t>
        </is>
      </c>
      <c r="B1307" s="26" t="n">
        <v>47</v>
      </c>
      <c r="C1307" s="26" t="n">
        <v>1694</v>
      </c>
      <c r="D1307" s="14" t="inlineStr">
        <is>
          <t>ESCOLA MUNICIPAL DE PASSAGEM DO SARGENTO</t>
        </is>
      </c>
      <c r="E1307" s="14" t="inlineStr">
        <is>
          <t>DISTRITO JUNCO</t>
        </is>
      </c>
      <c r="F1307" s="14" t="inlineStr">
        <is>
          <t>POVOADO PASSAGEM DO SARGENTO - ZONA RURAL</t>
        </is>
      </c>
      <c r="G1307" s="27" t="inlineStr">
        <is>
          <t>48900-000</t>
        </is>
      </c>
      <c r="H1307" s="15" t="n">
        <v>1</v>
      </c>
      <c r="I1307" s="28" t="inlineStr">
        <is>
          <t>NÃO</t>
        </is>
      </c>
      <c r="J1307" s="29" t="n"/>
      <c r="K1307" s="14" t="str">
        <f>IF(J1307="","7. Acima de 2 km",IF(J1307&lt;=50,"1. Até 50 m",IF(J1307&lt;=100,"2. De 50 a 100 m",IF(J1307&lt;=200,"3. De 100 a 200 m",IF(J1307&lt;=300,"4. De 200 a 300 m",IF(J1307&lt;=500,"5. De 300 a 500 m","6. De 500 m a 2 km"))))))</f>
        <v>7. Acima de 2 km</v>
      </c>
      <c r="L1307" s="26" t="n">
        <v>0</v>
      </c>
      <c r="M1307" s="26" t="n">
        <v>0</v>
      </c>
      <c r="N1307" s="26" t="n">
        <v>0</v>
      </c>
      <c r="O1307" s="26" t="n">
        <v>0</v>
      </c>
      <c r="P1307" s="30" t="n">
        <v>-9.885897</v>
      </c>
      <c r="Q1307" s="30" t="n">
        <v>-40.6434162</v>
      </c>
      <c r="R1307" s="14" t="inlineStr">
        <is>
          <t xml:space="preserve"> FÓRUM ELEITORAL DE JUAZEIRO, RUA DOS BANDEIRANTES, S/N, BAIRRO JOÃO XXIII, JUAZEIRO/BA</t>
        </is>
      </c>
      <c r="S1307" s="26">
        <f>IF(A1307=A1306,0,1)</f>
        <v>0</v>
      </c>
      <c r="T1307" s="26">
        <f>IF(COUNTIF($B$4:B1307,B1307)=1,1,0)</f>
        <v>0</v>
      </c>
    </row>
    <row r="1308">
      <c r="A1308" s="14" t="inlineStr">
        <is>
          <t>JUAZEIRO</t>
        </is>
      </c>
      <c r="B1308" s="26" t="n">
        <v>47</v>
      </c>
      <c r="C1308" s="26" t="n">
        <v>1716</v>
      </c>
      <c r="D1308" s="14" t="inlineStr">
        <is>
          <t>ESCOLA MUNICIPAL ANTÔNIO FRANCISCO DE OLIVEIRA</t>
        </is>
      </c>
      <c r="E1308" s="14" t="inlineStr">
        <is>
          <t>DISTRITO JUNCO</t>
        </is>
      </c>
      <c r="F1308" s="14" t="inlineStr">
        <is>
          <t>POVOADO GOIABEIRA - ZONA RURAL</t>
        </is>
      </c>
      <c r="G1308" s="27" t="inlineStr">
        <is>
          <t>48900-000</t>
        </is>
      </c>
      <c r="H1308" s="15" t="n">
        <v>4</v>
      </c>
      <c r="I1308" s="28" t="inlineStr">
        <is>
          <t>NÃO</t>
        </is>
      </c>
      <c r="J1308" s="29" t="n"/>
      <c r="K1308" s="14" t="str">
        <f>IF(J1308="","7. Acima de 2 km",IF(J1308&lt;=50,"1. Até 50 m",IF(J1308&lt;=100,"2. De 50 a 100 m",IF(J1308&lt;=200,"3. De 100 a 200 m",IF(J1308&lt;=300,"4. De 200 a 300 m",IF(J1308&lt;=500,"5. De 300 a 500 m","6. De 500 m a 2 km"))))))</f>
        <v>7. Acima de 2 km</v>
      </c>
      <c r="L1308" s="26" t="n">
        <v>0</v>
      </c>
      <c r="M1308" s="26" t="n">
        <v>0</v>
      </c>
      <c r="N1308" s="26" t="n">
        <v>0</v>
      </c>
      <c r="O1308" s="26" t="n">
        <v>0</v>
      </c>
      <c r="P1308" s="30" t="n">
        <v>-9.8135549</v>
      </c>
      <c r="Q1308" s="30" t="n">
        <v>-40.6019838</v>
      </c>
      <c r="R1308" s="14" t="inlineStr">
        <is>
          <t xml:space="preserve"> FÓRUM ELEITORAL DE JUAZEIRO, RUA DOS BANDEIRANTES, S/N, BAIRRO JOÃO XXIII, JUAZEIRO/BA</t>
        </is>
      </c>
      <c r="S1308" s="26">
        <f>IF(A1308=A1307,0,1)</f>
        <v>0</v>
      </c>
      <c r="T1308" s="26">
        <f>IF(COUNTIF($B$4:B1308,B1308)=1,1,0)</f>
        <v>0</v>
      </c>
    </row>
    <row r="1309">
      <c r="A1309" s="14" t="inlineStr">
        <is>
          <t>JUAZEIRO</t>
        </is>
      </c>
      <c r="B1309" s="26" t="n">
        <v>47</v>
      </c>
      <c r="C1309" s="26" t="n">
        <v>1732</v>
      </c>
      <c r="D1309" s="14" t="inlineStr">
        <is>
          <t>ESCOLA MUNICIPAL MIGUEL ÂNGELO DE SOUZA</t>
        </is>
      </c>
      <c r="E1309" s="14" t="inlineStr">
        <is>
          <t>DISTRITO JUNCO</t>
        </is>
      </c>
      <c r="F1309" s="14" t="inlineStr">
        <is>
          <t>POVOADO CURRAL NOVO - ZONA RURAL</t>
        </is>
      </c>
      <c r="G1309" s="27" t="inlineStr">
        <is>
          <t>48900-000</t>
        </is>
      </c>
      <c r="H1309" s="15" t="n">
        <v>2</v>
      </c>
      <c r="I1309" s="28" t="inlineStr">
        <is>
          <t>NÃO</t>
        </is>
      </c>
      <c r="J1309" s="29" t="n"/>
      <c r="K1309" s="14" t="str">
        <f>IF(J1309="","7. Acima de 2 km",IF(J1309&lt;=50,"1. Até 50 m",IF(J1309&lt;=100,"2. De 50 a 100 m",IF(J1309&lt;=200,"3. De 100 a 200 m",IF(J1309&lt;=300,"4. De 200 a 300 m",IF(J1309&lt;=500,"5. De 300 a 500 m","6. De 500 m a 2 km"))))))</f>
        <v>7. Acima de 2 km</v>
      </c>
      <c r="L1309" s="26" t="n">
        <v>0</v>
      </c>
      <c r="M1309" s="26" t="n">
        <v>0</v>
      </c>
      <c r="N1309" s="26" t="n">
        <v>0</v>
      </c>
      <c r="O1309" s="26" t="n">
        <v>0</v>
      </c>
      <c r="P1309" s="30" t="n">
        <v>-9.5246897</v>
      </c>
      <c r="Q1309" s="30" t="n">
        <v>-40.6438051</v>
      </c>
      <c r="R1309" s="14" t="inlineStr">
        <is>
          <t xml:space="preserve"> FÓRUM ELEITORAL DE JUAZEIRO, RUA DOS BANDEIRANTES, S/N, BAIRRO JOÃO XXIII, JUAZEIRO/BA</t>
        </is>
      </c>
      <c r="S1309" s="26">
        <f>IF(A1309=A1308,0,1)</f>
        <v>0</v>
      </c>
      <c r="T1309" s="26">
        <f>IF(COUNTIF($B$4:B1309,B1309)=1,1,0)</f>
        <v>0</v>
      </c>
    </row>
    <row r="1310">
      <c r="A1310" s="14" t="inlineStr">
        <is>
          <t>JUAZEIRO</t>
        </is>
      </c>
      <c r="B1310" s="26" t="n">
        <v>47</v>
      </c>
      <c r="C1310" s="26" t="n">
        <v>1740</v>
      </c>
      <c r="D1310" s="14" t="inlineStr">
        <is>
          <t>ESCOLA MUNICIPAL JOÃO NEVES DE ALMEIDA</t>
        </is>
      </c>
      <c r="E1310" s="14" t="inlineStr">
        <is>
          <t>DISTRITO JUNCO</t>
        </is>
      </c>
      <c r="F1310" s="14" t="inlineStr">
        <is>
          <t>POVOADO MARRUA - ZONA RURAL</t>
        </is>
      </c>
      <c r="G1310" s="27" t="inlineStr">
        <is>
          <t>48900-000</t>
        </is>
      </c>
      <c r="H1310" s="15" t="n">
        <v>2</v>
      </c>
      <c r="I1310" s="28" t="inlineStr">
        <is>
          <t>NÃO</t>
        </is>
      </c>
      <c r="J1310" s="29" t="n"/>
      <c r="K1310" s="14" t="str">
        <f>IF(J1310="","7. Acima de 2 km",IF(J1310&lt;=50,"1. Até 50 m",IF(J1310&lt;=100,"2. De 50 a 100 m",IF(J1310&lt;=200,"3. De 100 a 200 m",IF(J1310&lt;=300,"4. De 200 a 300 m",IF(J1310&lt;=500,"5. De 300 a 500 m","6. De 500 m a 2 km"))))))</f>
        <v>7. Acima de 2 km</v>
      </c>
      <c r="L1310" s="26" t="n">
        <v>0</v>
      </c>
      <c r="M1310" s="26" t="n">
        <v>0</v>
      </c>
      <c r="N1310" s="26" t="n">
        <v>0</v>
      </c>
      <c r="O1310" s="26" t="n">
        <v>0</v>
      </c>
      <c r="P1310" s="30" t="n">
        <v>-9.766116200000001</v>
      </c>
      <c r="Q1310" s="30" t="n">
        <v>-40.6033507</v>
      </c>
      <c r="R1310" s="14" t="inlineStr">
        <is>
          <t xml:space="preserve"> FÓRUM ELEITORAL DE JUAZEIRO, RUA DOS BANDEIRANTES, S/N, BAIRRO JOÃO XXIII, JUAZEIRO/BA</t>
        </is>
      </c>
      <c r="S1310" s="26">
        <f>IF(A1310=A1309,0,1)</f>
        <v>0</v>
      </c>
      <c r="T1310" s="26">
        <f>IF(COUNTIF($B$4:B1310,B1310)=1,1,0)</f>
        <v>0</v>
      </c>
    </row>
    <row r="1311">
      <c r="A1311" s="14" t="inlineStr">
        <is>
          <t>JUAZEIRO</t>
        </is>
      </c>
      <c r="B1311" s="26" t="n">
        <v>47</v>
      </c>
      <c r="C1311" s="26" t="n">
        <v>1759</v>
      </c>
      <c r="D1311" s="14" t="inlineStr">
        <is>
          <t>ESCOLA MUNICIPAL DE PRIMEIRO GRAU MANOEL NUNES AMORIM</t>
        </is>
      </c>
      <c r="E1311" s="14" t="inlineStr">
        <is>
          <t>DISTRITO JUNCO</t>
        </is>
      </c>
      <c r="F1311" s="14" t="inlineStr">
        <is>
          <t>POVOADO JUNCO - ZONA RURAL</t>
        </is>
      </c>
      <c r="G1311" s="27" t="inlineStr">
        <is>
          <t>48900-000</t>
        </is>
      </c>
      <c r="H1311" s="15" t="n">
        <v>3</v>
      </c>
      <c r="I1311" s="28" t="inlineStr">
        <is>
          <t>NÃO</t>
        </is>
      </c>
      <c r="J1311" s="29" t="n"/>
      <c r="K1311" s="14" t="str">
        <f>IF(J1311="","7. Acima de 2 km",IF(J1311&lt;=50,"1. Até 50 m",IF(J1311&lt;=100,"2. De 50 a 100 m",IF(J1311&lt;=200,"3. De 100 a 200 m",IF(J1311&lt;=300,"4. De 200 a 300 m",IF(J1311&lt;=500,"5. De 300 a 500 m","6. De 500 m a 2 km"))))))</f>
        <v>7. Acima de 2 km</v>
      </c>
      <c r="L1311" s="26" t="n">
        <v>0</v>
      </c>
      <c r="M1311" s="26" t="n">
        <v>0</v>
      </c>
      <c r="N1311" s="26" t="n">
        <v>0</v>
      </c>
      <c r="O1311" s="26" t="n">
        <v>0</v>
      </c>
      <c r="P1311" s="30" t="n">
        <v>-9.674350199999999</v>
      </c>
      <c r="Q1311" s="30" t="n">
        <v>-40.6053483</v>
      </c>
      <c r="R1311" s="14" t="inlineStr">
        <is>
          <t xml:space="preserve"> FÓRUM ELEITORAL DE JUAZEIRO, RUA DOS BANDEIRANTES, S/N, BAIRRO JOÃO XXIII, JUAZEIRO/BA</t>
        </is>
      </c>
      <c r="S1311" s="26">
        <f>IF(A1311=A1310,0,1)</f>
        <v>0</v>
      </c>
      <c r="T1311" s="26">
        <f>IF(COUNTIF($B$4:B1311,B1311)=1,1,0)</f>
        <v>0</v>
      </c>
    </row>
    <row r="1312">
      <c r="A1312" s="14" t="inlineStr">
        <is>
          <t>JUAZEIRO</t>
        </is>
      </c>
      <c r="B1312" s="26" t="n">
        <v>47</v>
      </c>
      <c r="C1312" s="26" t="n">
        <v>1767</v>
      </c>
      <c r="D1312" s="14" t="inlineStr">
        <is>
          <t>ESCOLA MUNICIPAL PROFESSORA EDUALDINA DAMÁSIO</t>
        </is>
      </c>
      <c r="E1312" s="14" t="inlineStr">
        <is>
          <t>DISTRITO JUNCO</t>
        </is>
      </c>
      <c r="F1312" s="14" t="inlineStr">
        <is>
          <t>POVOADO CAMPO DOS CAVALOS - ZONA RURAL</t>
        </is>
      </c>
      <c r="G1312" s="27" t="inlineStr">
        <is>
          <t>48900-000</t>
        </is>
      </c>
      <c r="H1312" s="15" t="n">
        <v>6</v>
      </c>
      <c r="I1312" s="28" t="inlineStr">
        <is>
          <t>NÃO</t>
        </is>
      </c>
      <c r="J1312" s="29" t="n"/>
      <c r="K1312" s="14" t="str">
        <f>IF(J1312="","7. Acima de 2 km",IF(J1312&lt;=50,"1. Até 50 m",IF(J1312&lt;=100,"2. De 50 a 100 m",IF(J1312&lt;=200,"3. De 100 a 200 m",IF(J1312&lt;=300,"4. De 200 a 300 m",IF(J1312&lt;=500,"5. De 300 a 500 m","6. De 500 m a 2 km"))))))</f>
        <v>7. Acima de 2 km</v>
      </c>
      <c r="L1312" s="26" t="n">
        <v>0</v>
      </c>
      <c r="M1312" s="26" t="n">
        <v>0</v>
      </c>
      <c r="N1312" s="26" t="n">
        <v>0</v>
      </c>
      <c r="O1312" s="26" t="n">
        <v>0</v>
      </c>
      <c r="P1312" s="30" t="n">
        <v>-9.5617977</v>
      </c>
      <c r="Q1312" s="30" t="n">
        <v>-40.6553114</v>
      </c>
      <c r="R1312" s="14" t="inlineStr">
        <is>
          <t xml:space="preserve"> FÓRUM ELEITORAL DE JUAZEIRO, RUA DOS BANDEIRANTES, S/N, BAIRRO JOÃO XXIII, JUAZEIRO/BA</t>
        </is>
      </c>
      <c r="S1312" s="26">
        <f>IF(A1312=A1311,0,1)</f>
        <v>0</v>
      </c>
      <c r="T1312" s="26">
        <f>IF(COUNTIF($B$4:B1312,B1312)=1,1,0)</f>
        <v>0</v>
      </c>
    </row>
    <row r="1313">
      <c r="A1313" s="14" t="inlineStr">
        <is>
          <t>JUAZEIRO</t>
        </is>
      </c>
      <c r="B1313" s="26" t="n">
        <v>47</v>
      </c>
      <c r="C1313" s="26" t="n">
        <v>1775</v>
      </c>
      <c r="D1313" s="14" t="inlineStr">
        <is>
          <t>ESCOLA MUNICIPAL JOSÉ DE AMORIM</t>
        </is>
      </c>
      <c r="E1313" s="14" t="inlineStr">
        <is>
          <t>DISTRITO JUNCO</t>
        </is>
      </c>
      <c r="F1313" s="14" t="inlineStr">
        <is>
          <t>POVOADO LAGOA - ZONA RURAL</t>
        </is>
      </c>
      <c r="G1313" s="27" t="inlineStr">
        <is>
          <t>48900-000</t>
        </is>
      </c>
      <c r="H1313" s="15" t="n">
        <v>3</v>
      </c>
      <c r="I1313" s="28" t="inlineStr">
        <is>
          <t>NÃO</t>
        </is>
      </c>
      <c r="J1313" s="29" t="n"/>
      <c r="K1313" s="14" t="str">
        <f>IF(J1313="","7. Acima de 2 km",IF(J1313&lt;=50,"1. Até 50 m",IF(J1313&lt;=100,"2. De 50 a 100 m",IF(J1313&lt;=200,"3. De 100 a 200 m",IF(J1313&lt;=300,"4. De 200 a 300 m",IF(J1313&lt;=500,"5. De 300 a 500 m","6. De 500 m a 2 km"))))))</f>
        <v>7. Acima de 2 km</v>
      </c>
      <c r="L1313" s="26" t="n">
        <v>0</v>
      </c>
      <c r="M1313" s="26" t="n">
        <v>0</v>
      </c>
      <c r="N1313" s="26" t="n">
        <v>0</v>
      </c>
      <c r="O1313" s="26" t="n">
        <v>0</v>
      </c>
      <c r="P1313" s="30" t="n">
        <v>-9.4877799</v>
      </c>
      <c r="Q1313" s="30" t="n">
        <v>-40.615082</v>
      </c>
      <c r="R1313" s="14" t="inlineStr">
        <is>
          <t xml:space="preserve"> FÓRUM ELEITORAL DE JUAZEIRO, RUA DOS BANDEIRANTES, S/N, BAIRRO JOÃO XXIII, JUAZEIRO/BA</t>
        </is>
      </c>
      <c r="S1313" s="26">
        <f>IF(A1313=A1312,0,1)</f>
        <v>0</v>
      </c>
      <c r="T1313" s="26">
        <f>IF(COUNTIF($B$4:B1313,B1313)=1,1,0)</f>
        <v>0</v>
      </c>
    </row>
    <row r="1314">
      <c r="A1314" s="14" t="inlineStr">
        <is>
          <t>JUAZEIRO</t>
        </is>
      </c>
      <c r="B1314" s="26" t="n">
        <v>47</v>
      </c>
      <c r="C1314" s="26" t="n">
        <v>1791</v>
      </c>
      <c r="D1314" s="14" t="inlineStr">
        <is>
          <t>ESCOLA MUNICIPAL MARIA AMÉLIA OLIVEIRA</t>
        </is>
      </c>
      <c r="E1314" s="14" t="inlineStr">
        <is>
          <t>POVOADO SABIÁ II</t>
        </is>
      </c>
      <c r="F1314" s="14" t="inlineStr">
        <is>
          <t>POVOADO SABIÁ II - ZONA RURAL</t>
        </is>
      </c>
      <c r="G1314" s="27" t="inlineStr">
        <is>
          <t>48900-000</t>
        </is>
      </c>
      <c r="H1314" s="15" t="n">
        <v>2</v>
      </c>
      <c r="I1314" s="28" t="inlineStr">
        <is>
          <t>NÃO</t>
        </is>
      </c>
      <c r="J1314" s="29" t="n"/>
      <c r="K1314" s="14" t="str">
        <f>IF(J1314="","7. Acima de 2 km",IF(J1314&lt;=50,"1. Até 50 m",IF(J1314&lt;=100,"2. De 50 a 100 m",IF(J1314&lt;=200,"3. De 100 a 200 m",IF(J1314&lt;=300,"4. De 200 a 300 m",IF(J1314&lt;=500,"5. De 300 a 500 m","6. De 500 m a 2 km"))))))</f>
        <v>7. Acima de 2 km</v>
      </c>
      <c r="L1314" s="26" t="n">
        <v>0</v>
      </c>
      <c r="M1314" s="26" t="n">
        <v>0</v>
      </c>
      <c r="N1314" s="26" t="n">
        <v>0</v>
      </c>
      <c r="O1314" s="26" t="n">
        <v>0</v>
      </c>
      <c r="P1314" s="30" t="n">
        <v>-9.498288000000001</v>
      </c>
      <c r="Q1314" s="30" t="n">
        <v>-40.6368981</v>
      </c>
      <c r="R1314" s="14" t="inlineStr">
        <is>
          <t xml:space="preserve"> FÓRUM ELEITORAL DE JUAZEIRO, RUA DOS BANDEIRANTES, S/N, BAIRRO JOÃO XXIII, JUAZEIRO/BA</t>
        </is>
      </c>
      <c r="S1314" s="26">
        <f>IF(A1314=A1313,0,1)</f>
        <v>0</v>
      </c>
      <c r="T1314" s="26">
        <f>IF(COUNTIF($B$4:B1314,B1314)=1,1,0)</f>
        <v>0</v>
      </c>
    </row>
    <row r="1315">
      <c r="A1315" s="14" t="inlineStr">
        <is>
          <t>JUAZEIRO</t>
        </is>
      </c>
      <c r="B1315" s="26" t="n">
        <v>47</v>
      </c>
      <c r="C1315" s="26" t="n">
        <v>1805</v>
      </c>
      <c r="D1315" s="14" t="inlineStr">
        <is>
          <t>ESCOLA MUNICIPAL NOSSA SENHORA DAS GROTAS</t>
        </is>
      </c>
      <c r="E1315" s="14" t="inlineStr">
        <is>
          <t>DISTRITO CARNAíBA</t>
        </is>
      </c>
      <c r="F1315" s="14" t="inlineStr">
        <is>
          <t>ESTRADA DA ADUTORA JUAZEIRO - POVOADO CARNEIROS - ZONA RURAL</t>
        </is>
      </c>
      <c r="G1315" s="27" t="inlineStr">
        <is>
          <t>48900-000</t>
        </is>
      </c>
      <c r="H1315" s="15" t="n">
        <v>1</v>
      </c>
      <c r="I1315" s="28" t="inlineStr">
        <is>
          <t>NÃO</t>
        </is>
      </c>
      <c r="J1315" s="29" t="n"/>
      <c r="K1315" s="14" t="str">
        <f>IF(J1315="","7. Acima de 2 km",IF(J1315&lt;=50,"1. Até 50 m",IF(J1315&lt;=100,"2. De 50 a 100 m",IF(J1315&lt;=200,"3. De 100 a 200 m",IF(J1315&lt;=300,"4. De 200 a 300 m",IF(J1315&lt;=500,"5. De 300 a 500 m","6. De 500 m a 2 km"))))))</f>
        <v>7. Acima de 2 km</v>
      </c>
      <c r="L1315" s="26" t="n">
        <v>0</v>
      </c>
      <c r="M1315" s="26" t="n">
        <v>0</v>
      </c>
      <c r="N1315" s="26" t="n">
        <v>0</v>
      </c>
      <c r="O1315" s="26" t="n">
        <v>0</v>
      </c>
      <c r="P1315" s="30" t="n">
        <v>-9.5625423</v>
      </c>
      <c r="Q1315" s="30" t="n">
        <v>-40.3713782</v>
      </c>
      <c r="R1315" s="14" t="inlineStr">
        <is>
          <t xml:space="preserve"> FÓRUM ELEITORAL DE JUAZEIRO, RUA DOS BANDEIRANTES, S/N, BAIRRO JOÃO XXIII, JUAZEIRO/BA</t>
        </is>
      </c>
      <c r="S1315" s="26">
        <f>IF(A1315=A1314,0,1)</f>
        <v>0</v>
      </c>
      <c r="T1315" s="26">
        <f>IF(COUNTIF($B$4:B1315,B1315)=1,1,0)</f>
        <v>0</v>
      </c>
    </row>
    <row r="1316">
      <c r="A1316" s="14" t="inlineStr">
        <is>
          <t>JUAZEIRO</t>
        </is>
      </c>
      <c r="B1316" s="26" t="n">
        <v>47</v>
      </c>
      <c r="C1316" s="26" t="n">
        <v>1821</v>
      </c>
      <c r="D1316" s="14" t="inlineStr">
        <is>
          <t>ESCOLA MUNICIPAL AMADEUS DAMÁSIO</t>
        </is>
      </c>
      <c r="E1316" s="14" t="inlineStr">
        <is>
          <t>DISTRITO JUNCO</t>
        </is>
      </c>
      <c r="F1316" s="14" t="inlineStr">
        <is>
          <t>POVOADO SÃO GONÇALO - ZONA RURAL</t>
        </is>
      </c>
      <c r="G1316" s="27" t="inlineStr">
        <is>
          <t>48900-000</t>
        </is>
      </c>
      <c r="H1316" s="15" t="n">
        <v>2</v>
      </c>
      <c r="I1316" s="28" t="inlineStr">
        <is>
          <t>NÃO</t>
        </is>
      </c>
      <c r="J1316" s="29" t="n"/>
      <c r="K1316" s="14" t="str">
        <f>IF(J1316="","7. Acima de 2 km",IF(J1316&lt;=50,"1. Até 50 m",IF(J1316&lt;=100,"2. De 50 a 100 m",IF(J1316&lt;=200,"3. De 100 a 200 m",IF(J1316&lt;=300,"4. De 200 a 300 m",IF(J1316&lt;=500,"5. De 300 a 500 m","6. De 500 m a 2 km"))))))</f>
        <v>7. Acima de 2 km</v>
      </c>
      <c r="L1316" s="26" t="n">
        <v>0</v>
      </c>
      <c r="M1316" s="26" t="n">
        <v>0</v>
      </c>
      <c r="N1316" s="26" t="n">
        <v>0</v>
      </c>
      <c r="O1316" s="26" t="n">
        <v>0</v>
      </c>
      <c r="P1316" s="30" t="n">
        <v>-9.474361999999999</v>
      </c>
      <c r="Q1316" s="30" t="n">
        <v>-40.6780306</v>
      </c>
      <c r="R1316" s="14" t="inlineStr">
        <is>
          <t xml:space="preserve"> FÓRUM ELEITORAL DE JUAZEIRO, RUA DOS BANDEIRANTES, S/N, BAIRRO JOÃO XXIII, JUAZEIRO/BA</t>
        </is>
      </c>
      <c r="S1316" s="26">
        <f>IF(A1316=A1315,0,1)</f>
        <v>0</v>
      </c>
      <c r="T1316" s="26">
        <f>IF(COUNTIF($B$4:B1316,B1316)=1,1,0)</f>
        <v>0</v>
      </c>
    </row>
    <row r="1317">
      <c r="A1317" s="14" t="inlineStr">
        <is>
          <t>JUAZEIRO</t>
        </is>
      </c>
      <c r="B1317" s="26" t="n">
        <v>47</v>
      </c>
      <c r="C1317" s="26" t="n">
        <v>1830</v>
      </c>
      <c r="D1317" s="14" t="inlineStr">
        <is>
          <t>ESCOLA MUNICIPAL MARIA DO CARMO SÁ NOGUEIRA</t>
        </is>
      </c>
      <c r="E1317" s="14" t="inlineStr">
        <is>
          <t>DISTRITO JUNCO</t>
        </is>
      </c>
      <c r="F1317" s="14" t="inlineStr">
        <is>
          <t>POVOADO SOBRADINHO - ZONA RURAL</t>
        </is>
      </c>
      <c r="G1317" s="27" t="inlineStr">
        <is>
          <t>48900-000</t>
        </is>
      </c>
      <c r="H1317" s="15" t="n">
        <v>1</v>
      </c>
      <c r="I1317" s="28" t="inlineStr">
        <is>
          <t>NÃO</t>
        </is>
      </c>
      <c r="J1317" s="29" t="n"/>
      <c r="K1317" s="14" t="str">
        <f>IF(J1317="","7. Acima de 2 km",IF(J1317&lt;=50,"1. Até 50 m",IF(J1317&lt;=100,"2. De 50 a 100 m",IF(J1317&lt;=200,"3. De 100 a 200 m",IF(J1317&lt;=300,"4. De 200 a 300 m",IF(J1317&lt;=500,"5. De 300 a 500 m","6. De 500 m a 2 km"))))))</f>
        <v>7. Acima de 2 km</v>
      </c>
      <c r="L1317" s="26" t="n">
        <v>0</v>
      </c>
      <c r="M1317" s="26" t="n">
        <v>0</v>
      </c>
      <c r="N1317" s="26" t="n">
        <v>0</v>
      </c>
      <c r="O1317" s="26" t="n">
        <v>0</v>
      </c>
      <c r="P1317" s="30" t="n">
        <v>-9.85575</v>
      </c>
      <c r="Q1317" s="30" t="n">
        <v>-40.6288167</v>
      </c>
      <c r="R1317" s="14" t="inlineStr">
        <is>
          <t xml:space="preserve"> FÓRUM ELEITORAL DE JUAZEIRO, RUA DOS BANDEIRANTES, S/N, BAIRRO JOÃO XXIII, JUAZEIRO/BA</t>
        </is>
      </c>
      <c r="S1317" s="26">
        <f>IF(A1317=A1316,0,1)</f>
        <v>0</v>
      </c>
      <c r="T1317" s="26">
        <f>IF(COUNTIF($B$4:B1317,B1317)=1,1,0)</f>
        <v>0</v>
      </c>
    </row>
    <row r="1318">
      <c r="A1318" s="14" t="inlineStr">
        <is>
          <t>JUAZEIRO</t>
        </is>
      </c>
      <c r="B1318" s="26" t="n">
        <v>47</v>
      </c>
      <c r="C1318" s="26" t="n">
        <v>1848</v>
      </c>
      <c r="D1318" s="14" t="inlineStr">
        <is>
          <t>COLÉGIO MUNICIPAL PROFESSORA GRACIOSA XAVIER RAMOS GOMES</t>
        </is>
      </c>
      <c r="E1318" s="14" t="inlineStr">
        <is>
          <t>DISTRITO CARNAíBA</t>
        </is>
      </c>
      <c r="F1318" s="14" t="inlineStr">
        <is>
          <t>RUA DA IGREJA, S/N - ZONA RURAL</t>
        </is>
      </c>
      <c r="G1318" s="27" t="inlineStr">
        <is>
          <t>48900-000</t>
        </is>
      </c>
      <c r="H1318" s="15" t="n">
        <v>9</v>
      </c>
      <c r="I1318" s="28" t="inlineStr">
        <is>
          <t>NÃO</t>
        </is>
      </c>
      <c r="J1318" s="29" t="n"/>
      <c r="K1318" s="14" t="str">
        <f>IF(J1318="","7. Acima de 2 km",IF(J1318&lt;=50,"1. Até 50 m",IF(J1318&lt;=100,"2. De 50 a 100 m",IF(J1318&lt;=200,"3. De 100 a 200 m",IF(J1318&lt;=300,"4. De 200 a 300 m",IF(J1318&lt;=500,"5. De 300 a 500 m","6. De 500 m a 2 km"))))))</f>
        <v>7. Acima de 2 km</v>
      </c>
      <c r="L1318" s="26" t="n">
        <v>0</v>
      </c>
      <c r="M1318" s="26" t="n">
        <v>0</v>
      </c>
      <c r="N1318" s="26" t="n">
        <v>0</v>
      </c>
      <c r="O1318" s="26" t="n">
        <v>0</v>
      </c>
      <c r="P1318" s="30" t="n">
        <v>-9.5903797</v>
      </c>
      <c r="Q1318" s="30" t="n">
        <v>-40.4270229</v>
      </c>
      <c r="R1318" s="14" t="inlineStr">
        <is>
          <t xml:space="preserve"> FÓRUM ELEITORAL DE JUAZEIRO, RUA DOS BANDEIRANTES, S/N, BAIRRO JOÃO XXIII, JUAZEIRO/BA</t>
        </is>
      </c>
      <c r="S1318" s="26">
        <f>IF(A1318=A1317,0,1)</f>
        <v>0</v>
      </c>
      <c r="T1318" s="26">
        <f>IF(COUNTIF($B$4:B1318,B1318)=1,1,0)</f>
        <v>0</v>
      </c>
    </row>
    <row r="1319">
      <c r="A1319" s="14" t="inlineStr">
        <is>
          <t>JUAZEIRO</t>
        </is>
      </c>
      <c r="B1319" s="26" t="n">
        <v>47</v>
      </c>
      <c r="C1319" s="26" t="n">
        <v>1856</v>
      </c>
      <c r="D1319" s="14" t="inlineStr">
        <is>
          <t>ASSOCIAÇÃO DE LAGINHA</t>
        </is>
      </c>
      <c r="E1319" s="14" t="inlineStr">
        <is>
          <t>DISTRITO CARNAíBA</t>
        </is>
      </c>
      <c r="F1319" s="14" t="inlineStr">
        <is>
          <t>ESTRADA DA ADUTORA - POVOADO LAGINHA - ZONA RURAL</t>
        </is>
      </c>
      <c r="G1319" s="27" t="inlineStr">
        <is>
          <t>48900-000</t>
        </is>
      </c>
      <c r="H1319" s="15" t="n">
        <v>1</v>
      </c>
      <c r="I1319" s="28" t="inlineStr">
        <is>
          <t>NÃO</t>
        </is>
      </c>
      <c r="J1319" s="29" t="n"/>
      <c r="K1319" s="14" t="str">
        <f>IF(J1319="","7. Acima de 2 km",IF(J1319&lt;=50,"1. Até 50 m",IF(J1319&lt;=100,"2. De 50 a 100 m",IF(J1319&lt;=200,"3. De 100 a 200 m",IF(J1319&lt;=300,"4. De 200 a 300 m",IF(J1319&lt;=500,"5. De 300 a 500 m","6. De 500 m a 2 km"))))))</f>
        <v>7. Acima de 2 km</v>
      </c>
      <c r="L1319" s="26" t="n">
        <v>0</v>
      </c>
      <c r="M1319" s="26" t="n">
        <v>0</v>
      </c>
      <c r="N1319" s="26" t="n">
        <v>0</v>
      </c>
      <c r="O1319" s="26" t="n">
        <v>0</v>
      </c>
      <c r="P1319" s="30" t="n">
        <v>-9.5662609</v>
      </c>
      <c r="Q1319" s="30" t="n">
        <v>-40.3197608</v>
      </c>
      <c r="R1319" s="14" t="inlineStr">
        <is>
          <t xml:space="preserve"> FÓRUM ELEITORAL DE JUAZEIRO, RUA DOS BANDEIRANTES, S/N, BAIRRO JOÃO XXIII, JUAZEIRO/BA</t>
        </is>
      </c>
      <c r="S1319" s="26">
        <f>IF(A1319=A1318,0,1)</f>
        <v>0</v>
      </c>
      <c r="T1319" s="26">
        <f>IF(COUNTIF($B$4:B1319,B1319)=1,1,0)</f>
        <v>0</v>
      </c>
    </row>
    <row r="1320">
      <c r="A1320" s="14" t="inlineStr">
        <is>
          <t>JUAZEIRO</t>
        </is>
      </c>
      <c r="B1320" s="26" t="n">
        <v>47</v>
      </c>
      <c r="C1320" s="26" t="n">
        <v>1864</v>
      </c>
      <c r="D1320" s="14" t="inlineStr">
        <is>
          <t>ASSOCIAÇÃO DE PRODUTORES</t>
        </is>
      </c>
      <c r="E1320" s="14" t="inlineStr">
        <is>
          <t>DISTRITO JUREMAL</t>
        </is>
      </c>
      <c r="F1320" s="14" t="inlineStr">
        <is>
          <t>POVOADO DE SERRA GRANDE - POÇO ANGICO - SANTA HELENA - ZONA RURAL</t>
        </is>
      </c>
      <c r="G1320" s="27" t="inlineStr">
        <is>
          <t>48900-000</t>
        </is>
      </c>
      <c r="H1320" s="15" t="n">
        <v>1</v>
      </c>
      <c r="I1320" s="28" t="inlineStr">
        <is>
          <t>NÃO</t>
        </is>
      </c>
      <c r="J1320" s="29" t="n"/>
      <c r="K1320" s="14" t="str">
        <f>IF(J1320="","7. Acima de 2 km",IF(J1320&lt;=50,"1. Até 50 m",IF(J1320&lt;=100,"2. De 50 a 100 m",IF(J1320&lt;=200,"3. De 100 a 200 m",IF(J1320&lt;=300,"4. De 200 a 300 m",IF(J1320&lt;=500,"5. De 300 a 500 m","6. De 500 m a 2 km"))))))</f>
        <v>7. Acima de 2 km</v>
      </c>
      <c r="L1320" s="26" t="n">
        <v>0</v>
      </c>
      <c r="M1320" s="26" t="n">
        <v>0</v>
      </c>
      <c r="N1320" s="26" t="n">
        <v>0</v>
      </c>
      <c r="O1320" s="26" t="n">
        <v>0</v>
      </c>
      <c r="P1320" s="30" t="n">
        <v>-9.627399</v>
      </c>
      <c r="Q1320" s="30" t="n">
        <v>-40.2539233</v>
      </c>
      <c r="R1320" s="14" t="inlineStr">
        <is>
          <t xml:space="preserve"> FÓRUM ELEITORAL DE JUAZEIRO, RUA DOS BANDEIRANTES, S/N, BAIRRO JOÃO XXIII, JUAZEIRO/BA</t>
        </is>
      </c>
      <c r="S1320" s="26">
        <f>IF(A1320=A1319,0,1)</f>
        <v>0</v>
      </c>
      <c r="T1320" s="26">
        <f>IF(COUNTIF($B$4:B1320,B1320)=1,1,0)</f>
        <v>0</v>
      </c>
    </row>
    <row r="1321">
      <c r="A1321" s="14" t="inlineStr">
        <is>
          <t>JUAZEIRO</t>
        </is>
      </c>
      <c r="B1321" s="26" t="n">
        <v>47</v>
      </c>
      <c r="C1321" s="26" t="n">
        <v>1880</v>
      </c>
      <c r="D1321" s="14" t="inlineStr">
        <is>
          <t>ESCOLA MUNICIPAL JOÃO DIAS FERREIRA</t>
        </is>
      </c>
      <c r="E1321" s="14" t="inlineStr">
        <is>
          <t>DISTRITO JUNCO</t>
        </is>
      </c>
      <c r="F1321" s="14" t="inlineStr">
        <is>
          <t>POVOADO ALFAVACA - ZONA RURAL</t>
        </is>
      </c>
      <c r="G1321" s="27" t="inlineStr">
        <is>
          <t>48900-000</t>
        </is>
      </c>
      <c r="H1321" s="15" t="n">
        <v>2</v>
      </c>
      <c r="I1321" s="28" t="inlineStr">
        <is>
          <t>NÃO</t>
        </is>
      </c>
      <c r="J1321" s="29" t="n"/>
      <c r="K1321" s="14" t="str">
        <f>IF(J1321="","7. Acima de 2 km",IF(J1321&lt;=50,"1. Até 50 m",IF(J1321&lt;=100,"2. De 50 a 100 m",IF(J1321&lt;=200,"3. De 100 a 200 m",IF(J1321&lt;=300,"4. De 200 a 300 m",IF(J1321&lt;=500,"5. De 300 a 500 m","6. De 500 m a 2 km"))))))</f>
        <v>7. Acima de 2 km</v>
      </c>
      <c r="L1321" s="26" t="n">
        <v>0</v>
      </c>
      <c r="M1321" s="26" t="n">
        <v>0</v>
      </c>
      <c r="N1321" s="26" t="n">
        <v>0</v>
      </c>
      <c r="O1321" s="26" t="n">
        <v>0</v>
      </c>
      <c r="P1321" s="30" t="n">
        <v>-9.6231258</v>
      </c>
      <c r="Q1321" s="30" t="n">
        <v>-40.6453728</v>
      </c>
      <c r="R1321" s="14" t="inlineStr">
        <is>
          <t xml:space="preserve"> FÓRUM ELEITORAL DE JUAZEIRO, RUA DOS BANDEIRANTES, S/N, BAIRRO JOÃO XXIII, JUAZEIRO/BA</t>
        </is>
      </c>
      <c r="S1321" s="26">
        <f>IF(A1321=A1320,0,1)</f>
        <v>0</v>
      </c>
      <c r="T1321" s="26">
        <f>IF(COUNTIF($B$4:B1321,B1321)=1,1,0)</f>
        <v>0</v>
      </c>
    </row>
    <row r="1322">
      <c r="A1322" s="14" t="inlineStr">
        <is>
          <t>JUAZEIRO</t>
        </is>
      </c>
      <c r="B1322" s="26" t="n">
        <v>47</v>
      </c>
      <c r="C1322" s="26" t="n">
        <v>1899</v>
      </c>
      <c r="D1322" s="14" t="inlineStr">
        <is>
          <t>ESCOLA MUNICIPAL DEPUTADO RAIMUNDO DA CUNHA LEITE</t>
        </is>
      </c>
      <c r="E1322" s="14" t="inlineStr">
        <is>
          <t>DISTRITO JUREMAL</t>
        </is>
      </c>
      <c r="F1322" s="14" t="inlineStr">
        <is>
          <t>RUA DA CUBA, S/N - ZONA RURAL</t>
        </is>
      </c>
      <c r="G1322" s="27" t="inlineStr">
        <is>
          <t>48900-000</t>
        </is>
      </c>
      <c r="H1322" s="15" t="n">
        <v>5</v>
      </c>
      <c r="I1322" s="28" t="inlineStr">
        <is>
          <t>NÃO</t>
        </is>
      </c>
      <c r="J1322" s="29" t="n"/>
      <c r="K1322" s="14" t="str">
        <f>IF(J1322="","7. Acima de 2 km",IF(J1322&lt;=50,"1. Até 50 m",IF(J1322&lt;=100,"2. De 50 a 100 m",IF(J1322&lt;=200,"3. De 100 a 200 m",IF(J1322&lt;=300,"4. De 200 a 300 m",IF(J1322&lt;=500,"5. De 300 a 500 m","6. De 500 m a 2 km"))))))</f>
        <v>7. Acima de 2 km</v>
      </c>
      <c r="L1322" s="26" t="n">
        <v>0</v>
      </c>
      <c r="M1322" s="26" t="n">
        <v>0</v>
      </c>
      <c r="N1322" s="26" t="n">
        <v>0</v>
      </c>
      <c r="O1322" s="26" t="n">
        <v>0</v>
      </c>
      <c r="P1322" s="30" t="n">
        <v>-9.7303257</v>
      </c>
      <c r="Q1322" s="30" t="n">
        <v>-40.3602528</v>
      </c>
      <c r="R1322" s="14" t="inlineStr">
        <is>
          <t xml:space="preserve"> FÓRUM ELEITORAL DE JUAZEIRO, RUA DOS BANDEIRANTES, S/N, BAIRRO JOÃO XXIII, JUAZEIRO/BA</t>
        </is>
      </c>
      <c r="S1322" s="26">
        <f>IF(A1322=A1321,0,1)</f>
        <v>0</v>
      </c>
      <c r="T1322" s="26">
        <f>IF(COUNTIF($B$4:B1322,B1322)=1,1,0)</f>
        <v>0</v>
      </c>
    </row>
    <row r="1323">
      <c r="A1323" s="14" t="inlineStr">
        <is>
          <t>JUAZEIRO</t>
        </is>
      </c>
      <c r="B1323" s="26" t="n">
        <v>47</v>
      </c>
      <c r="C1323" s="26" t="n">
        <v>1902</v>
      </c>
      <c r="D1323" s="14" t="inlineStr">
        <is>
          <t xml:space="preserve">ESCOLA MUNICIPAL JOSÉ PEREIRA DA SILVA </t>
        </is>
      </c>
      <c r="E1323" s="14" t="inlineStr">
        <is>
          <t>ITABERABA</t>
        </is>
      </c>
      <c r="F1323" s="14" t="inlineStr">
        <is>
          <t xml:space="preserve">AVENIDA SÃO FRANCISCO </t>
        </is>
      </c>
      <c r="G1323" s="27" t="inlineStr">
        <is>
          <t>48900-000</t>
        </is>
      </c>
      <c r="H1323" s="15" t="n">
        <v>5</v>
      </c>
      <c r="I1323" s="28" t="inlineStr">
        <is>
          <t>NÃO</t>
        </is>
      </c>
      <c r="J1323" s="29" t="n">
        <v>335.1</v>
      </c>
      <c r="K1323" s="14" t="str">
        <f>IF(J1323="","7. Acima de 2 km",IF(J1323&lt;=50,"1. Até 50 m",IF(J1323&lt;=100,"2. De 50 a 100 m",IF(J1323&lt;=200,"3. De 100 a 200 m",IF(J1323&lt;=300,"4. De 200 a 300 m",IF(J1323&lt;=500,"5. De 300 a 500 m","6. De 500 m a 2 km"))))))</f>
        <v>5. De 300 a 500 m</v>
      </c>
      <c r="L1323" s="26" t="n">
        <v>0</v>
      </c>
      <c r="M1323" s="26" t="n">
        <v>0</v>
      </c>
      <c r="N1323" s="26" t="n">
        <v>0</v>
      </c>
      <c r="O1323" s="26" t="n">
        <v>0</v>
      </c>
      <c r="P1323" s="30" t="n">
        <v>-9.4495627</v>
      </c>
      <c r="Q1323" s="30" t="n">
        <v>-40.482364</v>
      </c>
      <c r="R1323" s="14" t="inlineStr">
        <is>
          <t xml:space="preserve"> FÓRUM ELEITORAL DE JUAZEIRO, RUA DOS BANDEIRANTES, S/N, BAIRRO JOÃO XXIII, JUAZEIRO/BA</t>
        </is>
      </c>
      <c r="S1323" s="26">
        <f>IF(A1323=A1322,0,1)</f>
        <v>0</v>
      </c>
      <c r="T1323" s="26">
        <f>IF(COUNTIF($B$4:B1323,B1323)=1,1,0)</f>
        <v>0</v>
      </c>
    </row>
    <row r="1324">
      <c r="A1324" s="14" t="inlineStr">
        <is>
          <t>JUAZEIRO</t>
        </is>
      </c>
      <c r="B1324" s="26" t="n">
        <v>47</v>
      </c>
      <c r="C1324" s="26" t="n">
        <v>1929</v>
      </c>
      <c r="D1324" s="14" t="inlineStr">
        <is>
          <t>ESCOLA MUNICIPAL LUCIA SOBREIRA</t>
        </is>
      </c>
      <c r="E1324" s="14" t="inlineStr">
        <is>
          <t>LAGOA SALITRE</t>
        </is>
      </c>
      <c r="F1324" s="14" t="inlineStr">
        <is>
          <t>POVOADO HORTO SALITRE - ZONA RURAL</t>
        </is>
      </c>
      <c r="G1324" s="27" t="inlineStr">
        <is>
          <t>48900-000</t>
        </is>
      </c>
      <c r="H1324" s="15" t="n">
        <v>1</v>
      </c>
      <c r="I1324" s="28" t="inlineStr">
        <is>
          <t>NÃO</t>
        </is>
      </c>
      <c r="J1324" s="29" t="n"/>
      <c r="K1324" s="14" t="str">
        <f>IF(J1324="","7. Acima de 2 km",IF(J1324&lt;=50,"1. Até 50 m",IF(J1324&lt;=100,"2. De 50 a 100 m",IF(J1324&lt;=200,"3. De 100 a 200 m",IF(J1324&lt;=300,"4. De 200 a 300 m",IF(J1324&lt;=500,"5. De 300 a 500 m","6. De 500 m a 2 km"))))))</f>
        <v>7. Acima de 2 km</v>
      </c>
      <c r="L1324" s="26" t="n">
        <v>0</v>
      </c>
      <c r="M1324" s="26" t="n">
        <v>0</v>
      </c>
      <c r="N1324" s="26" t="n">
        <v>0</v>
      </c>
      <c r="O1324" s="26" t="n">
        <v>0</v>
      </c>
      <c r="P1324" s="30" t="n">
        <v>-9.5489514</v>
      </c>
      <c r="Q1324" s="30" t="n">
        <v>-40.6432109</v>
      </c>
      <c r="R1324" s="14" t="inlineStr">
        <is>
          <t xml:space="preserve"> FÓRUM ELEITORAL DE JUAZEIRO, RUA DOS BANDEIRANTES, S/N, BAIRRO JOÃO XXIII, JUAZEIRO/BA</t>
        </is>
      </c>
      <c r="S1324" s="26">
        <f>IF(A1324=A1323,0,1)</f>
        <v>0</v>
      </c>
      <c r="T1324" s="26">
        <f>IF(COUNTIF($B$4:B1324,B1324)=1,1,0)</f>
        <v>0</v>
      </c>
    </row>
    <row r="1325">
      <c r="A1325" s="14" t="inlineStr">
        <is>
          <t>JUAZEIRO</t>
        </is>
      </c>
      <c r="B1325" s="26" t="n">
        <v>47</v>
      </c>
      <c r="C1325" s="26" t="n">
        <v>1937</v>
      </c>
      <c r="D1325" s="14" t="inlineStr">
        <is>
          <t>ESCOLA ESTADUAL DE TEMPO INTEGRAL AGOSTINHO MUNIZ</t>
        </is>
      </c>
      <c r="E1325" s="14" t="inlineStr">
        <is>
          <t>TABULEIRO</t>
        </is>
      </c>
      <c r="F1325" s="14" t="inlineStr">
        <is>
          <t>RUA DO PARAISO, 100</t>
        </is>
      </c>
      <c r="G1325" s="27" t="inlineStr">
        <is>
          <t>48905-620</t>
        </is>
      </c>
      <c r="H1325" s="15" t="n">
        <v>1</v>
      </c>
      <c r="I1325" s="28" t="inlineStr">
        <is>
          <t>NÃO</t>
        </is>
      </c>
      <c r="J1325" s="29" t="n">
        <v>207.7</v>
      </c>
      <c r="K1325" s="14" t="str">
        <f>IF(J1325="","7. Acima de 2 km",IF(J1325&lt;=50,"1. Até 50 m",IF(J1325&lt;=100,"2. De 50 a 100 m",IF(J1325&lt;=200,"3. De 100 a 200 m",IF(J1325&lt;=300,"4. De 200 a 300 m",IF(J1325&lt;=500,"5. De 300 a 500 m","6. De 500 m a 2 km"))))))</f>
        <v>4. De 200 a 300 m</v>
      </c>
      <c r="L1325" s="26" t="n">
        <v>0</v>
      </c>
      <c r="M1325" s="26" t="n">
        <v>0</v>
      </c>
      <c r="N1325" s="26" t="n">
        <v>0</v>
      </c>
      <c r="O1325" s="26" t="n">
        <v>2</v>
      </c>
      <c r="P1325" s="30" t="n">
        <v>-9.4338111</v>
      </c>
      <c r="Q1325" s="30" t="n">
        <v>-40.475097</v>
      </c>
      <c r="R1325" s="14" t="inlineStr">
        <is>
          <t xml:space="preserve"> FÓRUM ELEITORAL DE JUAZEIRO, RUA DOS BANDEIRANTES, S/N, BAIRRO JOÃO XXIII, JUAZEIRO/BA</t>
        </is>
      </c>
      <c r="S1325" s="26">
        <f>IF(A1325=A1324,0,1)</f>
        <v>0</v>
      </c>
      <c r="T1325" s="26">
        <f>IF(COUNTIF($B$4:B1325,B1325)=1,1,0)</f>
        <v>0</v>
      </c>
    </row>
    <row r="1326">
      <c r="A1326" s="14" t="inlineStr">
        <is>
          <t>JUAZEIRO</t>
        </is>
      </c>
      <c r="B1326" s="26" t="n">
        <v>47</v>
      </c>
      <c r="C1326" s="26" t="n">
        <v>1945</v>
      </c>
      <c r="D1326" s="14" t="inlineStr">
        <is>
          <t>ESCOLA MUNICIPAL PREFEITO APRÍGIO DUARTE</t>
        </is>
      </c>
      <c r="E1326" s="14" t="inlineStr">
        <is>
          <t>ITABERABA</t>
        </is>
      </c>
      <c r="F1326" s="14" t="inlineStr">
        <is>
          <t>RUA B, S/N, RESIDENCIAL JUAZEIRO I</t>
        </is>
      </c>
      <c r="G1326" s="27" t="inlineStr">
        <is>
          <t>48907-201</t>
        </is>
      </c>
      <c r="H1326" s="15" t="n">
        <v>1</v>
      </c>
      <c r="I1326" s="28" t="inlineStr">
        <is>
          <t>NÃO</t>
        </is>
      </c>
      <c r="J1326" s="29" t="n">
        <v>1060</v>
      </c>
      <c r="K1326" s="14" t="str">
        <f>IF(J1326="","7. Acima de 2 km",IF(J1326&lt;=50,"1. Até 50 m",IF(J1326&lt;=100,"2. De 50 a 100 m",IF(J1326&lt;=200,"3. De 100 a 200 m",IF(J1326&lt;=300,"4. De 200 a 300 m",IF(J1326&lt;=500,"5. De 300 a 500 m","6. De 500 m a 2 km"))))))</f>
        <v>6. De 500 m a 2 km</v>
      </c>
      <c r="L1326" s="26" t="n">
        <v>0</v>
      </c>
      <c r="M1326" s="26" t="n">
        <v>0</v>
      </c>
      <c r="N1326" s="26" t="n">
        <v>0</v>
      </c>
      <c r="O1326" s="26" t="n">
        <v>0</v>
      </c>
      <c r="P1326" s="30" t="n">
        <v>-9.4497996</v>
      </c>
      <c r="Q1326" s="30" t="n">
        <v>-40.4750584</v>
      </c>
      <c r="R1326" s="14" t="inlineStr">
        <is>
          <t xml:space="preserve"> FÓRUM ELEITORAL DE JUAZEIRO, RUA DOS BANDEIRANTES, S/N, BAIRRO JOÃO XXIII, JUAZEIRO/BA</t>
        </is>
      </c>
      <c r="S1326" s="26">
        <f>IF(A1326=A1325,0,1)</f>
        <v>0</v>
      </c>
      <c r="T1326" s="26">
        <f>IF(COUNTIF($B$4:B1326,B1326)=1,1,0)</f>
        <v>0</v>
      </c>
    </row>
    <row r="1327">
      <c r="A1327" s="14" t="inlineStr">
        <is>
          <t>JUAZEIRO</t>
        </is>
      </c>
      <c r="B1327" s="26" t="n">
        <v>47</v>
      </c>
      <c r="C1327" s="26" t="n">
        <v>1953</v>
      </c>
      <c r="D1327" s="14" t="inlineStr">
        <is>
          <t>ASSOCIAÇÃO DOS PEQUENOS AGRICULTORES DA FAZENDA LAJES</t>
        </is>
      </c>
      <c r="E1327" s="14" t="inlineStr">
        <is>
          <t>DISTRITO CARNAíBA</t>
        </is>
      </c>
      <c r="F1327" s="14" t="inlineStr">
        <is>
          <t>POVOADO DE LAJES</t>
        </is>
      </c>
      <c r="G1327" s="27" t="inlineStr">
        <is>
          <t>48922-000</t>
        </is>
      </c>
      <c r="H1327" s="15" t="n">
        <v>1</v>
      </c>
      <c r="I1327" s="28" t="inlineStr">
        <is>
          <t>NÃO</t>
        </is>
      </c>
      <c r="J1327" s="29" t="n"/>
      <c r="K1327" s="14" t="str">
        <f>IF(J1327="","7. Acima de 2 km",IF(J1327&lt;=50,"1. Até 50 m",IF(J1327&lt;=100,"2. De 50 a 100 m",IF(J1327&lt;=200,"3. De 100 a 200 m",IF(J1327&lt;=300,"4. De 200 a 300 m",IF(J1327&lt;=500,"5. De 300 a 500 m","6. De 500 m a 2 km"))))))</f>
        <v>7. Acima de 2 km</v>
      </c>
      <c r="L1327" s="26" t="n">
        <v>0</v>
      </c>
      <c r="M1327" s="26" t="n">
        <v>0</v>
      </c>
      <c r="N1327" s="26" t="n">
        <v>0</v>
      </c>
      <c r="O1327" s="26" t="n">
        <v>0</v>
      </c>
      <c r="P1327" s="30" t="n">
        <v>-9.531306799999999</v>
      </c>
      <c r="Q1327" s="30" t="n">
        <v>-40.3856654</v>
      </c>
      <c r="R1327" s="14" t="inlineStr">
        <is>
          <t xml:space="preserve"> FÓRUM ELEITORAL DE JUAZEIRO, RUA DOS BANDEIRANTES, S/N, BAIRRO JOÃO XXIII, JUAZEIRO/BA</t>
        </is>
      </c>
      <c r="S1327" s="26">
        <f>IF(A1327=A1326,0,1)</f>
        <v>0</v>
      </c>
      <c r="T1327" s="26">
        <f>IF(COUNTIF($B$4:B1327,B1327)=1,1,0)</f>
        <v>0</v>
      </c>
    </row>
    <row r="1328">
      <c r="A1328" s="14" t="inlineStr">
        <is>
          <t>JUAZEIRO</t>
        </is>
      </c>
      <c r="B1328" s="26" t="n">
        <v>48</v>
      </c>
      <c r="C1328" s="26" t="n">
        <v>1082</v>
      </c>
      <c r="D1328" s="14" t="inlineStr">
        <is>
          <t>ESCOLA MUNICIPAL DURVAL BARBOSA DA CUNHA</t>
        </is>
      </c>
      <c r="E1328" s="14" t="inlineStr">
        <is>
          <t>DISTRITO MASSAROCA</t>
        </is>
      </c>
      <c r="F1328" s="14" t="inlineStr">
        <is>
          <t>POVOADO DE POÇÕES - ZONA RURAL</t>
        </is>
      </c>
      <c r="G1328" s="27" t="inlineStr">
        <is>
          <t>48900-000</t>
        </is>
      </c>
      <c r="H1328" s="15" t="n">
        <v>2</v>
      </c>
      <c r="I1328" s="28" t="inlineStr">
        <is>
          <t>NÃO</t>
        </is>
      </c>
      <c r="J1328" s="29" t="n"/>
      <c r="K1328" s="14" t="str">
        <f>IF(J1328="","7. Acima de 2 km",IF(J1328&lt;=50,"1. Até 50 m",IF(J1328&lt;=100,"2. De 50 a 100 m",IF(J1328&lt;=200,"3. De 100 a 200 m",IF(J1328&lt;=300,"4. De 200 a 300 m",IF(J1328&lt;=500,"5. De 300 a 500 m","6. De 500 m a 2 km"))))))</f>
        <v>7. Acima de 2 km</v>
      </c>
      <c r="L1328" s="26" t="n">
        <v>0</v>
      </c>
      <c r="M1328" s="26" t="n">
        <v>0</v>
      </c>
      <c r="N1328" s="26" t="n">
        <v>0</v>
      </c>
      <c r="O1328" s="26" t="n">
        <v>0</v>
      </c>
      <c r="P1328" s="30" t="n">
        <v>-9.752571700000001</v>
      </c>
      <c r="Q1328" s="30" t="n">
        <v>-40.1703117</v>
      </c>
      <c r="R1328" s="14" t="inlineStr">
        <is>
          <t xml:space="preserve"> FÓRUM ELEITORAL DE JUAZEIRO, RUA DOS BANDEIRANTES, S/N, BAIRRO JOÃO XXIII, JUAZEIRO/BA</t>
        </is>
      </c>
      <c r="S1328" s="26">
        <f>IF(A1328=A1327,0,1)</f>
        <v>0</v>
      </c>
      <c r="T1328" s="26">
        <f>IF(COUNTIF($B$4:B1328,B1328)=1,1,0)</f>
        <v>1</v>
      </c>
    </row>
    <row r="1329">
      <c r="A1329" s="14" t="inlineStr">
        <is>
          <t>JUAZEIRO</t>
        </is>
      </c>
      <c r="B1329" s="26" t="n">
        <v>48</v>
      </c>
      <c r="C1329" s="26" t="n">
        <v>1198</v>
      </c>
      <c r="D1329" s="14" t="inlineStr">
        <is>
          <t>ESCOLA MUNICIPAL SANTA TEREZINHA</t>
        </is>
      </c>
      <c r="E1329" s="14" t="inlineStr">
        <is>
          <t>DISTRITO ITAMOTINGA</t>
        </is>
      </c>
      <c r="F1329" s="14" t="inlineStr">
        <is>
          <t>PROJETO MANIÇOBA - JAZIDA 7 - ZONA RURAL</t>
        </is>
      </c>
      <c r="G1329" s="27" t="inlineStr">
        <is>
          <t>48900-010</t>
        </is>
      </c>
      <c r="H1329" s="15" t="n">
        <v>2</v>
      </c>
      <c r="I1329" s="28" t="inlineStr">
        <is>
          <t>NÃO</t>
        </is>
      </c>
      <c r="J1329" s="29" t="n"/>
      <c r="K1329" s="14" t="str">
        <f>IF(J1329="","7. Acima de 2 km",IF(J1329&lt;=50,"1. Até 50 m",IF(J1329&lt;=100,"2. De 50 a 100 m",IF(J1329&lt;=200,"3. De 100 a 200 m",IF(J1329&lt;=300,"4. De 200 a 300 m",IF(J1329&lt;=500,"5. De 300 a 500 m","6. De 500 m a 2 km"))))))</f>
        <v>7. Acima de 2 km</v>
      </c>
      <c r="L1329" s="26" t="n">
        <v>0</v>
      </c>
      <c r="M1329" s="26" t="n">
        <v>0</v>
      </c>
      <c r="N1329" s="26" t="n">
        <v>0</v>
      </c>
      <c r="O1329" s="26" t="n">
        <v>0</v>
      </c>
      <c r="P1329" s="30" t="n">
        <v>-9.241764699999999</v>
      </c>
      <c r="Q1329" s="30" t="n">
        <v>-40.2389299</v>
      </c>
      <c r="R1329" s="14" t="inlineStr">
        <is>
          <t xml:space="preserve"> FÓRUM ELEITORAL DE JUAZEIRO, RUA DOS BANDEIRANTES, S/N, BAIRRO JOÃO XXIII, JUAZEIRO/BA</t>
        </is>
      </c>
      <c r="S1329" s="26">
        <f>IF(A1329=A1328,0,1)</f>
        <v>0</v>
      </c>
      <c r="T1329" s="26">
        <f>IF(COUNTIF($B$4:B1329,B1329)=1,1,0)</f>
        <v>0</v>
      </c>
    </row>
    <row r="1330">
      <c r="A1330" s="14" t="inlineStr">
        <is>
          <t>JUAZEIRO</t>
        </is>
      </c>
      <c r="B1330" s="26" t="n">
        <v>48</v>
      </c>
      <c r="C1330" s="26" t="n">
        <v>1201</v>
      </c>
      <c r="D1330" s="14" t="inlineStr">
        <is>
          <t>ESCOLA MUNICIPAL MARIANO RODRIGUES DE SOUZA</t>
        </is>
      </c>
      <c r="E1330" s="14" t="inlineStr">
        <is>
          <t>DISTRITO ITAMOTINGA</t>
        </is>
      </c>
      <c r="F1330" s="14" t="inlineStr">
        <is>
          <t>POVOADO DE GUANHÃES - ZONA RURAL</t>
        </is>
      </c>
      <c r="G1330" s="27" t="inlineStr">
        <is>
          <t>48920-000</t>
        </is>
      </c>
      <c r="H1330" s="15" t="n">
        <v>2</v>
      </c>
      <c r="I1330" s="28" t="inlineStr">
        <is>
          <t>NÃO</t>
        </is>
      </c>
      <c r="J1330" s="29" t="n"/>
      <c r="K1330" s="14" t="str">
        <f>IF(J1330="","7. Acima de 2 km",IF(J1330&lt;=50,"1. Até 50 m",IF(J1330&lt;=100,"2. De 50 a 100 m",IF(J1330&lt;=200,"3. De 100 a 200 m",IF(J1330&lt;=300,"4. De 200 a 300 m",IF(J1330&lt;=500,"5. De 300 a 500 m","6. De 500 m a 2 km"))))))</f>
        <v>7. Acima de 2 km</v>
      </c>
      <c r="L1330" s="26" t="n">
        <v>0</v>
      </c>
      <c r="M1330" s="26" t="n">
        <v>0</v>
      </c>
      <c r="N1330" s="26" t="n">
        <v>0</v>
      </c>
      <c r="O1330" s="26" t="n">
        <v>0</v>
      </c>
      <c r="P1330" s="30" t="n">
        <v>-9.112724999999999</v>
      </c>
      <c r="Q1330" s="30" t="n">
        <v>-40.132165</v>
      </c>
      <c r="R1330" s="14" t="inlineStr">
        <is>
          <t xml:space="preserve"> FÓRUM ELEITORAL DE JUAZEIRO, RUA DOS BANDEIRANTES, S/N, BAIRRO JOÃO XXIII, JUAZEIRO/BA</t>
        </is>
      </c>
      <c r="S1330" s="26">
        <f>IF(A1330=A1329,0,1)</f>
        <v>0</v>
      </c>
      <c r="T1330" s="26">
        <f>IF(COUNTIF($B$4:B1330,B1330)=1,1,0)</f>
        <v>0</v>
      </c>
    </row>
    <row r="1331">
      <c r="A1331" s="14" t="inlineStr">
        <is>
          <t>JUAZEIRO</t>
        </is>
      </c>
      <c r="B1331" s="26" t="n">
        <v>48</v>
      </c>
      <c r="C1331" s="26" t="n">
        <v>1228</v>
      </c>
      <c r="D1331" s="14" t="inlineStr">
        <is>
          <t>ESCOLA MUNICIPAL BOM JESUS - NH1</t>
        </is>
      </c>
      <c r="E1331" s="14" t="inlineStr">
        <is>
          <t>DISTRITO ITAMOTINGA</t>
        </is>
      </c>
      <c r="F1331" s="14" t="inlineStr">
        <is>
          <t>PROJETO CURAÇA NH 1 - ZONA RURAL</t>
        </is>
      </c>
      <c r="G1331" s="27" t="inlineStr">
        <is>
          <t>48900-010</t>
        </is>
      </c>
      <c r="H1331" s="15" t="n">
        <v>2</v>
      </c>
      <c r="I1331" s="28" t="inlineStr">
        <is>
          <t>NÃO</t>
        </is>
      </c>
      <c r="J1331" s="29" t="n"/>
      <c r="K1331" s="14" t="str">
        <f>IF(J1331="","7. Acima de 2 km",IF(J1331&lt;=50,"1. Até 50 m",IF(J1331&lt;=100,"2. De 50 a 100 m",IF(J1331&lt;=200,"3. De 100 a 200 m",IF(J1331&lt;=300,"4. De 200 a 300 m",IF(J1331&lt;=500,"5. De 300 a 500 m","6. De 500 m a 2 km"))))))</f>
        <v>7. Acima de 2 km</v>
      </c>
      <c r="L1331" s="26" t="n">
        <v>0</v>
      </c>
      <c r="M1331" s="26" t="n">
        <v>0</v>
      </c>
      <c r="N1331" s="26" t="n">
        <v>0</v>
      </c>
      <c r="O1331" s="26" t="n">
        <v>0</v>
      </c>
      <c r="P1331" s="30" t="n">
        <v>-9.1473467</v>
      </c>
      <c r="Q1331" s="30" t="n">
        <v>-40.08558</v>
      </c>
      <c r="R1331" s="14" t="inlineStr">
        <is>
          <t xml:space="preserve"> FÓRUM ELEITORAL DE JUAZEIRO, RUA DOS BANDEIRANTES, S/N, BAIRRO JOÃO XXIII, JUAZEIRO/BA</t>
        </is>
      </c>
      <c r="S1331" s="26">
        <f>IF(A1331=A1330,0,1)</f>
        <v>0</v>
      </c>
      <c r="T1331" s="26">
        <f>IF(COUNTIF($B$4:B1331,B1331)=1,1,0)</f>
        <v>0</v>
      </c>
    </row>
    <row r="1332">
      <c r="A1332" s="14" t="inlineStr">
        <is>
          <t>JUAZEIRO</t>
        </is>
      </c>
      <c r="B1332" s="26" t="n">
        <v>48</v>
      </c>
      <c r="C1332" s="26" t="n">
        <v>1236</v>
      </c>
      <c r="D1332" s="14" t="inlineStr">
        <is>
          <t>ESCOLA MUNICIPAL MANOEL DE SOUZA BONFIM</t>
        </is>
      </c>
      <c r="E1332" s="14" t="inlineStr">
        <is>
          <t>DISTRITO ABÓBORA</t>
        </is>
      </c>
      <c r="F1332" s="14" t="inlineStr">
        <is>
          <t>RUA DA IGREJA, S/N - ZONA RURAL</t>
        </is>
      </c>
      <c r="G1332" s="27" t="inlineStr">
        <is>
          <t>48900-000</t>
        </is>
      </c>
      <c r="H1332" s="15" t="n">
        <v>6</v>
      </c>
      <c r="I1332" s="28" t="inlineStr">
        <is>
          <t>NÃO</t>
        </is>
      </c>
      <c r="J1332" s="29" t="n"/>
      <c r="K1332" s="14" t="str">
        <f>IF(J1332="","7. Acima de 2 km",IF(J1332&lt;=50,"1. Até 50 m",IF(J1332&lt;=100,"2. De 50 a 100 m",IF(J1332&lt;=200,"3. De 100 a 200 m",IF(J1332&lt;=300,"4. De 200 a 300 m",IF(J1332&lt;=500,"5. De 300 a 500 m","6. De 500 m a 2 km"))))))</f>
        <v>7. Acima de 2 km</v>
      </c>
      <c r="L1332" s="26" t="n">
        <v>0</v>
      </c>
      <c r="M1332" s="26" t="n">
        <v>0</v>
      </c>
      <c r="N1332" s="26" t="n">
        <v>0</v>
      </c>
      <c r="O1332" s="26" t="n">
        <v>0</v>
      </c>
      <c r="P1332" s="30" t="n">
        <v>-9.8210751</v>
      </c>
      <c r="Q1332" s="30" t="n">
        <v>-40.049</v>
      </c>
      <c r="R1332" s="14" t="inlineStr">
        <is>
          <t xml:space="preserve"> FÓRUM ELEITORAL DE JUAZEIRO, RUA DOS BANDEIRANTES, S/N, BAIRRO JOÃO XXIII, JUAZEIRO/BA</t>
        </is>
      </c>
      <c r="S1332" s="26">
        <f>IF(A1332=A1331,0,1)</f>
        <v>0</v>
      </c>
      <c r="T1332" s="26">
        <f>IF(COUNTIF($B$4:B1332,B1332)=1,1,0)</f>
        <v>0</v>
      </c>
    </row>
    <row r="1333">
      <c r="A1333" s="14" t="inlineStr">
        <is>
          <t>JUAZEIRO</t>
        </is>
      </c>
      <c r="B1333" s="26" t="n">
        <v>48</v>
      </c>
      <c r="C1333" s="26" t="n">
        <v>1260</v>
      </c>
      <c r="D1333" s="14" t="inlineStr">
        <is>
          <t>ASSOCIAÇÃO COMUNITÁRIA DE TANQUE NOVO</t>
        </is>
      </c>
      <c r="E1333" s="14" t="inlineStr">
        <is>
          <t>DISTRITO PINHÕES</t>
        </is>
      </c>
      <c r="F1333" s="14" t="inlineStr">
        <is>
          <t>POVOADO TANQUE NOVO - ZONA RURAL</t>
        </is>
      </c>
      <c r="G1333" s="27" t="inlineStr">
        <is>
          <t>48900-000</t>
        </is>
      </c>
      <c r="H1333" s="15" t="n">
        <v>1</v>
      </c>
      <c r="I1333" s="28" t="inlineStr">
        <is>
          <t>NÃO</t>
        </is>
      </c>
      <c r="J1333" s="29" t="n"/>
      <c r="K1333" s="14" t="str">
        <f>IF(J1333="","7. Acima de 2 km",IF(J1333&lt;=50,"1. Até 50 m",IF(J1333&lt;=100,"2. De 50 a 100 m",IF(J1333&lt;=200,"3. De 100 a 200 m",IF(J1333&lt;=300,"4. De 200 a 300 m",IF(J1333&lt;=500,"5. De 300 a 500 m","6. De 500 m a 2 km"))))))</f>
        <v>7. Acima de 2 km</v>
      </c>
      <c r="L1333" s="26" t="n">
        <v>0</v>
      </c>
      <c r="M1333" s="26" t="n">
        <v>0</v>
      </c>
      <c r="N1333" s="26" t="n">
        <v>0</v>
      </c>
      <c r="O1333" s="26" t="n">
        <v>0</v>
      </c>
      <c r="P1333" s="30" t="n">
        <v>-9.506678300000001</v>
      </c>
      <c r="Q1333" s="30" t="n">
        <v>-39.9596483</v>
      </c>
      <c r="R1333" s="14" t="inlineStr">
        <is>
          <t xml:space="preserve"> FÓRUM ELEITORAL DE JUAZEIRO, RUA DOS BANDEIRANTES, S/N, BAIRRO JOÃO XXIII, JUAZEIRO/BA</t>
        </is>
      </c>
      <c r="S1333" s="26">
        <f>IF(A1333=A1332,0,1)</f>
        <v>0</v>
      </c>
      <c r="T1333" s="26">
        <f>IF(COUNTIF($B$4:B1333,B1333)=1,1,0)</f>
        <v>0</v>
      </c>
    </row>
    <row r="1334">
      <c r="A1334" s="14" t="inlineStr">
        <is>
          <t>JUAZEIRO</t>
        </is>
      </c>
      <c r="B1334" s="26" t="n">
        <v>48</v>
      </c>
      <c r="C1334" s="26" t="n">
        <v>1279</v>
      </c>
      <c r="D1334" s="14" t="inlineStr">
        <is>
          <t xml:space="preserve">CENTRO COMUNITÁRIO DE AÇUDE </t>
        </is>
      </c>
      <c r="E1334" s="14" t="inlineStr">
        <is>
          <t>DISTRITO PINHÕES</t>
        </is>
      </c>
      <c r="F1334" s="14" t="inlineStr">
        <is>
          <t>POVOADO AÇUDE DA RANCHARIA - ZONA RURAL</t>
        </is>
      </c>
      <c r="G1334" s="27" t="inlineStr">
        <is>
          <t>48900-000</t>
        </is>
      </c>
      <c r="H1334" s="15" t="n">
        <v>1</v>
      </c>
      <c r="I1334" s="28" t="inlineStr">
        <is>
          <t>NÃO</t>
        </is>
      </c>
      <c r="J1334" s="29" t="n"/>
      <c r="K1334" s="14" t="str">
        <f>IF(J1334="","7. Acima de 2 km",IF(J1334&lt;=50,"1. Até 50 m",IF(J1334&lt;=100,"2. De 50 a 100 m",IF(J1334&lt;=200,"3. De 100 a 200 m",IF(J1334&lt;=300,"4. De 200 a 300 m",IF(J1334&lt;=500,"5. De 300 a 500 m","6. De 500 m a 2 km"))))))</f>
        <v>7. Acima de 2 km</v>
      </c>
      <c r="L1334" s="26" t="n">
        <v>0</v>
      </c>
      <c r="M1334" s="26" t="n">
        <v>0</v>
      </c>
      <c r="N1334" s="26" t="n">
        <v>0</v>
      </c>
      <c r="O1334" s="26" t="n">
        <v>0</v>
      </c>
      <c r="P1334" s="30" t="n">
        <v>-9.641916699999999</v>
      </c>
      <c r="Q1334" s="30" t="n">
        <v>-40.0305333</v>
      </c>
      <c r="R1334" s="14" t="inlineStr">
        <is>
          <t xml:space="preserve"> FÓRUM ELEITORAL DE JUAZEIRO, RUA DOS BANDEIRANTES, S/N, BAIRRO JOÃO XXIII, JUAZEIRO/BA</t>
        </is>
      </c>
      <c r="S1334" s="26">
        <f>IF(A1334=A1333,0,1)</f>
        <v>0</v>
      </c>
      <c r="T1334" s="26">
        <f>IF(COUNTIF($B$4:B1334,B1334)=1,1,0)</f>
        <v>0</v>
      </c>
    </row>
    <row r="1335">
      <c r="A1335" s="14" t="inlineStr">
        <is>
          <t>JUAZEIRO</t>
        </is>
      </c>
      <c r="B1335" s="26" t="n">
        <v>48</v>
      </c>
      <c r="C1335" s="26" t="n">
        <v>1287</v>
      </c>
      <c r="D1335" s="14" t="inlineStr">
        <is>
          <t>POSTO DE SAÚDE LAGOA DO BOI</t>
        </is>
      </c>
      <c r="E1335" s="14" t="inlineStr">
        <is>
          <t>DISTRITO PINHÕES</t>
        </is>
      </c>
      <c r="F1335" s="14" t="inlineStr">
        <is>
          <t>POVOADO LAGOA DO BOI - ZONA RURAL</t>
        </is>
      </c>
      <c r="G1335" s="27" t="inlineStr">
        <is>
          <t>48903-400</t>
        </is>
      </c>
      <c r="H1335" s="15" t="n">
        <v>3</v>
      </c>
      <c r="I1335" s="28" t="inlineStr">
        <is>
          <t>NÃO</t>
        </is>
      </c>
      <c r="J1335" s="29" t="n"/>
      <c r="K1335" s="14" t="str">
        <f>IF(J1335="","7. Acima de 2 km",IF(J1335&lt;=50,"1. Até 50 m",IF(J1335&lt;=100,"2. De 50 a 100 m",IF(J1335&lt;=200,"3. De 100 a 200 m",IF(J1335&lt;=300,"4. De 200 a 300 m",IF(J1335&lt;=500,"5. De 300 a 500 m","6. De 500 m a 2 km"))))))</f>
        <v>7. Acima de 2 km</v>
      </c>
      <c r="L1335" s="26" t="n">
        <v>0</v>
      </c>
      <c r="M1335" s="26" t="n">
        <v>0</v>
      </c>
      <c r="N1335" s="26" t="n">
        <v>0</v>
      </c>
      <c r="O1335" s="26" t="n">
        <v>0</v>
      </c>
      <c r="P1335" s="30" t="n">
        <v>-9.491342299999999</v>
      </c>
      <c r="Q1335" s="30" t="n">
        <v>-40.2049364</v>
      </c>
      <c r="R1335" s="14" t="inlineStr">
        <is>
          <t xml:space="preserve"> FÓRUM ELEITORAL DE JUAZEIRO, RUA DOS BANDEIRANTES, S/N, BAIRRO JOÃO XXIII, JUAZEIRO/BA</t>
        </is>
      </c>
      <c r="S1335" s="26">
        <f>IF(A1335=A1334,0,1)</f>
        <v>0</v>
      </c>
      <c r="T1335" s="26">
        <f>IF(COUNTIF($B$4:B1335,B1335)=1,1,0)</f>
        <v>0</v>
      </c>
    </row>
    <row r="1336">
      <c r="A1336" s="14" t="inlineStr">
        <is>
          <t>JUAZEIRO</t>
        </is>
      </c>
      <c r="B1336" s="26" t="n">
        <v>48</v>
      </c>
      <c r="C1336" s="26" t="n">
        <v>1295</v>
      </c>
      <c r="D1336" s="14" t="inlineStr">
        <is>
          <t>ESCOLA MUNICIPAL PROFESSORA IRACY NUNES DA SILVA</t>
        </is>
      </c>
      <c r="E1336" s="14" t="inlineStr">
        <is>
          <t>DISTRITO ITAMOTINGA</t>
        </is>
      </c>
      <c r="F1336" s="14" t="inlineStr">
        <is>
          <t>RUA FELIPE BARROSO, S/N - ZONA RURAL</t>
        </is>
      </c>
      <c r="G1336" s="27" t="inlineStr">
        <is>
          <t>48900-000</t>
        </is>
      </c>
      <c r="H1336" s="15" t="n">
        <v>5</v>
      </c>
      <c r="I1336" s="28" t="inlineStr">
        <is>
          <t>NÃO</t>
        </is>
      </c>
      <c r="J1336" s="29" t="n"/>
      <c r="K1336" s="14" t="str">
        <f>IF(J1336="","7. Acima de 2 km",IF(J1336&lt;=50,"1. Até 50 m",IF(J1336&lt;=100,"2. De 50 a 100 m",IF(J1336&lt;=200,"3. De 100 a 200 m",IF(J1336&lt;=300,"4. De 200 a 300 m",IF(J1336&lt;=500,"5. De 300 a 500 m","6. De 500 m a 2 km"))))))</f>
        <v>7. Acima de 2 km</v>
      </c>
      <c r="L1336" s="26" t="n">
        <v>0</v>
      </c>
      <c r="M1336" s="26" t="n">
        <v>0</v>
      </c>
      <c r="N1336" s="26" t="n">
        <v>0</v>
      </c>
      <c r="O1336" s="26" t="n">
        <v>0</v>
      </c>
      <c r="P1336" s="30" t="n">
        <v>-9.0974153</v>
      </c>
      <c r="Q1336" s="30" t="n">
        <v>-40.0993011</v>
      </c>
      <c r="R1336" s="14" t="inlineStr">
        <is>
          <t xml:space="preserve"> FÓRUM ELEITORAL DE JUAZEIRO, RUA DOS BANDEIRANTES, S/N, BAIRRO JOÃO XXIII, JUAZEIRO/BA</t>
        </is>
      </c>
      <c r="S1336" s="26">
        <f>IF(A1336=A1335,0,1)</f>
        <v>0</v>
      </c>
      <c r="T1336" s="26">
        <f>IF(COUNTIF($B$4:B1336,B1336)=1,1,0)</f>
        <v>0</v>
      </c>
    </row>
    <row r="1337">
      <c r="A1337" s="14" t="inlineStr">
        <is>
          <t>JUAZEIRO</t>
        </is>
      </c>
      <c r="B1337" s="26" t="n">
        <v>48</v>
      </c>
      <c r="C1337" s="26" t="n">
        <v>1309</v>
      </c>
      <c r="D1337" s="14" t="inlineStr">
        <is>
          <t>ESCOLA MUNICIPAL DR EDSON RIBEIRO</t>
        </is>
      </c>
      <c r="E1337" s="14" t="inlineStr">
        <is>
          <t>DISTRITO ITAMOTINGA</t>
        </is>
      </c>
      <c r="F1337" s="14" t="inlineStr">
        <is>
          <t>PROJETO MANIÇOBA - POVOADO CONCHAS - ZONA RURAL</t>
        </is>
      </c>
      <c r="G1337" s="27" t="inlineStr">
        <is>
          <t>48900-000</t>
        </is>
      </c>
      <c r="H1337" s="15" t="n">
        <v>4</v>
      </c>
      <c r="I1337" s="28" t="inlineStr">
        <is>
          <t>NÃO</t>
        </is>
      </c>
      <c r="J1337" s="29" t="n"/>
      <c r="K1337" s="14" t="str">
        <f>IF(J1337="","7. Acima de 2 km",IF(J1337&lt;=50,"1. Até 50 m",IF(J1337&lt;=100,"2. De 50 a 100 m",IF(J1337&lt;=200,"3. De 100 a 200 m",IF(J1337&lt;=300,"4. De 200 a 300 m",IF(J1337&lt;=500,"5. De 300 a 500 m","6. De 500 m a 2 km"))))))</f>
        <v>7. Acima de 2 km</v>
      </c>
      <c r="L1337" s="26" t="n">
        <v>0</v>
      </c>
      <c r="M1337" s="26" t="n">
        <v>0</v>
      </c>
      <c r="N1337" s="26" t="n">
        <v>0</v>
      </c>
      <c r="O1337" s="26" t="n">
        <v>0</v>
      </c>
      <c r="P1337" s="30" t="n">
        <v>-9.2710233</v>
      </c>
      <c r="Q1337" s="30" t="n">
        <v>-40.299725</v>
      </c>
      <c r="R1337" s="14" t="inlineStr">
        <is>
          <t xml:space="preserve"> FÓRUM ELEITORAL DE JUAZEIRO, RUA DOS BANDEIRANTES, S/N, BAIRRO JOÃO XXIII, JUAZEIRO/BA</t>
        </is>
      </c>
      <c r="S1337" s="26">
        <f>IF(A1337=A1336,0,1)</f>
        <v>0</v>
      </c>
      <c r="T1337" s="26">
        <f>IF(COUNTIF($B$4:B1337,B1337)=1,1,0)</f>
        <v>0</v>
      </c>
    </row>
    <row r="1338">
      <c r="A1338" s="14" t="inlineStr">
        <is>
          <t>JUAZEIRO</t>
        </is>
      </c>
      <c r="B1338" s="26" t="n">
        <v>48</v>
      </c>
      <c r="C1338" s="26" t="n">
        <v>1317</v>
      </c>
      <c r="D1338" s="14" t="inlineStr">
        <is>
          <t>ESCOLA MUNICIPAL DE JATOBÁ</t>
        </is>
      </c>
      <c r="E1338" s="14" t="inlineStr">
        <is>
          <t>DISTRITO ITAMOTINGA</t>
        </is>
      </c>
      <c r="F1338" s="14" t="inlineStr">
        <is>
          <t>PROJETO MANIÇOBA - POVOADO JATOBÁ - ZONA RURAL</t>
        </is>
      </c>
      <c r="G1338" s="27" t="inlineStr">
        <is>
          <t>48900-999</t>
        </is>
      </c>
      <c r="H1338" s="15" t="n">
        <v>2</v>
      </c>
      <c r="I1338" s="28" t="inlineStr">
        <is>
          <t>NÃO</t>
        </is>
      </c>
      <c r="J1338" s="29" t="n"/>
      <c r="K1338" s="14" t="str">
        <f>IF(J1338="","7. Acima de 2 km",IF(J1338&lt;=50,"1. Até 50 m",IF(J1338&lt;=100,"2. De 50 a 100 m",IF(J1338&lt;=200,"3. De 100 a 200 m",IF(J1338&lt;=300,"4. De 200 a 300 m",IF(J1338&lt;=500,"5. De 300 a 500 m","6. De 500 m a 2 km"))))))</f>
        <v>7. Acima de 2 km</v>
      </c>
      <c r="L1338" s="26" t="n">
        <v>0</v>
      </c>
      <c r="M1338" s="26" t="n">
        <v>0</v>
      </c>
      <c r="N1338" s="26" t="n">
        <v>0</v>
      </c>
      <c r="O1338" s="26" t="n">
        <v>0</v>
      </c>
      <c r="P1338" s="30" t="n">
        <v>-9.288905</v>
      </c>
      <c r="Q1338" s="30" t="n">
        <v>-40.3090117</v>
      </c>
      <c r="R1338" s="14" t="inlineStr">
        <is>
          <t xml:space="preserve"> FÓRUM ELEITORAL DE JUAZEIRO, RUA DOS BANDEIRANTES, S/N, BAIRRO JOÃO XXIII, JUAZEIRO/BA</t>
        </is>
      </c>
      <c r="S1338" s="26">
        <f>IF(A1338=A1337,0,1)</f>
        <v>0</v>
      </c>
      <c r="T1338" s="26">
        <f>IF(COUNTIF($B$4:B1338,B1338)=1,1,0)</f>
        <v>0</v>
      </c>
    </row>
    <row r="1339">
      <c r="A1339" s="14" t="inlineStr">
        <is>
          <t>JUAZEIRO</t>
        </is>
      </c>
      <c r="B1339" s="26" t="n">
        <v>48</v>
      </c>
      <c r="C1339" s="26" t="n">
        <v>1325</v>
      </c>
      <c r="D1339" s="14" t="inlineStr">
        <is>
          <t>ESCOLA MUNICIPAL BOM JESUS - BARAÚNA</t>
        </is>
      </c>
      <c r="E1339" s="14" t="inlineStr">
        <is>
          <t>DISTRITO ITAMOTINGA</t>
        </is>
      </c>
      <c r="F1339" s="14" t="inlineStr">
        <is>
          <t>POVOADO BARAÚNA - ZONA RURAL</t>
        </is>
      </c>
      <c r="G1339" s="27" t="inlineStr">
        <is>
          <t>48900-010</t>
        </is>
      </c>
      <c r="H1339" s="15" t="n">
        <v>2</v>
      </c>
      <c r="I1339" s="28" t="inlineStr">
        <is>
          <t>NÃO</t>
        </is>
      </c>
      <c r="J1339" s="29" t="n"/>
      <c r="K1339" s="14" t="str">
        <f>IF(J1339="","7. Acima de 2 km",IF(J1339&lt;=50,"1. Até 50 m",IF(J1339&lt;=100,"2. De 50 a 100 m",IF(J1339&lt;=200,"3. De 100 a 200 m",IF(J1339&lt;=300,"4. De 200 a 300 m",IF(J1339&lt;=500,"5. De 300 a 500 m","6. De 500 m a 2 km"))))))</f>
        <v>7. Acima de 2 km</v>
      </c>
      <c r="L1339" s="26" t="n">
        <v>0</v>
      </c>
      <c r="M1339" s="26" t="n">
        <v>0</v>
      </c>
      <c r="N1339" s="26" t="n">
        <v>0</v>
      </c>
      <c r="O1339" s="26" t="n">
        <v>0</v>
      </c>
      <c r="P1339" s="30" t="n">
        <v>-9.3287899</v>
      </c>
      <c r="Q1339" s="30" t="n">
        <v>-39.9997354</v>
      </c>
      <c r="R1339" s="14" t="inlineStr">
        <is>
          <t xml:space="preserve"> FÓRUM ELEITORAL DE JUAZEIRO, RUA DOS BANDEIRANTES, S/N, BAIRRO JOÃO XXIII, JUAZEIRO/BA</t>
        </is>
      </c>
      <c r="S1339" s="26">
        <f>IF(A1339=A1338,0,1)</f>
        <v>0</v>
      </c>
      <c r="T1339" s="26">
        <f>IF(COUNTIF($B$4:B1339,B1339)=1,1,0)</f>
        <v>0</v>
      </c>
    </row>
    <row r="1340">
      <c r="A1340" s="14" t="inlineStr">
        <is>
          <t>JUAZEIRO</t>
        </is>
      </c>
      <c r="B1340" s="26" t="n">
        <v>48</v>
      </c>
      <c r="C1340" s="26" t="n">
        <v>1341</v>
      </c>
      <c r="D1340" s="14" t="inlineStr">
        <is>
          <t>ESCOLA MUNICIPAL DE PONTAL</t>
        </is>
      </c>
      <c r="E1340" s="14" t="inlineStr">
        <is>
          <t>DISTRITO ITAMOTINGA</t>
        </is>
      </c>
      <c r="F1340" s="14" t="inlineStr">
        <is>
          <t>POVOADO PONTAL - ZONA RURAL</t>
        </is>
      </c>
      <c r="G1340" s="27" t="inlineStr">
        <is>
          <t>48900-000</t>
        </is>
      </c>
      <c r="H1340" s="15" t="n">
        <v>2</v>
      </c>
      <c r="I1340" s="28" t="inlineStr">
        <is>
          <t>NÃO</t>
        </is>
      </c>
      <c r="J1340" s="29" t="n"/>
      <c r="K1340" s="14" t="str">
        <f>IF(J1340="","7. Acima de 2 km",IF(J1340&lt;=50,"1. Até 50 m",IF(J1340&lt;=100,"2. De 50 a 100 m",IF(J1340&lt;=200,"3. De 100 a 200 m",IF(J1340&lt;=300,"4. De 200 a 300 m",IF(J1340&lt;=500,"5. De 300 a 500 m","6. De 500 m a 2 km"))))))</f>
        <v>7. Acima de 2 km</v>
      </c>
      <c r="L1340" s="26" t="n">
        <v>0</v>
      </c>
      <c r="M1340" s="26" t="n">
        <v>0</v>
      </c>
      <c r="N1340" s="26" t="n">
        <v>0</v>
      </c>
      <c r="O1340" s="26" t="n">
        <v>0</v>
      </c>
      <c r="P1340" s="30" t="n">
        <v>-9.08104</v>
      </c>
      <c r="Q1340" s="30" t="n">
        <v>-40.2027767</v>
      </c>
      <c r="R1340" s="14" t="inlineStr">
        <is>
          <t xml:space="preserve"> FÓRUM ELEITORAL DE JUAZEIRO, RUA DOS BANDEIRANTES, S/N, BAIRRO JOÃO XXIII, JUAZEIRO/BA</t>
        </is>
      </c>
      <c r="S1340" s="26">
        <f>IF(A1340=A1339,0,1)</f>
        <v>0</v>
      </c>
      <c r="T1340" s="26">
        <f>IF(COUNTIF($B$4:B1340,B1340)=1,1,0)</f>
        <v>0</v>
      </c>
    </row>
    <row r="1341">
      <c r="A1341" s="14" t="inlineStr">
        <is>
          <t>JUAZEIRO</t>
        </is>
      </c>
      <c r="B1341" s="26" t="n">
        <v>48</v>
      </c>
      <c r="C1341" s="26" t="n">
        <v>1368</v>
      </c>
      <c r="D1341" s="14" t="inlineStr">
        <is>
          <t>ESCOLA MUNICIPAL SANTA INÊS</t>
        </is>
      </c>
      <c r="E1341" s="14" t="inlineStr">
        <is>
          <t>DISTRITO ITAMOTINGA</t>
        </is>
      </c>
      <c r="F1341" s="14" t="inlineStr">
        <is>
          <t>VILA SANTA INÊS - PROJETO MANIÇOBA / ZONA RURAL</t>
        </is>
      </c>
      <c r="G1341" s="27" t="inlineStr">
        <is>
          <t>48900-000</t>
        </is>
      </c>
      <c r="H1341" s="15" t="n">
        <v>4</v>
      </c>
      <c r="I1341" s="28" t="inlineStr">
        <is>
          <t>NÃO</t>
        </is>
      </c>
      <c r="J1341" s="29" t="n">
        <v>458.7</v>
      </c>
      <c r="K1341" s="14" t="str">
        <f>IF(J1341="","7. Acima de 2 km",IF(J1341&lt;=50,"1. Até 50 m",IF(J1341&lt;=100,"2. De 50 a 100 m",IF(J1341&lt;=200,"3. De 100 a 200 m",IF(J1341&lt;=300,"4. De 200 a 300 m",IF(J1341&lt;=500,"5. De 300 a 500 m","6. De 500 m a 2 km"))))))</f>
        <v>5. De 300 a 500 m</v>
      </c>
      <c r="L1341" s="26" t="n">
        <v>0</v>
      </c>
      <c r="M1341" s="26" t="n">
        <v>0</v>
      </c>
      <c r="N1341" s="26" t="n">
        <v>0</v>
      </c>
      <c r="O1341" s="26" t="n">
        <v>0</v>
      </c>
      <c r="P1341" s="30" t="n">
        <v>-9.329796699999999</v>
      </c>
      <c r="Q1341" s="30" t="n">
        <v>-40.299295</v>
      </c>
      <c r="R1341" s="14" t="inlineStr">
        <is>
          <t xml:space="preserve"> FÓRUM ELEITORAL DE JUAZEIRO, RUA DOS BANDEIRANTES, S/N, BAIRRO JOÃO XXIII, JUAZEIRO/BA</t>
        </is>
      </c>
      <c r="S1341" s="26">
        <f>IF(A1341=A1340,0,1)</f>
        <v>0</v>
      </c>
      <c r="T1341" s="26">
        <f>IF(COUNTIF($B$4:B1341,B1341)=1,1,0)</f>
        <v>0</v>
      </c>
    </row>
    <row r="1342">
      <c r="A1342" s="14" t="inlineStr">
        <is>
          <t>JUAZEIRO</t>
        </is>
      </c>
      <c r="B1342" s="26" t="n">
        <v>48</v>
      </c>
      <c r="C1342" s="26" t="n">
        <v>1376</v>
      </c>
      <c r="D1342" s="14" t="inlineStr">
        <is>
          <t>ESCOLA MUNICIPAL ATANILHA LUZ ARAÚJO</t>
        </is>
      </c>
      <c r="E1342" s="14" t="inlineStr">
        <is>
          <t>DISTRITO MASSAROCA</t>
        </is>
      </c>
      <c r="F1342" s="14" t="inlineStr">
        <is>
          <t>RUA DOS BOTINS, S/N - ZONA RURAL</t>
        </is>
      </c>
      <c r="G1342" s="27" t="inlineStr">
        <is>
          <t>48900-000</t>
        </is>
      </c>
      <c r="H1342" s="15" t="n">
        <v>7</v>
      </c>
      <c r="I1342" s="28" t="inlineStr">
        <is>
          <t>NÃO</t>
        </is>
      </c>
      <c r="J1342" s="29" t="n"/>
      <c r="K1342" s="14" t="str">
        <f>IF(J1342="","7. Acima de 2 km",IF(J1342&lt;=50,"1. Até 50 m",IF(J1342&lt;=100,"2. De 50 a 100 m",IF(J1342&lt;=200,"3. De 100 a 200 m",IF(J1342&lt;=300,"4. De 200 a 300 m",IF(J1342&lt;=500,"5. De 300 a 500 m","6. De 500 m a 2 km"))))))</f>
        <v>7. Acima de 2 km</v>
      </c>
      <c r="L1342" s="26" t="n">
        <v>0</v>
      </c>
      <c r="M1342" s="26" t="n">
        <v>0</v>
      </c>
      <c r="N1342" s="26" t="n">
        <v>0</v>
      </c>
      <c r="O1342" s="26" t="n">
        <v>0</v>
      </c>
      <c r="P1342" s="30" t="n">
        <v>-9.874615199999999</v>
      </c>
      <c r="Q1342" s="30" t="n">
        <v>-40.2831334</v>
      </c>
      <c r="R1342" s="14" t="inlineStr">
        <is>
          <t xml:space="preserve"> FÓRUM ELEITORAL DE JUAZEIRO, RUA DOS BANDEIRANTES, S/N, BAIRRO JOÃO XXIII, JUAZEIRO/BA</t>
        </is>
      </c>
      <c r="S1342" s="26">
        <f>IF(A1342=A1341,0,1)</f>
        <v>0</v>
      </c>
      <c r="T1342" s="26">
        <f>IF(COUNTIF($B$4:B1342,B1342)=1,1,0)</f>
        <v>0</v>
      </c>
    </row>
    <row r="1343">
      <c r="A1343" s="14" t="inlineStr">
        <is>
          <t>JUAZEIRO</t>
        </is>
      </c>
      <c r="B1343" s="26" t="n">
        <v>48</v>
      </c>
      <c r="C1343" s="26" t="n">
        <v>1384</v>
      </c>
      <c r="D1343" s="14" t="inlineStr">
        <is>
          <t>ESCOLA MUNICIPAL 2 DE JULHO</t>
        </is>
      </c>
      <c r="E1343" s="14" t="inlineStr">
        <is>
          <t>DISTRITO ITAMOTINGA</t>
        </is>
      </c>
      <c r="F1343" s="14" t="inlineStr">
        <is>
          <t>AVENIDA DOS COLONOS, MANIÇOBA NH 1- ZONA RURAL</t>
        </is>
      </c>
      <c r="G1343" s="27" t="inlineStr">
        <is>
          <t>48900-000</t>
        </is>
      </c>
      <c r="H1343" s="15" t="n">
        <v>7</v>
      </c>
      <c r="I1343" s="28" t="inlineStr">
        <is>
          <t>NÃO</t>
        </is>
      </c>
      <c r="J1343" s="29" t="n">
        <v>404.2</v>
      </c>
      <c r="K1343" s="14" t="str">
        <f>IF(J1343="","7. Acima de 2 km",IF(J1343&lt;=50,"1. Até 50 m",IF(J1343&lt;=100,"2. De 50 a 100 m",IF(J1343&lt;=200,"3. De 100 a 200 m",IF(J1343&lt;=300,"4. De 200 a 300 m",IF(J1343&lt;=500,"5. De 300 a 500 m","6. De 500 m a 2 km"))))))</f>
        <v>5. De 300 a 500 m</v>
      </c>
      <c r="L1343" s="26" t="n">
        <v>0</v>
      </c>
      <c r="M1343" s="26" t="n">
        <v>0</v>
      </c>
      <c r="N1343" s="26" t="n">
        <v>0</v>
      </c>
      <c r="O1343" s="26" t="n">
        <v>0</v>
      </c>
      <c r="P1343" s="30" t="n">
        <v>-9.3236267</v>
      </c>
      <c r="Q1343" s="30" t="n">
        <v>-40.29174</v>
      </c>
      <c r="R1343" s="14" t="inlineStr">
        <is>
          <t xml:space="preserve"> FÓRUM ELEITORAL DE JUAZEIRO, RUA DOS BANDEIRANTES, S/N, BAIRRO JOÃO XXIII, JUAZEIRO/BA</t>
        </is>
      </c>
      <c r="S1343" s="26">
        <f>IF(A1343=A1342,0,1)</f>
        <v>0</v>
      </c>
      <c r="T1343" s="26">
        <f>IF(COUNTIF($B$4:B1343,B1343)=1,1,0)</f>
        <v>0</v>
      </c>
    </row>
    <row r="1344">
      <c r="A1344" s="14" t="inlineStr">
        <is>
          <t>JUAZEIRO</t>
        </is>
      </c>
      <c r="B1344" s="26" t="n">
        <v>48</v>
      </c>
      <c r="C1344" s="26" t="n">
        <v>1392</v>
      </c>
      <c r="D1344" s="14" t="inlineStr">
        <is>
          <t>ESCOLA MUNICIPAL SANTO ANTÔNIO</t>
        </is>
      </c>
      <c r="E1344" s="14" t="inlineStr">
        <is>
          <t>DISTRITO ITAMOTINGA</t>
        </is>
      </c>
      <c r="F1344" s="14" t="inlineStr">
        <is>
          <t>RUA 02, PROJETO CURAÇÁ NH 03 - ZONA RURAL</t>
        </is>
      </c>
      <c r="G1344" s="27" t="inlineStr">
        <is>
          <t>48900-000</t>
        </is>
      </c>
      <c r="H1344" s="15" t="n">
        <v>5</v>
      </c>
      <c r="I1344" s="28" t="inlineStr">
        <is>
          <t>NÃO</t>
        </is>
      </c>
      <c r="J1344" s="29" t="n"/>
      <c r="K1344" s="14" t="str">
        <f>IF(J1344="","7. Acima de 2 km",IF(J1344&lt;=50,"1. Até 50 m",IF(J1344&lt;=100,"2. De 50 a 100 m",IF(J1344&lt;=200,"3. De 100 a 200 m",IF(J1344&lt;=300,"4. De 200 a 300 m",IF(J1344&lt;=500,"5. De 300 a 500 m","6. De 500 m a 2 km"))))))</f>
        <v>7. Acima de 2 km</v>
      </c>
      <c r="L1344" s="26" t="n">
        <v>0</v>
      </c>
      <c r="M1344" s="26" t="n">
        <v>0</v>
      </c>
      <c r="N1344" s="26" t="n">
        <v>0</v>
      </c>
      <c r="O1344" s="26" t="n">
        <v>0</v>
      </c>
      <c r="P1344" s="30" t="n">
        <v>-9.1449017</v>
      </c>
      <c r="Q1344" s="30" t="n">
        <v>-40.0269783</v>
      </c>
      <c r="R1344" s="14" t="inlineStr">
        <is>
          <t xml:space="preserve"> FÓRUM ELEITORAL DE JUAZEIRO, RUA DOS BANDEIRANTES, S/N, BAIRRO JOÃO XXIII, JUAZEIRO/BA</t>
        </is>
      </c>
      <c r="S1344" s="26">
        <f>IF(A1344=A1343,0,1)</f>
        <v>0</v>
      </c>
      <c r="T1344" s="26">
        <f>IF(COUNTIF($B$4:B1344,B1344)=1,1,0)</f>
        <v>0</v>
      </c>
    </row>
    <row r="1345">
      <c r="A1345" s="14" t="inlineStr">
        <is>
          <t>JUAZEIRO</t>
        </is>
      </c>
      <c r="B1345" s="26" t="n">
        <v>48</v>
      </c>
      <c r="C1345" s="26" t="n">
        <v>1414</v>
      </c>
      <c r="D1345" s="14" t="inlineStr">
        <is>
          <t>ESCOLA MUNICIPAL AMÉRICO TANURI</t>
        </is>
      </c>
      <c r="E1345" s="14" t="inlineStr">
        <is>
          <t>DISTRITO ITAMOTINGA</t>
        </is>
      </c>
      <c r="F1345" s="14" t="inlineStr">
        <is>
          <t>POVOADO LAGOA DA PEDRA - ZONA RURAL</t>
        </is>
      </c>
      <c r="G1345" s="27" t="inlineStr">
        <is>
          <t>48900-000</t>
        </is>
      </c>
      <c r="H1345" s="15" t="n">
        <v>1</v>
      </c>
      <c r="I1345" s="28" t="inlineStr">
        <is>
          <t>NÃO</t>
        </is>
      </c>
      <c r="J1345" s="29" t="n"/>
      <c r="K1345" s="14" t="str">
        <f>IF(J1345="","7. Acima de 2 km",IF(J1345&lt;=50,"1. Até 50 m",IF(J1345&lt;=100,"2. De 50 a 100 m",IF(J1345&lt;=200,"3. De 100 a 200 m",IF(J1345&lt;=300,"4. De 200 a 300 m",IF(J1345&lt;=500,"5. De 300 a 500 m","6. De 500 m a 2 km"))))))</f>
        <v>7. Acima de 2 km</v>
      </c>
      <c r="L1345" s="26" t="n">
        <v>0</v>
      </c>
      <c r="M1345" s="26" t="n">
        <v>0</v>
      </c>
      <c r="N1345" s="26" t="n">
        <v>0</v>
      </c>
      <c r="O1345" s="26" t="n">
        <v>0</v>
      </c>
      <c r="P1345" s="30" t="n">
        <v>-9.334221700000001</v>
      </c>
      <c r="Q1345" s="30" t="n">
        <v>-40.2441333</v>
      </c>
      <c r="R1345" s="14" t="inlineStr">
        <is>
          <t xml:space="preserve"> FÓRUM ELEITORAL DE JUAZEIRO, RUA DOS BANDEIRANTES, S/N, BAIRRO JOÃO XXIII, JUAZEIRO/BA</t>
        </is>
      </c>
      <c r="S1345" s="26">
        <f>IF(A1345=A1344,0,1)</f>
        <v>0</v>
      </c>
      <c r="T1345" s="26">
        <f>IF(COUNTIF($B$4:B1345,B1345)=1,1,0)</f>
        <v>0</v>
      </c>
    </row>
    <row r="1346">
      <c r="A1346" s="14" t="inlineStr">
        <is>
          <t>JUAZEIRO</t>
        </is>
      </c>
      <c r="B1346" s="26" t="n">
        <v>48</v>
      </c>
      <c r="C1346" s="26" t="n">
        <v>1449</v>
      </c>
      <c r="D1346" s="14" t="inlineStr">
        <is>
          <t>ESCOLA MUNICIPAL JOANA RAMOS</t>
        </is>
      </c>
      <c r="E1346" s="14" t="inlineStr">
        <is>
          <t>DISTRITO ITAMOTINGA</t>
        </is>
      </c>
      <c r="F1346" s="14" t="inlineStr">
        <is>
          <t>POVOADO PERIQUITO - ZONA RURAL</t>
        </is>
      </c>
      <c r="G1346" s="27" t="inlineStr">
        <is>
          <t>48900-000</t>
        </is>
      </c>
      <c r="H1346" s="15" t="n">
        <v>1</v>
      </c>
      <c r="I1346" s="28" t="inlineStr">
        <is>
          <t>NÃO</t>
        </is>
      </c>
      <c r="J1346" s="29" t="n"/>
      <c r="K1346" s="14" t="str">
        <f>IF(J1346="","7. Acima de 2 km",IF(J1346&lt;=50,"1. Até 50 m",IF(J1346&lt;=100,"2. De 50 a 100 m",IF(J1346&lt;=200,"3. De 100 a 200 m",IF(J1346&lt;=300,"4. De 200 a 300 m",IF(J1346&lt;=500,"5. De 300 a 500 m","6. De 500 m a 2 km"))))))</f>
        <v>7. Acima de 2 km</v>
      </c>
      <c r="L1346" s="26" t="n">
        <v>0</v>
      </c>
      <c r="M1346" s="26" t="n">
        <v>0</v>
      </c>
      <c r="N1346" s="26" t="n">
        <v>0</v>
      </c>
      <c r="O1346" s="26" t="n">
        <v>0</v>
      </c>
      <c r="P1346" s="30" t="n">
        <v>-9.0983567</v>
      </c>
      <c r="Q1346" s="30" t="n">
        <v>-40.01113</v>
      </c>
      <c r="R1346" s="14" t="inlineStr">
        <is>
          <t xml:space="preserve"> FÓRUM ELEITORAL DE JUAZEIRO, RUA DOS BANDEIRANTES, S/N, BAIRRO JOÃO XXIII, JUAZEIRO/BA</t>
        </is>
      </c>
      <c r="S1346" s="26">
        <f>IF(A1346=A1345,0,1)</f>
        <v>0</v>
      </c>
      <c r="T1346" s="26">
        <f>IF(COUNTIF($B$4:B1346,B1346)=1,1,0)</f>
        <v>0</v>
      </c>
    </row>
    <row r="1347">
      <c r="A1347" s="14" t="inlineStr">
        <is>
          <t>JUAZEIRO</t>
        </is>
      </c>
      <c r="B1347" s="26" t="n">
        <v>48</v>
      </c>
      <c r="C1347" s="26" t="n">
        <v>1457</v>
      </c>
      <c r="D1347" s="14" t="inlineStr">
        <is>
          <t>ESCOLA MUNICIPAL LINDAURA MARIA DE JESUS</t>
        </is>
      </c>
      <c r="E1347" s="14" t="inlineStr">
        <is>
          <t>DISTRITO ITAMOTINGA</t>
        </is>
      </c>
      <c r="F1347" s="14" t="inlineStr">
        <is>
          <t>POVOADO RODEADOR - ZONA RURAL</t>
        </is>
      </c>
      <c r="G1347" s="27" t="inlineStr">
        <is>
          <t>48900-000</t>
        </is>
      </c>
      <c r="H1347" s="15" t="n">
        <v>1</v>
      </c>
      <c r="I1347" s="28" t="inlineStr">
        <is>
          <t>NÃO</t>
        </is>
      </c>
      <c r="J1347" s="29" t="n"/>
      <c r="K1347" s="14" t="str">
        <f>IF(J1347="","7. Acima de 2 km",IF(J1347&lt;=50,"1. Até 50 m",IF(J1347&lt;=100,"2. De 50 a 100 m",IF(J1347&lt;=200,"3. De 100 a 200 m",IF(J1347&lt;=300,"4. De 200 a 300 m",IF(J1347&lt;=500,"5. De 300 a 500 m","6. De 500 m a 2 km"))))))</f>
        <v>7. Acima de 2 km</v>
      </c>
      <c r="L1347" s="26" t="n">
        <v>0</v>
      </c>
      <c r="M1347" s="26" t="n">
        <v>0</v>
      </c>
      <c r="N1347" s="26" t="n">
        <v>0</v>
      </c>
      <c r="O1347" s="26" t="n">
        <v>0</v>
      </c>
      <c r="P1347" s="30" t="n">
        <v>-9.29275</v>
      </c>
      <c r="Q1347" s="30" t="n">
        <v>-40.107865</v>
      </c>
      <c r="R1347" s="14" t="inlineStr">
        <is>
          <t xml:space="preserve"> FÓRUM ELEITORAL DE JUAZEIRO, RUA DOS BANDEIRANTES, S/N, BAIRRO JOÃO XXIII, JUAZEIRO/BA</t>
        </is>
      </c>
      <c r="S1347" s="26">
        <f>IF(A1347=A1346,0,1)</f>
        <v>0</v>
      </c>
      <c r="T1347" s="26">
        <f>IF(COUNTIF($B$4:B1347,B1347)=1,1,0)</f>
        <v>0</v>
      </c>
    </row>
    <row r="1348">
      <c r="A1348" s="14" t="inlineStr">
        <is>
          <t>JUAZEIRO</t>
        </is>
      </c>
      <c r="B1348" s="26" t="n">
        <v>48</v>
      </c>
      <c r="C1348" s="26" t="n">
        <v>1465</v>
      </c>
      <c r="D1348" s="14" t="inlineStr">
        <is>
          <t>CENTRO COMUNITÁRIO RAQUEL RODRIGUES</t>
        </is>
      </c>
      <c r="E1348" s="14" t="inlineStr">
        <is>
          <t>DISTRITO ITAMOTINGA</t>
        </is>
      </c>
      <c r="F1348" s="14" t="inlineStr">
        <is>
          <t>POVOADO JABURU - ZONA RURAL</t>
        </is>
      </c>
      <c r="G1348" s="27" t="inlineStr">
        <is>
          <t>48900-000</t>
        </is>
      </c>
      <c r="H1348" s="15" t="n">
        <v>1</v>
      </c>
      <c r="I1348" s="28" t="inlineStr">
        <is>
          <t>NÃO</t>
        </is>
      </c>
      <c r="J1348" s="29" t="n"/>
      <c r="K1348" s="14" t="str">
        <f>IF(J1348="","7. Acima de 2 km",IF(J1348&lt;=50,"1. Até 50 m",IF(J1348&lt;=100,"2. De 50 a 100 m",IF(J1348&lt;=200,"3. De 100 a 200 m",IF(J1348&lt;=300,"4. De 200 a 300 m",IF(J1348&lt;=500,"5. De 300 a 500 m","6. De 500 m a 2 km"))))))</f>
        <v>7. Acima de 2 km</v>
      </c>
      <c r="L1348" s="26" t="n">
        <v>0</v>
      </c>
      <c r="M1348" s="26" t="n">
        <v>0</v>
      </c>
      <c r="N1348" s="26" t="n">
        <v>0</v>
      </c>
      <c r="O1348" s="26" t="n">
        <v>0</v>
      </c>
      <c r="P1348" s="30" t="n">
        <v>-9.230533299999999</v>
      </c>
      <c r="Q1348" s="30" t="n">
        <v>-39.967565</v>
      </c>
      <c r="R1348" s="14" t="inlineStr">
        <is>
          <t xml:space="preserve"> FÓRUM ELEITORAL DE JUAZEIRO, RUA DOS BANDEIRANTES, S/N, BAIRRO JOÃO XXIII, JUAZEIRO/BA</t>
        </is>
      </c>
      <c r="S1348" s="26">
        <f>IF(A1348=A1347,0,1)</f>
        <v>0</v>
      </c>
      <c r="T1348" s="26">
        <f>IF(COUNTIF($B$4:B1348,B1348)=1,1,0)</f>
        <v>0</v>
      </c>
    </row>
    <row r="1349">
      <c r="A1349" s="14" t="inlineStr">
        <is>
          <t>JUAZEIRO</t>
        </is>
      </c>
      <c r="B1349" s="26" t="n">
        <v>48</v>
      </c>
      <c r="C1349" s="26" t="n">
        <v>1473</v>
      </c>
      <c r="D1349" s="14" t="inlineStr">
        <is>
          <t>ESCOLA MUNICIPAL EURIDICE RIBEIRO VIANA</t>
        </is>
      </c>
      <c r="E1349" s="14" t="inlineStr">
        <is>
          <t>DISTRITO ITAMOTINGA</t>
        </is>
      </c>
      <c r="F1349" s="14" t="inlineStr">
        <is>
          <t>POVOADO QUIPÁ - ZONA RURAL</t>
        </is>
      </c>
      <c r="G1349" s="27" t="inlineStr">
        <is>
          <t>48900-010</t>
        </is>
      </c>
      <c r="H1349" s="15" t="n">
        <v>1</v>
      </c>
      <c r="I1349" s="28" t="inlineStr">
        <is>
          <t>NÃO</t>
        </is>
      </c>
      <c r="J1349" s="29" t="n"/>
      <c r="K1349" s="14" t="str">
        <f>IF(J1349="","7. Acima de 2 km",IF(J1349&lt;=50,"1. Até 50 m",IF(J1349&lt;=100,"2. De 50 a 100 m",IF(J1349&lt;=200,"3. De 100 a 200 m",IF(J1349&lt;=300,"4. De 200 a 300 m",IF(J1349&lt;=500,"5. De 300 a 500 m","6. De 500 m a 2 km"))))))</f>
        <v>7. Acima de 2 km</v>
      </c>
      <c r="L1349" s="26" t="n">
        <v>0</v>
      </c>
      <c r="M1349" s="26" t="n">
        <v>0</v>
      </c>
      <c r="N1349" s="26" t="n">
        <v>0</v>
      </c>
      <c r="O1349" s="26" t="n">
        <v>0</v>
      </c>
      <c r="P1349" s="30" t="n">
        <v>-9.3760586</v>
      </c>
      <c r="Q1349" s="30" t="n">
        <v>-40.3503266</v>
      </c>
      <c r="R1349" s="14" t="inlineStr">
        <is>
          <t xml:space="preserve"> FÓRUM ELEITORAL DE JUAZEIRO, RUA DOS BANDEIRANTES, S/N, BAIRRO JOÃO XXIII, JUAZEIRO/BA</t>
        </is>
      </c>
      <c r="S1349" s="26">
        <f>IF(A1349=A1348,0,1)</f>
        <v>0</v>
      </c>
      <c r="T1349" s="26">
        <f>IF(COUNTIF($B$4:B1349,B1349)=1,1,0)</f>
        <v>0</v>
      </c>
    </row>
    <row r="1350">
      <c r="A1350" s="14" t="inlineStr">
        <is>
          <t>JUAZEIRO</t>
        </is>
      </c>
      <c r="B1350" s="26" t="n">
        <v>48</v>
      </c>
      <c r="C1350" s="26" t="n">
        <v>1503</v>
      </c>
      <c r="D1350" s="14" t="inlineStr">
        <is>
          <t>ESCOLA MUNICIPAL DE TEMPO INTEGRAL PROFESSORA VALDETE BISPO GAMA</t>
        </is>
      </c>
      <c r="E1350" s="14" t="inlineStr">
        <is>
          <t>DISTRITO MASSAROCA</t>
        </is>
      </c>
      <c r="F1350" s="14" t="inlineStr">
        <is>
          <t>POVOADO LAGOINHA - ZONA RURAL</t>
        </is>
      </c>
      <c r="G1350" s="27" t="inlineStr">
        <is>
          <t>48900-000</t>
        </is>
      </c>
      <c r="H1350" s="15" t="n">
        <v>1</v>
      </c>
      <c r="I1350" s="28" t="inlineStr">
        <is>
          <t>NÃO</t>
        </is>
      </c>
      <c r="J1350" s="29" t="n"/>
      <c r="K1350" s="14" t="str">
        <f>IF(J1350="","7. Acima de 2 km",IF(J1350&lt;=50,"1. Até 50 m",IF(J1350&lt;=100,"2. De 50 a 100 m",IF(J1350&lt;=200,"3. De 100 a 200 m",IF(J1350&lt;=300,"4. De 200 a 300 m",IF(J1350&lt;=500,"5. De 300 a 500 m","6. De 500 m a 2 km"))))))</f>
        <v>7. Acima de 2 km</v>
      </c>
      <c r="L1350" s="26" t="n">
        <v>0</v>
      </c>
      <c r="M1350" s="26" t="n">
        <v>0</v>
      </c>
      <c r="N1350" s="26" t="n">
        <v>0</v>
      </c>
      <c r="O1350" s="26" t="n">
        <v>0</v>
      </c>
      <c r="P1350" s="30" t="n">
        <v>-9.842059600000001</v>
      </c>
      <c r="Q1350" s="30" t="n">
        <v>-40.2533928</v>
      </c>
      <c r="R1350" s="14" t="inlineStr">
        <is>
          <t xml:space="preserve"> FÓRUM ELEITORAL DE JUAZEIRO, RUA DOS BANDEIRANTES, S/N, BAIRRO JOÃO XXIII, JUAZEIRO/BA</t>
        </is>
      </c>
      <c r="S1350" s="26">
        <f>IF(A1350=A1349,0,1)</f>
        <v>0</v>
      </c>
      <c r="T1350" s="26">
        <f>IF(COUNTIF($B$4:B1350,B1350)=1,1,0)</f>
        <v>0</v>
      </c>
    </row>
    <row r="1351">
      <c r="A1351" s="14" t="inlineStr">
        <is>
          <t>JUAZEIRO</t>
        </is>
      </c>
      <c r="B1351" s="26" t="n">
        <v>48</v>
      </c>
      <c r="C1351" s="26" t="n">
        <v>1511</v>
      </c>
      <c r="D1351" s="14" t="inlineStr">
        <is>
          <t>CENTRO COMUNITÁRIO DE MALHADA DA AREIA</t>
        </is>
      </c>
      <c r="E1351" s="14" t="inlineStr">
        <is>
          <t>DISTRITO PINHÕES</t>
        </is>
      </c>
      <c r="F1351" s="14" t="inlineStr">
        <is>
          <t>ESTRADA JUAZEIRO/PINHÕES - POVOADO MALHADA DA AREIA - ZONA RURAL</t>
        </is>
      </c>
      <c r="G1351" s="27" t="inlineStr">
        <is>
          <t>48900-000</t>
        </is>
      </c>
      <c r="H1351" s="15" t="n">
        <v>1</v>
      </c>
      <c r="I1351" s="28" t="inlineStr">
        <is>
          <t>NÃO</t>
        </is>
      </c>
      <c r="J1351" s="29" t="n"/>
      <c r="K1351" s="14" t="str">
        <f>IF(J1351="","7. Acima de 2 km",IF(J1351&lt;=50,"1. Até 50 m",IF(J1351&lt;=100,"2. De 50 a 100 m",IF(J1351&lt;=200,"3. De 100 a 200 m",IF(J1351&lt;=300,"4. De 200 a 300 m",IF(J1351&lt;=500,"5. De 300 a 500 m","6. De 500 m a 2 km"))))))</f>
        <v>7. Acima de 2 km</v>
      </c>
      <c r="L1351" s="26" t="n">
        <v>0</v>
      </c>
      <c r="M1351" s="26" t="n">
        <v>0</v>
      </c>
      <c r="N1351" s="26" t="n">
        <v>0</v>
      </c>
      <c r="O1351" s="26" t="n">
        <v>0</v>
      </c>
      <c r="P1351" s="30" t="n">
        <v>-9.57427</v>
      </c>
      <c r="Q1351" s="30" t="n">
        <v>-40.1172317</v>
      </c>
      <c r="R1351" s="14" t="inlineStr">
        <is>
          <t xml:space="preserve"> FÓRUM ELEITORAL DE JUAZEIRO, RUA DOS BANDEIRANTES, S/N, BAIRRO JOÃO XXIII, JUAZEIRO/BA</t>
        </is>
      </c>
      <c r="S1351" s="26">
        <f>IF(A1351=A1350,0,1)</f>
        <v>0</v>
      </c>
      <c r="T1351" s="26">
        <f>IF(COUNTIF($B$4:B1351,B1351)=1,1,0)</f>
        <v>0</v>
      </c>
    </row>
    <row r="1352">
      <c r="A1352" s="14" t="inlineStr">
        <is>
          <t>JUAZEIRO</t>
        </is>
      </c>
      <c r="B1352" s="26" t="n">
        <v>48</v>
      </c>
      <c r="C1352" s="26" t="n">
        <v>1538</v>
      </c>
      <c r="D1352" s="14" t="inlineStr">
        <is>
          <t>ESCOLA MUNICIPAL SÃO FRANCISCO DE ASSIS</t>
        </is>
      </c>
      <c r="E1352" s="14" t="inlineStr">
        <is>
          <t>DISTRITO ITAMOTINGA</t>
        </is>
      </c>
      <c r="F1352" s="14" t="inlineStr">
        <is>
          <t>PROJETO CURAÇA NH2 - ZONA RURAL</t>
        </is>
      </c>
      <c r="G1352" s="27" t="inlineStr">
        <is>
          <t>48900-000</t>
        </is>
      </c>
      <c r="H1352" s="15" t="n">
        <v>1</v>
      </c>
      <c r="I1352" s="28" t="inlineStr">
        <is>
          <t>NÃO</t>
        </is>
      </c>
      <c r="J1352" s="29" t="n"/>
      <c r="K1352" s="14" t="str">
        <f>IF(J1352="","7. Acima de 2 km",IF(J1352&lt;=50,"1. Até 50 m",IF(J1352&lt;=100,"2. De 50 a 100 m",IF(J1352&lt;=200,"3. De 100 a 200 m",IF(J1352&lt;=300,"4. De 200 a 300 m",IF(J1352&lt;=500,"5. De 300 a 500 m","6. De 500 m a 2 km"))))))</f>
        <v>7. Acima de 2 km</v>
      </c>
      <c r="L1352" s="26" t="n">
        <v>0</v>
      </c>
      <c r="M1352" s="26" t="n">
        <v>0</v>
      </c>
      <c r="N1352" s="26" t="n">
        <v>0</v>
      </c>
      <c r="O1352" s="26" t="n">
        <v>0</v>
      </c>
      <c r="P1352" s="30" t="n">
        <v>-9.1161183</v>
      </c>
      <c r="Q1352" s="30" t="n">
        <v>-40.0691783</v>
      </c>
      <c r="R1352" s="14" t="inlineStr">
        <is>
          <t xml:space="preserve"> FÓRUM ELEITORAL DE JUAZEIRO, RUA DOS BANDEIRANTES, S/N, BAIRRO JOÃO XXIII, JUAZEIRO/BA</t>
        </is>
      </c>
      <c r="S1352" s="26">
        <f>IF(A1352=A1351,0,1)</f>
        <v>0</v>
      </c>
      <c r="T1352" s="26">
        <f>IF(COUNTIF($B$4:B1352,B1352)=1,1,0)</f>
        <v>0</v>
      </c>
    </row>
    <row r="1353">
      <c r="A1353" s="14" t="inlineStr">
        <is>
          <t>JUAZEIRO</t>
        </is>
      </c>
      <c r="B1353" s="26" t="n">
        <v>48</v>
      </c>
      <c r="C1353" s="26" t="n">
        <v>1546</v>
      </c>
      <c r="D1353" s="14" t="inlineStr">
        <is>
          <t>ESCOLA MUNICIPAL FAMÍLIA UNIDA</t>
        </is>
      </c>
      <c r="E1353" s="14" t="inlineStr">
        <is>
          <t>DISTRITO ITAMOTINGA</t>
        </is>
      </c>
      <c r="F1353" s="14" t="inlineStr">
        <is>
          <t>POVOADO RIACHO DA MASSAROCA - ZONA RURAL</t>
        </is>
      </c>
      <c r="G1353" s="27" t="inlineStr">
        <is>
          <t>48900-010</t>
        </is>
      </c>
      <c r="H1353" s="15" t="n">
        <v>1</v>
      </c>
      <c r="I1353" s="28" t="inlineStr">
        <is>
          <t>NÃO</t>
        </is>
      </c>
      <c r="J1353" s="29" t="n"/>
      <c r="K1353" s="14" t="str">
        <f>IF(J1353="","7. Acima de 2 km",IF(J1353&lt;=50,"1. Até 50 m",IF(J1353&lt;=100,"2. De 50 a 100 m",IF(J1353&lt;=200,"3. De 100 a 200 m",IF(J1353&lt;=300,"4. De 200 a 300 m",IF(J1353&lt;=500,"5. De 300 a 500 m","6. De 500 m a 2 km"))))))</f>
        <v>7. Acima de 2 km</v>
      </c>
      <c r="L1353" s="26" t="n">
        <v>0</v>
      </c>
      <c r="M1353" s="26" t="n">
        <v>0</v>
      </c>
      <c r="N1353" s="26" t="n">
        <v>0</v>
      </c>
      <c r="O1353" s="26" t="n">
        <v>0</v>
      </c>
      <c r="P1353" s="30" t="n">
        <v>-9.305655</v>
      </c>
      <c r="Q1353" s="30" t="n">
        <v>-40.192065</v>
      </c>
      <c r="R1353" s="14" t="inlineStr">
        <is>
          <t xml:space="preserve"> FÓRUM ELEITORAL DE JUAZEIRO, RUA DOS BANDEIRANTES, S/N, BAIRRO JOÃO XXIII, JUAZEIRO/BA</t>
        </is>
      </c>
      <c r="S1353" s="26">
        <f>IF(A1353=A1352,0,1)</f>
        <v>0</v>
      </c>
      <c r="T1353" s="26">
        <f>IF(COUNTIF($B$4:B1353,B1353)=1,1,0)</f>
        <v>0</v>
      </c>
    </row>
    <row r="1354">
      <c r="A1354" s="14" t="inlineStr">
        <is>
          <t>JUAZEIRO</t>
        </is>
      </c>
      <c r="B1354" s="26" t="n">
        <v>48</v>
      </c>
      <c r="C1354" s="26" t="n">
        <v>1562</v>
      </c>
      <c r="D1354" s="14" t="inlineStr">
        <is>
          <t>ESCOLA MUNICIPAL 15 DE JULHO</t>
        </is>
      </c>
      <c r="E1354" s="14" t="inlineStr">
        <is>
          <t>DISTRITO ITAMOTINGA</t>
        </is>
      </c>
      <c r="F1354" s="14" t="inlineStr">
        <is>
          <t>RUA DA BISNAGA, S/N - PROJETO MANIÇOBA NH2 - ZONA RURAL</t>
        </is>
      </c>
      <c r="G1354" s="27" t="inlineStr">
        <is>
          <t>48901-000</t>
        </is>
      </c>
      <c r="H1354" s="15" t="n">
        <v>2</v>
      </c>
      <c r="I1354" s="28" t="inlineStr">
        <is>
          <t>NÃO</t>
        </is>
      </c>
      <c r="J1354" s="29" t="n"/>
      <c r="K1354" s="14" t="str">
        <f>IF(J1354="","7. Acima de 2 km",IF(J1354&lt;=50,"1. Até 50 m",IF(J1354&lt;=100,"2. De 50 a 100 m",IF(J1354&lt;=200,"3. De 100 a 200 m",IF(J1354&lt;=300,"4. De 200 a 300 m",IF(J1354&lt;=500,"5. De 300 a 500 m","6. De 500 m a 2 km"))))))</f>
        <v>7. Acima de 2 km</v>
      </c>
      <c r="L1354" s="26" t="n">
        <v>0</v>
      </c>
      <c r="M1354" s="26" t="n">
        <v>0</v>
      </c>
      <c r="N1354" s="26" t="n">
        <v>0</v>
      </c>
      <c r="O1354" s="26" t="n">
        <v>0</v>
      </c>
      <c r="P1354" s="30" t="n">
        <v>-9.283379099999999</v>
      </c>
      <c r="Q1354" s="30" t="n">
        <v>-40.2831137</v>
      </c>
      <c r="R1354" s="14" t="inlineStr">
        <is>
          <t xml:space="preserve"> FÓRUM ELEITORAL DE JUAZEIRO, RUA DOS BANDEIRANTES, S/N, BAIRRO JOÃO XXIII, JUAZEIRO/BA</t>
        </is>
      </c>
      <c r="S1354" s="26">
        <f>IF(A1354=A1353,0,1)</f>
        <v>0</v>
      </c>
      <c r="T1354" s="26">
        <f>IF(COUNTIF($B$4:B1354,B1354)=1,1,0)</f>
        <v>0</v>
      </c>
    </row>
    <row r="1355">
      <c r="A1355" s="14" t="inlineStr">
        <is>
          <t>JUAZEIRO</t>
        </is>
      </c>
      <c r="B1355" s="26" t="n">
        <v>48</v>
      </c>
      <c r="C1355" s="26" t="n">
        <v>1570</v>
      </c>
      <c r="D1355" s="14" t="inlineStr">
        <is>
          <t>ASSOCIAÇÃO DE PEQUENOS PRODUTORES DE CANOA E OLIVEIRA</t>
        </is>
      </c>
      <c r="E1355" s="14" t="inlineStr">
        <is>
          <t>DISTRITO MASSAROCA</t>
        </is>
      </c>
      <c r="F1355" s="14" t="inlineStr">
        <is>
          <t>POVOADO CANOA - ZONA RURAL</t>
        </is>
      </c>
      <c r="G1355" s="27" t="inlineStr">
        <is>
          <t>48900-000</t>
        </is>
      </c>
      <c r="H1355" s="15" t="n">
        <v>1</v>
      </c>
      <c r="I1355" s="28" t="inlineStr">
        <is>
          <t>NÃO</t>
        </is>
      </c>
      <c r="J1355" s="29" t="n"/>
      <c r="K1355" s="14" t="str">
        <f>IF(J1355="","7. Acima de 2 km",IF(J1355&lt;=50,"1. Até 50 m",IF(J1355&lt;=100,"2. De 50 a 100 m",IF(J1355&lt;=200,"3. De 100 a 200 m",IF(J1355&lt;=300,"4. De 200 a 300 m",IF(J1355&lt;=500,"5. De 300 a 500 m","6. De 500 m a 2 km"))))))</f>
        <v>7. Acima de 2 km</v>
      </c>
      <c r="L1355" s="26" t="n">
        <v>0</v>
      </c>
      <c r="M1355" s="26" t="n">
        <v>0</v>
      </c>
      <c r="N1355" s="26" t="n">
        <v>0</v>
      </c>
      <c r="O1355" s="26" t="n">
        <v>0</v>
      </c>
      <c r="P1355" s="30" t="n">
        <v>-9.8704733</v>
      </c>
      <c r="Q1355" s="30" t="n">
        <v>-40.2152583</v>
      </c>
      <c r="R1355" s="14" t="inlineStr">
        <is>
          <t xml:space="preserve"> FÓRUM ELEITORAL DE JUAZEIRO, RUA DOS BANDEIRANTES, S/N, BAIRRO JOÃO XXIII, JUAZEIRO/BA</t>
        </is>
      </c>
      <c r="S1355" s="26">
        <f>IF(A1355=A1354,0,1)</f>
        <v>0</v>
      </c>
      <c r="T1355" s="26">
        <f>IF(COUNTIF($B$4:B1355,B1355)=1,1,0)</f>
        <v>0</v>
      </c>
    </row>
    <row r="1356">
      <c r="A1356" s="14" t="inlineStr">
        <is>
          <t>JUAZEIRO</t>
        </is>
      </c>
      <c r="B1356" s="26" t="n">
        <v>48</v>
      </c>
      <c r="C1356" s="26" t="n">
        <v>1600</v>
      </c>
      <c r="D1356" s="14" t="inlineStr">
        <is>
          <t>UNIVERSIDADE FEDERAL DO VALE DO SÃO FRANCISCO - UNIVASF</t>
        </is>
      </c>
      <c r="E1356" s="14" t="inlineStr">
        <is>
          <t>COUNTRY CLUB</t>
        </is>
      </c>
      <c r="F1356" s="14" t="inlineStr">
        <is>
          <t>AVENIDA ANTÔNIO CARLOS MAGALHÃES, N 510 - ZONA URBANA</t>
        </is>
      </c>
      <c r="G1356" s="27" t="inlineStr">
        <is>
          <t>48902-300</t>
        </is>
      </c>
      <c r="H1356" s="15" t="n">
        <v>20</v>
      </c>
      <c r="I1356" s="28" t="inlineStr">
        <is>
          <t>NÃO</t>
        </is>
      </c>
      <c r="J1356" s="29" t="n">
        <v>694.9</v>
      </c>
      <c r="K1356" s="14" t="str">
        <f>IF(J1356="","7. Acima de 2 km",IF(J1356&lt;=50,"1. Até 50 m",IF(J1356&lt;=100,"2. De 50 a 100 m",IF(J1356&lt;=200,"3. De 100 a 200 m",IF(J1356&lt;=300,"4. De 200 a 300 m",IF(J1356&lt;=500,"5. De 300 a 500 m","6. De 500 m a 2 km"))))))</f>
        <v>6. De 500 m a 2 km</v>
      </c>
      <c r="L1356" s="26" t="n">
        <v>0</v>
      </c>
      <c r="M1356" s="26" t="n">
        <v>0</v>
      </c>
      <c r="N1356" s="26" t="n">
        <v>0</v>
      </c>
      <c r="O1356" s="26" t="n">
        <v>0</v>
      </c>
      <c r="P1356" s="30" t="n">
        <v>-9.4123667</v>
      </c>
      <c r="Q1356" s="30" t="n">
        <v>-40.51636</v>
      </c>
      <c r="R1356" s="14" t="inlineStr">
        <is>
          <t xml:space="preserve"> FÓRUM ELEITORAL DE JUAZEIRO, RUA DOS BANDEIRANTES, S/N, BAIRRO JOÃO XXIII, JUAZEIRO/BA</t>
        </is>
      </c>
      <c r="S1356" s="26">
        <f>IF(A1356=A1355,0,1)</f>
        <v>0</v>
      </c>
      <c r="T1356" s="26">
        <f>IF(COUNTIF($B$4:B1356,B1356)=1,1,0)</f>
        <v>0</v>
      </c>
    </row>
    <row r="1357">
      <c r="A1357" s="14" t="inlineStr">
        <is>
          <t>JUAZEIRO</t>
        </is>
      </c>
      <c r="B1357" s="26" t="n">
        <v>48</v>
      </c>
      <c r="C1357" s="26" t="n">
        <v>1619</v>
      </c>
      <c r="D1357" s="14" t="inlineStr">
        <is>
          <t>COMPLEXO INTEGRADO DE EDUCAÇÃO BASICA ESTADUAL RUY BARBOSA</t>
        </is>
      </c>
      <c r="E1357" s="14" t="inlineStr">
        <is>
          <t>SANTO ANTÔNIO</t>
        </is>
      </c>
      <c r="F1357" s="14" t="inlineStr">
        <is>
          <t>AV. ANTÔNIO CARLOS MAGALHÃES, S/N - ZONA URBANA</t>
        </is>
      </c>
      <c r="G1357" s="27" t="inlineStr">
        <is>
          <t>48903-210</t>
        </is>
      </c>
      <c r="H1357" s="15" t="n">
        <v>13</v>
      </c>
      <c r="I1357" s="28" t="inlineStr">
        <is>
          <t>NÃO</t>
        </is>
      </c>
      <c r="J1357" s="29" t="n">
        <v>429.8</v>
      </c>
      <c r="K1357" s="14" t="str">
        <f>IF(J1357="","7. Acima de 2 km",IF(J1357&lt;=50,"1. Até 50 m",IF(J1357&lt;=100,"2. De 50 a 100 m",IF(J1357&lt;=200,"3. De 100 a 200 m",IF(J1357&lt;=300,"4. De 200 a 300 m",IF(J1357&lt;=500,"5. De 300 a 500 m","6. De 500 m a 2 km"))))))</f>
        <v>5. De 300 a 500 m</v>
      </c>
      <c r="L1357" s="26" t="n">
        <v>0</v>
      </c>
      <c r="M1357" s="26" t="n">
        <v>0</v>
      </c>
      <c r="N1357" s="26" t="n">
        <v>0</v>
      </c>
      <c r="O1357" s="26" t="n">
        <v>0</v>
      </c>
      <c r="P1357" s="30" t="n">
        <v>-9.4136351</v>
      </c>
      <c r="Q1357" s="30" t="n">
        <v>-40.5141672</v>
      </c>
      <c r="R1357" s="14" t="inlineStr">
        <is>
          <t xml:space="preserve"> FÓRUM ELEITORAL DE JUAZEIRO, RUA DOS BANDEIRANTES, S/N, BAIRRO JOÃO XXIII, JUAZEIRO/BA</t>
        </is>
      </c>
      <c r="S1357" s="26">
        <f>IF(A1357=A1356,0,1)</f>
        <v>0</v>
      </c>
      <c r="T1357" s="26">
        <f>IF(COUNTIF($B$4:B1357,B1357)=1,1,0)</f>
        <v>0</v>
      </c>
    </row>
    <row r="1358">
      <c r="A1358" s="14" t="inlineStr">
        <is>
          <t>JUAZEIRO</t>
        </is>
      </c>
      <c r="B1358" s="26" t="n">
        <v>48</v>
      </c>
      <c r="C1358" s="26" t="n">
        <v>1627</v>
      </c>
      <c r="D1358" s="14" t="inlineStr">
        <is>
          <t>COLÉGIO ESTADUAL JUTAHY MAGALHÃES</t>
        </is>
      </c>
      <c r="E1358" s="14" t="inlineStr">
        <is>
          <t>PIRANGA</t>
        </is>
      </c>
      <c r="F1358" s="14" t="inlineStr">
        <is>
          <t>PRAÇA IMACULADA CONCEIÇÃO, 04, ZONA URBANA</t>
        </is>
      </c>
      <c r="G1358" s="27" t="inlineStr">
        <is>
          <t>48900-120</t>
        </is>
      </c>
      <c r="H1358" s="15" t="n">
        <v>11</v>
      </c>
      <c r="I1358" s="28" t="inlineStr">
        <is>
          <t>NÃO</t>
        </is>
      </c>
      <c r="J1358" s="29" t="n">
        <v>451.3</v>
      </c>
      <c r="K1358" s="14" t="str">
        <f>IF(J1358="","7. Acima de 2 km",IF(J1358&lt;=50,"1. Até 50 m",IF(J1358&lt;=100,"2. De 50 a 100 m",IF(J1358&lt;=200,"3. De 100 a 200 m",IF(J1358&lt;=300,"4. De 200 a 300 m",IF(J1358&lt;=500,"5. De 300 a 500 m","6. De 500 m a 2 km"))))))</f>
        <v>5. De 300 a 500 m</v>
      </c>
      <c r="L1358" s="26" t="n">
        <v>0</v>
      </c>
      <c r="M1358" s="26" t="n">
        <v>0</v>
      </c>
      <c r="N1358" s="26" t="n">
        <v>0</v>
      </c>
      <c r="O1358" s="26" t="n">
        <v>0</v>
      </c>
      <c r="P1358" s="30" t="n">
        <v>-9.424993300000001</v>
      </c>
      <c r="Q1358" s="30" t="n">
        <v>-40.5038433</v>
      </c>
      <c r="R1358" s="14" t="inlineStr">
        <is>
          <t xml:space="preserve"> FÓRUM ELEITORAL DE JUAZEIRO, RUA DOS BANDEIRANTES, S/N, BAIRRO JOÃO XXIII, JUAZEIRO/BA</t>
        </is>
      </c>
      <c r="S1358" s="26">
        <f>IF(A1358=A1357,0,1)</f>
        <v>0</v>
      </c>
      <c r="T1358" s="26">
        <f>IF(COUNTIF($B$4:B1358,B1358)=1,1,0)</f>
        <v>0</v>
      </c>
    </row>
    <row r="1359">
      <c r="A1359" s="14" t="inlineStr">
        <is>
          <t>JUAZEIRO</t>
        </is>
      </c>
      <c r="B1359" s="26" t="n">
        <v>48</v>
      </c>
      <c r="C1359" s="26" t="n">
        <v>1635</v>
      </c>
      <c r="D1359" s="14" t="inlineStr">
        <is>
          <t>ESCOLA MUNICIPAL EDUCANDÁRIO JOÃO XXIII</t>
        </is>
      </c>
      <c r="E1359" s="14" t="inlineStr">
        <is>
          <t>PIRANGA</t>
        </is>
      </c>
      <c r="F1359" s="14" t="inlineStr">
        <is>
          <t>RUA IMACULADA CONCEIÇÃO, S/N - ZONA URBANA</t>
        </is>
      </c>
      <c r="G1359" s="27" t="inlineStr">
        <is>
          <t>48900-120</t>
        </is>
      </c>
      <c r="H1359" s="15" t="n">
        <v>6</v>
      </c>
      <c r="I1359" s="28" t="inlineStr">
        <is>
          <t>NÃO</t>
        </is>
      </c>
      <c r="J1359" s="29" t="n">
        <v>469.4</v>
      </c>
      <c r="K1359" s="14" t="str">
        <f>IF(J1359="","7. Acima de 2 km",IF(J1359&lt;=50,"1. Até 50 m",IF(J1359&lt;=100,"2. De 50 a 100 m",IF(J1359&lt;=200,"3. De 100 a 200 m",IF(J1359&lt;=300,"4. De 200 a 300 m",IF(J1359&lt;=500,"5. De 300 a 500 m","6. De 500 m a 2 km"))))))</f>
        <v>5. De 300 a 500 m</v>
      </c>
      <c r="L1359" s="26" t="n">
        <v>0</v>
      </c>
      <c r="M1359" s="26" t="n">
        <v>0</v>
      </c>
      <c r="N1359" s="26" t="n">
        <v>0</v>
      </c>
      <c r="O1359" s="26" t="n">
        <v>0</v>
      </c>
      <c r="P1359" s="30" t="n">
        <v>-9.4355552</v>
      </c>
      <c r="Q1359" s="30" t="n">
        <v>-40.5033948</v>
      </c>
      <c r="R1359" s="14" t="inlineStr">
        <is>
          <t xml:space="preserve"> FÓRUM ELEITORAL DE JUAZEIRO, RUA DOS BANDEIRANTES, S/N, BAIRRO JOÃO XXIII, JUAZEIRO/BA</t>
        </is>
      </c>
      <c r="S1359" s="26">
        <f>IF(A1359=A1358,0,1)</f>
        <v>0</v>
      </c>
      <c r="T1359" s="26">
        <f>IF(COUNTIF($B$4:B1359,B1359)=1,1,0)</f>
        <v>0</v>
      </c>
    </row>
    <row r="1360">
      <c r="A1360" s="14" t="inlineStr">
        <is>
          <t>JUAZEIRO</t>
        </is>
      </c>
      <c r="B1360" s="26" t="n">
        <v>48</v>
      </c>
      <c r="C1360" s="26" t="n">
        <v>1643</v>
      </c>
      <c r="D1360" s="14" t="inlineStr">
        <is>
          <t>ESCOLA MUNICIPAL PROFESSORA GUIOMAR LUSTOSA RODRIGUES</t>
        </is>
      </c>
      <c r="E1360" s="14" t="inlineStr">
        <is>
          <t>QUIDÉ</t>
        </is>
      </c>
      <c r="F1360" s="14" t="inlineStr">
        <is>
          <t>RUA DAS ALGAROBAS, S/N - ZONA URBANA</t>
        </is>
      </c>
      <c r="G1360" s="27" t="inlineStr">
        <is>
          <t>48901-260</t>
        </is>
      </c>
      <c r="H1360" s="15" t="n">
        <v>6</v>
      </c>
      <c r="I1360" s="28" t="inlineStr">
        <is>
          <t>NÃO</t>
        </is>
      </c>
      <c r="J1360" s="29" t="n">
        <v>814.9</v>
      </c>
      <c r="K1360" s="14" t="str">
        <f>IF(J1360="","7. Acima de 2 km",IF(J1360&lt;=50,"1. Até 50 m",IF(J1360&lt;=100,"2. De 50 a 100 m",IF(J1360&lt;=200,"3. De 100 a 200 m",IF(J1360&lt;=300,"4. De 200 a 300 m",IF(J1360&lt;=500,"5. De 300 a 500 m","6. De 500 m a 2 km"))))))</f>
        <v>6. De 500 m a 2 km</v>
      </c>
      <c r="L1360" s="26" t="n">
        <v>0</v>
      </c>
      <c r="M1360" s="26" t="n">
        <v>0</v>
      </c>
      <c r="N1360" s="26" t="n">
        <v>0</v>
      </c>
      <c r="O1360" s="26" t="n">
        <v>0</v>
      </c>
      <c r="P1360" s="30" t="n">
        <v>-9.429919999999999</v>
      </c>
      <c r="Q1360" s="30" t="n">
        <v>-40.5234417</v>
      </c>
      <c r="R1360" s="14" t="inlineStr">
        <is>
          <t xml:space="preserve"> FÓRUM ELEITORAL DE JUAZEIRO, RUA DOS BANDEIRANTES, S/N, BAIRRO JOÃO XXIII, JUAZEIRO/BA</t>
        </is>
      </c>
      <c r="S1360" s="26">
        <f>IF(A1360=A1359,0,1)</f>
        <v>0</v>
      </c>
      <c r="T1360" s="26">
        <f>IF(COUNTIF($B$4:B1360,B1360)=1,1,0)</f>
        <v>0</v>
      </c>
    </row>
    <row r="1361">
      <c r="A1361" s="14" t="inlineStr">
        <is>
          <t>JUAZEIRO</t>
        </is>
      </c>
      <c r="B1361" s="26" t="n">
        <v>48</v>
      </c>
      <c r="C1361" s="26" t="n">
        <v>1651</v>
      </c>
      <c r="D1361" s="14" t="inlineStr">
        <is>
          <t>ESCOLA MUNICIPAL PROFESSORA HAYDEE FONSECA FALCÃO</t>
        </is>
      </c>
      <c r="E1361" s="14" t="inlineStr">
        <is>
          <t>JOÃO PAULO II</t>
        </is>
      </c>
      <c r="F1361" s="14" t="inlineStr">
        <is>
          <t>QUADRA 23, S/N - ZONA URBANA</t>
        </is>
      </c>
      <c r="G1361" s="27" t="inlineStr">
        <is>
          <t>48914-072</t>
        </is>
      </c>
      <c r="H1361" s="15" t="n">
        <v>5</v>
      </c>
      <c r="I1361" s="28" t="inlineStr">
        <is>
          <t>SIM</t>
        </is>
      </c>
      <c r="J1361" s="29" t="n">
        <v>57</v>
      </c>
      <c r="K1361" s="14" t="str">
        <f>IF(J1361="","7. Acima de 2 km",IF(J1361&lt;=50,"1. Até 50 m",IF(J1361&lt;=100,"2. De 50 a 100 m",IF(J1361&lt;=200,"3. De 100 a 200 m",IF(J1361&lt;=300,"4. De 200 a 300 m",IF(J1361&lt;=500,"5. De 300 a 500 m","6. De 500 m a 2 km"))))))</f>
        <v>2. De 50 a 100 m</v>
      </c>
      <c r="L1361" s="26" t="n">
        <v>0</v>
      </c>
      <c r="M1361" s="26" t="n">
        <v>1</v>
      </c>
      <c r="N1361" s="26" t="n">
        <v>1</v>
      </c>
      <c r="O1361" s="26" t="n">
        <v>3</v>
      </c>
      <c r="P1361" s="30" t="n">
        <v>-9.4706727</v>
      </c>
      <c r="Q1361" s="30" t="n">
        <v>-40.4981344</v>
      </c>
      <c r="R1361" s="14" t="inlineStr">
        <is>
          <t xml:space="preserve"> FÓRUM ELEITORAL DE JUAZEIRO, RUA DOS BANDEIRANTES, S/N, BAIRRO JOÃO XXIII, JUAZEIRO/BA</t>
        </is>
      </c>
      <c r="S1361" s="26">
        <f>IF(A1361=A1360,0,1)</f>
        <v>0</v>
      </c>
      <c r="T1361" s="26">
        <f>IF(COUNTIF($B$4:B1361,B1361)=1,1,0)</f>
        <v>0</v>
      </c>
    </row>
    <row r="1362">
      <c r="A1362" s="14" t="inlineStr">
        <is>
          <t>JUAZEIRO</t>
        </is>
      </c>
      <c r="B1362" s="26" t="n">
        <v>48</v>
      </c>
      <c r="C1362" s="26" t="n">
        <v>1660</v>
      </c>
      <c r="D1362" s="14" t="inlineStr">
        <is>
          <t>ANTIGO COLÉGIO ESTADUAL ANTONÍLIO DA FRANÇA CARDOSO</t>
        </is>
      </c>
      <c r="E1362" s="14" t="inlineStr">
        <is>
          <t>DOM JOSÉ RODRIGUES</t>
        </is>
      </c>
      <c r="F1362" s="14" t="inlineStr">
        <is>
          <t>AVENIDA ALFA, N 384 - ZONA URBANA</t>
        </is>
      </c>
      <c r="G1362" s="27" t="inlineStr">
        <is>
          <t>48909-000</t>
        </is>
      </c>
      <c r="H1362" s="15" t="n">
        <v>8</v>
      </c>
      <c r="I1362" s="28" t="inlineStr">
        <is>
          <t>SIM</t>
        </is>
      </c>
      <c r="J1362" s="29" t="n">
        <v>32.8</v>
      </c>
      <c r="K1362" s="14" t="str">
        <f>IF(J1362="","7. Acima de 2 km",IF(J1362&lt;=50,"1. Até 50 m",IF(J1362&lt;=100,"2. De 50 a 100 m",IF(J1362&lt;=200,"3. De 100 a 200 m",IF(J1362&lt;=300,"4. De 200 a 300 m",IF(J1362&lt;=500,"5. De 300 a 500 m","6. De 500 m a 2 km"))))))</f>
        <v>1. Até 50 m</v>
      </c>
      <c r="L1362" s="26" t="n">
        <v>1</v>
      </c>
      <c r="M1362" s="26" t="n">
        <v>1</v>
      </c>
      <c r="N1362" s="26" t="n">
        <v>1</v>
      </c>
      <c r="O1362" s="26" t="n">
        <v>2</v>
      </c>
      <c r="P1362" s="30" t="n">
        <v>-9.455905400000001</v>
      </c>
      <c r="Q1362" s="30" t="n">
        <v>-40.5125032</v>
      </c>
      <c r="R1362" s="14" t="inlineStr">
        <is>
          <t xml:space="preserve"> FÓRUM ELEITORAL DE JUAZEIRO, RUA DOS BANDEIRANTES, S/N, BAIRRO JOÃO XXIII, JUAZEIRO/BA</t>
        </is>
      </c>
      <c r="S1362" s="26">
        <f>IF(A1362=A1361,0,1)</f>
        <v>0</v>
      </c>
      <c r="T1362" s="26">
        <f>IF(COUNTIF($B$4:B1362,B1362)=1,1,0)</f>
        <v>0</v>
      </c>
    </row>
    <row r="1363">
      <c r="A1363" s="14" t="inlineStr">
        <is>
          <t>JUAZEIRO</t>
        </is>
      </c>
      <c r="B1363" s="26" t="n">
        <v>48</v>
      </c>
      <c r="C1363" s="26" t="n">
        <v>1678</v>
      </c>
      <c r="D1363" s="14" t="inlineStr">
        <is>
          <t>COLÉGIO ESTADUAL TEMPO INTEGRAL PEDRO RAIMUNDO MOREIRA REGO</t>
        </is>
      </c>
      <c r="E1363" s="14" t="inlineStr">
        <is>
          <t>ALTO DA ALIANÇA</t>
        </is>
      </c>
      <c r="F1363" s="14" t="inlineStr">
        <is>
          <t>AV. IRMÃ DULCE</t>
        </is>
      </c>
      <c r="G1363" s="27" t="inlineStr">
        <is>
          <t>48900-000</t>
        </is>
      </c>
      <c r="H1363" s="15" t="n">
        <v>8</v>
      </c>
      <c r="I1363" s="28" t="inlineStr">
        <is>
          <t>SIM</t>
        </is>
      </c>
      <c r="J1363" s="29" t="n">
        <v>73.3</v>
      </c>
      <c r="K1363" s="14" t="str">
        <f>IF(J1363="","7. Acima de 2 km",IF(J1363&lt;=50,"1. Até 50 m",IF(J1363&lt;=100,"2. De 50 a 100 m",IF(J1363&lt;=200,"3. De 100 a 200 m",IF(J1363&lt;=300,"4. De 200 a 300 m",IF(J1363&lt;=500,"5. De 300 a 500 m","6. De 500 m a 2 km"))))))</f>
        <v>2. De 50 a 100 m</v>
      </c>
      <c r="L1363" s="26" t="n">
        <v>0</v>
      </c>
      <c r="M1363" s="26" t="n">
        <v>1</v>
      </c>
      <c r="N1363" s="26" t="n">
        <v>1</v>
      </c>
      <c r="O1363" s="26" t="n">
        <v>1</v>
      </c>
      <c r="P1363" s="30" t="n">
        <v>-9.446760299999999</v>
      </c>
      <c r="Q1363" s="30" t="n">
        <v>-40.498594</v>
      </c>
      <c r="R1363" s="14" t="inlineStr">
        <is>
          <t xml:space="preserve"> FÓRUM ELEITORAL DE JUAZEIRO, RUA DOS BANDEIRANTES, S/N, BAIRRO JOÃO XXIII, JUAZEIRO/BA</t>
        </is>
      </c>
      <c r="S1363" s="26">
        <f>IF(A1363=A1362,0,1)</f>
        <v>0</v>
      </c>
      <c r="T1363" s="26">
        <f>IF(COUNTIF($B$4:B1363,B1363)=1,1,0)</f>
        <v>0</v>
      </c>
    </row>
    <row r="1364">
      <c r="A1364" s="14" t="inlineStr">
        <is>
          <t>JUAZEIRO</t>
        </is>
      </c>
      <c r="B1364" s="26" t="n">
        <v>48</v>
      </c>
      <c r="C1364" s="26" t="n">
        <v>1686</v>
      </c>
      <c r="D1364" s="14" t="inlineStr">
        <is>
          <t>ESCOLA ESTADUAL DOM AVELAR BRANDÃO VILELA</t>
        </is>
      </c>
      <c r="E1364" s="14" t="inlineStr">
        <is>
          <t>JOÃO PAULO II</t>
        </is>
      </c>
      <c r="F1364" s="14" t="inlineStr">
        <is>
          <t>QUADRA 13, S/N - ZONA URBANA</t>
        </is>
      </c>
      <c r="G1364" s="27" t="inlineStr">
        <is>
          <t>48908-130</t>
        </is>
      </c>
      <c r="H1364" s="15" t="n">
        <v>9</v>
      </c>
      <c r="I1364" s="28" t="inlineStr">
        <is>
          <t>SIM</t>
        </is>
      </c>
      <c r="J1364" s="29" t="n">
        <v>69.90000000000001</v>
      </c>
      <c r="K1364" s="14" t="str">
        <f>IF(J1364="","7. Acima de 2 km",IF(J1364&lt;=50,"1. Até 50 m",IF(J1364&lt;=100,"2. De 50 a 100 m",IF(J1364&lt;=200,"3. De 100 a 200 m",IF(J1364&lt;=300,"4. De 200 a 300 m",IF(J1364&lt;=500,"5. De 300 a 500 m","6. De 500 m a 2 km"))))))</f>
        <v>2. De 50 a 100 m</v>
      </c>
      <c r="L1364" s="26" t="n">
        <v>0</v>
      </c>
      <c r="M1364" s="26" t="n">
        <v>1</v>
      </c>
      <c r="N1364" s="26" t="n">
        <v>1</v>
      </c>
      <c r="O1364" s="26" t="n">
        <v>1</v>
      </c>
      <c r="P1364" s="30" t="n">
        <v>-9.473845000000001</v>
      </c>
      <c r="Q1364" s="30" t="n">
        <v>-40.4976883</v>
      </c>
      <c r="R1364" s="14" t="inlineStr">
        <is>
          <t xml:space="preserve"> FÓRUM ELEITORAL DE JUAZEIRO, RUA DOS BANDEIRANTES, S/N, BAIRRO JOÃO XXIII, JUAZEIRO/BA</t>
        </is>
      </c>
      <c r="S1364" s="26">
        <f>IF(A1364=A1363,0,1)</f>
        <v>0</v>
      </c>
      <c r="T1364" s="26">
        <f>IF(COUNTIF($B$4:B1364,B1364)=1,1,0)</f>
        <v>0</v>
      </c>
    </row>
    <row r="1365">
      <c r="A1365" s="14" t="inlineStr">
        <is>
          <t>JUAZEIRO</t>
        </is>
      </c>
      <c r="B1365" s="26" t="n">
        <v>48</v>
      </c>
      <c r="C1365" s="26" t="n">
        <v>1694</v>
      </c>
      <c r="D1365" s="14" t="inlineStr">
        <is>
          <t>COLÉGIO ESTADUAL DE TEMPO INTEGRAL PROFESSOR PAULO JOSÉ DE OLIVEIRA</t>
        </is>
      </c>
      <c r="E1365" s="14" t="inlineStr">
        <is>
          <t>ARGEMIRO</t>
        </is>
      </c>
      <c r="F1365" s="14" t="inlineStr">
        <is>
          <t>RUA IMPERATRIZ, Nº 231 - ZONA URBANA</t>
        </is>
      </c>
      <c r="G1365" s="27" t="inlineStr">
        <is>
          <t>48916-255</t>
        </is>
      </c>
      <c r="H1365" s="15" t="n">
        <v>12</v>
      </c>
      <c r="I1365" s="28" t="inlineStr">
        <is>
          <t>SIM</t>
        </is>
      </c>
      <c r="J1365" s="29" t="n">
        <v>68.8</v>
      </c>
      <c r="K1365" s="14" t="str">
        <f>IF(J1365="","7. Acima de 2 km",IF(J1365&lt;=50,"1. Até 50 m",IF(J1365&lt;=100,"2. De 50 a 100 m",IF(J1365&lt;=200,"3. De 100 a 200 m",IF(J1365&lt;=300,"4. De 200 a 300 m",IF(J1365&lt;=500,"5. De 300 a 500 m","6. De 500 m a 2 km"))))))</f>
        <v>2. De 50 a 100 m</v>
      </c>
      <c r="L1365" s="26" t="n">
        <v>0</v>
      </c>
      <c r="M1365" s="26" t="n">
        <v>1</v>
      </c>
      <c r="N1365" s="26" t="n">
        <v>1</v>
      </c>
      <c r="O1365" s="26" t="n">
        <v>1</v>
      </c>
      <c r="P1365" s="30" t="n">
        <v>-9.4404067</v>
      </c>
      <c r="Q1365" s="30" t="n">
        <v>-40.5148183</v>
      </c>
      <c r="R1365" s="14" t="inlineStr">
        <is>
          <t xml:space="preserve"> FÓRUM ELEITORAL DE JUAZEIRO, RUA DOS BANDEIRANTES, S/N, BAIRRO JOÃO XXIII, JUAZEIRO/BA</t>
        </is>
      </c>
      <c r="S1365" s="26">
        <f>IF(A1365=A1364,0,1)</f>
        <v>0</v>
      </c>
      <c r="T1365" s="26">
        <f>IF(COUNTIF($B$4:B1365,B1365)=1,1,0)</f>
        <v>0</v>
      </c>
    </row>
    <row r="1366">
      <c r="A1366" s="14" t="inlineStr">
        <is>
          <t>JUAZEIRO</t>
        </is>
      </c>
      <c r="B1366" s="26" t="n">
        <v>48</v>
      </c>
      <c r="C1366" s="26" t="n">
        <v>1708</v>
      </c>
      <c r="D1366" s="14" t="inlineStr">
        <is>
          <t>ESCOLA MUNICIPAL JOCA DE SOUZA OLIVEIRA</t>
        </is>
      </c>
      <c r="E1366" s="14" t="inlineStr">
        <is>
          <t>MARINGÁ</t>
        </is>
      </c>
      <c r="F1366" s="14" t="inlineStr">
        <is>
          <t>RUA CARLOS DRUMOND DE ANDRADE, 59 - ZONA URBANA</t>
        </is>
      </c>
      <c r="G1366" s="27" t="inlineStr">
        <is>
          <t>48902-190</t>
        </is>
      </c>
      <c r="H1366" s="15" t="n">
        <v>5</v>
      </c>
      <c r="I1366" s="28" t="inlineStr">
        <is>
          <t>NÃO</t>
        </is>
      </c>
      <c r="J1366" s="29" t="n">
        <v>483.5</v>
      </c>
      <c r="K1366" s="14" t="str">
        <f>IF(J1366="","7. Acima de 2 km",IF(J1366&lt;=50,"1. Até 50 m",IF(J1366&lt;=100,"2. De 50 a 100 m",IF(J1366&lt;=200,"3. De 100 a 200 m",IF(J1366&lt;=300,"4. De 200 a 300 m",IF(J1366&lt;=500,"5. De 300 a 500 m","6. De 500 m a 2 km"))))))</f>
        <v>5. De 300 a 500 m</v>
      </c>
      <c r="L1366" s="26" t="n">
        <v>0</v>
      </c>
      <c r="M1366" s="26" t="n">
        <v>0</v>
      </c>
      <c r="N1366" s="26" t="n">
        <v>0</v>
      </c>
      <c r="O1366" s="26" t="n">
        <v>0</v>
      </c>
      <c r="P1366" s="30" t="n">
        <v>-9.4162283</v>
      </c>
      <c r="Q1366" s="30" t="n">
        <v>-40.5141383</v>
      </c>
      <c r="R1366" s="14" t="inlineStr">
        <is>
          <t xml:space="preserve"> FÓRUM ELEITORAL DE JUAZEIRO, RUA DOS BANDEIRANTES, S/N, BAIRRO JOÃO XXIII, JUAZEIRO/BA</t>
        </is>
      </c>
      <c r="S1366" s="26">
        <f>IF(A1366=A1365,0,1)</f>
        <v>0</v>
      </c>
      <c r="T1366" s="26">
        <f>IF(COUNTIF($B$4:B1366,B1366)=1,1,0)</f>
        <v>0</v>
      </c>
    </row>
    <row r="1367">
      <c r="A1367" s="14" t="inlineStr">
        <is>
          <t>JUAZEIRO</t>
        </is>
      </c>
      <c r="B1367" s="26" t="n">
        <v>48</v>
      </c>
      <c r="C1367" s="26" t="n">
        <v>1716</v>
      </c>
      <c r="D1367" s="14" t="inlineStr">
        <is>
          <t>COLÉGIO ESTADUAL DONA GUIOMAR BARRETO MEIRA</t>
        </is>
      </c>
      <c r="E1367" s="14" t="inlineStr">
        <is>
          <t>JOÃO PAULO II</t>
        </is>
      </c>
      <c r="F1367" s="14" t="inlineStr">
        <is>
          <t>PARQUE RESIDENCIAL, S/N - ZONA URBANA</t>
        </is>
      </c>
      <c r="G1367" s="27" t="inlineStr">
        <is>
          <t>48908-390</t>
        </is>
      </c>
      <c r="H1367" s="15" t="n">
        <v>9</v>
      </c>
      <c r="I1367" s="28" t="inlineStr">
        <is>
          <t>NÃO</t>
        </is>
      </c>
      <c r="J1367" s="29" t="n">
        <v>252.1</v>
      </c>
      <c r="K1367" s="14" t="str">
        <f>IF(J1367="","7. Acima de 2 km",IF(J1367&lt;=50,"1. Até 50 m",IF(J1367&lt;=100,"2. De 50 a 100 m",IF(J1367&lt;=200,"3. De 100 a 200 m",IF(J1367&lt;=300,"4. De 200 a 300 m",IF(J1367&lt;=500,"5. De 300 a 500 m","6. De 500 m a 2 km"))))))</f>
        <v>4. De 200 a 300 m</v>
      </c>
      <c r="L1367" s="26" t="n">
        <v>0</v>
      </c>
      <c r="M1367" s="26" t="n">
        <v>0</v>
      </c>
      <c r="N1367" s="26" t="n">
        <v>0</v>
      </c>
      <c r="O1367" s="26" t="n">
        <v>1</v>
      </c>
      <c r="P1367" s="30" t="n">
        <v>-9.4756176</v>
      </c>
      <c r="Q1367" s="30" t="n">
        <v>-40.4924616</v>
      </c>
      <c r="R1367" s="14" t="inlineStr">
        <is>
          <t xml:space="preserve"> FÓRUM ELEITORAL DE JUAZEIRO, RUA DOS BANDEIRANTES, S/N, BAIRRO JOÃO XXIII, JUAZEIRO/BA</t>
        </is>
      </c>
      <c r="S1367" s="26">
        <f>IF(A1367=A1366,0,1)</f>
        <v>0</v>
      </c>
      <c r="T1367" s="26">
        <f>IF(COUNTIF($B$4:B1367,B1367)=1,1,0)</f>
        <v>0</v>
      </c>
    </row>
    <row r="1368">
      <c r="A1368" s="14" t="inlineStr">
        <is>
          <t>JUAZEIRO</t>
        </is>
      </c>
      <c r="B1368" s="26" t="n">
        <v>48</v>
      </c>
      <c r="C1368" s="26" t="n">
        <v>1724</v>
      </c>
      <c r="D1368" s="14" t="inlineStr">
        <is>
          <t>CRECHE MARIAH VIANA TANURI</t>
        </is>
      </c>
      <c r="E1368" s="14" t="inlineStr">
        <is>
          <t>NOSSA SENHORA DA PENHA</t>
        </is>
      </c>
      <c r="F1368" s="14" t="inlineStr">
        <is>
          <t>AV GASPAR DE LEMOS, 217 - ZONA URBANA</t>
        </is>
      </c>
      <c r="G1368" s="27" t="inlineStr">
        <is>
          <t>48900-000</t>
        </is>
      </c>
      <c r="H1368" s="15" t="n">
        <v>2</v>
      </c>
      <c r="I1368" s="28" t="inlineStr">
        <is>
          <t>NÃO</t>
        </is>
      </c>
      <c r="J1368" s="29" t="n">
        <v>628.6</v>
      </c>
      <c r="K1368" s="14" t="str">
        <f>IF(J1368="","7. Acima de 2 km",IF(J1368&lt;=50,"1. Até 50 m",IF(J1368&lt;=100,"2. De 50 a 100 m",IF(J1368&lt;=200,"3. De 100 a 200 m",IF(J1368&lt;=300,"4. De 200 a 300 m",IF(J1368&lt;=500,"5. De 300 a 500 m","6. De 500 m a 2 km"))))))</f>
        <v>6. De 500 m a 2 km</v>
      </c>
      <c r="L1368" s="26" t="n">
        <v>0</v>
      </c>
      <c r="M1368" s="26" t="n">
        <v>0</v>
      </c>
      <c r="N1368" s="26" t="n">
        <v>0</v>
      </c>
      <c r="O1368" s="26" t="n">
        <v>0</v>
      </c>
      <c r="P1368" s="30" t="n">
        <v>-9.4187291</v>
      </c>
      <c r="Q1368" s="30" t="n">
        <v>-40.5136044</v>
      </c>
      <c r="R1368" s="14" t="inlineStr">
        <is>
          <t xml:space="preserve"> FÓRUM ELEITORAL DE JUAZEIRO, RUA DOS BANDEIRANTES, S/N, BAIRRO JOÃO XXIII, JUAZEIRO/BA</t>
        </is>
      </c>
      <c r="S1368" s="26">
        <f>IF(A1368=A1367,0,1)</f>
        <v>0</v>
      </c>
      <c r="T1368" s="26">
        <f>IF(COUNTIF($B$4:B1368,B1368)=1,1,0)</f>
        <v>0</v>
      </c>
    </row>
    <row r="1369">
      <c r="A1369" s="14" t="inlineStr">
        <is>
          <t>JUAZEIRO</t>
        </is>
      </c>
      <c r="B1369" s="26" t="n">
        <v>48</v>
      </c>
      <c r="C1369" s="26" t="n">
        <v>1732</v>
      </c>
      <c r="D1369" s="14" t="inlineStr">
        <is>
          <t>ESCOLA MUNICIPAL PRESIDENTE TANCREDO NEVES</t>
        </is>
      </c>
      <c r="E1369" s="14" t="inlineStr">
        <is>
          <t>DOM JOSÉ RODRIGUES</t>
        </is>
      </c>
      <c r="F1369" s="14" t="inlineStr">
        <is>
          <t>CAMINHO 22, S/N - ZONA URBANA</t>
        </is>
      </c>
      <c r="G1369" s="27" t="inlineStr">
        <is>
          <t>48913-146</t>
        </is>
      </c>
      <c r="H1369" s="15" t="n">
        <v>2</v>
      </c>
      <c r="I1369" s="28" t="inlineStr">
        <is>
          <t>NÃO</t>
        </is>
      </c>
      <c r="J1369" s="29" t="n">
        <v>191</v>
      </c>
      <c r="K1369" s="14" t="str">
        <f>IF(J1369="","7. Acima de 2 km",IF(J1369&lt;=50,"1. Até 50 m",IF(J1369&lt;=100,"2. De 50 a 100 m",IF(J1369&lt;=200,"3. De 100 a 200 m",IF(J1369&lt;=300,"4. De 200 a 300 m",IF(J1369&lt;=500,"5. De 300 a 500 m","6. De 500 m a 2 km"))))))</f>
        <v>3. De 100 a 200 m</v>
      </c>
      <c r="L1369" s="26" t="n">
        <v>0</v>
      </c>
      <c r="M1369" s="26" t="n">
        <v>0</v>
      </c>
      <c r="N1369" s="26" t="n">
        <v>1</v>
      </c>
      <c r="O1369" s="26" t="n">
        <v>2</v>
      </c>
      <c r="P1369" s="30" t="n">
        <v>-9.4533317</v>
      </c>
      <c r="Q1369" s="30" t="n">
        <v>-40.51363</v>
      </c>
      <c r="R1369" s="14" t="inlineStr">
        <is>
          <t xml:space="preserve"> FÓRUM ELEITORAL DE JUAZEIRO, RUA DOS BANDEIRANTES, S/N, BAIRRO JOÃO XXIII, JUAZEIRO/BA</t>
        </is>
      </c>
      <c r="S1369" s="26">
        <f>IF(A1369=A1368,0,1)</f>
        <v>0</v>
      </c>
      <c r="T1369" s="26">
        <f>IF(COUNTIF($B$4:B1369,B1369)=1,1,0)</f>
        <v>0</v>
      </c>
    </row>
    <row r="1370">
      <c r="A1370" s="14" t="inlineStr">
        <is>
          <t>JUAZEIRO</t>
        </is>
      </c>
      <c r="B1370" s="26" t="n">
        <v>48</v>
      </c>
      <c r="C1370" s="26" t="n">
        <v>1740</v>
      </c>
      <c r="D1370" s="14" t="inlineStr">
        <is>
          <t>CENTRO COMUNITÁRIO DO POVOADO DE MINA</t>
        </is>
      </c>
      <c r="E1370" s="14" t="inlineStr">
        <is>
          <t>DISTRITO ITAMOTINGA</t>
        </is>
      </c>
      <c r="F1370" s="14" t="inlineStr">
        <is>
          <t>POVOADO MINA - ZONA RURAL</t>
        </is>
      </c>
      <c r="G1370" s="27" t="inlineStr">
        <is>
          <t>48900-000</t>
        </is>
      </c>
      <c r="H1370" s="15" t="n">
        <v>1</v>
      </c>
      <c r="I1370" s="28" t="inlineStr">
        <is>
          <t>NÃO</t>
        </is>
      </c>
      <c r="J1370" s="29" t="n"/>
      <c r="K1370" s="14" t="str">
        <f>IF(J1370="","7. Acima de 2 km",IF(J1370&lt;=50,"1. Até 50 m",IF(J1370&lt;=100,"2. De 50 a 100 m",IF(J1370&lt;=200,"3. De 100 a 200 m",IF(J1370&lt;=300,"4. De 200 a 300 m",IF(J1370&lt;=500,"5. De 300 a 500 m","6. De 500 m a 2 km"))))))</f>
        <v>7. Acima de 2 km</v>
      </c>
      <c r="L1370" s="26" t="n">
        <v>0</v>
      </c>
      <c r="M1370" s="26" t="n">
        <v>0</v>
      </c>
      <c r="N1370" s="26" t="n">
        <v>0</v>
      </c>
      <c r="O1370" s="26" t="n">
        <v>0</v>
      </c>
      <c r="P1370" s="30" t="n">
        <v>-9.2027833</v>
      </c>
      <c r="Q1370" s="30" t="n">
        <v>-39.9222167</v>
      </c>
      <c r="R1370" s="14" t="inlineStr">
        <is>
          <t xml:space="preserve"> FÓRUM ELEITORAL DE JUAZEIRO, RUA DOS BANDEIRANTES, S/N, BAIRRO JOÃO XXIII, JUAZEIRO/BA</t>
        </is>
      </c>
      <c r="S1370" s="26">
        <f>IF(A1370=A1369,0,1)</f>
        <v>0</v>
      </c>
      <c r="T1370" s="26">
        <f>IF(COUNTIF($B$4:B1370,B1370)=1,1,0)</f>
        <v>0</v>
      </c>
    </row>
    <row r="1371">
      <c r="A1371" s="14" t="inlineStr">
        <is>
          <t>JUAZEIRO</t>
        </is>
      </c>
      <c r="B1371" s="26" t="n">
        <v>48</v>
      </c>
      <c r="C1371" s="26" t="n">
        <v>1759</v>
      </c>
      <c r="D1371" s="14" t="inlineStr">
        <is>
          <t>ESCOLA MUNICIPAL SÃO SEBASTIÃO</t>
        </is>
      </c>
      <c r="E1371" s="14" t="inlineStr">
        <is>
          <t>DISTRITO ITAMOTINGA</t>
        </is>
      </c>
      <c r="F1371" s="14" t="inlineStr">
        <is>
          <t>POVOADO ITAPARICA, S/N - ZONA RURAL</t>
        </is>
      </c>
      <c r="G1371" s="27" t="inlineStr">
        <is>
          <t>48920-000</t>
        </is>
      </c>
      <c r="H1371" s="15" t="n">
        <v>1</v>
      </c>
      <c r="I1371" s="28" t="inlineStr">
        <is>
          <t>NÃO</t>
        </is>
      </c>
      <c r="J1371" s="29" t="n"/>
      <c r="K1371" s="14" t="str">
        <f>IF(J1371="","7. Acima de 2 km",IF(J1371&lt;=50,"1. Até 50 m",IF(J1371&lt;=100,"2. De 50 a 100 m",IF(J1371&lt;=200,"3. De 100 a 200 m",IF(J1371&lt;=300,"4. De 200 a 300 m",IF(J1371&lt;=500,"5. De 300 a 500 m","6. De 500 m a 2 km"))))))</f>
        <v>7. Acima de 2 km</v>
      </c>
      <c r="L1371" s="26" t="n">
        <v>0</v>
      </c>
      <c r="M1371" s="26" t="n">
        <v>0</v>
      </c>
      <c r="N1371" s="26" t="n">
        <v>0</v>
      </c>
      <c r="O1371" s="26" t="n">
        <v>0</v>
      </c>
      <c r="P1371" s="30" t="n">
        <v>-9.10862</v>
      </c>
      <c r="Q1371" s="30" t="n">
        <v>-40.2696017</v>
      </c>
      <c r="R1371" s="14" t="inlineStr">
        <is>
          <t xml:space="preserve"> FÓRUM ELEITORAL DE JUAZEIRO, RUA DOS BANDEIRANTES, S/N, BAIRRO JOÃO XXIII, JUAZEIRO/BA</t>
        </is>
      </c>
      <c r="S1371" s="26">
        <f>IF(A1371=A1370,0,1)</f>
        <v>0</v>
      </c>
      <c r="T1371" s="26">
        <f>IF(COUNTIF($B$4:B1371,B1371)=1,1,0)</f>
        <v>0</v>
      </c>
    </row>
    <row r="1372">
      <c r="A1372" s="14" t="inlineStr">
        <is>
          <t>JUAZEIRO</t>
        </is>
      </c>
      <c r="B1372" s="26" t="n">
        <v>48</v>
      </c>
      <c r="C1372" s="26" t="n">
        <v>1767</v>
      </c>
      <c r="D1372" s="14" t="inlineStr">
        <is>
          <t>CENTRO COMUNITÁRIO DE BOM CONSELHO</t>
        </is>
      </c>
      <c r="E1372" s="14" t="inlineStr">
        <is>
          <t>DISTRITO ITAMOTINGA</t>
        </is>
      </c>
      <c r="F1372" s="14" t="inlineStr">
        <is>
          <t>POVOADO BOM CONSELHO - ZONA RURAL</t>
        </is>
      </c>
      <c r="G1372" s="27" t="inlineStr">
        <is>
          <t>48900-000</t>
        </is>
      </c>
      <c r="H1372" s="15" t="n">
        <v>1</v>
      </c>
      <c r="I1372" s="28" t="inlineStr">
        <is>
          <t>NÃO</t>
        </is>
      </c>
      <c r="J1372" s="29" t="n"/>
      <c r="K1372" s="14" t="str">
        <f>IF(J1372="","7. Acima de 2 km",IF(J1372&lt;=50,"1. Até 50 m",IF(J1372&lt;=100,"2. De 50 a 100 m",IF(J1372&lt;=200,"3. De 100 a 200 m",IF(J1372&lt;=300,"4. De 200 a 300 m",IF(J1372&lt;=500,"5. De 300 a 500 m","6. De 500 m a 2 km"))))))</f>
        <v>7. Acima de 2 km</v>
      </c>
      <c r="L1372" s="26" t="n">
        <v>0</v>
      </c>
      <c r="M1372" s="26" t="n">
        <v>0</v>
      </c>
      <c r="N1372" s="26" t="n">
        <v>0</v>
      </c>
      <c r="O1372" s="26" t="n">
        <v>0</v>
      </c>
      <c r="P1372" s="30" t="n">
        <v>-9.1005067</v>
      </c>
      <c r="Q1372" s="30" t="n">
        <v>-40.2224217</v>
      </c>
      <c r="R1372" s="14" t="inlineStr">
        <is>
          <t xml:space="preserve"> FÓRUM ELEITORAL DE JUAZEIRO, RUA DOS BANDEIRANTES, S/N, BAIRRO JOÃO XXIII, JUAZEIRO/BA</t>
        </is>
      </c>
      <c r="S1372" s="26">
        <f>IF(A1372=A1371,0,1)</f>
        <v>0</v>
      </c>
      <c r="T1372" s="26">
        <f>IF(COUNTIF($B$4:B1372,B1372)=1,1,0)</f>
        <v>0</v>
      </c>
    </row>
    <row r="1373">
      <c r="A1373" s="14" t="inlineStr">
        <is>
          <t>JUAZEIRO</t>
        </is>
      </c>
      <c r="B1373" s="26" t="n">
        <v>48</v>
      </c>
      <c r="C1373" s="26" t="n">
        <v>1775</v>
      </c>
      <c r="D1373" s="14" t="inlineStr">
        <is>
          <t>ESCOLA MUNICIPAL CORAÇÃO DE JESUS</t>
        </is>
      </c>
      <c r="E1373" s="14" t="inlineStr">
        <is>
          <t>DISTRITO ITAMOTINGA</t>
        </is>
      </c>
      <c r="F1373" s="14" t="inlineStr">
        <is>
          <t>POVOADO JUREMA VERMELHA - ZONA RURAL</t>
        </is>
      </c>
      <c r="G1373" s="27" t="inlineStr">
        <is>
          <t>48900-010</t>
        </is>
      </c>
      <c r="H1373" s="15" t="n">
        <v>2</v>
      </c>
      <c r="I1373" s="28" t="inlineStr">
        <is>
          <t>NÃO</t>
        </is>
      </c>
      <c r="J1373" s="29" t="n"/>
      <c r="K1373" s="14" t="str">
        <f>IF(J1373="","7. Acima de 2 km",IF(J1373&lt;=50,"1. Até 50 m",IF(J1373&lt;=100,"2. De 50 a 100 m",IF(J1373&lt;=200,"3. De 100 a 200 m",IF(J1373&lt;=300,"4. De 200 a 300 m",IF(J1373&lt;=500,"5. De 300 a 500 m","6. De 500 m a 2 km"))))))</f>
        <v>7. Acima de 2 km</v>
      </c>
      <c r="L1373" s="26" t="n">
        <v>0</v>
      </c>
      <c r="M1373" s="26" t="n">
        <v>0</v>
      </c>
      <c r="N1373" s="26" t="n">
        <v>0</v>
      </c>
      <c r="O1373" s="26" t="n">
        <v>0</v>
      </c>
      <c r="P1373" s="30" t="n">
        <v>-9.197788299999999</v>
      </c>
      <c r="Q1373" s="30" t="n">
        <v>-40.2647433</v>
      </c>
      <c r="R1373" s="14" t="inlineStr">
        <is>
          <t xml:space="preserve"> FÓRUM ELEITORAL DE JUAZEIRO, RUA DOS BANDEIRANTES, S/N, BAIRRO JOÃO XXIII, JUAZEIRO/BA</t>
        </is>
      </c>
      <c r="S1373" s="26">
        <f>IF(A1373=A1372,0,1)</f>
        <v>0</v>
      </c>
      <c r="T1373" s="26">
        <f>IF(COUNTIF($B$4:B1373,B1373)=1,1,0)</f>
        <v>0</v>
      </c>
    </row>
    <row r="1374">
      <c r="A1374" s="14" t="inlineStr">
        <is>
          <t>JUAZEIRO</t>
        </is>
      </c>
      <c r="B1374" s="26" t="n">
        <v>48</v>
      </c>
      <c r="C1374" s="26" t="n">
        <v>1783</v>
      </c>
      <c r="D1374" s="14" t="inlineStr">
        <is>
          <t>ESCOLA MUNICIPAL DE TEMPO INTEGRAL SÃO JOSÉ</t>
        </is>
      </c>
      <c r="E1374" s="14" t="inlineStr">
        <is>
          <t>DISTRITO ITAMOTINGA</t>
        </is>
      </c>
      <c r="F1374" s="14" t="inlineStr">
        <is>
          <t>PROJETO CURAÇÁ NH IV - POVOADO SÃO JOSÉ - ZONA RURAL</t>
        </is>
      </c>
      <c r="G1374" s="27" t="inlineStr">
        <is>
          <t>48900-000</t>
        </is>
      </c>
      <c r="H1374" s="15" t="n">
        <v>1</v>
      </c>
      <c r="I1374" s="28" t="inlineStr">
        <is>
          <t>NÃO</t>
        </is>
      </c>
      <c r="J1374" s="29" t="n"/>
      <c r="K1374" s="14" t="str">
        <f>IF(J1374="","7. Acima de 2 km",IF(J1374&lt;=50,"1. Até 50 m",IF(J1374&lt;=100,"2. De 50 a 100 m",IF(J1374&lt;=200,"3. De 100 a 200 m",IF(J1374&lt;=300,"4. De 200 a 300 m",IF(J1374&lt;=500,"5. De 300 a 500 m","6. De 500 m a 2 km"))))))</f>
        <v>7. Acima de 2 km</v>
      </c>
      <c r="L1374" s="26" t="n">
        <v>0</v>
      </c>
      <c r="M1374" s="26" t="n">
        <v>0</v>
      </c>
      <c r="N1374" s="26" t="n">
        <v>0</v>
      </c>
      <c r="O1374" s="26" t="n">
        <v>0</v>
      </c>
      <c r="P1374" s="30" t="n">
        <v>-9.166684999999999</v>
      </c>
      <c r="Q1374" s="30" t="n">
        <v>-40.0548017</v>
      </c>
      <c r="R1374" s="14" t="inlineStr">
        <is>
          <t xml:space="preserve"> FÓRUM ELEITORAL DE JUAZEIRO, RUA DOS BANDEIRANTES, S/N, BAIRRO JOÃO XXIII, JUAZEIRO/BA</t>
        </is>
      </c>
      <c r="S1374" s="26">
        <f>IF(A1374=A1373,0,1)</f>
        <v>0</v>
      </c>
      <c r="T1374" s="26">
        <f>IF(COUNTIF($B$4:B1374,B1374)=1,1,0)</f>
        <v>0</v>
      </c>
    </row>
    <row r="1375">
      <c r="A1375" s="14" t="inlineStr">
        <is>
          <t>JUAZEIRO</t>
        </is>
      </c>
      <c r="B1375" s="26" t="n">
        <v>48</v>
      </c>
      <c r="C1375" s="26" t="n">
        <v>1791</v>
      </c>
      <c r="D1375" s="14" t="inlineStr">
        <is>
          <t>ESCOLA MUNICIPAL MANOEL LUIZ DA SILVA</t>
        </is>
      </c>
      <c r="E1375" s="14" t="inlineStr">
        <is>
          <t>DISTRITO ITAMOTINGA</t>
        </is>
      </c>
      <c r="F1375" s="14" t="inlineStr">
        <is>
          <t>POVOADO DE CAMPOS, MANIÇOBA - ZONA RURAL</t>
        </is>
      </c>
      <c r="G1375" s="27" t="inlineStr">
        <is>
          <t>48923-000</t>
        </is>
      </c>
      <c r="H1375" s="15" t="n">
        <v>2</v>
      </c>
      <c r="I1375" s="28" t="inlineStr">
        <is>
          <t>NÃO</t>
        </is>
      </c>
      <c r="J1375" s="29" t="n"/>
      <c r="K1375" s="14" t="str">
        <f>IF(J1375="","7. Acima de 2 km",IF(J1375&lt;=50,"1. Até 50 m",IF(J1375&lt;=100,"2. De 50 a 100 m",IF(J1375&lt;=200,"3. De 100 a 200 m",IF(J1375&lt;=300,"4. De 200 a 300 m",IF(J1375&lt;=500,"5. De 300 a 500 m","6. De 500 m a 2 km"))))))</f>
        <v>7. Acima de 2 km</v>
      </c>
      <c r="L1375" s="26" t="n">
        <v>0</v>
      </c>
      <c r="M1375" s="26" t="n">
        <v>0</v>
      </c>
      <c r="N1375" s="26" t="n">
        <v>0</v>
      </c>
      <c r="O1375" s="26" t="n">
        <v>0</v>
      </c>
      <c r="P1375" s="30" t="n">
        <v>-9.3536283</v>
      </c>
      <c r="Q1375" s="30" t="n">
        <v>-40.23551</v>
      </c>
      <c r="R1375" s="14" t="inlineStr">
        <is>
          <t xml:space="preserve"> FÓRUM ELEITORAL DE JUAZEIRO, RUA DOS BANDEIRANTES, S/N, BAIRRO JOÃO XXIII, JUAZEIRO/BA</t>
        </is>
      </c>
      <c r="S1375" s="26">
        <f>IF(A1375=A1374,0,1)</f>
        <v>0</v>
      </c>
      <c r="T1375" s="26">
        <f>IF(COUNTIF($B$4:B1375,B1375)=1,1,0)</f>
        <v>0</v>
      </c>
    </row>
    <row r="1376">
      <c r="A1376" s="14" t="inlineStr">
        <is>
          <t>JUAZEIRO</t>
        </is>
      </c>
      <c r="B1376" s="26" t="n">
        <v>48</v>
      </c>
      <c r="C1376" s="26" t="n">
        <v>1805</v>
      </c>
      <c r="D1376" s="14" t="inlineStr">
        <is>
          <t>ESCOLA MUNICIPAL SÃO FRANCISCO DE ASSIS - MULUNGU</t>
        </is>
      </c>
      <c r="E1376" s="14" t="inlineStr">
        <is>
          <t>DISTRITO ITAMOTINGA</t>
        </is>
      </c>
      <c r="F1376" s="14" t="inlineStr">
        <is>
          <t>POVOADO MULUNGU - PROJETO MANIÇOBA - ZONA RURAL</t>
        </is>
      </c>
      <c r="G1376" s="27" t="inlineStr">
        <is>
          <t>48924-000</t>
        </is>
      </c>
      <c r="H1376" s="15" t="n">
        <v>1</v>
      </c>
      <c r="I1376" s="28" t="inlineStr">
        <is>
          <t>NÃO</t>
        </is>
      </c>
      <c r="J1376" s="29" t="n"/>
      <c r="K1376" s="14" t="str">
        <f>IF(J1376="","7. Acima de 2 km",IF(J1376&lt;=50,"1. Até 50 m",IF(J1376&lt;=100,"2. De 50 a 100 m",IF(J1376&lt;=200,"3. De 100 a 200 m",IF(J1376&lt;=300,"4. De 200 a 300 m",IF(J1376&lt;=500,"5. De 300 a 500 m","6. De 500 m a 2 km"))))))</f>
        <v>7. Acima de 2 km</v>
      </c>
      <c r="L1376" s="26" t="n">
        <v>0</v>
      </c>
      <c r="M1376" s="26" t="n">
        <v>0</v>
      </c>
      <c r="N1376" s="26" t="n">
        <v>0</v>
      </c>
      <c r="O1376" s="26" t="n">
        <v>0</v>
      </c>
      <c r="P1376" s="30" t="n">
        <v>-9.352578299999999</v>
      </c>
      <c r="Q1376" s="30" t="n">
        <v>-40.28671</v>
      </c>
      <c r="R1376" s="14" t="inlineStr">
        <is>
          <t xml:space="preserve"> FÓRUM ELEITORAL DE JUAZEIRO, RUA DOS BANDEIRANTES, S/N, BAIRRO JOÃO XXIII, JUAZEIRO/BA</t>
        </is>
      </c>
      <c r="S1376" s="26">
        <f>IF(A1376=A1375,0,1)</f>
        <v>0</v>
      </c>
      <c r="T1376" s="26">
        <f>IF(COUNTIF($B$4:B1376,B1376)=1,1,0)</f>
        <v>0</v>
      </c>
    </row>
    <row r="1377">
      <c r="A1377" s="14" t="inlineStr">
        <is>
          <t>JUAZEIRO</t>
        </is>
      </c>
      <c r="B1377" s="26" t="n">
        <v>48</v>
      </c>
      <c r="C1377" s="26" t="n">
        <v>1813</v>
      </c>
      <c r="D1377" s="14" t="inlineStr">
        <is>
          <t>ESCOLA MUNICIPAL NOSSA SENHORA DAS GROTAS</t>
        </is>
      </c>
      <c r="E1377" s="14" t="inlineStr">
        <is>
          <t>DISTRITO ITAMOTINGA</t>
        </is>
      </c>
      <c r="F1377" s="14" t="inlineStr">
        <is>
          <t>POVOADO BOQUEIRÃO, PROJETO MANIÇOBA - ZONA RURAL</t>
        </is>
      </c>
      <c r="G1377" s="27" t="inlineStr">
        <is>
          <t>48921-000</t>
        </is>
      </c>
      <c r="H1377" s="15" t="n">
        <v>1</v>
      </c>
      <c r="I1377" s="28" t="inlineStr">
        <is>
          <t>NÃO</t>
        </is>
      </c>
      <c r="J1377" s="29" t="n">
        <v>1012.5</v>
      </c>
      <c r="K1377" s="14" t="str">
        <f>IF(J1377="","7. Acima de 2 km",IF(J1377&lt;=50,"1. Até 50 m",IF(J1377&lt;=100,"2. De 50 a 100 m",IF(J1377&lt;=200,"3. De 100 a 200 m",IF(J1377&lt;=300,"4. De 200 a 300 m",IF(J1377&lt;=500,"5. De 300 a 500 m","6. De 500 m a 2 km"))))))</f>
        <v>6. De 500 m a 2 km</v>
      </c>
      <c r="L1377" s="26" t="n">
        <v>0</v>
      </c>
      <c r="M1377" s="26" t="n">
        <v>0</v>
      </c>
      <c r="N1377" s="26" t="n">
        <v>0</v>
      </c>
      <c r="O1377" s="26" t="n">
        <v>0</v>
      </c>
      <c r="P1377" s="30" t="n">
        <v>-9.377873299999999</v>
      </c>
      <c r="Q1377" s="30" t="n">
        <v>-40.2946883</v>
      </c>
      <c r="R1377" s="14" t="inlineStr">
        <is>
          <t xml:space="preserve"> FÓRUM ELEITORAL DE JUAZEIRO, RUA DOS BANDEIRANTES, S/N, BAIRRO JOÃO XXIII, JUAZEIRO/BA</t>
        </is>
      </c>
      <c r="S1377" s="26">
        <f>IF(A1377=A1376,0,1)</f>
        <v>0</v>
      </c>
      <c r="T1377" s="26">
        <f>IF(COUNTIF($B$4:B1377,B1377)=1,1,0)</f>
        <v>0</v>
      </c>
    </row>
    <row r="1378">
      <c r="A1378" s="14" t="inlineStr">
        <is>
          <t>JUAZEIRO</t>
        </is>
      </c>
      <c r="B1378" s="26" t="n">
        <v>48</v>
      </c>
      <c r="C1378" s="26" t="n">
        <v>1821</v>
      </c>
      <c r="D1378" s="14" t="inlineStr">
        <is>
          <t>EMEI CAIC MISAEL AGUILAR</t>
        </is>
      </c>
      <c r="E1378" s="14" t="inlineStr">
        <is>
          <t>MALHADA DA AREIA</t>
        </is>
      </c>
      <c r="F1378" s="14" t="inlineStr">
        <is>
          <t>AVENIDA TANCREDO NEVES / ZONA URBANA</t>
        </is>
      </c>
      <c r="G1378" s="27" t="inlineStr">
        <is>
          <t>48916-807</t>
        </is>
      </c>
      <c r="H1378" s="15" t="n">
        <v>7</v>
      </c>
      <c r="I1378" s="28" t="inlineStr">
        <is>
          <t>NÃO</t>
        </is>
      </c>
      <c r="J1378" s="29" t="n">
        <v>317.8</v>
      </c>
      <c r="K1378" s="14" t="str">
        <f>IF(J1378="","7. Acima de 2 km",IF(J1378&lt;=50,"1. Até 50 m",IF(J1378&lt;=100,"2. De 50 a 100 m",IF(J1378&lt;=200,"3. De 100 a 200 m",IF(J1378&lt;=300,"4. De 200 a 300 m",IF(J1378&lt;=500,"5. De 300 a 500 m","6. De 500 m a 2 km"))))))</f>
        <v>5. De 300 a 500 m</v>
      </c>
      <c r="L1378" s="26" t="n">
        <v>0</v>
      </c>
      <c r="M1378" s="26" t="n">
        <v>0</v>
      </c>
      <c r="N1378" s="26" t="n">
        <v>0</v>
      </c>
      <c r="O1378" s="26" t="n">
        <v>0</v>
      </c>
      <c r="P1378" s="30" t="n">
        <v>-9.4418638</v>
      </c>
      <c r="Q1378" s="30" t="n">
        <v>-40.5130399</v>
      </c>
      <c r="R1378" s="14" t="inlineStr">
        <is>
          <t xml:space="preserve"> FÓRUM ELEITORAL DE JUAZEIRO, RUA DOS BANDEIRANTES, S/N, BAIRRO JOÃO XXIII, JUAZEIRO/BA</t>
        </is>
      </c>
      <c r="S1378" s="26">
        <f>IF(A1378=A1377,0,1)</f>
        <v>0</v>
      </c>
      <c r="T1378" s="26">
        <f>IF(COUNTIF($B$4:B1378,B1378)=1,1,0)</f>
        <v>0</v>
      </c>
    </row>
    <row r="1379">
      <c r="A1379" s="14" t="inlineStr">
        <is>
          <t>JUAZEIRO</t>
        </is>
      </c>
      <c r="B1379" s="26" t="n">
        <v>48</v>
      </c>
      <c r="C1379" s="26" t="n">
        <v>1830</v>
      </c>
      <c r="D1379" s="14" t="inlineStr">
        <is>
          <t>ESCOLA MUNICIPAL ELISEU SANTOS</t>
        </is>
      </c>
      <c r="E1379" s="14" t="inlineStr">
        <is>
          <t>DISTRITO ITAMOTINGA</t>
        </is>
      </c>
      <c r="F1379" s="14" t="inlineStr">
        <is>
          <t>PROJETO CURAÇÁ, PARQUE DAS UVAS/CAJ - ZONA RURAL</t>
        </is>
      </c>
      <c r="G1379" s="27" t="inlineStr">
        <is>
          <t>48923-000</t>
        </is>
      </c>
      <c r="H1379" s="15" t="n">
        <v>2</v>
      </c>
      <c r="I1379" s="28" t="inlineStr">
        <is>
          <t>NÃO</t>
        </is>
      </c>
      <c r="J1379" s="29" t="n"/>
      <c r="K1379" s="14" t="str">
        <f>IF(J1379="","7. Acima de 2 km",IF(J1379&lt;=50,"1. Até 50 m",IF(J1379&lt;=100,"2. De 50 a 100 m",IF(J1379&lt;=200,"3. De 100 a 200 m",IF(J1379&lt;=300,"4. De 200 a 300 m",IF(J1379&lt;=500,"5. De 300 a 500 m","6. De 500 m a 2 km"))))))</f>
        <v>7. Acima de 2 km</v>
      </c>
      <c r="L1379" s="26" t="n">
        <v>0</v>
      </c>
      <c r="M1379" s="26" t="n">
        <v>0</v>
      </c>
      <c r="N1379" s="26" t="n">
        <v>0</v>
      </c>
      <c r="O1379" s="26" t="n">
        <v>0</v>
      </c>
      <c r="P1379" s="30" t="n">
        <v>-9.177968399999999</v>
      </c>
      <c r="Q1379" s="30" t="n">
        <v>-40.0243832</v>
      </c>
      <c r="R1379" s="14" t="inlineStr">
        <is>
          <t xml:space="preserve"> FÓRUM ELEITORAL DE JUAZEIRO, RUA DOS BANDEIRANTES, S/N, BAIRRO JOÃO XXIII, JUAZEIRO/BA</t>
        </is>
      </c>
      <c r="S1379" s="26">
        <f>IF(A1379=A1378,0,1)</f>
        <v>0</v>
      </c>
      <c r="T1379" s="26">
        <f>IF(COUNTIF($B$4:B1379,B1379)=1,1,0)</f>
        <v>0</v>
      </c>
    </row>
    <row r="1380">
      <c r="A1380" s="14" t="inlineStr">
        <is>
          <t>JUAZEIRO</t>
        </is>
      </c>
      <c r="B1380" s="26" t="n">
        <v>48</v>
      </c>
      <c r="C1380" s="26" t="n">
        <v>1856</v>
      </c>
      <c r="D1380" s="14" t="inlineStr">
        <is>
          <t>ESCOLA MUNICIPAL 25 DE JULHO</t>
        </is>
      </c>
      <c r="E1380" s="14" t="inlineStr">
        <is>
          <t>DISTRITO ITAMOTINGA</t>
        </is>
      </c>
      <c r="F1380" s="14" t="inlineStr">
        <is>
          <t>PROJETO MANDACARU II, TOURÃO, PROJETO MANIÇOBA - ZONA RURAL</t>
        </is>
      </c>
      <c r="G1380" s="27" t="inlineStr">
        <is>
          <t>48923-000</t>
        </is>
      </c>
      <c r="H1380" s="15" t="n">
        <v>2</v>
      </c>
      <c r="I1380" s="28" t="inlineStr">
        <is>
          <t>NÃO</t>
        </is>
      </c>
      <c r="J1380" s="29" t="n"/>
      <c r="K1380" s="14" t="str">
        <f>IF(J1380="","7. Acima de 2 km",IF(J1380&lt;=50,"1. Até 50 m",IF(J1380&lt;=100,"2. De 50 a 100 m",IF(J1380&lt;=200,"3. De 100 a 200 m",IF(J1380&lt;=300,"4. De 200 a 300 m",IF(J1380&lt;=500,"5. De 300 a 500 m","6. De 500 m a 2 km"))))))</f>
        <v>7. Acima de 2 km</v>
      </c>
      <c r="L1380" s="26" t="n">
        <v>0</v>
      </c>
      <c r="M1380" s="26" t="n">
        <v>0</v>
      </c>
      <c r="N1380" s="26" t="n">
        <v>0</v>
      </c>
      <c r="O1380" s="26" t="n">
        <v>0</v>
      </c>
      <c r="P1380" s="30" t="n">
        <v>-9.403993699999999</v>
      </c>
      <c r="Q1380" s="30" t="n">
        <v>-40.31377</v>
      </c>
      <c r="R1380" s="14" t="inlineStr">
        <is>
          <t xml:space="preserve"> FÓRUM ELEITORAL DE JUAZEIRO, RUA DOS BANDEIRANTES, S/N, BAIRRO JOÃO XXIII, JUAZEIRO/BA</t>
        </is>
      </c>
      <c r="S1380" s="26">
        <f>IF(A1380=A1379,0,1)</f>
        <v>0</v>
      </c>
      <c r="T1380" s="26">
        <f>IF(COUNTIF($B$4:B1380,B1380)=1,1,0)</f>
        <v>0</v>
      </c>
    </row>
    <row r="1381">
      <c r="A1381" s="14" t="inlineStr">
        <is>
          <t>JUAZEIRO</t>
        </is>
      </c>
      <c r="B1381" s="26" t="n">
        <v>48</v>
      </c>
      <c r="C1381" s="26" t="n">
        <v>1864</v>
      </c>
      <c r="D1381" s="14" t="inlineStr">
        <is>
          <t>CODEFAS - COLÉGIO DEM. ESTADUAL PROF. FLORENTINA ALVES DOS SANTOS</t>
        </is>
      </c>
      <c r="E1381" s="14" t="inlineStr">
        <is>
          <t>PIRANGA</t>
        </is>
      </c>
      <c r="F1381" s="14" t="inlineStr">
        <is>
          <t>PRAÇA SANTA TEREZINHA, S/N - ZONA URBANA</t>
        </is>
      </c>
      <c r="G1381" s="27" t="inlineStr">
        <is>
          <t>48900-130</t>
        </is>
      </c>
      <c r="H1381" s="15" t="n">
        <v>7</v>
      </c>
      <c r="I1381" s="28" t="inlineStr">
        <is>
          <t>SIM</t>
        </is>
      </c>
      <c r="J1381" s="29" t="n">
        <v>54.4</v>
      </c>
      <c r="K1381" s="14" t="str">
        <f>IF(J1381="","7. Acima de 2 km",IF(J1381&lt;=50,"1. Até 50 m",IF(J1381&lt;=100,"2. De 50 a 100 m",IF(J1381&lt;=200,"3. De 100 a 200 m",IF(J1381&lt;=300,"4. De 200 a 300 m",IF(J1381&lt;=500,"5. De 300 a 500 m","6. De 500 m a 2 km"))))))</f>
        <v>2. De 50 a 100 m</v>
      </c>
      <c r="L1381" s="26" t="n">
        <v>0</v>
      </c>
      <c r="M1381" s="26" t="n">
        <v>1</v>
      </c>
      <c r="N1381" s="26" t="n">
        <v>1</v>
      </c>
      <c r="O1381" s="26" t="n">
        <v>1</v>
      </c>
      <c r="P1381" s="30" t="n">
        <v>-9.4317767</v>
      </c>
      <c r="Q1381" s="30" t="n">
        <v>-40.5046433</v>
      </c>
      <c r="R1381" s="14" t="inlineStr">
        <is>
          <t xml:space="preserve"> FÓRUM ELEITORAL DE JUAZEIRO, RUA DOS BANDEIRANTES, S/N, BAIRRO JOÃO XXIII, JUAZEIRO/BA</t>
        </is>
      </c>
      <c r="S1381" s="26">
        <f>IF(A1381=A1380,0,1)</f>
        <v>0</v>
      </c>
      <c r="T1381" s="26">
        <f>IF(COUNTIF($B$4:B1381,B1381)=1,1,0)</f>
        <v>0</v>
      </c>
    </row>
    <row r="1382">
      <c r="A1382" s="14" t="inlineStr">
        <is>
          <t>JUAZEIRO</t>
        </is>
      </c>
      <c r="B1382" s="26" t="n">
        <v>48</v>
      </c>
      <c r="C1382" s="26" t="n">
        <v>1880</v>
      </c>
      <c r="D1382" s="14" t="inlineStr">
        <is>
          <t>ESCOLA MUNICIPAL ANTONILA DA FRANÇA CARDOSO</t>
        </is>
      </c>
      <c r="E1382" s="14" t="inlineStr">
        <is>
          <t>DISTRITO PINHÕES</t>
        </is>
      </c>
      <c r="F1382" s="14" t="inlineStr">
        <is>
          <t>FAZENDA ANGICO- ZONA RURAL</t>
        </is>
      </c>
      <c r="G1382" s="27" t="inlineStr">
        <is>
          <t>48922-400</t>
        </is>
      </c>
      <c r="H1382" s="15" t="n">
        <v>1</v>
      </c>
      <c r="I1382" s="28" t="inlineStr">
        <is>
          <t>NÃO</t>
        </is>
      </c>
      <c r="J1382" s="29" t="n"/>
      <c r="K1382" s="14" t="str">
        <f>IF(J1382="","7. Acima de 2 km",IF(J1382&lt;=50,"1. Até 50 m",IF(J1382&lt;=100,"2. De 50 a 100 m",IF(J1382&lt;=200,"3. De 100 a 200 m",IF(J1382&lt;=300,"4. De 200 a 300 m",IF(J1382&lt;=500,"5. De 300 a 500 m","6. De 500 m a 2 km"))))))</f>
        <v>7. Acima de 2 km</v>
      </c>
      <c r="L1382" s="26" t="n">
        <v>0</v>
      </c>
      <c r="M1382" s="26" t="n">
        <v>0</v>
      </c>
      <c r="N1382" s="26" t="n">
        <v>0</v>
      </c>
      <c r="O1382" s="26" t="n">
        <v>0</v>
      </c>
      <c r="P1382" s="30" t="n">
        <v>-9.5793117</v>
      </c>
      <c r="Q1382" s="30" t="n">
        <v>-40.15744</v>
      </c>
      <c r="R1382" s="14" t="inlineStr">
        <is>
          <t xml:space="preserve"> FÓRUM ELEITORAL DE JUAZEIRO, RUA DOS BANDEIRANTES, S/N, BAIRRO JOÃO XXIII, JUAZEIRO/BA</t>
        </is>
      </c>
      <c r="S1382" s="26">
        <f>IF(A1382=A1381,0,1)</f>
        <v>0</v>
      </c>
      <c r="T1382" s="26">
        <f>IF(COUNTIF($B$4:B1382,B1382)=1,1,0)</f>
        <v>0</v>
      </c>
    </row>
    <row r="1383">
      <c r="A1383" s="14" t="inlineStr">
        <is>
          <t>JUAZEIRO</t>
        </is>
      </c>
      <c r="B1383" s="26" t="n">
        <v>48</v>
      </c>
      <c r="C1383" s="26" t="n">
        <v>1929</v>
      </c>
      <c r="D1383" s="14" t="inlineStr">
        <is>
          <t>ESCOLA MUNICIPAL PROFESSORA MARIA JOSÉ LIMA DA ROCHA</t>
        </is>
      </c>
      <c r="E1383" s="14" t="inlineStr">
        <is>
          <t>JOÃO PAULO II</t>
        </is>
      </c>
      <c r="F1383" s="14" t="inlineStr">
        <is>
          <t>QUADRA 09, S/N - ZONA URBANA</t>
        </is>
      </c>
      <c r="G1383" s="27" t="inlineStr">
        <is>
          <t>48914-140</t>
        </is>
      </c>
      <c r="H1383" s="15" t="n">
        <v>6</v>
      </c>
      <c r="I1383" s="28" t="inlineStr">
        <is>
          <t>NÃO</t>
        </is>
      </c>
      <c r="J1383" s="29" t="n">
        <v>243.5</v>
      </c>
      <c r="K1383" s="14" t="str">
        <f>IF(J1383="","7. Acima de 2 km",IF(J1383&lt;=50,"1. Até 50 m",IF(J1383&lt;=100,"2. De 50 a 100 m",IF(J1383&lt;=200,"3. De 100 a 200 m",IF(J1383&lt;=300,"4. De 200 a 300 m",IF(J1383&lt;=500,"5. De 300 a 500 m","6. De 500 m a 2 km"))))))</f>
        <v>4. De 200 a 300 m</v>
      </c>
      <c r="L1383" s="26" t="n">
        <v>0</v>
      </c>
      <c r="M1383" s="26" t="n">
        <v>0</v>
      </c>
      <c r="N1383" s="26" t="n">
        <v>0</v>
      </c>
      <c r="O1383" s="26" t="n">
        <v>2</v>
      </c>
      <c r="P1383" s="30" t="n">
        <v>-9.475334999999999</v>
      </c>
      <c r="Q1383" s="30" t="n">
        <v>-40.4963617</v>
      </c>
      <c r="R1383" s="14" t="inlineStr">
        <is>
          <t xml:space="preserve"> FÓRUM ELEITORAL DE JUAZEIRO, RUA DOS BANDEIRANTES, S/N, BAIRRO JOÃO XXIII, JUAZEIRO/BA</t>
        </is>
      </c>
      <c r="S1383" s="26">
        <f>IF(A1383=A1382,0,1)</f>
        <v>0</v>
      </c>
      <c r="T1383" s="26">
        <f>IF(COUNTIF($B$4:B1383,B1383)=1,1,0)</f>
        <v>0</v>
      </c>
    </row>
    <row r="1384">
      <c r="A1384" s="14" t="inlineStr">
        <is>
          <t>JUAZEIRO</t>
        </is>
      </c>
      <c r="B1384" s="26" t="n">
        <v>48</v>
      </c>
      <c r="C1384" s="26" t="n">
        <v>1961</v>
      </c>
      <c r="D1384" s="14" t="inlineStr">
        <is>
          <t>COLÉGIO ESTADUAL ARTUR OLIVEIRA DA SILVA</t>
        </is>
      </c>
      <c r="E1384" s="14" t="inlineStr">
        <is>
          <t>PALMARES</t>
        </is>
      </c>
      <c r="F1384" s="14" t="inlineStr">
        <is>
          <t>RUA AURENILDES GONÇALVES DA CUNHA, S/N - ZONA URBANA</t>
        </is>
      </c>
      <c r="G1384" s="27" t="inlineStr">
        <is>
          <t>48901-665</t>
        </is>
      </c>
      <c r="H1384" s="15" t="n">
        <v>9</v>
      </c>
      <c r="I1384" s="28" t="inlineStr">
        <is>
          <t>NÃO</t>
        </is>
      </c>
      <c r="J1384" s="29" t="n">
        <v>1008.4</v>
      </c>
      <c r="K1384" s="14" t="str">
        <f>IF(J1384="","7. Acima de 2 km",IF(J1384&lt;=50,"1. Até 50 m",IF(J1384&lt;=100,"2. De 50 a 100 m",IF(J1384&lt;=200,"3. De 100 a 200 m",IF(J1384&lt;=300,"4. De 200 a 300 m",IF(J1384&lt;=500,"5. De 300 a 500 m","6. De 500 m a 2 km"))))))</f>
        <v>6. De 500 m a 2 km</v>
      </c>
      <c r="L1384" s="26" t="n">
        <v>0</v>
      </c>
      <c r="M1384" s="26" t="n">
        <v>0</v>
      </c>
      <c r="N1384" s="26" t="n">
        <v>0</v>
      </c>
      <c r="O1384" s="26" t="n">
        <v>0</v>
      </c>
      <c r="P1384" s="30" t="n">
        <v>-9.4276707</v>
      </c>
      <c r="Q1384" s="30" t="n">
        <v>-40.525968</v>
      </c>
      <c r="R1384" s="14" t="inlineStr">
        <is>
          <t xml:space="preserve"> FÓRUM ELEITORAL DE JUAZEIRO, RUA DOS BANDEIRANTES, S/N, BAIRRO JOÃO XXIII, JUAZEIRO/BA</t>
        </is>
      </c>
      <c r="S1384" s="26">
        <f>IF(A1384=A1383,0,1)</f>
        <v>0</v>
      </c>
      <c r="T1384" s="26">
        <f>IF(COUNTIF($B$4:B1384,B1384)=1,1,0)</f>
        <v>0</v>
      </c>
    </row>
    <row r="1385">
      <c r="A1385" s="14" t="inlineStr">
        <is>
          <t>JUAZEIRO</t>
        </is>
      </c>
      <c r="B1385" s="26" t="n">
        <v>48</v>
      </c>
      <c r="C1385" s="26" t="n">
        <v>1970</v>
      </c>
      <c r="D1385" s="14" t="inlineStr">
        <is>
          <t>ESCOLA MUNICIPAL PROFESSORA HELENA ARAÚJO PINHEIRO</t>
        </is>
      </c>
      <c r="E1385" s="14" t="inlineStr">
        <is>
          <t>PADRE VICENTE</t>
        </is>
      </c>
      <c r="F1385" s="14" t="inlineStr">
        <is>
          <t>RUA DA SAUDADE S/N - ZONA URBANA</t>
        </is>
      </c>
      <c r="G1385" s="27" t="inlineStr">
        <is>
          <t>48916-231</t>
        </is>
      </c>
      <c r="H1385" s="15" t="n">
        <v>3</v>
      </c>
      <c r="I1385" s="28" t="inlineStr">
        <is>
          <t>NÃO</t>
        </is>
      </c>
      <c r="J1385" s="29" t="n">
        <v>605.8</v>
      </c>
      <c r="K1385" s="14" t="str">
        <f>IF(J1385="","7. Acima de 2 km",IF(J1385&lt;=50,"1. Até 50 m",IF(J1385&lt;=100,"2. De 50 a 100 m",IF(J1385&lt;=200,"3. De 100 a 200 m",IF(J1385&lt;=300,"4. De 200 a 300 m",IF(J1385&lt;=500,"5. De 300 a 500 m","6. De 500 m a 2 km"))))))</f>
        <v>6. De 500 m a 2 km</v>
      </c>
      <c r="L1385" s="26" t="n">
        <v>0</v>
      </c>
      <c r="M1385" s="26" t="n">
        <v>0</v>
      </c>
      <c r="N1385" s="26" t="n">
        <v>0</v>
      </c>
      <c r="O1385" s="26" t="n">
        <v>0</v>
      </c>
      <c r="P1385" s="30" t="n">
        <v>-9.4421348</v>
      </c>
      <c r="Q1385" s="30" t="n">
        <v>-40.5100842</v>
      </c>
      <c r="R1385" s="14" t="inlineStr">
        <is>
          <t xml:space="preserve"> FÓRUM ELEITORAL DE JUAZEIRO, RUA DOS BANDEIRANTES, S/N, BAIRRO JOÃO XXIII, JUAZEIRO/BA</t>
        </is>
      </c>
      <c r="S1385" s="26">
        <f>IF(A1385=A1384,0,1)</f>
        <v>0</v>
      </c>
      <c r="T1385" s="26">
        <f>IF(COUNTIF($B$4:B1385,B1385)=1,1,0)</f>
        <v>0</v>
      </c>
    </row>
    <row r="1386">
      <c r="A1386" s="14" t="inlineStr">
        <is>
          <t>JUAZEIRO</t>
        </is>
      </c>
      <c r="B1386" s="26" t="n">
        <v>48</v>
      </c>
      <c r="C1386" s="26" t="n">
        <v>1988</v>
      </c>
      <c r="D1386" s="14" t="inlineStr">
        <is>
          <t>ESCOLA MUNICIPAL ANÁLIA BARBOSA DE SOUZA</t>
        </is>
      </c>
      <c r="E1386" s="14" t="inlineStr">
        <is>
          <t>ANTÔNIO GUILHERMINO</t>
        </is>
      </c>
      <c r="F1386" s="14" t="inlineStr">
        <is>
          <t>AVENIDA CHEFFY KHOURY, S/N - ZONA URBANA</t>
        </is>
      </c>
      <c r="G1386" s="27" t="inlineStr">
        <is>
          <t>48913-642</t>
        </is>
      </c>
      <c r="H1386" s="15" t="n">
        <v>6</v>
      </c>
      <c r="I1386" s="28" t="inlineStr">
        <is>
          <t>NÃO</t>
        </is>
      </c>
      <c r="J1386" s="29" t="n">
        <v>305.7</v>
      </c>
      <c r="K1386" s="14" t="str">
        <f>IF(J1386="","7. Acima de 2 km",IF(J1386&lt;=50,"1. Até 50 m",IF(J1386&lt;=100,"2. De 50 a 100 m",IF(J1386&lt;=200,"3. De 100 a 200 m",IF(J1386&lt;=300,"4. De 200 a 300 m",IF(J1386&lt;=500,"5. De 300 a 500 m","6. De 500 m a 2 km"))))))</f>
        <v>5. De 300 a 500 m</v>
      </c>
      <c r="L1386" s="26" t="n">
        <v>0</v>
      </c>
      <c r="M1386" s="26" t="n">
        <v>0</v>
      </c>
      <c r="N1386" s="26" t="n">
        <v>0</v>
      </c>
      <c r="O1386" s="26" t="n">
        <v>0</v>
      </c>
      <c r="P1386" s="30" t="n">
        <v>-9.46454</v>
      </c>
      <c r="Q1386" s="30" t="n">
        <v>-40.4960017</v>
      </c>
      <c r="R1386" s="14" t="inlineStr">
        <is>
          <t xml:space="preserve"> FÓRUM ELEITORAL DE JUAZEIRO, RUA DOS BANDEIRANTES, S/N, BAIRRO JOÃO XXIII, JUAZEIRO/BA</t>
        </is>
      </c>
      <c r="S1386" s="26">
        <f>IF(A1386=A1385,0,1)</f>
        <v>0</v>
      </c>
      <c r="T1386" s="26">
        <f>IF(COUNTIF($B$4:B1386,B1386)=1,1,0)</f>
        <v>0</v>
      </c>
    </row>
    <row r="1387">
      <c r="A1387" s="14" t="inlineStr">
        <is>
          <t>JUAZEIRO</t>
        </is>
      </c>
      <c r="B1387" s="26" t="n">
        <v>48</v>
      </c>
      <c r="C1387" s="26" t="n">
        <v>2011</v>
      </c>
      <c r="D1387" s="14" t="inlineStr">
        <is>
          <t>COLÉGIO ESTADUAL ANTONÍLIO DA FRANÇA CARDOSO</t>
        </is>
      </c>
      <c r="E1387" s="14" t="inlineStr">
        <is>
          <t>DOM JOSÉ RODRIGUES</t>
        </is>
      </c>
      <c r="F1387" s="14" t="inlineStr">
        <is>
          <t>AVENIDA EDÉSIO SANTOS, S/N - ZONA URBANA</t>
        </is>
      </c>
      <c r="G1387" s="27" t="inlineStr">
        <is>
          <t>48913-190</t>
        </is>
      </c>
      <c r="H1387" s="15" t="n">
        <v>5</v>
      </c>
      <c r="I1387" s="28" t="inlineStr">
        <is>
          <t>SIM</t>
        </is>
      </c>
      <c r="J1387" s="29" t="n">
        <v>17.6</v>
      </c>
      <c r="K1387" s="14" t="str">
        <f>IF(J1387="","7. Acima de 2 km",IF(J1387&lt;=50,"1. Até 50 m",IF(J1387&lt;=100,"2. De 50 a 100 m",IF(J1387&lt;=200,"3. De 100 a 200 m",IF(J1387&lt;=300,"4. De 200 a 300 m",IF(J1387&lt;=500,"5. De 300 a 500 m","6. De 500 m a 2 km"))))))</f>
        <v>1. Até 50 m</v>
      </c>
      <c r="L1387" s="26" t="n">
        <v>1</v>
      </c>
      <c r="M1387" s="26" t="n">
        <v>1</v>
      </c>
      <c r="N1387" s="26" t="n">
        <v>1</v>
      </c>
      <c r="O1387" s="26" t="n">
        <v>2</v>
      </c>
      <c r="P1387" s="30" t="n">
        <v>-9.4557904</v>
      </c>
      <c r="Q1387" s="30" t="n">
        <v>-40.5121885</v>
      </c>
      <c r="R1387" s="14" t="inlineStr">
        <is>
          <t xml:space="preserve"> FÓRUM ELEITORAL DE JUAZEIRO, RUA DOS BANDEIRANTES, S/N, BAIRRO JOÃO XXIII, JUAZEIRO/BA</t>
        </is>
      </c>
      <c r="S1387" s="26">
        <f>IF(A1387=A1386,0,1)</f>
        <v>0</v>
      </c>
      <c r="T1387" s="26">
        <f>IF(COUNTIF($B$4:B1387,B1387)=1,1,0)</f>
        <v>0</v>
      </c>
    </row>
    <row r="1388">
      <c r="A1388" s="14" t="inlineStr">
        <is>
          <t>JUAZEIRO</t>
        </is>
      </c>
      <c r="B1388" s="26" t="n">
        <v>48</v>
      </c>
      <c r="C1388" s="26" t="n">
        <v>2020</v>
      </c>
      <c r="D1388" s="14" t="inlineStr">
        <is>
          <t>ESCOLA MUNICIPAL PROFESSORA CARMEM COSTA SANTOS</t>
        </is>
      </c>
      <c r="E1388" s="14" t="inlineStr">
        <is>
          <t>ALTO DA ALIANÇA</t>
        </is>
      </c>
      <c r="F1388" s="14" t="inlineStr">
        <is>
          <t>AVENIDA IRMÃ DULCE, S/N - ZONA URBANA</t>
        </is>
      </c>
      <c r="G1388" s="27" t="inlineStr">
        <is>
          <t>48909-241</t>
        </is>
      </c>
      <c r="H1388" s="15" t="n">
        <v>6</v>
      </c>
      <c r="I1388" s="28" t="inlineStr">
        <is>
          <t>SIM</t>
        </is>
      </c>
      <c r="J1388" s="29" t="n">
        <v>75.09999999999999</v>
      </c>
      <c r="K1388" s="14" t="str">
        <f>IF(J1388="","7. Acima de 2 km",IF(J1388&lt;=50,"1. Até 50 m",IF(J1388&lt;=100,"2. De 50 a 100 m",IF(J1388&lt;=200,"3. De 100 a 200 m",IF(J1388&lt;=300,"4. De 200 a 300 m",IF(J1388&lt;=500,"5. De 300 a 500 m","6. De 500 m a 2 km"))))))</f>
        <v>2. De 50 a 100 m</v>
      </c>
      <c r="L1388" s="26" t="n">
        <v>0</v>
      </c>
      <c r="M1388" s="26" t="n">
        <v>1</v>
      </c>
      <c r="N1388" s="26" t="n">
        <v>1</v>
      </c>
      <c r="O1388" s="26" t="n">
        <v>1</v>
      </c>
      <c r="P1388" s="30" t="n">
        <v>-9.4476034</v>
      </c>
      <c r="Q1388" s="30" t="n">
        <v>-40.4978933</v>
      </c>
      <c r="R1388" s="14" t="inlineStr">
        <is>
          <t xml:space="preserve"> FÓRUM ELEITORAL DE JUAZEIRO, RUA DOS BANDEIRANTES, S/N, BAIRRO JOÃO XXIII, JUAZEIRO/BA</t>
        </is>
      </c>
      <c r="S1388" s="26">
        <f>IF(A1388=A1387,0,1)</f>
        <v>0</v>
      </c>
      <c r="T1388" s="26">
        <f>IF(COUNTIF($B$4:B1388,B1388)=1,1,0)</f>
        <v>0</v>
      </c>
    </row>
    <row r="1389">
      <c r="A1389" s="14" t="inlineStr">
        <is>
          <t>JUAZEIRO</t>
        </is>
      </c>
      <c r="B1389" s="26" t="n">
        <v>48</v>
      </c>
      <c r="C1389" s="26" t="n">
        <v>2038</v>
      </c>
      <c r="D1389" s="14" t="inlineStr">
        <is>
          <t>INSTITUTO FEDERAL DE EDUCAÇÃO, CIÊNCIA E TECNOLOGIA DA BAHIA - IFBA</t>
        </is>
      </c>
      <c r="E1389" s="14" t="inlineStr">
        <is>
          <t>DOM JOSÉ RODRIGUES</t>
        </is>
      </c>
      <c r="F1389" s="14" t="inlineStr">
        <is>
          <t>RODOVIA BA 210, S/N - ZONA URBANA</t>
        </is>
      </c>
      <c r="G1389" s="27" t="inlineStr">
        <is>
          <t>48918-900</t>
        </is>
      </c>
      <c r="H1389" s="15" t="n">
        <v>4</v>
      </c>
      <c r="I1389" s="28" t="inlineStr">
        <is>
          <t>SIM</t>
        </is>
      </c>
      <c r="J1389" s="29" t="n">
        <v>97</v>
      </c>
      <c r="K1389" s="14" t="str">
        <f>IF(J1389="","7. Acima de 2 km",IF(J1389&lt;=50,"1. Até 50 m",IF(J1389&lt;=100,"2. De 50 a 100 m",IF(J1389&lt;=200,"3. De 100 a 200 m",IF(J1389&lt;=300,"4. De 200 a 300 m",IF(J1389&lt;=500,"5. De 300 a 500 m","6. De 500 m a 2 km"))))))</f>
        <v>2. De 50 a 100 m</v>
      </c>
      <c r="L1389" s="26" t="n">
        <v>0</v>
      </c>
      <c r="M1389" s="26" t="n">
        <v>1</v>
      </c>
      <c r="N1389" s="26" t="n">
        <v>1</v>
      </c>
      <c r="O1389" s="26" t="n">
        <v>2</v>
      </c>
      <c r="P1389" s="30" t="n">
        <v>-9.4508311</v>
      </c>
      <c r="Q1389" s="30" t="n">
        <v>-40.5234631</v>
      </c>
      <c r="R1389" s="14" t="inlineStr">
        <is>
          <t xml:space="preserve"> FÓRUM ELEITORAL DE JUAZEIRO, RUA DOS BANDEIRANTES, S/N, BAIRRO JOÃO XXIII, JUAZEIRO/BA</t>
        </is>
      </c>
      <c r="S1389" s="26">
        <f>IF(A1389=A1388,0,1)</f>
        <v>0</v>
      </c>
      <c r="T1389" s="26">
        <f>IF(COUNTIF($B$4:B1389,B1389)=1,1,0)</f>
        <v>0</v>
      </c>
    </row>
    <row r="1390">
      <c r="A1390" s="14" t="inlineStr">
        <is>
          <t>JUAZEIRO</t>
        </is>
      </c>
      <c r="B1390" s="26" t="n">
        <v>48</v>
      </c>
      <c r="C1390" s="26" t="n">
        <v>2054</v>
      </c>
      <c r="D1390" s="14" t="inlineStr">
        <is>
          <t>COLÉGIO ESTADUAL PROFESSOR PEDRO RAIMUNDO RODRIGUES RÊGO</t>
        </is>
      </c>
      <c r="E1390" s="14" t="inlineStr">
        <is>
          <t>PIRANGA</t>
        </is>
      </c>
      <c r="F1390" s="14" t="inlineStr">
        <is>
          <t>PRAÇA ANTÔNIO TANURI, S/N- ZONA URBANA</t>
        </is>
      </c>
      <c r="G1390" s="27" t="inlineStr">
        <is>
          <t>48900-042</t>
        </is>
      </c>
      <c r="H1390" s="15" t="n">
        <v>7</v>
      </c>
      <c r="I1390" s="28" t="inlineStr">
        <is>
          <t>NÃO</t>
        </is>
      </c>
      <c r="J1390" s="29" t="n">
        <v>282.5</v>
      </c>
      <c r="K1390" s="14" t="str">
        <f>IF(J1390="","7. Acima de 2 km",IF(J1390&lt;=50,"1. Até 50 m",IF(J1390&lt;=100,"2. De 50 a 100 m",IF(J1390&lt;=200,"3. De 100 a 200 m",IF(J1390&lt;=300,"4. De 200 a 300 m",IF(J1390&lt;=500,"5. De 300 a 500 m","6. De 500 m a 2 km"))))))</f>
        <v>4. De 200 a 300 m</v>
      </c>
      <c r="L1390" s="26" t="n">
        <v>0</v>
      </c>
      <c r="M1390" s="26" t="n">
        <v>0</v>
      </c>
      <c r="N1390" s="26" t="n">
        <v>0</v>
      </c>
      <c r="O1390" s="26" t="n">
        <v>1</v>
      </c>
      <c r="P1390" s="30" t="n">
        <v>-9.4331754</v>
      </c>
      <c r="Q1390" s="30" t="n">
        <v>-40.5061645</v>
      </c>
      <c r="R1390" s="14" t="inlineStr">
        <is>
          <t xml:space="preserve"> FÓRUM ELEITORAL DE JUAZEIRO, RUA DOS BANDEIRANTES, S/N, BAIRRO JOÃO XXIII, JUAZEIRO/BA</t>
        </is>
      </c>
      <c r="S1390" s="26">
        <f>IF(A1390=A1389,0,1)</f>
        <v>0</v>
      </c>
      <c r="T1390" s="26">
        <f>IF(COUNTIF($B$4:B1390,B1390)=1,1,0)</f>
        <v>0</v>
      </c>
    </row>
    <row r="1391">
      <c r="A1391" s="14" t="inlineStr">
        <is>
          <t>JUAZEIRO</t>
        </is>
      </c>
      <c r="B1391" s="26" t="n">
        <v>48</v>
      </c>
      <c r="C1391" s="26" t="n">
        <v>2062</v>
      </c>
      <c r="D1391" s="14" t="inlineStr">
        <is>
          <t>ESCOLA MUNICIPAL RAIMUNDO CLEMENTINO DE SOUZA</t>
        </is>
      </c>
      <c r="E1391" s="14" t="inlineStr">
        <is>
          <t>DISTRITO PINHÕES</t>
        </is>
      </c>
      <c r="F1391" s="14" t="inlineStr">
        <is>
          <t>TRAVESSA DA RODOVIA S/N - ZONA RURAL</t>
        </is>
      </c>
      <c r="G1391" s="27" t="inlineStr">
        <is>
          <t>48924-000</t>
        </is>
      </c>
      <c r="H1391" s="15" t="n">
        <v>4</v>
      </c>
      <c r="I1391" s="28" t="inlineStr">
        <is>
          <t>NÃO</t>
        </is>
      </c>
      <c r="J1391" s="29" t="n"/>
      <c r="K1391" s="14" t="str">
        <f>IF(J1391="","7. Acima de 2 km",IF(J1391&lt;=50,"1. Até 50 m",IF(J1391&lt;=100,"2. De 50 a 100 m",IF(J1391&lt;=200,"3. De 100 a 200 m",IF(J1391&lt;=300,"4. De 200 a 300 m",IF(J1391&lt;=500,"5. De 300 a 500 m","6. De 500 m a 2 km"))))))</f>
        <v>7. Acima de 2 km</v>
      </c>
      <c r="L1391" s="26" t="n">
        <v>0</v>
      </c>
      <c r="M1391" s="26" t="n">
        <v>0</v>
      </c>
      <c r="N1391" s="26" t="n">
        <v>0</v>
      </c>
      <c r="O1391" s="26" t="n">
        <v>0</v>
      </c>
      <c r="P1391" s="30" t="n">
        <v>-9.577298300000001</v>
      </c>
      <c r="Q1391" s="30" t="n">
        <v>-39.8937883</v>
      </c>
      <c r="R1391" s="14" t="inlineStr">
        <is>
          <t xml:space="preserve"> FÓRUM ELEITORAL DE JUAZEIRO, RUA DOS BANDEIRANTES, S/N, BAIRRO JOÃO XXIII, JUAZEIRO/BA</t>
        </is>
      </c>
      <c r="S1391" s="26">
        <f>IF(A1391=A1390,0,1)</f>
        <v>0</v>
      </c>
      <c r="T1391" s="26">
        <f>IF(COUNTIF($B$4:B1391,B1391)=1,1,0)</f>
        <v>0</v>
      </c>
    </row>
    <row r="1392">
      <c r="A1392" s="14" t="inlineStr">
        <is>
          <t>JUAZEIRO</t>
        </is>
      </c>
      <c r="B1392" s="26" t="n">
        <v>48</v>
      </c>
      <c r="C1392" s="26" t="n">
        <v>2070</v>
      </c>
      <c r="D1392" s="14" t="inlineStr">
        <is>
          <t>ESCOLA MUNICIPAL PROFESSORA MARIA JÚLIA RODRIGUES TANURI</t>
        </is>
      </c>
      <c r="E1392" s="14" t="inlineStr">
        <is>
          <t>NOVA JUAZEIRO</t>
        </is>
      </c>
      <c r="F1392" s="14" t="inlineStr">
        <is>
          <t>RUA PROJETADA C, S/N, RESIDENCIAL DR. HUMBERTO MARTINS II -ZONA URBANA</t>
        </is>
      </c>
      <c r="G1392" s="27" t="inlineStr">
        <is>
          <t>48918-305</t>
        </is>
      </c>
      <c r="H1392" s="15" t="n">
        <v>1</v>
      </c>
      <c r="I1392" s="28" t="inlineStr">
        <is>
          <t>NÃO</t>
        </is>
      </c>
      <c r="J1392" s="29" t="n">
        <v>600.3</v>
      </c>
      <c r="K1392" s="14" t="str">
        <f>IF(J1392="","7. Acima de 2 km",IF(J1392&lt;=50,"1. Até 50 m",IF(J1392&lt;=100,"2. De 50 a 100 m",IF(J1392&lt;=200,"3. De 100 a 200 m",IF(J1392&lt;=300,"4. De 200 a 300 m",IF(J1392&lt;=500,"5. De 300 a 500 m","6. De 500 m a 2 km"))))))</f>
        <v>6. De 500 m a 2 km</v>
      </c>
      <c r="L1392" s="26" t="n">
        <v>0</v>
      </c>
      <c r="M1392" s="26" t="n">
        <v>0</v>
      </c>
      <c r="N1392" s="26" t="n">
        <v>0</v>
      </c>
      <c r="O1392" s="26" t="n">
        <v>0</v>
      </c>
      <c r="P1392" s="30" t="n">
        <v>-9.4615633</v>
      </c>
      <c r="Q1392" s="30" t="n">
        <v>-40.5334433</v>
      </c>
      <c r="R1392" s="14" t="inlineStr">
        <is>
          <t xml:space="preserve"> FÓRUM ELEITORAL DE JUAZEIRO, RUA DOS BANDEIRANTES, S/N, BAIRRO JOÃO XXIII, JUAZEIRO/BA</t>
        </is>
      </c>
      <c r="S1392" s="26">
        <f>IF(A1392=A1391,0,1)</f>
        <v>0</v>
      </c>
      <c r="T1392" s="26">
        <f>IF(COUNTIF($B$4:B1392,B1392)=1,1,0)</f>
        <v>0</v>
      </c>
    </row>
    <row r="1393">
      <c r="A1393" s="14" t="inlineStr">
        <is>
          <t>JUSSIAPE</t>
        </is>
      </c>
      <c r="B1393" s="26" t="n">
        <v>101</v>
      </c>
      <c r="C1393" s="26" t="n">
        <v>1015</v>
      </c>
      <c r="D1393" s="14" t="inlineStr">
        <is>
          <t>CÂMARA MUNICIPAL DE JUSSIAPE</t>
        </is>
      </c>
      <c r="E1393" s="14" t="inlineStr">
        <is>
          <t>CENTRO</t>
        </is>
      </c>
      <c r="F1393" s="14" t="inlineStr">
        <is>
          <t>PRAÇA RODRIGO ALVES TEIXEIRA - ZONA URBANA</t>
        </is>
      </c>
      <c r="G1393" s="27" t="inlineStr">
        <is>
          <t>46670-000</t>
        </is>
      </c>
      <c r="H1393" s="15" t="n">
        <v>2</v>
      </c>
      <c r="I1393" s="28" t="inlineStr">
        <is>
          <t>SIM</t>
        </is>
      </c>
      <c r="J1393" s="29" t="n">
        <v>35.4</v>
      </c>
      <c r="K1393" s="14" t="str">
        <f>IF(J1393="","7. Acima de 2 km",IF(J1393&lt;=50,"1. Até 50 m",IF(J1393&lt;=100,"2. De 50 a 100 m",IF(J1393&lt;=200,"3. De 100 a 200 m",IF(J1393&lt;=300,"4. De 200 a 300 m",IF(J1393&lt;=500,"5. De 300 a 500 m","6. De 500 m a 2 km"))))))</f>
        <v>1. Até 50 m</v>
      </c>
      <c r="L1393" s="26" t="n">
        <v>2</v>
      </c>
      <c r="M1393" s="26" t="n">
        <v>2</v>
      </c>
      <c r="N1393" s="26" t="n">
        <v>3</v>
      </c>
      <c r="O1393" s="26" t="n">
        <v>4</v>
      </c>
      <c r="P1393" s="30" t="n">
        <v>-13.5173265</v>
      </c>
      <c r="Q1393" s="30" t="n">
        <v>-41.5922743</v>
      </c>
      <c r="R1393" s="14" t="inlineStr">
        <is>
          <t>RUA JOSÉ MARIA TANAJURA, 241, CENTRO, LIVRAMENTO DE NOSSA SENHORA/BA</t>
        </is>
      </c>
      <c r="S1393" s="26">
        <f>IF(A1393=A1392,0,1)</f>
        <v>1</v>
      </c>
      <c r="T1393" s="26">
        <f>IF(COUNTIF($B$4:B1393,B1393)=1,1,0)</f>
        <v>1</v>
      </c>
    </row>
    <row r="1394">
      <c r="A1394" s="14" t="inlineStr">
        <is>
          <t>JUSSIAPE</t>
        </is>
      </c>
      <c r="B1394" s="26" t="n">
        <v>101</v>
      </c>
      <c r="C1394" s="26" t="n">
        <v>1066</v>
      </c>
      <c r="D1394" s="14" t="inlineStr">
        <is>
          <t>ESCOLA MUNICIPAL JORGE AMADO</t>
        </is>
      </c>
      <c r="E1394" s="14" t="inlineStr">
        <is>
          <t>POVOADO DA CRUZ</t>
        </is>
      </c>
      <c r="F1394" s="14" t="inlineStr">
        <is>
          <t>POVOADO DA CRUZ - ZONA RURAL</t>
        </is>
      </c>
      <c r="G1394" s="27" t="inlineStr">
        <is>
          <t>46670-000</t>
        </is>
      </c>
      <c r="H1394" s="15" t="n">
        <v>2</v>
      </c>
      <c r="I1394" s="28" t="inlineStr">
        <is>
          <t>NÃO</t>
        </is>
      </c>
      <c r="J1394" s="29" t="n"/>
      <c r="K1394" s="14" t="str">
        <f>IF(J1394="","7. Acima de 2 km",IF(J1394&lt;=50,"1. Até 50 m",IF(J1394&lt;=100,"2. De 50 a 100 m",IF(J1394&lt;=200,"3. De 100 a 200 m",IF(J1394&lt;=300,"4. De 200 a 300 m",IF(J1394&lt;=500,"5. De 300 a 500 m","6. De 500 m a 2 km"))))))</f>
        <v>7. Acima de 2 km</v>
      </c>
      <c r="L1394" s="26" t="n">
        <v>0</v>
      </c>
      <c r="M1394" s="26" t="n">
        <v>0</v>
      </c>
      <c r="N1394" s="26" t="n">
        <v>0</v>
      </c>
      <c r="O1394" s="26" t="n">
        <v>0</v>
      </c>
      <c r="P1394" s="30" t="n">
        <v>-13.3626658</v>
      </c>
      <c r="Q1394" s="30" t="n">
        <v>-41.6823928</v>
      </c>
      <c r="R1394" s="14" t="inlineStr">
        <is>
          <t>RUA JOSÉ MARIA TANAJURA, 241, CENTRO, LIVRAMENTO DE NOSSA SENHORA/BA</t>
        </is>
      </c>
      <c r="S1394" s="26">
        <f>IF(A1394=A1393,0,1)</f>
        <v>0</v>
      </c>
      <c r="T1394" s="26">
        <f>IF(COUNTIF($B$4:B1394,B1394)=1,1,0)</f>
        <v>0</v>
      </c>
    </row>
    <row r="1395">
      <c r="A1395" s="14" t="inlineStr">
        <is>
          <t>JUSSIAPE</t>
        </is>
      </c>
      <c r="B1395" s="26" t="n">
        <v>101</v>
      </c>
      <c r="C1395" s="26" t="n">
        <v>1074</v>
      </c>
      <c r="D1395" s="14" t="inlineStr">
        <is>
          <t>GRUPO ESCOLAR DEPUTADO HORÁCIO DE MATOS</t>
        </is>
      </c>
      <c r="E1395" s="14" t="inlineStr">
        <is>
          <t>CENTRO</t>
        </is>
      </c>
      <c r="F1395" s="14" t="inlineStr">
        <is>
          <t>AVENIDA SÃO JOSÉ, S/N - ZONA URBANA</t>
        </is>
      </c>
      <c r="G1395" s="27" t="inlineStr">
        <is>
          <t>46670-000</t>
        </is>
      </c>
      <c r="H1395" s="15" t="n">
        <v>3</v>
      </c>
      <c r="I1395" s="28" t="inlineStr">
        <is>
          <t>SIM</t>
        </is>
      </c>
      <c r="J1395" s="29" t="n">
        <v>27.3</v>
      </c>
      <c r="K1395" s="14" t="str">
        <f>IF(J1395="","7. Acima de 2 km",IF(J1395&lt;=50,"1. Até 50 m",IF(J1395&lt;=100,"2. De 50 a 100 m",IF(J1395&lt;=200,"3. De 100 a 200 m",IF(J1395&lt;=300,"4. De 200 a 300 m",IF(J1395&lt;=500,"5. De 300 a 500 m","6. De 500 m a 2 km"))))))</f>
        <v>1. Até 50 m</v>
      </c>
      <c r="L1395" s="26" t="n">
        <v>1</v>
      </c>
      <c r="M1395" s="26" t="n">
        <v>1</v>
      </c>
      <c r="N1395" s="26" t="n">
        <v>1</v>
      </c>
      <c r="O1395" s="26" t="n">
        <v>1</v>
      </c>
      <c r="P1395" s="30" t="n">
        <v>-13.5212932</v>
      </c>
      <c r="Q1395" s="30" t="n">
        <v>-41.5938862</v>
      </c>
      <c r="R1395" s="14" t="inlineStr">
        <is>
          <t>RUA JOSÉ MARIA TANAJURA, 241, CENTRO, LIVRAMENTO DE NOSSA SENHORA/BA</t>
        </is>
      </c>
      <c r="S1395" s="26">
        <f>IF(A1395=A1394,0,1)</f>
        <v>0</v>
      </c>
      <c r="T1395" s="26">
        <f>IF(COUNTIF($B$4:B1395,B1395)=1,1,0)</f>
        <v>0</v>
      </c>
    </row>
    <row r="1396">
      <c r="A1396" s="14" t="inlineStr">
        <is>
          <t>JUSSIAPE</t>
        </is>
      </c>
      <c r="B1396" s="26" t="n">
        <v>101</v>
      </c>
      <c r="C1396" s="26" t="n">
        <v>1082</v>
      </c>
      <c r="D1396" s="14" t="inlineStr">
        <is>
          <t>UNIDADE ESCOLAR RODOLFO ABREU</t>
        </is>
      </c>
      <c r="E1396" s="14" t="inlineStr">
        <is>
          <t>DISTRITO CARAGUATAÍ</t>
        </is>
      </c>
      <c r="F1396" s="14" t="inlineStr">
        <is>
          <t>RUA TIRADENTES - ZONA RURAL</t>
        </is>
      </c>
      <c r="G1396" s="27" t="inlineStr">
        <is>
          <t>46670-000</t>
        </is>
      </c>
      <c r="H1396" s="15" t="n">
        <v>5</v>
      </c>
      <c r="I1396" s="28" t="inlineStr">
        <is>
          <t>NÃO</t>
        </is>
      </c>
      <c r="J1396" s="29" t="n">
        <v>320.1</v>
      </c>
      <c r="K1396" s="14" t="str">
        <f>IF(J1396="","7. Acima de 2 km",IF(J1396&lt;=50,"1. Até 50 m",IF(J1396&lt;=100,"2. De 50 a 100 m",IF(J1396&lt;=200,"3. De 100 a 200 m",IF(J1396&lt;=300,"4. De 200 a 300 m",IF(J1396&lt;=500,"5. De 300 a 500 m","6. De 500 m a 2 km"))))))</f>
        <v>5. De 300 a 500 m</v>
      </c>
      <c r="L1396" s="26" t="n">
        <v>0</v>
      </c>
      <c r="M1396" s="26" t="n">
        <v>0</v>
      </c>
      <c r="N1396" s="26" t="n">
        <v>0</v>
      </c>
      <c r="O1396" s="26" t="n">
        <v>0</v>
      </c>
      <c r="P1396" s="30" t="n">
        <v>-13.3992094</v>
      </c>
      <c r="Q1396" s="30" t="n">
        <v>-41.6426764</v>
      </c>
      <c r="R1396" s="14" t="inlineStr">
        <is>
          <t>RUA JOSÉ MARIA TANAJURA, 241, CENTRO, LIVRAMENTO DE NOSSA SENHORA/BA</t>
        </is>
      </c>
      <c r="S1396" s="26">
        <f>IF(A1396=A1395,0,1)</f>
        <v>0</v>
      </c>
      <c r="T1396" s="26">
        <f>IF(COUNTIF($B$4:B1396,B1396)=1,1,0)</f>
        <v>0</v>
      </c>
    </row>
    <row r="1397">
      <c r="A1397" s="14" t="inlineStr">
        <is>
          <t>JUSSIAPE</t>
        </is>
      </c>
      <c r="B1397" s="26" t="n">
        <v>101</v>
      </c>
      <c r="C1397" s="26" t="n">
        <v>1090</v>
      </c>
      <c r="D1397" s="14" t="inlineStr">
        <is>
          <t>ESCOLA MUNICIPAL PROFESSOR JOSÉ MANÇOS FREIRE</t>
        </is>
      </c>
      <c r="E1397" s="14" t="inlineStr">
        <is>
          <t>CENTRO</t>
        </is>
      </c>
      <c r="F1397" s="14" t="inlineStr">
        <is>
          <t>RUA ELEUTÉRIO JOSÉ DE SOUZA, 455 - ZONA URBANA</t>
        </is>
      </c>
      <c r="G1397" s="27" t="inlineStr">
        <is>
          <t>46670-000</t>
        </is>
      </c>
      <c r="H1397" s="15" t="n">
        <v>3</v>
      </c>
      <c r="I1397" s="28" t="inlineStr">
        <is>
          <t>NÃO</t>
        </is>
      </c>
      <c r="J1397" s="29" t="n">
        <v>197.4</v>
      </c>
      <c r="K1397" s="14" t="str">
        <f>IF(J1397="","7. Acima de 2 km",IF(J1397&lt;=50,"1. Até 50 m",IF(J1397&lt;=100,"2. De 50 a 100 m",IF(J1397&lt;=200,"3. De 100 a 200 m",IF(J1397&lt;=300,"4. De 200 a 300 m",IF(J1397&lt;=500,"5. De 300 a 500 m","6. De 500 m a 2 km"))))))</f>
        <v>3. De 100 a 200 m</v>
      </c>
      <c r="L1397" s="26" t="n">
        <v>0</v>
      </c>
      <c r="M1397" s="26" t="n">
        <v>0</v>
      </c>
      <c r="N1397" s="26" t="n">
        <v>1</v>
      </c>
      <c r="O1397" s="26" t="n">
        <v>1</v>
      </c>
      <c r="P1397" s="30" t="n">
        <v>-13.5117587</v>
      </c>
      <c r="Q1397" s="30" t="n">
        <v>-41.5925917</v>
      </c>
      <c r="R1397" s="14" t="inlineStr">
        <is>
          <t>RUA JOSÉ MARIA TANAJURA, 241, CENTRO, LIVRAMENTO DE NOSSA SENHORA/BA</t>
        </is>
      </c>
      <c r="S1397" s="26">
        <f>IF(A1397=A1396,0,1)</f>
        <v>0</v>
      </c>
      <c r="T1397" s="26">
        <f>IF(COUNTIF($B$4:B1397,B1397)=1,1,0)</f>
        <v>0</v>
      </c>
    </row>
    <row r="1398">
      <c r="A1398" s="14" t="inlineStr">
        <is>
          <t>JUSSIAPE</t>
        </is>
      </c>
      <c r="B1398" s="26" t="n">
        <v>101</v>
      </c>
      <c r="C1398" s="26" t="n">
        <v>1120</v>
      </c>
      <c r="D1398" s="14" t="inlineStr">
        <is>
          <t>ESCOLA MUNICIPAL ERALDO TINOCO</t>
        </is>
      </c>
      <c r="E1398" s="14" t="inlineStr">
        <is>
          <t>CENTRO</t>
        </is>
      </c>
      <c r="F1398" s="14" t="inlineStr">
        <is>
          <t>PRAÇA 9 DE JULHO - ZONA URBANA</t>
        </is>
      </c>
      <c r="G1398" s="27" t="inlineStr">
        <is>
          <t>46670-000</t>
        </is>
      </c>
      <c r="H1398" s="15" t="n">
        <v>5</v>
      </c>
      <c r="I1398" s="28" t="inlineStr">
        <is>
          <t>SIM</t>
        </is>
      </c>
      <c r="J1398" s="29" t="n">
        <v>28</v>
      </c>
      <c r="K1398" s="14" t="str">
        <f>IF(J1398="","7. Acima de 2 km",IF(J1398&lt;=50,"1. Até 50 m",IF(J1398&lt;=100,"2. De 50 a 100 m",IF(J1398&lt;=200,"3. De 100 a 200 m",IF(J1398&lt;=300,"4. De 200 a 300 m",IF(J1398&lt;=500,"5. De 300 a 500 m","6. De 500 m a 2 km"))))))</f>
        <v>1. Até 50 m</v>
      </c>
      <c r="L1398" s="26" t="n">
        <v>1</v>
      </c>
      <c r="M1398" s="26" t="n">
        <v>1</v>
      </c>
      <c r="N1398" s="26" t="n">
        <v>1</v>
      </c>
      <c r="O1398" s="26" t="n">
        <v>2</v>
      </c>
      <c r="P1398" s="30" t="n">
        <v>-13.5137181</v>
      </c>
      <c r="Q1398" s="30" t="n">
        <v>-41.5921318</v>
      </c>
      <c r="R1398" s="14" t="inlineStr">
        <is>
          <t>RUA JOSÉ MARIA TANAJURA, 241, CENTRO, LIVRAMENTO DE NOSSA SENHORA/BA</t>
        </is>
      </c>
      <c r="S1398" s="26">
        <f>IF(A1398=A1397,0,1)</f>
        <v>0</v>
      </c>
      <c r="T1398" s="26">
        <f>IF(COUNTIF($B$4:B1398,B1398)=1,1,0)</f>
        <v>0</v>
      </c>
    </row>
    <row r="1399">
      <c r="A1399" s="14" t="inlineStr">
        <is>
          <t>JUSSIAPE</t>
        </is>
      </c>
      <c r="B1399" s="26" t="n">
        <v>101</v>
      </c>
      <c r="C1399" s="26" t="n">
        <v>1139</v>
      </c>
      <c r="D1399" s="14" t="inlineStr">
        <is>
          <t>ESCOLA MUNICIPAL CARLOS DRUMOND DE ANDRADE</t>
        </is>
      </c>
      <c r="E1399" s="14" t="inlineStr">
        <is>
          <t>DISTRITO CARAGUATAÍ</t>
        </is>
      </c>
      <c r="F1399" s="14" t="inlineStr">
        <is>
          <t>RUA INÁCIO ALENCAR - ZONA RURAL</t>
        </is>
      </c>
      <c r="G1399" s="27" t="inlineStr">
        <is>
          <t>46670-000</t>
        </is>
      </c>
      <c r="H1399" s="15" t="n">
        <v>1</v>
      </c>
      <c r="I1399" s="28" t="inlineStr">
        <is>
          <t>NÃO</t>
        </is>
      </c>
      <c r="J1399" s="29" t="n">
        <v>350.9</v>
      </c>
      <c r="K1399" s="14" t="str">
        <f>IF(J1399="","7. Acima de 2 km",IF(J1399&lt;=50,"1. Até 50 m",IF(J1399&lt;=100,"2. De 50 a 100 m",IF(J1399&lt;=200,"3. De 100 a 200 m",IF(J1399&lt;=300,"4. De 200 a 300 m",IF(J1399&lt;=500,"5. De 300 a 500 m","6. De 500 m a 2 km"))))))</f>
        <v>5. De 300 a 500 m</v>
      </c>
      <c r="L1399" s="26" t="n">
        <v>0</v>
      </c>
      <c r="M1399" s="26" t="n">
        <v>0</v>
      </c>
      <c r="N1399" s="26" t="n">
        <v>0</v>
      </c>
      <c r="O1399" s="26" t="n">
        <v>0</v>
      </c>
      <c r="P1399" s="30" t="n">
        <v>-13.3986261</v>
      </c>
      <c r="Q1399" s="30" t="n">
        <v>-41.6435616</v>
      </c>
      <c r="R1399" s="14" t="inlineStr">
        <is>
          <t>RUA JOSÉ MARIA TANAJURA, 241, CENTRO, LIVRAMENTO DE NOSSA SENHORA/BA</t>
        </is>
      </c>
      <c r="S1399" s="26">
        <f>IF(A1399=A1398,0,1)</f>
        <v>0</v>
      </c>
      <c r="T1399" s="26">
        <f>IF(COUNTIF($B$4:B1399,B1399)=1,1,0)</f>
        <v>0</v>
      </c>
    </row>
    <row r="1400">
      <c r="A1400" s="14" t="inlineStr">
        <is>
          <t>JUSSIAPE</t>
        </is>
      </c>
      <c r="B1400" s="26" t="n">
        <v>101</v>
      </c>
      <c r="C1400" s="26" t="n">
        <v>1147</v>
      </c>
      <c r="D1400" s="14" t="inlineStr">
        <is>
          <t>ESCOLA MUNICIPAL NADIR FREITAS BARBOSA</t>
        </is>
      </c>
      <c r="E1400" s="14" t="inlineStr">
        <is>
          <t>POVOADO PAIOL</t>
        </is>
      </c>
      <c r="F1400" s="14" t="inlineStr">
        <is>
          <t>POVOADO PAIOL - ZONA RURAL</t>
        </is>
      </c>
      <c r="G1400" s="27" t="inlineStr">
        <is>
          <t>46670-000</t>
        </is>
      </c>
      <c r="H1400" s="15" t="n">
        <v>3</v>
      </c>
      <c r="I1400" s="28" t="inlineStr">
        <is>
          <t>NÃO</t>
        </is>
      </c>
      <c r="J1400" s="29" t="n"/>
      <c r="K1400" s="14" t="str">
        <f>IF(J1400="","7. Acima de 2 km",IF(J1400&lt;=50,"1. Até 50 m",IF(J1400&lt;=100,"2. De 50 a 100 m",IF(J1400&lt;=200,"3. De 100 a 200 m",IF(J1400&lt;=300,"4. De 200 a 300 m",IF(J1400&lt;=500,"5. De 300 a 500 m","6. De 500 m a 2 km"))))))</f>
        <v>7. Acima de 2 km</v>
      </c>
      <c r="L1400" s="26" t="n">
        <v>0</v>
      </c>
      <c r="M1400" s="26" t="n">
        <v>0</v>
      </c>
      <c r="N1400" s="26" t="n">
        <v>0</v>
      </c>
      <c r="O1400" s="26" t="n">
        <v>0</v>
      </c>
      <c r="P1400" s="30" t="n">
        <v>-13.5385713</v>
      </c>
      <c r="Q1400" s="30" t="n">
        <v>-41.5213267</v>
      </c>
      <c r="R1400" s="14" t="inlineStr">
        <is>
          <t>RUA JOSÉ MARIA TANAJURA, 241, CENTRO, LIVRAMENTO DE NOSSA SENHORA/BA</t>
        </is>
      </c>
      <c r="S1400" s="26">
        <f>IF(A1400=A1399,0,1)</f>
        <v>0</v>
      </c>
      <c r="T1400" s="26">
        <f>IF(COUNTIF($B$4:B1400,B1400)=1,1,0)</f>
        <v>0</v>
      </c>
    </row>
    <row r="1401">
      <c r="A1401" s="14" t="inlineStr">
        <is>
          <t>JUSSIAPE</t>
        </is>
      </c>
      <c r="B1401" s="26" t="n">
        <v>101</v>
      </c>
      <c r="C1401" s="26" t="n">
        <v>1155</v>
      </c>
      <c r="D1401" s="14" t="inlineStr">
        <is>
          <t>ESCOLA MUNICIPAL DA BARRA</t>
        </is>
      </c>
      <c r="E1401" s="14" t="inlineStr">
        <is>
          <t>POVOADO BARRA</t>
        </is>
      </c>
      <c r="F1401" s="14" t="inlineStr">
        <is>
          <t>POVOADO BARRA - ZONA RURAL</t>
        </is>
      </c>
      <c r="G1401" s="27" t="inlineStr">
        <is>
          <t>46670-000</t>
        </is>
      </c>
      <c r="H1401" s="15" t="n">
        <v>2</v>
      </c>
      <c r="I1401" s="28" t="inlineStr">
        <is>
          <t>NÃO</t>
        </is>
      </c>
      <c r="J1401" s="29" t="n"/>
      <c r="K1401" s="14" t="str">
        <f>IF(J1401="","7. Acima de 2 km",IF(J1401&lt;=50,"1. Até 50 m",IF(J1401&lt;=100,"2. De 50 a 100 m",IF(J1401&lt;=200,"3. De 100 a 200 m",IF(J1401&lt;=300,"4. De 200 a 300 m",IF(J1401&lt;=500,"5. De 300 a 500 m","6. De 500 m a 2 km"))))))</f>
        <v>7. Acima de 2 km</v>
      </c>
      <c r="L1401" s="26" t="n">
        <v>0</v>
      </c>
      <c r="M1401" s="26" t="n">
        <v>0</v>
      </c>
      <c r="N1401" s="26" t="n">
        <v>0</v>
      </c>
      <c r="O1401" s="26" t="n">
        <v>0</v>
      </c>
      <c r="P1401" s="30" t="n">
        <v>-13.6361313</v>
      </c>
      <c r="Q1401" s="30" t="n">
        <v>-41.5462156</v>
      </c>
      <c r="R1401" s="14" t="inlineStr">
        <is>
          <t>RUA JOSÉ MARIA TANAJURA, 241, CENTRO, LIVRAMENTO DE NOSSA SENHORA/BA</t>
        </is>
      </c>
      <c r="S1401" s="26">
        <f>IF(A1401=A1400,0,1)</f>
        <v>0</v>
      </c>
      <c r="T1401" s="26">
        <f>IF(COUNTIF($B$4:B1401,B1401)=1,1,0)</f>
        <v>0</v>
      </c>
    </row>
    <row r="1402">
      <c r="A1402" s="14" t="inlineStr">
        <is>
          <t>JUSSIAPE</t>
        </is>
      </c>
      <c r="B1402" s="26" t="n">
        <v>101</v>
      </c>
      <c r="C1402" s="26" t="n">
        <v>1163</v>
      </c>
      <c r="D1402" s="14" t="inlineStr">
        <is>
          <t>ESCOLA MUNICIPAL PRESIDENTE ERNESTO GEISEL</t>
        </is>
      </c>
      <c r="E1402" s="14" t="inlineStr">
        <is>
          <t>POVOADO SÃO JOSÉ</t>
        </is>
      </c>
      <c r="F1402" s="14" t="inlineStr">
        <is>
          <t>POVOADO SÃO JOSÉ - ZONA RURAL</t>
        </is>
      </c>
      <c r="G1402" s="27" t="inlineStr">
        <is>
          <t>46670-000</t>
        </is>
      </c>
      <c r="H1402" s="15" t="n">
        <v>3</v>
      </c>
      <c r="I1402" s="28" t="inlineStr">
        <is>
          <t>NÃO</t>
        </is>
      </c>
      <c r="J1402" s="29" t="n"/>
      <c r="K1402" s="14" t="str">
        <f>IF(J1402="","7. Acima de 2 km",IF(J1402&lt;=50,"1. Até 50 m",IF(J1402&lt;=100,"2. De 50 a 100 m",IF(J1402&lt;=200,"3. De 100 a 200 m",IF(J1402&lt;=300,"4. De 200 a 300 m",IF(J1402&lt;=500,"5. De 300 a 500 m","6. De 500 m a 2 km"))))))</f>
        <v>7. Acima de 2 km</v>
      </c>
      <c r="L1402" s="26" t="n">
        <v>0</v>
      </c>
      <c r="M1402" s="26" t="n">
        <v>0</v>
      </c>
      <c r="N1402" s="26" t="n">
        <v>0</v>
      </c>
      <c r="O1402" s="26" t="n">
        <v>0</v>
      </c>
      <c r="P1402" s="30" t="n">
        <v>-13.5792032</v>
      </c>
      <c r="Q1402" s="30" t="n">
        <v>-41.5488801</v>
      </c>
      <c r="R1402" s="14" t="inlineStr">
        <is>
          <t>RUA JOSÉ MARIA TANAJURA, 241, CENTRO, LIVRAMENTO DE NOSSA SENHORA/BA</t>
        </is>
      </c>
      <c r="S1402" s="26">
        <f>IF(A1402=A1401,0,1)</f>
        <v>0</v>
      </c>
      <c r="T1402" s="26">
        <f>IF(COUNTIF($B$4:B1402,B1402)=1,1,0)</f>
        <v>0</v>
      </c>
    </row>
    <row r="1403">
      <c r="A1403" s="14" t="inlineStr">
        <is>
          <t>JUSSIAPE</t>
        </is>
      </c>
      <c r="B1403" s="26" t="n">
        <v>101</v>
      </c>
      <c r="C1403" s="26" t="n">
        <v>1171</v>
      </c>
      <c r="D1403" s="14" t="inlineStr">
        <is>
          <t>ESCOLA MUNICIPAL FRANCISCO CARVALHO</t>
        </is>
      </c>
      <c r="E1403" s="14" t="inlineStr">
        <is>
          <t>POVOADO CARNEIRO</t>
        </is>
      </c>
      <c r="F1403" s="14" t="inlineStr">
        <is>
          <t>POVOADO CARNEIRO - ZONA RURAL</t>
        </is>
      </c>
      <c r="G1403" s="27" t="inlineStr">
        <is>
          <t>46670-000</t>
        </is>
      </c>
      <c r="H1403" s="15" t="n">
        <v>1</v>
      </c>
      <c r="I1403" s="28" t="inlineStr">
        <is>
          <t>NÃO</t>
        </is>
      </c>
      <c r="J1403" s="29" t="n"/>
      <c r="K1403" s="14" t="str">
        <f>IF(J1403="","7. Acima de 2 km",IF(J1403&lt;=50,"1. Até 50 m",IF(J1403&lt;=100,"2. De 50 a 100 m",IF(J1403&lt;=200,"3. De 100 a 200 m",IF(J1403&lt;=300,"4. De 200 a 300 m",IF(J1403&lt;=500,"5. De 300 a 500 m","6. De 500 m a 2 km"))))))</f>
        <v>7. Acima de 2 km</v>
      </c>
      <c r="L1403" s="26" t="n">
        <v>0</v>
      </c>
      <c r="M1403" s="26" t="n">
        <v>0</v>
      </c>
      <c r="N1403" s="26" t="n">
        <v>0</v>
      </c>
      <c r="O1403" s="26" t="n">
        <v>0</v>
      </c>
      <c r="P1403" s="30" t="n">
        <v>-13.6030368</v>
      </c>
      <c r="Q1403" s="30" t="n">
        <v>-41.5159852</v>
      </c>
      <c r="R1403" s="14" t="inlineStr">
        <is>
          <t>RUA JOSÉ MARIA TANAJURA, 241, CENTRO, LIVRAMENTO DE NOSSA SENHORA/BA</t>
        </is>
      </c>
      <c r="S1403" s="26">
        <f>IF(A1403=A1402,0,1)</f>
        <v>0</v>
      </c>
      <c r="T1403" s="26">
        <f>IF(COUNTIF($B$4:B1403,B1403)=1,1,0)</f>
        <v>0</v>
      </c>
    </row>
    <row r="1404">
      <c r="A1404" s="14" t="inlineStr">
        <is>
          <t>JUSSIAPE</t>
        </is>
      </c>
      <c r="B1404" s="26" t="n">
        <v>101</v>
      </c>
      <c r="C1404" s="26" t="n">
        <v>1180</v>
      </c>
      <c r="D1404" s="14" t="inlineStr">
        <is>
          <t>ESCOLA MUNICIPAL JOSÉ BONIFÁCIO</t>
        </is>
      </c>
      <c r="E1404" s="14" t="inlineStr">
        <is>
          <t>POVOADO PITOMBEIRA</t>
        </is>
      </c>
      <c r="F1404" s="14" t="inlineStr">
        <is>
          <t>POVOADO PITOMBEIRA - ZONA RURAL</t>
        </is>
      </c>
      <c r="G1404" s="27" t="inlineStr">
        <is>
          <t>46670-000</t>
        </is>
      </c>
      <c r="H1404" s="15" t="n">
        <v>1</v>
      </c>
      <c r="I1404" s="28" t="inlineStr">
        <is>
          <t>NÃO</t>
        </is>
      </c>
      <c r="J1404" s="29" t="n"/>
      <c r="K1404" s="14" t="str">
        <f>IF(J1404="","7. Acima de 2 km",IF(J1404&lt;=50,"1. Até 50 m",IF(J1404&lt;=100,"2. De 50 a 100 m",IF(J1404&lt;=200,"3. De 100 a 200 m",IF(J1404&lt;=300,"4. De 200 a 300 m",IF(J1404&lt;=500,"5. De 300 a 500 m","6. De 500 m a 2 km"))))))</f>
        <v>7. Acima de 2 km</v>
      </c>
      <c r="L1404" s="26" t="n">
        <v>0</v>
      </c>
      <c r="M1404" s="26" t="n">
        <v>0</v>
      </c>
      <c r="N1404" s="26" t="n">
        <v>0</v>
      </c>
      <c r="O1404" s="26" t="n">
        <v>0</v>
      </c>
      <c r="P1404" s="30" t="n">
        <v>-13.5040714</v>
      </c>
      <c r="Q1404" s="30" t="n">
        <v>-41.5433167</v>
      </c>
      <c r="R1404" s="14" t="inlineStr">
        <is>
          <t>RUA JOSÉ MARIA TANAJURA, 241, CENTRO, LIVRAMENTO DE NOSSA SENHORA/BA</t>
        </is>
      </c>
      <c r="S1404" s="26">
        <f>IF(A1404=A1403,0,1)</f>
        <v>0</v>
      </c>
      <c r="T1404" s="26">
        <f>IF(COUNTIF($B$4:B1404,B1404)=1,1,0)</f>
        <v>0</v>
      </c>
    </row>
    <row r="1405">
      <c r="A1405" s="14" t="inlineStr">
        <is>
          <t>JUSSIAPE</t>
        </is>
      </c>
      <c r="B1405" s="26" t="n">
        <v>101</v>
      </c>
      <c r="C1405" s="26" t="n">
        <v>1198</v>
      </c>
      <c r="D1405" s="14" t="inlineStr">
        <is>
          <t>ESCOLA MUNICIPAL DANTAS E CARVALHO</t>
        </is>
      </c>
      <c r="E1405" s="14" t="inlineStr">
        <is>
          <t>POVOADO ESPINHO</t>
        </is>
      </c>
      <c r="F1405" s="14" t="inlineStr">
        <is>
          <t>POVOADO ESPINHO - ZONA RURAL</t>
        </is>
      </c>
      <c r="G1405" s="27" t="inlineStr">
        <is>
          <t>46670-000</t>
        </is>
      </c>
      <c r="H1405" s="15" t="n">
        <v>1</v>
      </c>
      <c r="I1405" s="28" t="inlineStr">
        <is>
          <t>NÃO</t>
        </is>
      </c>
      <c r="J1405" s="29" t="n"/>
      <c r="K1405" s="14" t="str">
        <f>IF(J1405="","7. Acima de 2 km",IF(J1405&lt;=50,"1. Até 50 m",IF(J1405&lt;=100,"2. De 50 a 100 m",IF(J1405&lt;=200,"3. De 100 a 200 m",IF(J1405&lt;=300,"4. De 200 a 300 m",IF(J1405&lt;=500,"5. De 300 a 500 m","6. De 500 m a 2 km"))))))</f>
        <v>7. Acima de 2 km</v>
      </c>
      <c r="L1405" s="26" t="n">
        <v>0</v>
      </c>
      <c r="M1405" s="26" t="n">
        <v>0</v>
      </c>
      <c r="N1405" s="26" t="n">
        <v>0</v>
      </c>
      <c r="O1405" s="26" t="n">
        <v>0</v>
      </c>
      <c r="P1405" s="30" t="n">
        <v>-13.5676558</v>
      </c>
      <c r="Q1405" s="30" t="n">
        <v>-41.5670781</v>
      </c>
      <c r="R1405" s="14" t="inlineStr">
        <is>
          <t>RUA JOSÉ MARIA TANAJURA, 241, CENTRO, LIVRAMENTO DE NOSSA SENHORA/BA</t>
        </is>
      </c>
      <c r="S1405" s="26">
        <f>IF(A1405=A1404,0,1)</f>
        <v>0</v>
      </c>
      <c r="T1405" s="26">
        <f>IF(COUNTIF($B$4:B1405,B1405)=1,1,0)</f>
        <v>0</v>
      </c>
    </row>
    <row r="1406">
      <c r="A1406" s="14" t="inlineStr">
        <is>
          <t>JUSSIAPE</t>
        </is>
      </c>
      <c r="B1406" s="26" t="n">
        <v>101</v>
      </c>
      <c r="C1406" s="26" t="n">
        <v>1201</v>
      </c>
      <c r="D1406" s="14" t="inlineStr">
        <is>
          <t>ESCOLA MUNICIPAL DOM PEDRO I</t>
        </is>
      </c>
      <c r="E1406" s="14" t="inlineStr">
        <is>
          <t>POVOADO RIACHO DO BICHO</t>
        </is>
      </c>
      <c r="F1406" s="14" t="inlineStr">
        <is>
          <t>POVOADO RIACHO DO BICHO - ZONA RURAL</t>
        </is>
      </c>
      <c r="G1406" s="27" t="inlineStr">
        <is>
          <t>46670-000</t>
        </is>
      </c>
      <c r="H1406" s="15" t="n">
        <v>1</v>
      </c>
      <c r="I1406" s="28" t="inlineStr">
        <is>
          <t>NÃO</t>
        </is>
      </c>
      <c r="J1406" s="29" t="n"/>
      <c r="K1406" s="14" t="str">
        <f>IF(J1406="","7. Acima de 2 km",IF(J1406&lt;=50,"1. Até 50 m",IF(J1406&lt;=100,"2. De 50 a 100 m",IF(J1406&lt;=200,"3. De 100 a 200 m",IF(J1406&lt;=300,"4. De 200 a 300 m",IF(J1406&lt;=500,"5. De 300 a 500 m","6. De 500 m a 2 km"))))))</f>
        <v>7. Acima de 2 km</v>
      </c>
      <c r="L1406" s="26" t="n">
        <v>0</v>
      </c>
      <c r="M1406" s="26" t="n">
        <v>0</v>
      </c>
      <c r="N1406" s="26" t="n">
        <v>0</v>
      </c>
      <c r="O1406" s="26" t="n">
        <v>0</v>
      </c>
      <c r="P1406" s="30" t="n">
        <v>-13.5077309</v>
      </c>
      <c r="Q1406" s="30" t="n">
        <v>-41.6445671</v>
      </c>
      <c r="R1406" s="14" t="inlineStr">
        <is>
          <t>RUA JOSÉ MARIA TANAJURA, 241, CENTRO, LIVRAMENTO DE NOSSA SENHORA/BA</t>
        </is>
      </c>
      <c r="S1406" s="26">
        <f>IF(A1406=A1405,0,1)</f>
        <v>0</v>
      </c>
      <c r="T1406" s="26">
        <f>IF(COUNTIF($B$4:B1406,B1406)=1,1,0)</f>
        <v>0</v>
      </c>
    </row>
    <row r="1407">
      <c r="A1407" s="14" t="inlineStr">
        <is>
          <t>JUSSIAPE</t>
        </is>
      </c>
      <c r="B1407" s="26" t="n">
        <v>101</v>
      </c>
      <c r="C1407" s="26" t="n">
        <v>1228</v>
      </c>
      <c r="D1407" s="14" t="inlineStr">
        <is>
          <t>ESCOLA MUNICIPAL JOSÉ DE ALENCAR</t>
        </is>
      </c>
      <c r="E1407" s="14" t="inlineStr">
        <is>
          <t>POVOADO PAIXÃO</t>
        </is>
      </c>
      <c r="F1407" s="14" t="inlineStr">
        <is>
          <t>POVOADO PAIXÃO - ZONA RURAL</t>
        </is>
      </c>
      <c r="G1407" s="27" t="inlineStr">
        <is>
          <t>46670-000</t>
        </is>
      </c>
      <c r="H1407" s="15" t="n">
        <v>1</v>
      </c>
      <c r="I1407" s="28" t="inlineStr">
        <is>
          <t>NÃO</t>
        </is>
      </c>
      <c r="J1407" s="29" t="n"/>
      <c r="K1407" s="14" t="str">
        <f>IF(J1407="","7. Acima de 2 km",IF(J1407&lt;=50,"1. Até 50 m",IF(J1407&lt;=100,"2. De 50 a 100 m",IF(J1407&lt;=200,"3. De 100 a 200 m",IF(J1407&lt;=300,"4. De 200 a 300 m",IF(J1407&lt;=500,"5. De 300 a 500 m","6. De 500 m a 2 km"))))))</f>
        <v>7. Acima de 2 km</v>
      </c>
      <c r="L1407" s="26" t="n">
        <v>0</v>
      </c>
      <c r="M1407" s="26" t="n">
        <v>0</v>
      </c>
      <c r="N1407" s="26" t="n">
        <v>0</v>
      </c>
      <c r="O1407" s="26" t="n">
        <v>0</v>
      </c>
      <c r="P1407" s="30" t="n">
        <v>-13.4274469</v>
      </c>
      <c r="Q1407" s="30" t="n">
        <v>-41.6640612</v>
      </c>
      <c r="R1407" s="14" t="inlineStr">
        <is>
          <t>RUA JOSÉ MARIA TANAJURA, 241, CENTRO, LIVRAMENTO DE NOSSA SENHORA/BA</t>
        </is>
      </c>
      <c r="S1407" s="26">
        <f>IF(A1407=A1406,0,1)</f>
        <v>0</v>
      </c>
      <c r="T1407" s="26">
        <f>IF(COUNTIF($B$4:B1407,B1407)=1,1,0)</f>
        <v>0</v>
      </c>
    </row>
    <row r="1408">
      <c r="A1408" s="14" t="inlineStr">
        <is>
          <t>JUSSIAPE</t>
        </is>
      </c>
      <c r="B1408" s="26" t="n">
        <v>101</v>
      </c>
      <c r="C1408" s="26" t="n">
        <v>1236</v>
      </c>
      <c r="D1408" s="14" t="inlineStr">
        <is>
          <t>ESCOLA MUNICIPAL MARIA QUITÉRIA</t>
        </is>
      </c>
      <c r="E1408" s="14" t="inlineStr">
        <is>
          <t>POVOADO CANA BRAVA</t>
        </is>
      </c>
      <c r="F1408" s="14" t="inlineStr">
        <is>
          <t>PRAÇA SANTO ANTÔNIO - ZONA RURAL</t>
        </is>
      </c>
      <c r="G1408" s="27" t="inlineStr">
        <is>
          <t>46670-000</t>
        </is>
      </c>
      <c r="H1408" s="15" t="n">
        <v>1</v>
      </c>
      <c r="I1408" s="28" t="inlineStr">
        <is>
          <t>NÃO</t>
        </is>
      </c>
      <c r="J1408" s="29" t="n"/>
      <c r="K1408" s="14" t="str">
        <f>IF(J1408="","7. Acima de 2 km",IF(J1408&lt;=50,"1. Até 50 m",IF(J1408&lt;=100,"2. De 50 a 100 m",IF(J1408&lt;=200,"3. De 100 a 200 m",IF(J1408&lt;=300,"4. De 200 a 300 m",IF(J1408&lt;=500,"5. De 300 a 500 m","6. De 500 m a 2 km"))))))</f>
        <v>7. Acima de 2 km</v>
      </c>
      <c r="L1408" s="26" t="n">
        <v>0</v>
      </c>
      <c r="M1408" s="26" t="n">
        <v>0</v>
      </c>
      <c r="N1408" s="26" t="n">
        <v>0</v>
      </c>
      <c r="O1408" s="26" t="n">
        <v>0</v>
      </c>
      <c r="P1408" s="30" t="n">
        <v>-13.6535959</v>
      </c>
      <c r="Q1408" s="30" t="n">
        <v>-41.6042027</v>
      </c>
      <c r="R1408" s="14" t="inlineStr">
        <is>
          <t>RUA JOSÉ MARIA TANAJURA, 241, CENTRO, LIVRAMENTO DE NOSSA SENHORA/BA</t>
        </is>
      </c>
      <c r="S1408" s="26">
        <f>IF(A1408=A1407,0,1)</f>
        <v>0</v>
      </c>
      <c r="T1408" s="26">
        <f>IF(COUNTIF($B$4:B1408,B1408)=1,1,0)</f>
        <v>0</v>
      </c>
    </row>
    <row r="1409">
      <c r="A1409" s="14" t="inlineStr">
        <is>
          <t>JUSSIAPE</t>
        </is>
      </c>
      <c r="B1409" s="26" t="n">
        <v>101</v>
      </c>
      <c r="C1409" s="26" t="n">
        <v>1279</v>
      </c>
      <c r="D1409" s="14" t="inlineStr">
        <is>
          <t>ESCOLA MUNICIPAL 7 DE SETEMBRO</t>
        </is>
      </c>
      <c r="E1409" s="14" t="inlineStr">
        <is>
          <t>POVOADO VÁRZEA</t>
        </is>
      </c>
      <c r="F1409" s="14" t="inlineStr">
        <is>
          <t>POVOADO VÁRZEA - ZONA RURAL</t>
        </is>
      </c>
      <c r="G1409" s="27" t="inlineStr">
        <is>
          <t>46670-000</t>
        </is>
      </c>
      <c r="H1409" s="15" t="n">
        <v>1</v>
      </c>
      <c r="I1409" s="28" t="inlineStr">
        <is>
          <t>NÃO</t>
        </is>
      </c>
      <c r="J1409" s="29" t="n"/>
      <c r="K1409" s="14" t="str">
        <f>IF(J1409="","7. Acima de 2 km",IF(J1409&lt;=50,"1. Até 50 m",IF(J1409&lt;=100,"2. De 50 a 100 m",IF(J1409&lt;=200,"3. De 100 a 200 m",IF(J1409&lt;=300,"4. De 200 a 300 m",IF(J1409&lt;=500,"5. De 300 a 500 m","6. De 500 m a 2 km"))))))</f>
        <v>7. Acima de 2 km</v>
      </c>
      <c r="L1409" s="26" t="n">
        <v>0</v>
      </c>
      <c r="M1409" s="26" t="n">
        <v>0</v>
      </c>
      <c r="N1409" s="26" t="n">
        <v>0</v>
      </c>
      <c r="O1409" s="26" t="n">
        <v>0</v>
      </c>
      <c r="P1409" s="30" t="n">
        <v>-13.5343716</v>
      </c>
      <c r="Q1409" s="30" t="n">
        <v>-41.6622071</v>
      </c>
      <c r="R1409" s="14" t="inlineStr">
        <is>
          <t>RUA JOSÉ MARIA TANAJURA, 241, CENTRO, LIVRAMENTO DE NOSSA SENHORA/BA</t>
        </is>
      </c>
      <c r="S1409" s="26">
        <f>IF(A1409=A1408,0,1)</f>
        <v>0</v>
      </c>
      <c r="T1409" s="26">
        <f>IF(COUNTIF($B$4:B1409,B1409)=1,1,0)</f>
        <v>0</v>
      </c>
    </row>
    <row r="1410">
      <c r="A1410" s="14" t="inlineStr">
        <is>
          <t>JUSSIAPE</t>
        </is>
      </c>
      <c r="B1410" s="26" t="n">
        <v>101</v>
      </c>
      <c r="C1410" s="26" t="n">
        <v>1309</v>
      </c>
      <c r="D1410" s="14" t="inlineStr">
        <is>
          <t>ESCOLA MUNICIPAL MIGUEL VITORINO DOS SANTOS</t>
        </is>
      </c>
      <c r="E1410" s="14" t="inlineStr">
        <is>
          <t>POVOADO CACHOEIRA</t>
        </is>
      </c>
      <c r="F1410" s="14" t="inlineStr">
        <is>
          <t>POVOADO CACHOEIRA - ZONA RURAL</t>
        </is>
      </c>
      <c r="G1410" s="27" t="inlineStr">
        <is>
          <t>46670-000</t>
        </is>
      </c>
      <c r="H1410" s="15" t="n">
        <v>1</v>
      </c>
      <c r="I1410" s="28" t="inlineStr">
        <is>
          <t>NÃO</t>
        </is>
      </c>
      <c r="J1410" s="29" t="n"/>
      <c r="K1410" s="14" t="str">
        <f>IF(J1410="","7. Acima de 2 km",IF(J1410&lt;=50,"1. Até 50 m",IF(J1410&lt;=100,"2. De 50 a 100 m",IF(J1410&lt;=200,"3. De 100 a 200 m",IF(J1410&lt;=300,"4. De 200 a 300 m",IF(J1410&lt;=500,"5. De 300 a 500 m","6. De 500 m a 2 km"))))))</f>
        <v>7. Acima de 2 km</v>
      </c>
      <c r="L1410" s="26" t="n">
        <v>0</v>
      </c>
      <c r="M1410" s="26" t="n">
        <v>0</v>
      </c>
      <c r="N1410" s="26" t="n">
        <v>0</v>
      </c>
      <c r="O1410" s="26" t="n">
        <v>0</v>
      </c>
      <c r="P1410" s="30" t="n">
        <v>-13.5539938</v>
      </c>
      <c r="Q1410" s="30" t="n">
        <v>-41.5329486</v>
      </c>
      <c r="R1410" s="14" t="inlineStr">
        <is>
          <t>RUA JOSÉ MARIA TANAJURA, 241, CENTRO, LIVRAMENTO DE NOSSA SENHORA/BA</t>
        </is>
      </c>
      <c r="S1410" s="26">
        <f>IF(A1410=A1409,0,1)</f>
        <v>0</v>
      </c>
      <c r="T1410" s="26">
        <f>IF(COUNTIF($B$4:B1410,B1410)=1,1,0)</f>
        <v>0</v>
      </c>
    </row>
    <row r="1411">
      <c r="A1411" s="14" t="inlineStr">
        <is>
          <t>JUSSIAPE</t>
        </is>
      </c>
      <c r="B1411" s="26" t="n">
        <v>101</v>
      </c>
      <c r="C1411" s="26" t="n">
        <v>1317</v>
      </c>
      <c r="D1411" s="14" t="inlineStr">
        <is>
          <t>EXTENSÃO ESCOLA MUNICIPAL AUTO MEDRADO</t>
        </is>
      </c>
      <c r="E1411" s="14" t="inlineStr">
        <is>
          <t>POVOADO BARAÚNAS</t>
        </is>
      </c>
      <c r="F1411" s="14" t="inlineStr">
        <is>
          <t>POVOADO BARAÚNAS - ZONA RURAL</t>
        </is>
      </c>
      <c r="G1411" s="27" t="inlineStr">
        <is>
          <t>46760-000</t>
        </is>
      </c>
      <c r="H1411" s="15" t="n">
        <v>2</v>
      </c>
      <c r="I1411" s="28" t="inlineStr">
        <is>
          <t>NÃO</t>
        </is>
      </c>
      <c r="J1411" s="29" t="n"/>
      <c r="K1411" s="14" t="str">
        <f>IF(J1411="","7. Acima de 2 km",IF(J1411&lt;=50,"1. Até 50 m",IF(J1411&lt;=100,"2. De 50 a 100 m",IF(J1411&lt;=200,"3. De 100 a 200 m",IF(J1411&lt;=300,"4. De 200 a 300 m",IF(J1411&lt;=500,"5. De 300 a 500 m","6. De 500 m a 2 km"))))))</f>
        <v>7. Acima de 2 km</v>
      </c>
      <c r="L1411" s="26" t="n">
        <v>0</v>
      </c>
      <c r="M1411" s="26" t="n">
        <v>0</v>
      </c>
      <c r="N1411" s="26" t="n">
        <v>0</v>
      </c>
      <c r="O1411" s="26" t="n">
        <v>0</v>
      </c>
      <c r="P1411" s="30" t="n">
        <v>-13.4412709</v>
      </c>
      <c r="Q1411" s="30" t="n">
        <v>-41.5949483</v>
      </c>
      <c r="R1411" s="14" t="inlineStr">
        <is>
          <t>RUA JOSÉ MARIA TANAJURA, 241, CENTRO, LIVRAMENTO DE NOSSA SENHORA/BA</t>
        </is>
      </c>
      <c r="S1411" s="26">
        <f>IF(A1411=A1410,0,1)</f>
        <v>0</v>
      </c>
      <c r="T1411" s="26">
        <f>IF(COUNTIF($B$4:B1411,B1411)=1,1,0)</f>
        <v>0</v>
      </c>
    </row>
    <row r="1412">
      <c r="A1412" s="14" t="inlineStr">
        <is>
          <t>LAPÃO</t>
        </is>
      </c>
      <c r="B1412" s="26" t="n">
        <v>104</v>
      </c>
      <c r="C1412" s="26" t="n">
        <v>1066</v>
      </c>
      <c r="D1412" s="14" t="inlineStr">
        <is>
          <t>ESCOLA VALDEMAR DE CASTRO DOURADO</t>
        </is>
      </c>
      <c r="E1412" s="14" t="inlineStr">
        <is>
          <t>POVOADO VILA CASTRO</t>
        </is>
      </c>
      <c r="F1412" s="14" t="inlineStr">
        <is>
          <t>POVOADO VILA CASTRO - ZONA RURAL</t>
        </is>
      </c>
      <c r="G1412" s="27" t="inlineStr">
        <is>
          <t>44905-000</t>
        </is>
      </c>
      <c r="H1412" s="15" t="n">
        <v>1</v>
      </c>
      <c r="I1412" s="28" t="inlineStr">
        <is>
          <t>NÃO</t>
        </is>
      </c>
      <c r="J1412" s="29" t="n">
        <v>582.9</v>
      </c>
      <c r="K1412" s="14" t="str">
        <f>IF(J1412="","7. Acima de 2 km",IF(J1412&lt;=50,"1. Até 50 m",IF(J1412&lt;=100,"2. De 50 a 100 m",IF(J1412&lt;=200,"3. De 100 a 200 m",IF(J1412&lt;=300,"4. De 200 a 300 m",IF(J1412&lt;=500,"5. De 300 a 500 m","6. De 500 m a 2 km"))))))</f>
        <v>6. De 500 m a 2 km</v>
      </c>
      <c r="L1412" s="26" t="n">
        <v>0</v>
      </c>
      <c r="M1412" s="26" t="n">
        <v>0</v>
      </c>
      <c r="N1412" s="26" t="n">
        <v>0</v>
      </c>
      <c r="O1412" s="26" t="n">
        <v>0</v>
      </c>
      <c r="P1412" s="30" t="n">
        <v>-11.393636</v>
      </c>
      <c r="Q1412" s="30" t="n">
        <v>-41.8385585</v>
      </c>
      <c r="R1412" s="14" t="inlineStr">
        <is>
          <t>FÓRUM VEREADOR JOSÉ C. C. DOURADO. RUA JOSÉ CAMPOS PINHEIRO, SN, BELO HORIZONTE. LAPÃO/BA</t>
        </is>
      </c>
      <c r="S1412" s="26">
        <f>IF(A1412=A1411,0,1)</f>
        <v>1</v>
      </c>
      <c r="T1412" s="26">
        <f>IF(COUNTIF($B$4:B1412,B1412)=1,1,0)</f>
        <v>1</v>
      </c>
    </row>
    <row r="1413">
      <c r="A1413" s="14" t="inlineStr">
        <is>
          <t>LAPÃO</t>
        </is>
      </c>
      <c r="B1413" s="26" t="n">
        <v>104</v>
      </c>
      <c r="C1413" s="26" t="n">
        <v>1074</v>
      </c>
      <c r="D1413" s="14" t="inlineStr">
        <is>
          <t>ESCOLA MUNICIPAL LUCAS CARDOSO COSTA</t>
        </is>
      </c>
      <c r="E1413" s="14" t="inlineStr">
        <is>
          <t>CENTRO</t>
        </is>
      </c>
      <c r="F1413" s="14" t="inlineStr">
        <is>
          <t>AV JUSTINIANO DE CASTRO DOURADO, N 264 - ZONA URBANA</t>
        </is>
      </c>
      <c r="G1413" s="27" t="inlineStr">
        <is>
          <t>44905-000</t>
        </is>
      </c>
      <c r="H1413" s="15" t="n">
        <v>7</v>
      </c>
      <c r="I1413" s="28" t="inlineStr">
        <is>
          <t>NÃO</t>
        </is>
      </c>
      <c r="J1413" s="29" t="n">
        <v>282.5</v>
      </c>
      <c r="K1413" s="14" t="str">
        <f>IF(J1413="","7. Acima de 2 km",IF(J1413&lt;=50,"1. Até 50 m",IF(J1413&lt;=100,"2. De 50 a 100 m",IF(J1413&lt;=200,"3. De 100 a 200 m",IF(J1413&lt;=300,"4. De 200 a 300 m",IF(J1413&lt;=500,"5. De 300 a 500 m","6. De 500 m a 2 km"))))))</f>
        <v>4. De 200 a 300 m</v>
      </c>
      <c r="L1413" s="26" t="n">
        <v>0</v>
      </c>
      <c r="M1413" s="26" t="n">
        <v>0</v>
      </c>
      <c r="N1413" s="26" t="n">
        <v>0</v>
      </c>
      <c r="O1413" s="26" t="n">
        <v>1</v>
      </c>
      <c r="P1413" s="30" t="n">
        <v>-11.3843783</v>
      </c>
      <c r="Q1413" s="30" t="n">
        <v>-41.8323733</v>
      </c>
      <c r="R1413" s="14" t="inlineStr">
        <is>
          <t>FÓRUM VEREADOR JOSÉ C. C. DOURADO. RUA JOSÉ CAMPOS PINHEIRO, SN, BELO HORIZONTE. LAPÃO/BA</t>
        </is>
      </c>
      <c r="S1413" s="26">
        <f>IF(A1413=A1412,0,1)</f>
        <v>0</v>
      </c>
      <c r="T1413" s="26">
        <f>IF(COUNTIF($B$4:B1413,B1413)=1,1,0)</f>
        <v>0</v>
      </c>
    </row>
    <row r="1414">
      <c r="A1414" s="14" t="inlineStr">
        <is>
          <t>LAPÃO</t>
        </is>
      </c>
      <c r="B1414" s="26" t="n">
        <v>104</v>
      </c>
      <c r="C1414" s="26" t="n">
        <v>1104</v>
      </c>
      <c r="D1414" s="14" t="inlineStr">
        <is>
          <t>COLEGIO ESTADUAL DE TEMPO INTEGRAL JUSTINIANO DE CASTRO DOURADO</t>
        </is>
      </c>
      <c r="E1414" s="14" t="inlineStr">
        <is>
          <t>CENTRO</t>
        </is>
      </c>
      <c r="F1414" s="14" t="inlineStr">
        <is>
          <t>AV. DARIO VILELA, 28 - ZONA URBANA</t>
        </is>
      </c>
      <c r="G1414" s="27" t="inlineStr">
        <is>
          <t>44905-000</t>
        </is>
      </c>
      <c r="H1414" s="15" t="n">
        <v>13</v>
      </c>
      <c r="I1414" s="28" t="inlineStr">
        <is>
          <t>NÃO</t>
        </is>
      </c>
      <c r="J1414" s="29" t="n">
        <v>153.9</v>
      </c>
      <c r="K1414" s="14" t="str">
        <f>IF(J1414="","7. Acima de 2 km",IF(J1414&lt;=50,"1. Até 50 m",IF(J1414&lt;=100,"2. De 50 a 100 m",IF(J1414&lt;=200,"3. De 100 a 200 m",IF(J1414&lt;=300,"4. De 200 a 300 m",IF(J1414&lt;=500,"5. De 300 a 500 m","6. De 500 m a 2 km"))))))</f>
        <v>3. De 100 a 200 m</v>
      </c>
      <c r="L1414" s="26" t="n">
        <v>0</v>
      </c>
      <c r="M1414" s="26" t="n">
        <v>0</v>
      </c>
      <c r="N1414" s="26" t="n">
        <v>1</v>
      </c>
      <c r="O1414" s="26" t="n">
        <v>1</v>
      </c>
      <c r="P1414" s="30" t="n">
        <v>-11.3756267</v>
      </c>
      <c r="Q1414" s="30" t="n">
        <v>-41.8416233</v>
      </c>
      <c r="R1414" s="14" t="inlineStr">
        <is>
          <t>FÓRUM VEREADOR JOSÉ C. C. DOURADO. RUA JOSÉ CAMPOS PINHEIRO, SN, BELO HORIZONTE. LAPÃO/BA</t>
        </is>
      </c>
      <c r="S1414" s="26">
        <f>IF(A1414=A1413,0,1)</f>
        <v>0</v>
      </c>
      <c r="T1414" s="26">
        <f>IF(COUNTIF($B$4:B1414,B1414)=1,1,0)</f>
        <v>0</v>
      </c>
    </row>
    <row r="1415">
      <c r="A1415" s="14" t="inlineStr">
        <is>
          <t>LAPÃO</t>
        </is>
      </c>
      <c r="B1415" s="26" t="n">
        <v>104</v>
      </c>
      <c r="C1415" s="26" t="n">
        <v>1112</v>
      </c>
      <c r="D1415" s="14" t="inlineStr">
        <is>
          <t>GRUPO ESCOLAR INENY NUNES DOURADO</t>
        </is>
      </c>
      <c r="E1415" s="14" t="inlineStr">
        <is>
          <t>CENTRO</t>
        </is>
      </c>
      <c r="F1415" s="14" t="inlineStr">
        <is>
          <t>AV. JUSTINIANO DE CASTRO DOURADO, S/N - ZONA URBANA</t>
        </is>
      </c>
      <c r="G1415" s="27" t="inlineStr">
        <is>
          <t>44905-000</t>
        </is>
      </c>
      <c r="H1415" s="15" t="n">
        <v>5</v>
      </c>
      <c r="I1415" s="28" t="inlineStr">
        <is>
          <t>NÃO</t>
        </is>
      </c>
      <c r="J1415" s="29" t="n">
        <v>342.6</v>
      </c>
      <c r="K1415" s="14" t="str">
        <f>IF(J1415="","7. Acima de 2 km",IF(J1415&lt;=50,"1. Até 50 m",IF(J1415&lt;=100,"2. De 50 a 100 m",IF(J1415&lt;=200,"3. De 100 a 200 m",IF(J1415&lt;=300,"4. De 200 a 300 m",IF(J1415&lt;=500,"5. De 300 a 500 m","6. De 500 m a 2 km"))))))</f>
        <v>5. De 300 a 500 m</v>
      </c>
      <c r="L1415" s="26" t="n">
        <v>0</v>
      </c>
      <c r="M1415" s="26" t="n">
        <v>0</v>
      </c>
      <c r="N1415" s="26" t="n">
        <v>0</v>
      </c>
      <c r="O1415" s="26" t="n">
        <v>0</v>
      </c>
      <c r="P1415" s="30" t="n">
        <v>-11.3846119</v>
      </c>
      <c r="Q1415" s="30" t="n">
        <v>-41.8316331</v>
      </c>
      <c r="R1415" s="14" t="inlineStr">
        <is>
          <t>FÓRUM VEREADOR JOSÉ C. C. DOURADO. RUA JOSÉ CAMPOS PINHEIRO, SN, BELO HORIZONTE. LAPÃO/BA</t>
        </is>
      </c>
      <c r="S1415" s="26">
        <f>IF(A1415=A1414,0,1)</f>
        <v>0</v>
      </c>
      <c r="T1415" s="26">
        <f>IF(COUNTIF($B$4:B1415,B1415)=1,1,0)</f>
        <v>0</v>
      </c>
    </row>
    <row r="1416">
      <c r="A1416" s="14" t="inlineStr">
        <is>
          <t>LAPÃO</t>
        </is>
      </c>
      <c r="B1416" s="26" t="n">
        <v>104</v>
      </c>
      <c r="C1416" s="26" t="n">
        <v>1139</v>
      </c>
      <c r="D1416" s="14" t="inlineStr">
        <is>
          <t>COLÉGIO ESTADUAL DO CAMPO DE AGUADA NOVA</t>
        </is>
      </c>
      <c r="E1416" s="14" t="inlineStr">
        <is>
          <t>DISTRITO AGUADA NOVA</t>
        </is>
      </c>
      <c r="F1416" s="14" t="inlineStr">
        <is>
          <t>RUA DO BARRO VERMELHO, 551, DISTRITO DE AGUADA NOVA - ZONA RURAL</t>
        </is>
      </c>
      <c r="G1416" s="27" t="inlineStr">
        <is>
          <t>44905-000</t>
        </is>
      </c>
      <c r="H1416" s="15" t="n">
        <v>5</v>
      </c>
      <c r="I1416" s="28" t="inlineStr">
        <is>
          <t>NÃO</t>
        </is>
      </c>
      <c r="J1416" s="29" t="n"/>
      <c r="K1416" s="14" t="str">
        <f>IF(J1416="","7. Acima de 2 km",IF(J1416&lt;=50,"1. Até 50 m",IF(J1416&lt;=100,"2. De 50 a 100 m",IF(J1416&lt;=200,"3. De 100 a 200 m",IF(J1416&lt;=300,"4. De 200 a 300 m",IF(J1416&lt;=500,"5. De 300 a 500 m","6. De 500 m a 2 km"))))))</f>
        <v>7. Acima de 2 km</v>
      </c>
      <c r="L1416" s="26" t="n">
        <v>0</v>
      </c>
      <c r="M1416" s="26" t="n">
        <v>0</v>
      </c>
      <c r="N1416" s="26" t="n">
        <v>0</v>
      </c>
      <c r="O1416" s="26" t="n">
        <v>0</v>
      </c>
      <c r="P1416" s="30" t="n">
        <v>-11.458825</v>
      </c>
      <c r="Q1416" s="30" t="n">
        <v>-41.8079537</v>
      </c>
      <c r="R1416" s="14" t="inlineStr">
        <is>
          <t>FÓRUM VEREADOR JOSÉ C. C. DOURADO. RUA JOSÉ CAMPOS PINHEIRO, SN, BELO HORIZONTE. LAPÃO/BA</t>
        </is>
      </c>
      <c r="S1416" s="26">
        <f>IF(A1416=A1415,0,1)</f>
        <v>0</v>
      </c>
      <c r="T1416" s="26">
        <f>IF(COUNTIF($B$4:B1416,B1416)=1,1,0)</f>
        <v>0</v>
      </c>
    </row>
    <row r="1417">
      <c r="A1417" s="14" t="inlineStr">
        <is>
          <t>LAPÃO</t>
        </is>
      </c>
      <c r="B1417" s="26" t="n">
        <v>104</v>
      </c>
      <c r="C1417" s="26" t="n">
        <v>1147</v>
      </c>
      <c r="D1417" s="14" t="inlineStr">
        <is>
          <t>ESCOLA DOM PEDRO I</t>
        </is>
      </c>
      <c r="E1417" s="14" t="inlineStr">
        <is>
          <t>POVOADO DE CASAL I</t>
        </is>
      </c>
      <c r="F1417" s="14" t="inlineStr">
        <is>
          <t>POVOADO DE CASAL I - ZONA RURAL</t>
        </is>
      </c>
      <c r="G1417" s="27" t="inlineStr">
        <is>
          <t>44905-000</t>
        </is>
      </c>
      <c r="H1417" s="15" t="n">
        <v>2</v>
      </c>
      <c r="I1417" s="28" t="inlineStr">
        <is>
          <t>NÃO</t>
        </is>
      </c>
      <c r="J1417" s="29" t="n"/>
      <c r="K1417" s="14" t="str">
        <f>IF(J1417="","7. Acima de 2 km",IF(J1417&lt;=50,"1. Até 50 m",IF(J1417&lt;=100,"2. De 50 a 100 m",IF(J1417&lt;=200,"3. De 100 a 200 m",IF(J1417&lt;=300,"4. De 200 a 300 m",IF(J1417&lt;=500,"5. De 300 a 500 m","6. De 500 m a 2 km"))))))</f>
        <v>7. Acima de 2 km</v>
      </c>
      <c r="L1417" s="26" t="n">
        <v>0</v>
      </c>
      <c r="M1417" s="26" t="n">
        <v>0</v>
      </c>
      <c r="N1417" s="26" t="n">
        <v>0</v>
      </c>
      <c r="O1417" s="26" t="n">
        <v>0</v>
      </c>
      <c r="P1417" s="30" t="n">
        <v>-11.5163167</v>
      </c>
      <c r="Q1417" s="30" t="n">
        <v>-41.8024233</v>
      </c>
      <c r="R1417" s="14" t="inlineStr">
        <is>
          <t>FÓRUM VEREADOR JOSÉ C. C. DOURADO. RUA JOSÉ CAMPOS PINHEIRO, SN, BELO HORIZONTE. LAPÃO/BA</t>
        </is>
      </c>
      <c r="S1417" s="26">
        <f>IF(A1417=A1416,0,1)</f>
        <v>0</v>
      </c>
      <c r="T1417" s="26">
        <f>IF(COUNTIF($B$4:B1417,B1417)=1,1,0)</f>
        <v>0</v>
      </c>
    </row>
    <row r="1418">
      <c r="A1418" s="14" t="inlineStr">
        <is>
          <t>LAPÃO</t>
        </is>
      </c>
      <c r="B1418" s="26" t="n">
        <v>104</v>
      </c>
      <c r="C1418" s="26" t="n">
        <v>1155</v>
      </c>
      <c r="D1418" s="14" t="inlineStr">
        <is>
          <t>ESCOLA VALENTINA OLIVEIRA MATOS</t>
        </is>
      </c>
      <c r="E1418" s="14" t="inlineStr">
        <is>
          <t>POVOADO LAGOA DOS PATOS</t>
        </is>
      </c>
      <c r="F1418" s="14" t="inlineStr">
        <is>
          <t>POVOADO LAGOA DOS PATOS - ZONA RURAL</t>
        </is>
      </c>
      <c r="G1418" s="27" t="inlineStr">
        <is>
          <t>44905-000</t>
        </is>
      </c>
      <c r="H1418" s="15" t="n">
        <v>2</v>
      </c>
      <c r="I1418" s="28" t="inlineStr">
        <is>
          <t>NÃO</t>
        </is>
      </c>
      <c r="J1418" s="29" t="n"/>
      <c r="K1418" s="14" t="str">
        <f>IF(J1418="","7. Acima de 2 km",IF(J1418&lt;=50,"1. Até 50 m",IF(J1418&lt;=100,"2. De 50 a 100 m",IF(J1418&lt;=200,"3. De 100 a 200 m",IF(J1418&lt;=300,"4. De 200 a 300 m",IF(J1418&lt;=500,"5. De 300 a 500 m","6. De 500 m a 2 km"))))))</f>
        <v>7. Acima de 2 km</v>
      </c>
      <c r="L1418" s="26" t="n">
        <v>0</v>
      </c>
      <c r="M1418" s="26" t="n">
        <v>0</v>
      </c>
      <c r="N1418" s="26" t="n">
        <v>0</v>
      </c>
      <c r="O1418" s="26" t="n">
        <v>0</v>
      </c>
      <c r="P1418" s="30" t="n">
        <v>-11.4944517</v>
      </c>
      <c r="Q1418" s="30" t="n">
        <v>-41.8687433</v>
      </c>
      <c r="R1418" s="14" t="inlineStr">
        <is>
          <t>FÓRUM VEREADOR JOSÉ C. C. DOURADO. RUA JOSÉ CAMPOS PINHEIRO, SN, BELO HORIZONTE. LAPÃO/BA</t>
        </is>
      </c>
      <c r="S1418" s="26">
        <f>IF(A1418=A1417,0,1)</f>
        <v>0</v>
      </c>
      <c r="T1418" s="26">
        <f>IF(COUNTIF($B$4:B1418,B1418)=1,1,0)</f>
        <v>0</v>
      </c>
    </row>
    <row r="1419">
      <c r="A1419" s="14" t="inlineStr">
        <is>
          <t>LAPÃO</t>
        </is>
      </c>
      <c r="B1419" s="26" t="n">
        <v>104</v>
      </c>
      <c r="C1419" s="26" t="n">
        <v>1171</v>
      </c>
      <c r="D1419" s="14" t="inlineStr">
        <is>
          <t>ESCOLA MUNICIPAL RUI BARBOSA</t>
        </is>
      </c>
      <c r="E1419" s="14" t="inlineStr">
        <is>
          <t>POVOADO CORTA FACAO</t>
        </is>
      </c>
      <c r="F1419" s="14" t="inlineStr">
        <is>
          <t>POVOADO CORTA FACAO - ZONA RURAL</t>
        </is>
      </c>
      <c r="G1419" s="27" t="inlineStr">
        <is>
          <t>44905-000</t>
        </is>
      </c>
      <c r="H1419" s="15" t="n">
        <v>1</v>
      </c>
      <c r="I1419" s="28" t="inlineStr">
        <is>
          <t>NÃO</t>
        </is>
      </c>
      <c r="J1419" s="29" t="n"/>
      <c r="K1419" s="14" t="str">
        <f>IF(J1419="","7. Acima de 2 km",IF(J1419&lt;=50,"1. Até 50 m",IF(J1419&lt;=100,"2. De 50 a 100 m",IF(J1419&lt;=200,"3. De 100 a 200 m",IF(J1419&lt;=300,"4. De 200 a 300 m",IF(J1419&lt;=500,"5. De 300 a 500 m","6. De 500 m a 2 km"))))))</f>
        <v>7. Acima de 2 km</v>
      </c>
      <c r="L1419" s="26" t="n">
        <v>0</v>
      </c>
      <c r="M1419" s="26" t="n">
        <v>0</v>
      </c>
      <c r="N1419" s="26" t="n">
        <v>0</v>
      </c>
      <c r="O1419" s="26" t="n">
        <v>0</v>
      </c>
      <c r="P1419" s="30" t="n">
        <v>-11.4188317</v>
      </c>
      <c r="Q1419" s="30" t="n">
        <v>-41.932055</v>
      </c>
      <c r="R1419" s="14" t="inlineStr">
        <is>
          <t>FÓRUM VEREADOR JOSÉ C. C. DOURADO. RUA JOSÉ CAMPOS PINHEIRO, SN, BELO HORIZONTE. LAPÃO/BA</t>
        </is>
      </c>
      <c r="S1419" s="26">
        <f>IF(A1419=A1418,0,1)</f>
        <v>0</v>
      </c>
      <c r="T1419" s="26">
        <f>IF(COUNTIF($B$4:B1419,B1419)=1,1,0)</f>
        <v>0</v>
      </c>
    </row>
    <row r="1420">
      <c r="A1420" s="14" t="inlineStr">
        <is>
          <t>LAPÃO</t>
        </is>
      </c>
      <c r="B1420" s="26" t="n">
        <v>104</v>
      </c>
      <c r="C1420" s="26" t="n">
        <v>1180</v>
      </c>
      <c r="D1420" s="14" t="inlineStr">
        <is>
          <t>ESCOLA HERCULANO GALVAO DOURADO</t>
        </is>
      </c>
      <c r="E1420" s="14" t="inlineStr">
        <is>
          <t>POVOADO BOM PRAZER</t>
        </is>
      </c>
      <c r="F1420" s="14" t="inlineStr">
        <is>
          <t>POVOADO BOM PRAZER - ZONA RURAL</t>
        </is>
      </c>
      <c r="G1420" s="27" t="inlineStr">
        <is>
          <t>44905-000</t>
        </is>
      </c>
      <c r="H1420" s="15" t="n">
        <v>1</v>
      </c>
      <c r="I1420" s="28" t="inlineStr">
        <is>
          <t>NÃO</t>
        </is>
      </c>
      <c r="J1420" s="29" t="n"/>
      <c r="K1420" s="14" t="str">
        <f>IF(J1420="","7. Acima de 2 km",IF(J1420&lt;=50,"1. Até 50 m",IF(J1420&lt;=100,"2. De 50 a 100 m",IF(J1420&lt;=200,"3. De 100 a 200 m",IF(J1420&lt;=300,"4. De 200 a 300 m",IF(J1420&lt;=500,"5. De 300 a 500 m","6. De 500 m a 2 km"))))))</f>
        <v>7. Acima de 2 km</v>
      </c>
      <c r="L1420" s="26" t="n">
        <v>0</v>
      </c>
      <c r="M1420" s="26" t="n">
        <v>0</v>
      </c>
      <c r="N1420" s="26" t="n">
        <v>0</v>
      </c>
      <c r="O1420" s="26" t="n">
        <v>0</v>
      </c>
      <c r="P1420" s="30" t="n">
        <v>-11.4147167</v>
      </c>
      <c r="Q1420" s="30" t="n">
        <v>-41.7585433</v>
      </c>
      <c r="R1420" s="14" t="inlineStr">
        <is>
          <t>FÓRUM VEREADOR JOSÉ C. C. DOURADO. RUA JOSÉ CAMPOS PINHEIRO, SN, BELO HORIZONTE. LAPÃO/BA</t>
        </is>
      </c>
      <c r="S1420" s="26">
        <f>IF(A1420=A1419,0,1)</f>
        <v>0</v>
      </c>
      <c r="T1420" s="26">
        <f>IF(COUNTIF($B$4:B1420,B1420)=1,1,0)</f>
        <v>0</v>
      </c>
    </row>
    <row r="1421">
      <c r="A1421" s="14" t="inlineStr">
        <is>
          <t>LAPÃO</t>
        </is>
      </c>
      <c r="B1421" s="26" t="n">
        <v>104</v>
      </c>
      <c r="C1421" s="26" t="n">
        <v>1201</v>
      </c>
      <c r="D1421" s="14" t="inlineStr">
        <is>
          <t>ESCOLA MUNICIPAL DERALDO JOSÉ DE SOUZA</t>
        </is>
      </c>
      <c r="E1421" s="14" t="inlineStr">
        <is>
          <t>POVOADO DE LAJEDO DO PAU D ARCO</t>
        </is>
      </c>
      <c r="F1421" s="14" t="inlineStr">
        <is>
          <t>POVOADO LAJEDO DO PAU D'ARCO - ZONA RURAL</t>
        </is>
      </c>
      <c r="G1421" s="27" t="inlineStr">
        <is>
          <t>44905-000</t>
        </is>
      </c>
      <c r="H1421" s="15" t="n">
        <v>3</v>
      </c>
      <c r="I1421" s="28" t="inlineStr">
        <is>
          <t>NÃO</t>
        </is>
      </c>
      <c r="J1421" s="29" t="n"/>
      <c r="K1421" s="14" t="str">
        <f>IF(J1421="","7. Acima de 2 km",IF(J1421&lt;=50,"1. Até 50 m",IF(J1421&lt;=100,"2. De 50 a 100 m",IF(J1421&lt;=200,"3. De 100 a 200 m",IF(J1421&lt;=300,"4. De 200 a 300 m",IF(J1421&lt;=500,"5. De 300 a 500 m","6. De 500 m a 2 km"))))))</f>
        <v>7. Acima de 2 km</v>
      </c>
      <c r="L1421" s="26" t="n">
        <v>0</v>
      </c>
      <c r="M1421" s="26" t="n">
        <v>0</v>
      </c>
      <c r="N1421" s="26" t="n">
        <v>0</v>
      </c>
      <c r="O1421" s="26" t="n">
        <v>0</v>
      </c>
      <c r="P1421" s="30" t="n">
        <v>-11.5307533</v>
      </c>
      <c r="Q1421" s="30" t="n">
        <v>-41.7922017</v>
      </c>
      <c r="R1421" s="14" t="inlineStr">
        <is>
          <t>FÓRUM VEREADOR JOSÉ C. C. DOURADO. RUA JOSÉ CAMPOS PINHEIRO, SN, BELO HORIZONTE. LAPÃO/BA</t>
        </is>
      </c>
      <c r="S1421" s="26">
        <f>IF(A1421=A1420,0,1)</f>
        <v>0</v>
      </c>
      <c r="T1421" s="26">
        <f>IF(COUNTIF($B$4:B1421,B1421)=1,1,0)</f>
        <v>0</v>
      </c>
    </row>
    <row r="1422">
      <c r="A1422" s="14" t="inlineStr">
        <is>
          <t>LAPÃO</t>
        </is>
      </c>
      <c r="B1422" s="26" t="n">
        <v>104</v>
      </c>
      <c r="C1422" s="26" t="n">
        <v>1210</v>
      </c>
      <c r="D1422" s="14" t="inlineStr">
        <is>
          <t>ESCOLA MUNICIPAL CASTRO ALVES</t>
        </is>
      </c>
      <c r="E1422" s="14" t="inlineStr">
        <is>
          <t>POVOADO VOLTA GRANDE</t>
        </is>
      </c>
      <c r="F1422" s="14" t="inlineStr">
        <is>
          <t>POVOADO VOLTA GRANDE - ZONA RURAL</t>
        </is>
      </c>
      <c r="G1422" s="27" t="inlineStr">
        <is>
          <t>44905-000</t>
        </is>
      </c>
      <c r="H1422" s="15" t="n">
        <v>2</v>
      </c>
      <c r="I1422" s="28" t="inlineStr">
        <is>
          <t>NÃO</t>
        </is>
      </c>
      <c r="J1422" s="29" t="n"/>
      <c r="K1422" s="14" t="str">
        <f>IF(J1422="","7. Acima de 2 km",IF(J1422&lt;=50,"1. Até 50 m",IF(J1422&lt;=100,"2. De 50 a 100 m",IF(J1422&lt;=200,"3. De 100 a 200 m",IF(J1422&lt;=300,"4. De 200 a 300 m",IF(J1422&lt;=500,"5. De 300 a 500 m","6. De 500 m a 2 km"))))))</f>
        <v>7. Acima de 2 km</v>
      </c>
      <c r="L1422" s="26" t="n">
        <v>0</v>
      </c>
      <c r="M1422" s="26" t="n">
        <v>0</v>
      </c>
      <c r="N1422" s="26" t="n">
        <v>0</v>
      </c>
      <c r="O1422" s="26" t="n">
        <v>0</v>
      </c>
      <c r="P1422" s="30" t="n">
        <v>-11.6439717</v>
      </c>
      <c r="Q1422" s="30" t="n">
        <v>-41.7220551</v>
      </c>
      <c r="R1422" s="14" t="inlineStr">
        <is>
          <t>FÓRUM VEREADOR JOSÉ C. C. DOURADO. RUA JOSÉ CAMPOS PINHEIRO, SN, BELO HORIZONTE. LAPÃO/BA</t>
        </is>
      </c>
      <c r="S1422" s="26">
        <f>IF(A1422=A1421,0,1)</f>
        <v>0</v>
      </c>
      <c r="T1422" s="26">
        <f>IF(COUNTIF($B$4:B1422,B1422)=1,1,0)</f>
        <v>0</v>
      </c>
    </row>
    <row r="1423">
      <c r="A1423" s="14" t="inlineStr">
        <is>
          <t>LAPÃO</t>
        </is>
      </c>
      <c r="B1423" s="26" t="n">
        <v>104</v>
      </c>
      <c r="C1423" s="26" t="n">
        <v>1228</v>
      </c>
      <c r="D1423" s="14" t="inlineStr">
        <is>
          <t>ESCOLA MUNICIPAL LEOPOLDO DA SILVA DOURADO</t>
        </is>
      </c>
      <c r="E1423" s="14" t="inlineStr">
        <is>
          <t>POVOADO LAJEADO I</t>
        </is>
      </c>
      <c r="F1423" s="14" t="inlineStr">
        <is>
          <t>POVOADO LAJEADO - ZONA RURAL</t>
        </is>
      </c>
      <c r="G1423" s="27" t="inlineStr">
        <is>
          <t>44905-000</t>
        </is>
      </c>
      <c r="H1423" s="15" t="n">
        <v>3</v>
      </c>
      <c r="I1423" s="28" t="inlineStr">
        <is>
          <t>NÃO</t>
        </is>
      </c>
      <c r="J1423" s="29" t="n"/>
      <c r="K1423" s="14" t="str">
        <f>IF(J1423="","7. Acima de 2 km",IF(J1423&lt;=50,"1. Até 50 m",IF(J1423&lt;=100,"2. De 50 a 100 m",IF(J1423&lt;=200,"3. De 100 a 200 m",IF(J1423&lt;=300,"4. De 200 a 300 m",IF(J1423&lt;=500,"5. De 300 a 500 m","6. De 500 m a 2 km"))))))</f>
        <v>7. Acima de 2 km</v>
      </c>
      <c r="L1423" s="26" t="n">
        <v>0</v>
      </c>
      <c r="M1423" s="26" t="n">
        <v>0</v>
      </c>
      <c r="N1423" s="26" t="n">
        <v>0</v>
      </c>
      <c r="O1423" s="26" t="n">
        <v>0</v>
      </c>
      <c r="P1423" s="30" t="n">
        <v>-11.4784536</v>
      </c>
      <c r="Q1423" s="30" t="n">
        <v>-41.7557236</v>
      </c>
      <c r="R1423" s="14" t="inlineStr">
        <is>
          <t>FÓRUM VEREADOR JOSÉ C. C. DOURADO. RUA JOSÉ CAMPOS PINHEIRO, SN, BELO HORIZONTE. LAPÃO/BA</t>
        </is>
      </c>
      <c r="S1423" s="26">
        <f>IF(A1423=A1422,0,1)</f>
        <v>0</v>
      </c>
      <c r="T1423" s="26">
        <f>IF(COUNTIF($B$4:B1423,B1423)=1,1,0)</f>
        <v>0</v>
      </c>
    </row>
    <row r="1424">
      <c r="A1424" s="14" t="inlineStr">
        <is>
          <t>LAPÃO</t>
        </is>
      </c>
      <c r="B1424" s="26" t="n">
        <v>104</v>
      </c>
      <c r="C1424" s="26" t="n">
        <v>1236</v>
      </c>
      <c r="D1424" s="14" t="inlineStr">
        <is>
          <t>ESCOLA OSÓRIO JOSÉ ALVES - EDUCAÇÃO INFANTIL</t>
        </is>
      </c>
      <c r="E1424" s="14" t="inlineStr">
        <is>
          <t>POVOADO LAGOA DE GAUDENCIO</t>
        </is>
      </c>
      <c r="F1424" s="14" t="inlineStr">
        <is>
          <t>POVOADO LAGOA DE GAUDENCIO - 2ª ENTRADA - ZONA RURAL</t>
        </is>
      </c>
      <c r="G1424" s="27" t="inlineStr">
        <is>
          <t>44905-000</t>
        </is>
      </c>
      <c r="H1424" s="15" t="n">
        <v>2</v>
      </c>
      <c r="I1424" s="28" t="inlineStr">
        <is>
          <t>NÃO</t>
        </is>
      </c>
      <c r="J1424" s="29" t="n"/>
      <c r="K1424" s="14" t="str">
        <f>IF(J1424="","7. Acima de 2 km",IF(J1424&lt;=50,"1. Até 50 m",IF(J1424&lt;=100,"2. De 50 a 100 m",IF(J1424&lt;=200,"3. De 100 a 200 m",IF(J1424&lt;=300,"4. De 200 a 300 m",IF(J1424&lt;=500,"5. De 300 a 500 m","6. De 500 m a 2 km"))))))</f>
        <v>7. Acima de 2 km</v>
      </c>
      <c r="L1424" s="26" t="n">
        <v>0</v>
      </c>
      <c r="M1424" s="26" t="n">
        <v>0</v>
      </c>
      <c r="N1424" s="26" t="n">
        <v>0</v>
      </c>
      <c r="O1424" s="26" t="n">
        <v>0</v>
      </c>
      <c r="P1424" s="30" t="n">
        <v>-11.485725</v>
      </c>
      <c r="Q1424" s="30" t="n">
        <v>-41.7944271</v>
      </c>
      <c r="R1424" s="14" t="inlineStr">
        <is>
          <t>FÓRUM VEREADOR JOSÉ C. C. DOURADO. RUA JOSÉ CAMPOS PINHEIRO, SN, BELO HORIZONTE. LAPÃO/BA</t>
        </is>
      </c>
      <c r="S1424" s="26">
        <f>IF(A1424=A1423,0,1)</f>
        <v>0</v>
      </c>
      <c r="T1424" s="26">
        <f>IF(COUNTIF($B$4:B1424,B1424)=1,1,0)</f>
        <v>0</v>
      </c>
    </row>
    <row r="1425">
      <c r="A1425" s="14" t="inlineStr">
        <is>
          <t>LAPÃO</t>
        </is>
      </c>
      <c r="B1425" s="26" t="n">
        <v>104</v>
      </c>
      <c r="C1425" s="26" t="n">
        <v>1244</v>
      </c>
      <c r="D1425" s="14" t="inlineStr">
        <is>
          <t>ESCOLA MUNICIPAL HONORATO GASPAR DE SOUZA</t>
        </is>
      </c>
      <c r="E1425" s="14" t="inlineStr">
        <is>
          <t>POVOADO ELIZEU I</t>
        </is>
      </c>
      <c r="F1425" s="14" t="inlineStr">
        <is>
          <t>POVOADO ELIZEU I - ZONA RURAL</t>
        </is>
      </c>
      <c r="G1425" s="27" t="inlineStr">
        <is>
          <t>44905-000</t>
        </is>
      </c>
      <c r="H1425" s="15" t="n">
        <v>2</v>
      </c>
      <c r="I1425" s="28" t="inlineStr">
        <is>
          <t>NÃO</t>
        </is>
      </c>
      <c r="J1425" s="29" t="n"/>
      <c r="K1425" s="14" t="str">
        <f>IF(J1425="","7. Acima de 2 km",IF(J1425&lt;=50,"1. Até 50 m",IF(J1425&lt;=100,"2. De 50 a 100 m",IF(J1425&lt;=200,"3. De 100 a 200 m",IF(J1425&lt;=300,"4. De 200 a 300 m",IF(J1425&lt;=500,"5. De 300 a 500 m","6. De 500 m a 2 km"))))))</f>
        <v>7. Acima de 2 km</v>
      </c>
      <c r="L1425" s="26" t="n">
        <v>0</v>
      </c>
      <c r="M1425" s="26" t="n">
        <v>0</v>
      </c>
      <c r="N1425" s="26" t="n">
        <v>0</v>
      </c>
      <c r="O1425" s="26" t="n">
        <v>0</v>
      </c>
      <c r="P1425" s="30" t="n">
        <v>-11.4779993</v>
      </c>
      <c r="Q1425" s="30" t="n">
        <v>-41.7683169</v>
      </c>
      <c r="R1425" s="14" t="inlineStr">
        <is>
          <t>FÓRUM VEREADOR JOSÉ C. C. DOURADO. RUA JOSÉ CAMPOS PINHEIRO, SN, BELO HORIZONTE. LAPÃO/BA</t>
        </is>
      </c>
      <c r="S1425" s="26">
        <f>IF(A1425=A1424,0,1)</f>
        <v>0</v>
      </c>
      <c r="T1425" s="26">
        <f>IF(COUNTIF($B$4:B1425,B1425)=1,1,0)</f>
        <v>0</v>
      </c>
    </row>
    <row r="1426">
      <c r="A1426" s="14" t="inlineStr">
        <is>
          <t>LAPÃO</t>
        </is>
      </c>
      <c r="B1426" s="26" t="n">
        <v>104</v>
      </c>
      <c r="C1426" s="26" t="n">
        <v>1252</v>
      </c>
      <c r="D1426" s="14" t="inlineStr">
        <is>
          <t>ESCOLA MUNICIPAL ANTÔNIA GASPAR DE SOUZA</t>
        </is>
      </c>
      <c r="E1426" s="14" t="inlineStr">
        <is>
          <t>POVOADO RODAGEM</t>
        </is>
      </c>
      <c r="F1426" s="14" t="inlineStr">
        <is>
          <t>POVOADO RODAGEM - ZONA RURAL</t>
        </is>
      </c>
      <c r="G1426" s="27" t="inlineStr">
        <is>
          <t>44905-000</t>
        </is>
      </c>
      <c r="H1426" s="15" t="n">
        <v>3</v>
      </c>
      <c r="I1426" s="28" t="inlineStr">
        <is>
          <t>NÃO</t>
        </is>
      </c>
      <c r="J1426" s="29" t="n"/>
      <c r="K1426" s="14" t="str">
        <f>IF(J1426="","7. Acima de 2 km",IF(J1426&lt;=50,"1. Até 50 m",IF(J1426&lt;=100,"2. De 50 a 100 m",IF(J1426&lt;=200,"3. De 100 a 200 m",IF(J1426&lt;=300,"4. De 200 a 300 m",IF(J1426&lt;=500,"5. De 300 a 500 m","6. De 500 m a 2 km"))))))</f>
        <v>7. Acima de 2 km</v>
      </c>
      <c r="L1426" s="26" t="n">
        <v>0</v>
      </c>
      <c r="M1426" s="26" t="n">
        <v>0</v>
      </c>
      <c r="N1426" s="26" t="n">
        <v>0</v>
      </c>
      <c r="O1426" s="26" t="n">
        <v>0</v>
      </c>
      <c r="P1426" s="30" t="n">
        <v>-11.5686617</v>
      </c>
      <c r="Q1426" s="30" t="n">
        <v>-41.7705433</v>
      </c>
      <c r="R1426" s="14" t="inlineStr">
        <is>
          <t>FÓRUM VEREADOR JOSÉ C. C. DOURADO. RUA JOSÉ CAMPOS PINHEIRO, SN, BELO HORIZONTE. LAPÃO/BA</t>
        </is>
      </c>
      <c r="S1426" s="26">
        <f>IF(A1426=A1425,0,1)</f>
        <v>0</v>
      </c>
      <c r="T1426" s="26">
        <f>IF(COUNTIF($B$4:B1426,B1426)=1,1,0)</f>
        <v>0</v>
      </c>
    </row>
    <row r="1427">
      <c r="A1427" s="14" t="inlineStr">
        <is>
          <t>LAPÃO</t>
        </is>
      </c>
      <c r="B1427" s="26" t="n">
        <v>104</v>
      </c>
      <c r="C1427" s="26" t="n">
        <v>1260</v>
      </c>
      <c r="D1427" s="14" t="inlineStr">
        <is>
          <t>ESCOLA MUNICIPAL DE SALGADA</t>
        </is>
      </c>
      <c r="E1427" s="14" t="inlineStr">
        <is>
          <t>POVOADO SALGADA</t>
        </is>
      </c>
      <c r="F1427" s="14" t="inlineStr">
        <is>
          <t>POVOADO SALGADA - ZONA RURAL</t>
        </is>
      </c>
      <c r="G1427" s="27" t="inlineStr">
        <is>
          <t>44905-000</t>
        </is>
      </c>
      <c r="H1427" s="15" t="n">
        <v>2</v>
      </c>
      <c r="I1427" s="28" t="inlineStr">
        <is>
          <t>NÃO</t>
        </is>
      </c>
      <c r="J1427" s="29" t="n"/>
      <c r="K1427" s="14" t="str">
        <f>IF(J1427="","7. Acima de 2 km",IF(J1427&lt;=50,"1. Até 50 m",IF(J1427&lt;=100,"2. De 50 a 100 m",IF(J1427&lt;=200,"3. De 100 a 200 m",IF(J1427&lt;=300,"4. De 200 a 300 m",IF(J1427&lt;=500,"5. De 300 a 500 m","6. De 500 m a 2 km"))))))</f>
        <v>7. Acima de 2 km</v>
      </c>
      <c r="L1427" s="26" t="n">
        <v>0</v>
      </c>
      <c r="M1427" s="26" t="n">
        <v>0</v>
      </c>
      <c r="N1427" s="26" t="n">
        <v>0</v>
      </c>
      <c r="O1427" s="26" t="n">
        <v>0</v>
      </c>
      <c r="P1427" s="30" t="n">
        <v>-11.4833785</v>
      </c>
      <c r="Q1427" s="30" t="n">
        <v>-41.8136553</v>
      </c>
      <c r="R1427" s="14" t="inlineStr">
        <is>
          <t>FÓRUM VEREADOR JOSÉ C. C. DOURADO. RUA JOSÉ CAMPOS PINHEIRO, SN, BELO HORIZONTE. LAPÃO/BA</t>
        </is>
      </c>
      <c r="S1427" s="26">
        <f>IF(A1427=A1426,0,1)</f>
        <v>0</v>
      </c>
      <c r="T1427" s="26">
        <f>IF(COUNTIF($B$4:B1427,B1427)=1,1,0)</f>
        <v>0</v>
      </c>
    </row>
    <row r="1428">
      <c r="A1428" s="14" t="inlineStr">
        <is>
          <t>LAPÃO</t>
        </is>
      </c>
      <c r="B1428" s="26" t="n">
        <v>104</v>
      </c>
      <c r="C1428" s="26" t="n">
        <v>1279</v>
      </c>
      <c r="D1428" s="14" t="inlineStr">
        <is>
          <t>ESCOLA MUNICIPAL JOSÉ CARLITO CARNEIRO DOURADO PIMENTA</t>
        </is>
      </c>
      <c r="E1428" s="14" t="inlineStr">
        <is>
          <t>POVOADO LAJEDO DE EURIPEDES</t>
        </is>
      </c>
      <c r="F1428" s="14" t="inlineStr">
        <is>
          <t>POVOADO LAJEDO DE EURIPES - ZONA RURAL</t>
        </is>
      </c>
      <c r="G1428" s="27" t="inlineStr">
        <is>
          <t>44905-000</t>
        </is>
      </c>
      <c r="H1428" s="15" t="n">
        <v>2</v>
      </c>
      <c r="I1428" s="28" t="inlineStr">
        <is>
          <t>NÃO</t>
        </is>
      </c>
      <c r="J1428" s="29" t="n"/>
      <c r="K1428" s="14" t="str">
        <f>IF(J1428="","7. Acima de 2 km",IF(J1428&lt;=50,"1. Até 50 m",IF(J1428&lt;=100,"2. De 50 a 100 m",IF(J1428&lt;=200,"3. De 100 a 200 m",IF(J1428&lt;=300,"4. De 200 a 300 m",IF(J1428&lt;=500,"5. De 300 a 500 m","6. De 500 m a 2 km"))))))</f>
        <v>7. Acima de 2 km</v>
      </c>
      <c r="L1428" s="26" t="n">
        <v>0</v>
      </c>
      <c r="M1428" s="26" t="n">
        <v>0</v>
      </c>
      <c r="N1428" s="26" t="n">
        <v>0</v>
      </c>
      <c r="O1428" s="26" t="n">
        <v>0</v>
      </c>
      <c r="P1428" s="30" t="n">
        <v>-11.5282733</v>
      </c>
      <c r="Q1428" s="30" t="n">
        <v>-41.8192183</v>
      </c>
      <c r="R1428" s="14" t="inlineStr">
        <is>
          <t>FÓRUM VEREADOR JOSÉ C. C. DOURADO. RUA JOSÉ CAMPOS PINHEIRO, SN, BELO HORIZONTE. LAPÃO/BA</t>
        </is>
      </c>
      <c r="S1428" s="26">
        <f>IF(A1428=A1427,0,1)</f>
        <v>0</v>
      </c>
      <c r="T1428" s="26">
        <f>IF(COUNTIF($B$4:B1428,B1428)=1,1,0)</f>
        <v>0</v>
      </c>
    </row>
    <row r="1429">
      <c r="A1429" s="14" t="inlineStr">
        <is>
          <t>LAPÃO</t>
        </is>
      </c>
      <c r="B1429" s="26" t="n">
        <v>104</v>
      </c>
      <c r="C1429" s="26" t="n">
        <v>1287</v>
      </c>
      <c r="D1429" s="14" t="inlineStr">
        <is>
          <t>ESCOLA MUNICIPAL RUI BARBOSA</t>
        </is>
      </c>
      <c r="E1429" s="14" t="inlineStr">
        <is>
          <t>POVOADO BONZÃO I</t>
        </is>
      </c>
      <c r="F1429" s="14" t="inlineStr">
        <is>
          <t>POVOADO BONZAO - ZONA RURAL</t>
        </is>
      </c>
      <c r="G1429" s="27" t="inlineStr">
        <is>
          <t>44905-000</t>
        </is>
      </c>
      <c r="H1429" s="15" t="n">
        <v>2</v>
      </c>
      <c r="I1429" s="28" t="inlineStr">
        <is>
          <t>NÃO</t>
        </is>
      </c>
      <c r="J1429" s="29" t="n"/>
      <c r="K1429" s="14" t="str">
        <f>IF(J1429="","7. Acima de 2 km",IF(J1429&lt;=50,"1. Até 50 m",IF(J1429&lt;=100,"2. De 50 a 100 m",IF(J1429&lt;=200,"3. De 100 a 200 m",IF(J1429&lt;=300,"4. De 200 a 300 m",IF(J1429&lt;=500,"5. De 300 a 500 m","6. De 500 m a 2 km"))))))</f>
        <v>7. Acima de 2 km</v>
      </c>
      <c r="L1429" s="26" t="n">
        <v>0</v>
      </c>
      <c r="M1429" s="26" t="n">
        <v>0</v>
      </c>
      <c r="N1429" s="26" t="n">
        <v>0</v>
      </c>
      <c r="O1429" s="26" t="n">
        <v>0</v>
      </c>
      <c r="P1429" s="30" t="n">
        <v>-11.4437033</v>
      </c>
      <c r="Q1429" s="30" t="n">
        <v>-41.860315</v>
      </c>
      <c r="R1429" s="14" t="inlineStr">
        <is>
          <t>FÓRUM VEREADOR JOSÉ C. C. DOURADO. RUA JOSÉ CAMPOS PINHEIRO, SN, BELO HORIZONTE. LAPÃO/BA</t>
        </is>
      </c>
      <c r="S1429" s="26">
        <f>IF(A1429=A1428,0,1)</f>
        <v>0</v>
      </c>
      <c r="T1429" s="26">
        <f>IF(COUNTIF($B$4:B1429,B1429)=1,1,0)</f>
        <v>0</v>
      </c>
    </row>
    <row r="1430">
      <c r="A1430" s="14" t="inlineStr">
        <is>
          <t>LAPÃO</t>
        </is>
      </c>
      <c r="B1430" s="26" t="n">
        <v>104</v>
      </c>
      <c r="C1430" s="26" t="n">
        <v>1325</v>
      </c>
      <c r="D1430" s="14" t="inlineStr">
        <is>
          <t>ESCOLA ALTO DA BOA VISTA</t>
        </is>
      </c>
      <c r="E1430" s="14" t="inlineStr">
        <is>
          <t>POVOADO IRECEZINHO</t>
        </is>
      </c>
      <c r="F1430" s="14" t="inlineStr">
        <is>
          <t>POVOADO IRECEZINHO - ZONA RURAL</t>
        </is>
      </c>
      <c r="G1430" s="27" t="inlineStr">
        <is>
          <t>44905-000</t>
        </is>
      </c>
      <c r="H1430" s="15" t="n">
        <v>1</v>
      </c>
      <c r="I1430" s="28" t="inlineStr">
        <is>
          <t>NÃO</t>
        </is>
      </c>
      <c r="J1430" s="29" t="n"/>
      <c r="K1430" s="14" t="str">
        <f>IF(J1430="","7. Acima de 2 km",IF(J1430&lt;=50,"1. Até 50 m",IF(J1430&lt;=100,"2. De 50 a 100 m",IF(J1430&lt;=200,"3. De 100 a 200 m",IF(J1430&lt;=300,"4. De 200 a 300 m",IF(J1430&lt;=500,"5. De 300 a 500 m","6. De 500 m a 2 km"))))))</f>
        <v>7. Acima de 2 km</v>
      </c>
      <c r="L1430" s="26" t="n">
        <v>0</v>
      </c>
      <c r="M1430" s="26" t="n">
        <v>0</v>
      </c>
      <c r="N1430" s="26" t="n">
        <v>0</v>
      </c>
      <c r="O1430" s="26" t="n">
        <v>0</v>
      </c>
      <c r="P1430" s="30" t="n">
        <v>-11.6776609</v>
      </c>
      <c r="Q1430" s="30" t="n">
        <v>-41.7670618</v>
      </c>
      <c r="R1430" s="14" t="inlineStr">
        <is>
          <t>FÓRUM VEREADOR JOSÉ C. C. DOURADO. RUA JOSÉ CAMPOS PINHEIRO, SN, BELO HORIZONTE. LAPÃO/BA</t>
        </is>
      </c>
      <c r="S1430" s="26">
        <f>IF(A1430=A1429,0,1)</f>
        <v>0</v>
      </c>
      <c r="T1430" s="26">
        <f>IF(COUNTIF($B$4:B1430,B1430)=1,1,0)</f>
        <v>0</v>
      </c>
    </row>
    <row r="1431">
      <c r="A1431" s="14" t="inlineStr">
        <is>
          <t>LAPÃO</t>
        </is>
      </c>
      <c r="B1431" s="26" t="n">
        <v>104</v>
      </c>
      <c r="C1431" s="26" t="n">
        <v>1333</v>
      </c>
      <c r="D1431" s="14" t="inlineStr">
        <is>
          <t>ESCOLA JOSÉ HONORATO CALDEIRA</t>
        </is>
      </c>
      <c r="E1431" s="14" t="inlineStr">
        <is>
          <t>POVOADO LAJEDINHO</t>
        </is>
      </c>
      <c r="F1431" s="14" t="inlineStr">
        <is>
          <t>POVOADO LAJEDINHO - ZONA RURAL</t>
        </is>
      </c>
      <c r="G1431" s="27" t="inlineStr">
        <is>
          <t>44905-000</t>
        </is>
      </c>
      <c r="H1431" s="15" t="n">
        <v>1</v>
      </c>
      <c r="I1431" s="28" t="inlineStr">
        <is>
          <t>NÃO</t>
        </is>
      </c>
      <c r="J1431" s="29" t="n"/>
      <c r="K1431" s="14" t="str">
        <f>IF(J1431="","7. Acima de 2 km",IF(J1431&lt;=50,"1. Até 50 m",IF(J1431&lt;=100,"2. De 50 a 100 m",IF(J1431&lt;=200,"3. De 100 a 200 m",IF(J1431&lt;=300,"4. De 200 a 300 m",IF(J1431&lt;=500,"5. De 300 a 500 m","6. De 500 m a 2 km"))))))</f>
        <v>7. Acima de 2 km</v>
      </c>
      <c r="L1431" s="26" t="n">
        <v>0</v>
      </c>
      <c r="M1431" s="26" t="n">
        <v>0</v>
      </c>
      <c r="N1431" s="26" t="n">
        <v>0</v>
      </c>
      <c r="O1431" s="26" t="n">
        <v>0</v>
      </c>
      <c r="P1431" s="30" t="n">
        <v>-11.5736583</v>
      </c>
      <c r="Q1431" s="30" t="n">
        <v>-41.6913683</v>
      </c>
      <c r="R1431" s="14" t="inlineStr">
        <is>
          <t>FÓRUM VEREADOR JOSÉ C. C. DOURADO. RUA JOSÉ CAMPOS PINHEIRO, SN, BELO HORIZONTE. LAPÃO/BA</t>
        </is>
      </c>
      <c r="S1431" s="26">
        <f>IF(A1431=A1430,0,1)</f>
        <v>0</v>
      </c>
      <c r="T1431" s="26">
        <f>IF(COUNTIF($B$4:B1431,B1431)=1,1,0)</f>
        <v>0</v>
      </c>
    </row>
    <row r="1432">
      <c r="A1432" s="14" t="inlineStr">
        <is>
          <t>LAPÃO</t>
        </is>
      </c>
      <c r="B1432" s="26" t="n">
        <v>104</v>
      </c>
      <c r="C1432" s="26" t="n">
        <v>1376</v>
      </c>
      <c r="D1432" s="14" t="inlineStr">
        <is>
          <t>ESCOLA MUNICIPAL TIRADENTES</t>
        </is>
      </c>
      <c r="E1432" s="14" t="inlineStr">
        <is>
          <t>DISTRITO TANQUINHO</t>
        </is>
      </c>
      <c r="F1432" s="14" t="inlineStr">
        <is>
          <t>RUA DOMINGOS ALVES, S/N - ZONA RURAL</t>
        </is>
      </c>
      <c r="G1432" s="27" t="inlineStr">
        <is>
          <t>44905-000</t>
        </is>
      </c>
      <c r="H1432" s="15" t="n">
        <v>6</v>
      </c>
      <c r="I1432" s="28" t="inlineStr">
        <is>
          <t>NÃO</t>
        </is>
      </c>
      <c r="J1432" s="29" t="n"/>
      <c r="K1432" s="14" t="str">
        <f>IF(J1432="","7. Acima de 2 km",IF(J1432&lt;=50,"1. Até 50 m",IF(J1432&lt;=100,"2. De 50 a 100 m",IF(J1432&lt;=200,"3. De 100 a 200 m",IF(J1432&lt;=300,"4. De 200 a 300 m",IF(J1432&lt;=500,"5. De 300 a 500 m","6. De 500 m a 2 km"))))))</f>
        <v>7. Acima de 2 km</v>
      </c>
      <c r="L1432" s="26" t="n">
        <v>0</v>
      </c>
      <c r="M1432" s="26" t="n">
        <v>0</v>
      </c>
      <c r="N1432" s="26" t="n">
        <v>0</v>
      </c>
      <c r="O1432" s="26" t="n">
        <v>0</v>
      </c>
      <c r="P1432" s="30" t="n">
        <v>-11.4011304</v>
      </c>
      <c r="Q1432" s="30" t="n">
        <v>-41.8851585</v>
      </c>
      <c r="R1432" s="14" t="inlineStr">
        <is>
          <t>FÓRUM VEREADOR JOSÉ C. C. DOURADO. RUA JOSÉ CAMPOS PINHEIRO, SN, BELO HORIZONTE. LAPÃO/BA</t>
        </is>
      </c>
      <c r="S1432" s="26">
        <f>IF(A1432=A1431,0,1)</f>
        <v>0</v>
      </c>
      <c r="T1432" s="26">
        <f>IF(COUNTIF($B$4:B1432,B1432)=1,1,0)</f>
        <v>0</v>
      </c>
    </row>
    <row r="1433">
      <c r="A1433" s="14" t="inlineStr">
        <is>
          <t>LAPÃO</t>
        </is>
      </c>
      <c r="B1433" s="26" t="n">
        <v>104</v>
      </c>
      <c r="C1433" s="26" t="n">
        <v>1384</v>
      </c>
      <c r="D1433" s="14" t="inlineStr">
        <is>
          <t>ESCOLA MUNICIPAL MANOEL AUGUSTO DOURADO</t>
        </is>
      </c>
      <c r="E1433" s="14" t="inlineStr">
        <is>
          <t>DISTRITO BELO CAMPO</t>
        </is>
      </c>
      <c r="F1433" s="14" t="inlineStr">
        <is>
          <t>RUA GUSTAVO DOURADO, S/N - ZONA RURAL</t>
        </is>
      </c>
      <c r="G1433" s="27" t="inlineStr">
        <is>
          <t>44905-000</t>
        </is>
      </c>
      <c r="H1433" s="15" t="n">
        <v>5</v>
      </c>
      <c r="I1433" s="28" t="inlineStr">
        <is>
          <t>NÃO</t>
        </is>
      </c>
      <c r="J1433" s="29" t="n"/>
      <c r="K1433" s="14" t="str">
        <f>IF(J1433="","7. Acima de 2 km",IF(J1433&lt;=50,"1. Até 50 m",IF(J1433&lt;=100,"2. De 50 a 100 m",IF(J1433&lt;=200,"3. De 100 a 200 m",IF(J1433&lt;=300,"4. De 200 a 300 m",IF(J1433&lt;=500,"5. De 300 a 500 m","6. De 500 m a 2 km"))))))</f>
        <v>7. Acima de 2 km</v>
      </c>
      <c r="L1433" s="26" t="n">
        <v>0</v>
      </c>
      <c r="M1433" s="26" t="n">
        <v>0</v>
      </c>
      <c r="N1433" s="26" t="n">
        <v>0</v>
      </c>
      <c r="O1433" s="26" t="n">
        <v>0</v>
      </c>
      <c r="P1433" s="30" t="n">
        <v>-11.4803567</v>
      </c>
      <c r="Q1433" s="30" t="n">
        <v>-41.6955367</v>
      </c>
      <c r="R1433" s="14" t="inlineStr">
        <is>
          <t>FÓRUM VEREADOR JOSÉ C. C. DOURADO. RUA JOSÉ CAMPOS PINHEIRO, SN, BELO HORIZONTE. LAPÃO/BA</t>
        </is>
      </c>
      <c r="S1433" s="26">
        <f>IF(A1433=A1432,0,1)</f>
        <v>0</v>
      </c>
      <c r="T1433" s="26">
        <f>IF(COUNTIF($B$4:B1433,B1433)=1,1,0)</f>
        <v>0</v>
      </c>
    </row>
    <row r="1434">
      <c r="A1434" s="14" t="inlineStr">
        <is>
          <t>LAPÃO</t>
        </is>
      </c>
      <c r="B1434" s="26" t="n">
        <v>104</v>
      </c>
      <c r="C1434" s="26" t="n">
        <v>1406</v>
      </c>
      <c r="D1434" s="14" t="inlineStr">
        <is>
          <t>ESCOLA JOAO ANDRE DA SILVA</t>
        </is>
      </c>
      <c r="E1434" s="14" t="inlineStr">
        <is>
          <t>POVOADO BOA ESPERANCA</t>
        </is>
      </c>
      <c r="F1434" s="14" t="inlineStr">
        <is>
          <t>POVOADO BOA ESPERANCA - ZONA RURAL</t>
        </is>
      </c>
      <c r="G1434" s="27" t="inlineStr">
        <is>
          <t>44905-000</t>
        </is>
      </c>
      <c r="H1434" s="15" t="n">
        <v>1</v>
      </c>
      <c r="I1434" s="28" t="inlineStr">
        <is>
          <t>NÃO</t>
        </is>
      </c>
      <c r="J1434" s="29" t="n"/>
      <c r="K1434" s="14" t="str">
        <f>IF(J1434="","7. Acima de 2 km",IF(J1434&lt;=50,"1. Até 50 m",IF(J1434&lt;=100,"2. De 50 a 100 m",IF(J1434&lt;=200,"3. De 100 a 200 m",IF(J1434&lt;=300,"4. De 200 a 300 m",IF(J1434&lt;=500,"5. De 300 a 500 m","6. De 500 m a 2 km"))))))</f>
        <v>7. Acima de 2 km</v>
      </c>
      <c r="L1434" s="26" t="n">
        <v>0</v>
      </c>
      <c r="M1434" s="26" t="n">
        <v>0</v>
      </c>
      <c r="N1434" s="26" t="n">
        <v>0</v>
      </c>
      <c r="O1434" s="26" t="n">
        <v>0</v>
      </c>
      <c r="P1434" s="30" t="n">
        <v>-11.4963633</v>
      </c>
      <c r="Q1434" s="30" t="n">
        <v>-41.75196</v>
      </c>
      <c r="R1434" s="14" t="inlineStr">
        <is>
          <t>FÓRUM VEREADOR JOSÉ C. C. DOURADO. RUA JOSÉ CAMPOS PINHEIRO, SN, BELO HORIZONTE. LAPÃO/BA</t>
        </is>
      </c>
      <c r="S1434" s="26">
        <f>IF(A1434=A1433,0,1)</f>
        <v>0</v>
      </c>
      <c r="T1434" s="26">
        <f>IF(COUNTIF($B$4:B1434,B1434)=1,1,0)</f>
        <v>0</v>
      </c>
    </row>
    <row r="1435">
      <c r="A1435" s="14" t="inlineStr">
        <is>
          <t>LAPÃO</t>
        </is>
      </c>
      <c r="B1435" s="26" t="n">
        <v>104</v>
      </c>
      <c r="C1435" s="26" t="n">
        <v>1457</v>
      </c>
      <c r="D1435" s="14" t="inlineStr">
        <is>
          <t>ESCOLA MUNICIPAL ZENÁLIA DOURADO LOPES</t>
        </is>
      </c>
      <c r="E1435" s="14" t="inlineStr">
        <is>
          <t>CENTRO</t>
        </is>
      </c>
      <c r="F1435" s="14" t="inlineStr">
        <is>
          <t>RUA JOSÉ VILELA, S/N - ZONA URBANA</t>
        </is>
      </c>
      <c r="G1435" s="27" t="inlineStr">
        <is>
          <t>44905-000</t>
        </is>
      </c>
      <c r="H1435" s="15" t="n">
        <v>3</v>
      </c>
      <c r="I1435" s="28" t="inlineStr">
        <is>
          <t>NÃO</t>
        </is>
      </c>
      <c r="J1435" s="29" t="n">
        <v>424.7</v>
      </c>
      <c r="K1435" s="14" t="str">
        <f>IF(J1435="","7. Acima de 2 km",IF(J1435&lt;=50,"1. Até 50 m",IF(J1435&lt;=100,"2. De 50 a 100 m",IF(J1435&lt;=200,"3. De 100 a 200 m",IF(J1435&lt;=300,"4. De 200 a 300 m",IF(J1435&lt;=500,"5. De 300 a 500 m","6. De 500 m a 2 km"))))))</f>
        <v>5. De 300 a 500 m</v>
      </c>
      <c r="L1435" s="26" t="n">
        <v>0</v>
      </c>
      <c r="M1435" s="26" t="n">
        <v>0</v>
      </c>
      <c r="N1435" s="26" t="n">
        <v>0</v>
      </c>
      <c r="O1435" s="26" t="n">
        <v>0</v>
      </c>
      <c r="P1435" s="30" t="n">
        <v>-11.3787417</v>
      </c>
      <c r="Q1435" s="30" t="n">
        <v>-41.8358883</v>
      </c>
      <c r="R1435" s="14" t="inlineStr">
        <is>
          <t>FÓRUM VEREADOR JOSÉ C. C. DOURADO. RUA JOSÉ CAMPOS PINHEIRO, SN, BELO HORIZONTE. LAPÃO/BA</t>
        </is>
      </c>
      <c r="S1435" s="26">
        <f>IF(A1435=A1434,0,1)</f>
        <v>0</v>
      </c>
      <c r="T1435" s="26">
        <f>IF(COUNTIF($B$4:B1435,B1435)=1,1,0)</f>
        <v>0</v>
      </c>
    </row>
    <row r="1436">
      <c r="A1436" s="14" t="inlineStr">
        <is>
          <t>LAPÃO</t>
        </is>
      </c>
      <c r="B1436" s="26" t="n">
        <v>104</v>
      </c>
      <c r="C1436" s="26" t="n">
        <v>1473</v>
      </c>
      <c r="D1436" s="14" t="inlineStr">
        <is>
          <t>CEI - CENTRO DE EDUCAÇÃO INFANTIL</t>
        </is>
      </c>
      <c r="E1436" s="14" t="inlineStr">
        <is>
          <t>CENTRO</t>
        </is>
      </c>
      <c r="F1436" s="14" t="inlineStr">
        <is>
          <t>PRAÇA ANTÔNIO GOMES, 208 - ZONA URBANA</t>
        </is>
      </c>
      <c r="G1436" s="27" t="inlineStr">
        <is>
          <t>44905-000</t>
        </is>
      </c>
      <c r="H1436" s="15" t="n">
        <v>4</v>
      </c>
      <c r="I1436" s="28" t="inlineStr">
        <is>
          <t>SIM</t>
        </is>
      </c>
      <c r="J1436" s="29" t="n">
        <v>17.8</v>
      </c>
      <c r="K1436" s="14" t="str">
        <f>IF(J1436="","7. Acima de 2 km",IF(J1436&lt;=50,"1. Até 50 m",IF(J1436&lt;=100,"2. De 50 a 100 m",IF(J1436&lt;=200,"3. De 100 a 200 m",IF(J1436&lt;=300,"4. De 200 a 300 m",IF(J1436&lt;=500,"5. De 300 a 500 m","6. De 500 m a 2 km"))))))</f>
        <v>1. Até 50 m</v>
      </c>
      <c r="L1436" s="26" t="n">
        <v>1</v>
      </c>
      <c r="M1436" s="26" t="n">
        <v>1</v>
      </c>
      <c r="N1436" s="26" t="n">
        <v>1</v>
      </c>
      <c r="O1436" s="26" t="n">
        <v>1</v>
      </c>
      <c r="P1436" s="30" t="n">
        <v>-11.3858617</v>
      </c>
      <c r="Q1436" s="30" t="n">
        <v>-41.828925</v>
      </c>
      <c r="R1436" s="14" t="inlineStr">
        <is>
          <t>FÓRUM VEREADOR JOSÉ C. C. DOURADO. RUA JOSÉ CAMPOS PINHEIRO, SN, BELO HORIZONTE. LAPÃO/BA</t>
        </is>
      </c>
      <c r="S1436" s="26">
        <f>IF(A1436=A1435,0,1)</f>
        <v>0</v>
      </c>
      <c r="T1436" s="26">
        <f>IF(COUNTIF($B$4:B1436,B1436)=1,1,0)</f>
        <v>0</v>
      </c>
    </row>
    <row r="1437">
      <c r="A1437" s="14" t="inlineStr">
        <is>
          <t>LAPÃO</t>
        </is>
      </c>
      <c r="B1437" s="26" t="n">
        <v>104</v>
      </c>
      <c r="C1437" s="26" t="n">
        <v>1481</v>
      </c>
      <c r="D1437" s="14" t="inlineStr">
        <is>
          <t>COLEGIO MUNICIPAL ELZITA RIBEIRO VIEIRA</t>
        </is>
      </c>
      <c r="E1437" s="14" t="inlineStr">
        <is>
          <t>DISTRITO AGUADA NOVA</t>
        </is>
      </c>
      <c r="F1437" s="14" t="inlineStr">
        <is>
          <t>RUA QUIXA, 380 - ZONA RURAL - DISTRITO DE AGUADA NOVA</t>
        </is>
      </c>
      <c r="G1437" s="27" t="inlineStr">
        <is>
          <t>44905-000</t>
        </is>
      </c>
      <c r="H1437" s="15" t="n">
        <v>5</v>
      </c>
      <c r="I1437" s="28" t="inlineStr">
        <is>
          <t>NÃO</t>
        </is>
      </c>
      <c r="J1437" s="29" t="n"/>
      <c r="K1437" s="14" t="str">
        <f>IF(J1437="","7. Acima de 2 km",IF(J1437&lt;=50,"1. Até 50 m",IF(J1437&lt;=100,"2. De 50 a 100 m",IF(J1437&lt;=200,"3. De 100 a 200 m",IF(J1437&lt;=300,"4. De 200 a 300 m",IF(J1437&lt;=500,"5. De 300 a 500 m","6. De 500 m a 2 km"))))))</f>
        <v>7. Acima de 2 km</v>
      </c>
      <c r="L1437" s="26" t="n">
        <v>0</v>
      </c>
      <c r="M1437" s="26" t="n">
        <v>0</v>
      </c>
      <c r="N1437" s="26" t="n">
        <v>0</v>
      </c>
      <c r="O1437" s="26" t="n">
        <v>0</v>
      </c>
      <c r="P1437" s="30" t="n">
        <v>-11.4518417</v>
      </c>
      <c r="Q1437" s="30" t="n">
        <v>-41.807665</v>
      </c>
      <c r="R1437" s="14" t="inlineStr">
        <is>
          <t>FÓRUM VEREADOR JOSÉ C. C. DOURADO. RUA JOSÉ CAMPOS PINHEIRO, SN, BELO HORIZONTE. LAPÃO/BA</t>
        </is>
      </c>
      <c r="S1437" s="26">
        <f>IF(A1437=A1436,0,1)</f>
        <v>0</v>
      </c>
      <c r="T1437" s="26">
        <f>IF(COUNTIF($B$4:B1437,B1437)=1,1,0)</f>
        <v>0</v>
      </c>
    </row>
    <row r="1438">
      <c r="A1438" s="14" t="inlineStr">
        <is>
          <t>LAPÃO</t>
        </is>
      </c>
      <c r="B1438" s="26" t="n">
        <v>104</v>
      </c>
      <c r="C1438" s="26" t="n">
        <v>1562</v>
      </c>
      <c r="D1438" s="14" t="inlineStr">
        <is>
          <t>ESCOLA PEDRO JOSÉ DE ARAÚJO</t>
        </is>
      </c>
      <c r="E1438" s="14" t="inlineStr">
        <is>
          <t>POVOADO QUEIMADA DE JOAQUINZINHO</t>
        </is>
      </c>
      <c r="F1438" s="14" t="inlineStr">
        <is>
          <t>POVOADO QUEIMADA DE JOAQUINZINHO - ZONA RURAL</t>
        </is>
      </c>
      <c r="G1438" s="27" t="inlineStr">
        <is>
          <t>44905-000</t>
        </is>
      </c>
      <c r="H1438" s="15" t="n">
        <v>1</v>
      </c>
      <c r="I1438" s="28" t="inlineStr">
        <is>
          <t>NÃO</t>
        </is>
      </c>
      <c r="J1438" s="29" t="n"/>
      <c r="K1438" s="14" t="str">
        <f>IF(J1438="","7. Acima de 2 km",IF(J1438&lt;=50,"1. Até 50 m",IF(J1438&lt;=100,"2. De 50 a 100 m",IF(J1438&lt;=200,"3. De 100 a 200 m",IF(J1438&lt;=300,"4. De 200 a 300 m",IF(J1438&lt;=500,"5. De 300 a 500 m","6. De 500 m a 2 km"))))))</f>
        <v>7. Acima de 2 km</v>
      </c>
      <c r="L1438" s="26" t="n">
        <v>0</v>
      </c>
      <c r="M1438" s="26" t="n">
        <v>0</v>
      </c>
      <c r="N1438" s="26" t="n">
        <v>0</v>
      </c>
      <c r="O1438" s="26" t="n">
        <v>0</v>
      </c>
      <c r="P1438" s="30" t="n">
        <v>-11.5600533</v>
      </c>
      <c r="Q1438" s="30" t="n">
        <v>-41.7358467</v>
      </c>
      <c r="R1438" s="14" t="inlineStr">
        <is>
          <t>FÓRUM VEREADOR JOSÉ C. C. DOURADO. RUA JOSÉ CAMPOS PINHEIRO, SN, BELO HORIZONTE. LAPÃO/BA</t>
        </is>
      </c>
      <c r="S1438" s="26">
        <f>IF(A1438=A1437,0,1)</f>
        <v>0</v>
      </c>
      <c r="T1438" s="26">
        <f>IF(COUNTIF($B$4:B1438,B1438)=1,1,0)</f>
        <v>0</v>
      </c>
    </row>
    <row r="1439">
      <c r="A1439" s="14" t="inlineStr">
        <is>
          <t>LAPÃO</t>
        </is>
      </c>
      <c r="B1439" s="26" t="n">
        <v>104</v>
      </c>
      <c r="C1439" s="26" t="n">
        <v>1570</v>
      </c>
      <c r="D1439" s="14" t="inlineStr">
        <is>
          <t>ESCOLA ROBERTO SANTOS</t>
        </is>
      </c>
      <c r="E1439" s="14" t="inlineStr">
        <is>
          <t>POVOADO FLORESTA</t>
        </is>
      </c>
      <c r="F1439" s="14" t="inlineStr">
        <is>
          <t>POVOADO FLORESTA - ZONA RURAL</t>
        </is>
      </c>
      <c r="G1439" s="27" t="inlineStr">
        <is>
          <t>44905-000</t>
        </is>
      </c>
      <c r="H1439" s="15" t="n">
        <v>1</v>
      </c>
      <c r="I1439" s="28" t="inlineStr">
        <is>
          <t>NÃO</t>
        </is>
      </c>
      <c r="J1439" s="29" t="n"/>
      <c r="K1439" s="14" t="str">
        <f>IF(J1439="","7. Acima de 2 km",IF(J1439&lt;=50,"1. Até 50 m",IF(J1439&lt;=100,"2. De 50 a 100 m",IF(J1439&lt;=200,"3. De 100 a 200 m",IF(J1439&lt;=300,"4. De 200 a 300 m",IF(J1439&lt;=500,"5. De 300 a 500 m","6. De 500 m a 2 km"))))))</f>
        <v>7. Acima de 2 km</v>
      </c>
      <c r="L1439" s="26" t="n">
        <v>0</v>
      </c>
      <c r="M1439" s="26" t="n">
        <v>0</v>
      </c>
      <c r="N1439" s="26" t="n">
        <v>0</v>
      </c>
      <c r="O1439" s="26" t="n">
        <v>0</v>
      </c>
      <c r="P1439" s="30" t="n">
        <v>-11.3724117</v>
      </c>
      <c r="Q1439" s="30" t="n">
        <v>-41.8807267</v>
      </c>
      <c r="R1439" s="14" t="inlineStr">
        <is>
          <t>FÓRUM VEREADOR JOSÉ C. C. DOURADO. RUA JOSÉ CAMPOS PINHEIRO, SN, BELO HORIZONTE. LAPÃO/BA</t>
        </is>
      </c>
      <c r="S1439" s="26">
        <f>IF(A1439=A1438,0,1)</f>
        <v>0</v>
      </c>
      <c r="T1439" s="26">
        <f>IF(COUNTIF($B$4:B1439,B1439)=1,1,0)</f>
        <v>0</v>
      </c>
    </row>
    <row r="1440">
      <c r="A1440" s="14" t="inlineStr">
        <is>
          <t>LAPÃO</t>
        </is>
      </c>
      <c r="B1440" s="26" t="n">
        <v>104</v>
      </c>
      <c r="C1440" s="26" t="n">
        <v>1589</v>
      </c>
      <c r="D1440" s="14" t="inlineStr">
        <is>
          <t>ESCOLA CECÍLIA MARIA DA CONCEIÇÃO</t>
        </is>
      </c>
      <c r="E1440" s="14" t="inlineStr">
        <is>
          <t>POVOADO TANQUES</t>
        </is>
      </c>
      <c r="F1440" s="14" t="inlineStr">
        <is>
          <t>POVOADO TANQUES - ZONA RURAL</t>
        </is>
      </c>
      <c r="G1440" s="27" t="inlineStr">
        <is>
          <t>44905-000</t>
        </is>
      </c>
      <c r="H1440" s="15" t="n">
        <v>1</v>
      </c>
      <c r="I1440" s="28" t="inlineStr">
        <is>
          <t>NÃO</t>
        </is>
      </c>
      <c r="J1440" s="29" t="n"/>
      <c r="K1440" s="14" t="str">
        <f>IF(J1440="","7. Acima de 2 km",IF(J1440&lt;=50,"1. Até 50 m",IF(J1440&lt;=100,"2. De 50 a 100 m",IF(J1440&lt;=200,"3. De 100 a 200 m",IF(J1440&lt;=300,"4. De 200 a 300 m",IF(J1440&lt;=500,"5. De 300 a 500 m","6. De 500 m a 2 km"))))))</f>
        <v>7. Acima de 2 km</v>
      </c>
      <c r="L1440" s="26" t="n">
        <v>0</v>
      </c>
      <c r="M1440" s="26" t="n">
        <v>0</v>
      </c>
      <c r="N1440" s="26" t="n">
        <v>0</v>
      </c>
      <c r="O1440" s="26" t="n">
        <v>0</v>
      </c>
      <c r="P1440" s="30" t="n">
        <v>-11.4750767</v>
      </c>
      <c r="Q1440" s="30" t="n">
        <v>-41.874235</v>
      </c>
      <c r="R1440" s="14" t="inlineStr">
        <is>
          <t>FÓRUM VEREADOR JOSÉ C. C. DOURADO. RUA JOSÉ CAMPOS PINHEIRO, SN, BELO HORIZONTE. LAPÃO/BA</t>
        </is>
      </c>
      <c r="S1440" s="26">
        <f>IF(A1440=A1439,0,1)</f>
        <v>0</v>
      </c>
      <c r="T1440" s="26">
        <f>IF(COUNTIF($B$4:B1440,B1440)=1,1,0)</f>
        <v>0</v>
      </c>
    </row>
    <row r="1441">
      <c r="A1441" s="14" t="inlineStr">
        <is>
          <t>LAPÃO</t>
        </is>
      </c>
      <c r="B1441" s="26" t="n">
        <v>104</v>
      </c>
      <c r="C1441" s="26" t="n">
        <v>1597</v>
      </c>
      <c r="D1441" s="14" t="inlineStr">
        <is>
          <t>ESCOLA JOSÉ ALIMPIO</t>
        </is>
      </c>
      <c r="E1441" s="14" t="inlineStr">
        <is>
          <t>POVOADO DE PATOS</t>
        </is>
      </c>
      <c r="F1441" s="14" t="inlineStr">
        <is>
          <t>POVOADO DE PATOS - ZONA RURAL</t>
        </is>
      </c>
      <c r="G1441" s="27" t="inlineStr">
        <is>
          <t>44095-000</t>
        </is>
      </c>
      <c r="H1441" s="15" t="n">
        <v>2</v>
      </c>
      <c r="I1441" s="28" t="inlineStr">
        <is>
          <t>NÃO</t>
        </is>
      </c>
      <c r="J1441" s="29" t="n"/>
      <c r="K1441" s="14" t="str">
        <f>IF(J1441="","7. Acima de 2 km",IF(J1441&lt;=50,"1. Até 50 m",IF(J1441&lt;=100,"2. De 50 a 100 m",IF(J1441&lt;=200,"3. De 100 a 200 m",IF(J1441&lt;=300,"4. De 200 a 300 m",IF(J1441&lt;=500,"5. De 300 a 500 m","6. De 500 m a 2 km"))))))</f>
        <v>7. Acima de 2 km</v>
      </c>
      <c r="L1441" s="26" t="n">
        <v>0</v>
      </c>
      <c r="M1441" s="26" t="n">
        <v>0</v>
      </c>
      <c r="N1441" s="26" t="n">
        <v>0</v>
      </c>
      <c r="O1441" s="26" t="n">
        <v>0</v>
      </c>
      <c r="P1441" s="30" t="n">
        <v>-11.4892067</v>
      </c>
      <c r="Q1441" s="30" t="n">
        <v>-41.8712467</v>
      </c>
      <c r="R1441" s="14" t="inlineStr">
        <is>
          <t>FÓRUM VEREADOR JOSÉ C. C. DOURADO. RUA JOSÉ CAMPOS PINHEIRO, SN, BELO HORIZONTE. LAPÃO/BA</t>
        </is>
      </c>
      <c r="S1441" s="26">
        <f>IF(A1441=A1440,0,1)</f>
        <v>0</v>
      </c>
      <c r="T1441" s="26">
        <f>IF(COUNTIF($B$4:B1441,B1441)=1,1,0)</f>
        <v>0</v>
      </c>
    </row>
    <row r="1442">
      <c r="A1442" s="14" t="inlineStr">
        <is>
          <t>LAPÃO</t>
        </is>
      </c>
      <c r="B1442" s="26" t="n">
        <v>104</v>
      </c>
      <c r="C1442" s="26" t="n">
        <v>1600</v>
      </c>
      <c r="D1442" s="14" t="inlineStr">
        <is>
          <t>ESCOLA ANÍSIA ROCHA</t>
        </is>
      </c>
      <c r="E1442" s="14" t="inlineStr">
        <is>
          <t>POVOADO MACAMBIRA</t>
        </is>
      </c>
      <c r="F1442" s="14" t="inlineStr">
        <is>
          <t>POVOADO MACAMBIRA - ZONA RURAL</t>
        </is>
      </c>
      <c r="G1442" s="27" t="inlineStr">
        <is>
          <t>44905-000</t>
        </is>
      </c>
      <c r="H1442" s="15" t="n">
        <v>1</v>
      </c>
      <c r="I1442" s="28" t="inlineStr">
        <is>
          <t>NÃO</t>
        </is>
      </c>
      <c r="J1442" s="29" t="n"/>
      <c r="K1442" s="14" t="str">
        <f>IF(J1442="","7. Acima de 2 km",IF(J1442&lt;=50,"1. Até 50 m",IF(J1442&lt;=100,"2. De 50 a 100 m",IF(J1442&lt;=200,"3. De 100 a 200 m",IF(J1442&lt;=300,"4. De 200 a 300 m",IF(J1442&lt;=500,"5. De 300 a 500 m","6. De 500 m a 2 km"))))))</f>
        <v>7. Acima de 2 km</v>
      </c>
      <c r="L1442" s="26" t="n">
        <v>0</v>
      </c>
      <c r="M1442" s="26" t="n">
        <v>0</v>
      </c>
      <c r="N1442" s="26" t="n">
        <v>0</v>
      </c>
      <c r="O1442" s="26" t="n">
        <v>0</v>
      </c>
      <c r="P1442" s="30" t="n">
        <v>-11.5031706</v>
      </c>
      <c r="Q1442" s="30" t="n">
        <v>-41.7775431</v>
      </c>
      <c r="R1442" s="14" t="inlineStr">
        <is>
          <t>FÓRUM VEREADOR JOSÉ C. C. DOURADO. RUA JOSÉ CAMPOS PINHEIRO, SN, BELO HORIZONTE. LAPÃO/BA</t>
        </is>
      </c>
      <c r="S1442" s="26">
        <f>IF(A1442=A1441,0,1)</f>
        <v>0</v>
      </c>
      <c r="T1442" s="26">
        <f>IF(COUNTIF($B$4:B1442,B1442)=1,1,0)</f>
        <v>0</v>
      </c>
    </row>
    <row r="1443">
      <c r="A1443" s="14" t="inlineStr">
        <is>
          <t>LAPÃO</t>
        </is>
      </c>
      <c r="B1443" s="26" t="n">
        <v>104</v>
      </c>
      <c r="C1443" s="26" t="n">
        <v>1619</v>
      </c>
      <c r="D1443" s="14" t="inlineStr">
        <is>
          <t>ESCOLA MUNICIPAL VIRGÍLIO JOSÉ DE SOUZA</t>
        </is>
      </c>
      <c r="E1443" s="14" t="inlineStr">
        <is>
          <t>POVOADO AROEIRA</t>
        </is>
      </c>
      <c r="F1443" s="14" t="inlineStr">
        <is>
          <t>POVOADO AROEIRA - ZONA RURAL</t>
        </is>
      </c>
      <c r="G1443" s="27" t="inlineStr">
        <is>
          <t>44905-000</t>
        </is>
      </c>
      <c r="H1443" s="15" t="n">
        <v>1</v>
      </c>
      <c r="I1443" s="28" t="inlineStr">
        <is>
          <t>NÃO</t>
        </is>
      </c>
      <c r="J1443" s="29" t="n"/>
      <c r="K1443" s="14" t="str">
        <f>IF(J1443="","7. Acima de 2 km",IF(J1443&lt;=50,"1. Até 50 m",IF(J1443&lt;=100,"2. De 50 a 100 m",IF(J1443&lt;=200,"3. De 100 a 200 m",IF(J1443&lt;=300,"4. De 200 a 300 m",IF(J1443&lt;=500,"5. De 300 a 500 m","6. De 500 m a 2 km"))))))</f>
        <v>7. Acima de 2 km</v>
      </c>
      <c r="L1443" s="26" t="n">
        <v>0</v>
      </c>
      <c r="M1443" s="26" t="n">
        <v>0</v>
      </c>
      <c r="N1443" s="26" t="n">
        <v>0</v>
      </c>
      <c r="O1443" s="26" t="n">
        <v>0</v>
      </c>
      <c r="P1443" s="30" t="n">
        <v>-11.5881983</v>
      </c>
      <c r="Q1443" s="30" t="n">
        <v>-41.7788933</v>
      </c>
      <c r="R1443" s="14" t="inlineStr">
        <is>
          <t>FÓRUM VEREADOR JOSÉ C. C. DOURADO. RUA JOSÉ CAMPOS PINHEIRO, SN, BELO HORIZONTE. LAPÃO/BA</t>
        </is>
      </c>
      <c r="S1443" s="26">
        <f>IF(A1443=A1442,0,1)</f>
        <v>0</v>
      </c>
      <c r="T1443" s="26">
        <f>IF(COUNTIF($B$4:B1443,B1443)=1,1,0)</f>
        <v>0</v>
      </c>
    </row>
    <row r="1444">
      <c r="A1444" s="14" t="inlineStr">
        <is>
          <t>LAURO DE FREITAS</t>
        </is>
      </c>
      <c r="B1444" s="26" t="n">
        <v>180</v>
      </c>
      <c r="C1444" s="26" t="n">
        <v>1015</v>
      </c>
      <c r="D1444" s="14" t="inlineStr">
        <is>
          <t>COLÉGIO ESTADUAL AMÉRICO SIMAS</t>
        </is>
      </c>
      <c r="E1444" s="14" t="inlineStr">
        <is>
          <t>CENTRO</t>
        </is>
      </c>
      <c r="F1444" s="14" t="inlineStr">
        <is>
          <t>AVENIDA BRIGADEIRO MÁRIO EPINGAUS S/N - ZONA URBANA</t>
        </is>
      </c>
      <c r="G1444" s="27" t="inlineStr">
        <is>
          <t>42700-000</t>
        </is>
      </c>
      <c r="H1444" s="15" t="n">
        <v>13</v>
      </c>
      <c r="I1444" s="28" t="inlineStr">
        <is>
          <t>NÃO</t>
        </is>
      </c>
      <c r="J1444" s="29" t="n">
        <v>140</v>
      </c>
      <c r="K1444" s="14" t="str">
        <f>IF(J1444="","7. Acima de 2 km",IF(J1444&lt;=50,"1. Até 50 m",IF(J1444&lt;=100,"2. De 50 a 100 m",IF(J1444&lt;=200,"3. De 100 a 200 m",IF(J1444&lt;=300,"4. De 200 a 300 m",IF(J1444&lt;=500,"5. De 300 a 500 m","6. De 500 m a 2 km"))))))</f>
        <v>3. De 100 a 200 m</v>
      </c>
      <c r="L1444" s="26" t="n">
        <v>0</v>
      </c>
      <c r="M1444" s="26" t="n">
        <v>0</v>
      </c>
      <c r="N1444" s="26" t="n">
        <v>1</v>
      </c>
      <c r="O1444" s="26" t="n">
        <v>6</v>
      </c>
      <c r="P1444" s="30" t="n">
        <v>-12.8977602</v>
      </c>
      <c r="Q1444" s="30" t="n">
        <v>-38.322719</v>
      </c>
      <c r="R1444" s="14" t="inlineStr">
        <is>
          <t>RUA SILVANDIR F. CHAVES, Nº 108, ED. TORRES BUSINESS, LOJA 03, RECREIO IPITANGA, LAURO DE FREITAS/BA</t>
        </is>
      </c>
      <c r="S1444" s="26">
        <f>IF(A1444=A1443,0,1)</f>
        <v>1</v>
      </c>
      <c r="T1444" s="26">
        <f>IF(COUNTIF($B$4:B1444,B1444)=1,1,0)</f>
        <v>1</v>
      </c>
    </row>
    <row r="1445">
      <c r="A1445" s="14" t="inlineStr">
        <is>
          <t>LAURO DE FREITAS</t>
        </is>
      </c>
      <c r="B1445" s="26" t="n">
        <v>180</v>
      </c>
      <c r="C1445" s="26" t="n">
        <v>1023</v>
      </c>
      <c r="D1445" s="14" t="inlineStr">
        <is>
          <t>COLÉGIO ESTADUAL BARTOLOMEU DE GUSMÃO</t>
        </is>
      </c>
      <c r="E1445" s="14" t="inlineStr">
        <is>
          <t>CENTRO</t>
        </is>
      </c>
      <c r="F1445" s="14" t="inlineStr">
        <is>
          <t>AVENIDA BRIGADEIRO MÁRIO EPINGAUS S/N - ZONA URBANA</t>
        </is>
      </c>
      <c r="G1445" s="27" t="inlineStr">
        <is>
          <t>42700-000</t>
        </is>
      </c>
      <c r="H1445" s="15" t="n">
        <v>21</v>
      </c>
      <c r="I1445" s="28" t="inlineStr">
        <is>
          <t>SIM</t>
        </is>
      </c>
      <c r="J1445" s="29" t="n">
        <v>83.8</v>
      </c>
      <c r="K1445" s="14" t="str">
        <f>IF(J1445="","7. Acima de 2 km",IF(J1445&lt;=50,"1. Até 50 m",IF(J1445&lt;=100,"2. De 50 a 100 m",IF(J1445&lt;=200,"3. De 100 a 200 m",IF(J1445&lt;=300,"4. De 200 a 300 m",IF(J1445&lt;=500,"5. De 300 a 500 m","6. De 500 m a 2 km"))))))</f>
        <v>2. De 50 a 100 m</v>
      </c>
      <c r="L1445" s="26" t="n">
        <v>0</v>
      </c>
      <c r="M1445" s="26" t="n">
        <v>1</v>
      </c>
      <c r="N1445" s="26" t="n">
        <v>2</v>
      </c>
      <c r="O1445" s="26" t="n">
        <v>2</v>
      </c>
      <c r="P1445" s="30" t="n">
        <v>-12.8972154</v>
      </c>
      <c r="Q1445" s="30" t="n">
        <v>-38.3167664</v>
      </c>
      <c r="R1445" s="14" t="inlineStr">
        <is>
          <t>RUA SILVANDIR F. CHAVES, Nº 108, ED. TORRES BUSINESS, LOJA 03, RECREIO IPITANGA, LAURO DE FREITAS/BA</t>
        </is>
      </c>
      <c r="S1445" s="26">
        <f>IF(A1445=A1444,0,1)</f>
        <v>0</v>
      </c>
      <c r="T1445" s="26">
        <f>IF(COUNTIF($B$4:B1445,B1445)=1,1,0)</f>
        <v>0</v>
      </c>
    </row>
    <row r="1446">
      <c r="A1446" s="14" t="inlineStr">
        <is>
          <t>LAURO DE FREITAS</t>
        </is>
      </c>
      <c r="B1446" s="26" t="n">
        <v>180</v>
      </c>
      <c r="C1446" s="26" t="n">
        <v>1090</v>
      </c>
      <c r="D1446" s="14" t="inlineStr">
        <is>
          <t>ESCOLA MUNICIPAL FÉLIX CARDOSO DE ARAÚJO</t>
        </is>
      </c>
      <c r="E1446" s="14" t="inlineStr">
        <is>
          <t>PORTÃO</t>
        </is>
      </c>
      <c r="F1446" s="14" t="inlineStr">
        <is>
          <t>RUA DIRETA DE SANTO ANTÔNIO, S/N - ZONA URBANA</t>
        </is>
      </c>
      <c r="G1446" s="27" t="inlineStr">
        <is>
          <t>42700-000</t>
        </is>
      </c>
      <c r="H1446" s="15" t="n">
        <v>4</v>
      </c>
      <c r="I1446" s="28" t="inlineStr">
        <is>
          <t>NÃO</t>
        </is>
      </c>
      <c r="J1446" s="29" t="n">
        <v>273.4</v>
      </c>
      <c r="K1446" s="14" t="str">
        <f>IF(J1446="","7. Acima de 2 km",IF(J1446&lt;=50,"1. Até 50 m",IF(J1446&lt;=100,"2. De 50 a 100 m",IF(J1446&lt;=200,"3. De 100 a 200 m",IF(J1446&lt;=300,"4. De 200 a 300 m",IF(J1446&lt;=500,"5. De 300 a 500 m","6. De 500 m a 2 km"))))))</f>
        <v>4. De 200 a 300 m</v>
      </c>
      <c r="L1446" s="26" t="n">
        <v>0</v>
      </c>
      <c r="M1446" s="26" t="n">
        <v>0</v>
      </c>
      <c r="N1446" s="26" t="n">
        <v>0</v>
      </c>
      <c r="O1446" s="26" t="n">
        <v>1</v>
      </c>
      <c r="P1446" s="30" t="n">
        <v>-12.8667692</v>
      </c>
      <c r="Q1446" s="30" t="n">
        <v>-38.2972712</v>
      </c>
      <c r="R1446" s="14" t="inlineStr">
        <is>
          <t>RUA SILVANDIR F. CHAVES, Nº 108, ED. TORRES BUSINESS, LOJA 03, RECREIO IPITANGA, LAURO DE FREITAS/BA</t>
        </is>
      </c>
      <c r="S1446" s="26">
        <f>IF(A1446=A1445,0,1)</f>
        <v>0</v>
      </c>
      <c r="T1446" s="26">
        <f>IF(COUNTIF($B$4:B1446,B1446)=1,1,0)</f>
        <v>0</v>
      </c>
    </row>
    <row r="1447">
      <c r="A1447" s="14" t="inlineStr">
        <is>
          <t>LAURO DE FREITAS</t>
        </is>
      </c>
      <c r="B1447" s="26" t="n">
        <v>180</v>
      </c>
      <c r="C1447" s="26" t="n">
        <v>1104</v>
      </c>
      <c r="D1447" s="14" t="inlineStr">
        <is>
          <t>ESCOLA MUNICIPAL DE CADETES MIRINS</t>
        </is>
      </c>
      <c r="E1447" s="14" t="inlineStr">
        <is>
          <t>PORTÃO</t>
        </is>
      </c>
      <c r="F1447" s="14" t="inlineStr">
        <is>
          <t>AVENIDA SANTO ANTONIO</t>
        </is>
      </c>
      <c r="G1447" s="27" t="inlineStr">
        <is>
          <t>42712-750</t>
        </is>
      </c>
      <c r="H1447" s="15" t="n">
        <v>9</v>
      </c>
      <c r="I1447" s="28" t="inlineStr">
        <is>
          <t>SIM</t>
        </is>
      </c>
      <c r="J1447" s="29" t="n">
        <v>32.6</v>
      </c>
      <c r="K1447" s="14" t="str">
        <f>IF(J1447="","7. Acima de 2 km",IF(J1447&lt;=50,"1. Até 50 m",IF(J1447&lt;=100,"2. De 50 a 100 m",IF(J1447&lt;=200,"3. De 100 a 200 m",IF(J1447&lt;=300,"4. De 200 a 300 m",IF(J1447&lt;=500,"5. De 300 a 500 m","6. De 500 m a 2 km"))))))</f>
        <v>1. Até 50 m</v>
      </c>
      <c r="L1447" s="26" t="n">
        <v>1</v>
      </c>
      <c r="M1447" s="26" t="n">
        <v>1</v>
      </c>
      <c r="N1447" s="26" t="n">
        <v>2</v>
      </c>
      <c r="O1447" s="26" t="n">
        <v>4</v>
      </c>
      <c r="P1447" s="30" t="n">
        <v>-12.8692133</v>
      </c>
      <c r="Q1447" s="30" t="n">
        <v>-38.3014895</v>
      </c>
      <c r="R1447" s="14" t="inlineStr">
        <is>
          <t>RUA SILVANDIR F. CHAVES, Nº 108, ED. TORRES BUSINESS, LOJA 03, RECREIO IPITANGA, LAURO DE FREITAS/BA</t>
        </is>
      </c>
      <c r="S1447" s="26">
        <f>IF(A1447=A1446,0,1)</f>
        <v>0</v>
      </c>
      <c r="T1447" s="26">
        <f>IF(COUNTIF($B$4:B1447,B1447)=1,1,0)</f>
        <v>0</v>
      </c>
    </row>
    <row r="1448">
      <c r="A1448" s="14" t="inlineStr">
        <is>
          <t>LAURO DE FREITAS</t>
        </is>
      </c>
      <c r="B1448" s="26" t="n">
        <v>180</v>
      </c>
      <c r="C1448" s="26" t="n">
        <v>1112</v>
      </c>
      <c r="D1448" s="14" t="inlineStr">
        <is>
          <t>ESCOLA MUNICIPAL CONSTANTINO VIEIRA</t>
        </is>
      </c>
      <c r="E1448" s="14" t="inlineStr">
        <is>
          <t>PORTÃO</t>
        </is>
      </c>
      <c r="F1448" s="14" t="inlineStr">
        <is>
          <t>RUA DIRETA DE SANTO ANTÔNIO S/N - ZONA URBANA</t>
        </is>
      </c>
      <c r="G1448" s="27" t="inlineStr">
        <is>
          <t>42700-000</t>
        </is>
      </c>
      <c r="H1448" s="15" t="n">
        <v>3</v>
      </c>
      <c r="I1448" s="28" t="inlineStr">
        <is>
          <t>NÃO</t>
        </is>
      </c>
      <c r="J1448" s="29" t="n">
        <v>267</v>
      </c>
      <c r="K1448" s="14" t="str">
        <f>IF(J1448="","7. Acima de 2 km",IF(J1448&lt;=50,"1. Até 50 m",IF(J1448&lt;=100,"2. De 50 a 100 m",IF(J1448&lt;=200,"3. De 100 a 200 m",IF(J1448&lt;=300,"4. De 200 a 300 m",IF(J1448&lt;=500,"5. De 300 a 500 m","6. De 500 m a 2 km"))))))</f>
        <v>4. De 200 a 300 m</v>
      </c>
      <c r="L1448" s="26" t="n">
        <v>0</v>
      </c>
      <c r="M1448" s="26" t="n">
        <v>0</v>
      </c>
      <c r="N1448" s="26" t="n">
        <v>0</v>
      </c>
      <c r="O1448" s="26" t="n">
        <v>1</v>
      </c>
      <c r="P1448" s="30" t="n">
        <v>-12.8666912</v>
      </c>
      <c r="Q1448" s="30" t="n">
        <v>-38.2974594</v>
      </c>
      <c r="R1448" s="14" t="inlineStr">
        <is>
          <t>RUA SILVANDIR F. CHAVES, Nº 108, ED. TORRES BUSINESS, LOJA 03, RECREIO IPITANGA, LAURO DE FREITAS/BA</t>
        </is>
      </c>
      <c r="S1448" s="26">
        <f>IF(A1448=A1447,0,1)</f>
        <v>0</v>
      </c>
      <c r="T1448" s="26">
        <f>IF(COUNTIF($B$4:B1448,B1448)=1,1,0)</f>
        <v>0</v>
      </c>
    </row>
    <row r="1449">
      <c r="A1449" s="14" t="inlineStr">
        <is>
          <t>LAURO DE FREITAS</t>
        </is>
      </c>
      <c r="B1449" s="26" t="n">
        <v>180</v>
      </c>
      <c r="C1449" s="26" t="n">
        <v>1120</v>
      </c>
      <c r="D1449" s="14" t="inlineStr">
        <is>
          <t>COLÉGIO ESTADUAL DE TEMPO INTEGRAL DE PORTÃO</t>
        </is>
      </c>
      <c r="E1449" s="14" t="inlineStr">
        <is>
          <t>PORTÃO</t>
        </is>
      </c>
      <c r="F1449" s="14" t="inlineStr">
        <is>
          <t>AVENIDA QUEIRA DEUS, N 971</t>
        </is>
      </c>
      <c r="G1449" s="27" t="inlineStr">
        <is>
          <t>42713-480</t>
        </is>
      </c>
      <c r="H1449" s="15" t="n">
        <v>6</v>
      </c>
      <c r="I1449" s="28" t="inlineStr">
        <is>
          <t>NÃO</t>
        </is>
      </c>
      <c r="J1449" s="29" t="n">
        <v>484.6</v>
      </c>
      <c r="K1449" s="14" t="str">
        <f>IF(J1449="","7. Acima de 2 km",IF(J1449&lt;=50,"1. Até 50 m",IF(J1449&lt;=100,"2. De 50 a 100 m",IF(J1449&lt;=200,"3. De 100 a 200 m",IF(J1449&lt;=300,"4. De 200 a 300 m",IF(J1449&lt;=500,"5. De 300 a 500 m","6. De 500 m a 2 km"))))))</f>
        <v>5. De 300 a 500 m</v>
      </c>
      <c r="L1449" s="26" t="n">
        <v>0</v>
      </c>
      <c r="M1449" s="26" t="n">
        <v>0</v>
      </c>
      <c r="N1449" s="26" t="n">
        <v>0</v>
      </c>
      <c r="O1449" s="26" t="n">
        <v>0</v>
      </c>
      <c r="P1449" s="30" t="n">
        <v>-12.8640845</v>
      </c>
      <c r="Q1449" s="30" t="n">
        <v>-38.3086014</v>
      </c>
      <c r="R1449" s="14" t="inlineStr">
        <is>
          <t>RUA SILVANDIR F. CHAVES, Nº 108, ED. TORRES BUSINESS, LOJA 03, RECREIO IPITANGA, LAURO DE FREITAS/BA</t>
        </is>
      </c>
      <c r="S1449" s="26">
        <f>IF(A1449=A1448,0,1)</f>
        <v>0</v>
      </c>
      <c r="T1449" s="26">
        <f>IF(COUNTIF($B$4:B1449,B1449)=1,1,0)</f>
        <v>0</v>
      </c>
    </row>
    <row r="1450">
      <c r="A1450" s="14" t="inlineStr">
        <is>
          <t>LAURO DE FREITAS</t>
        </is>
      </c>
      <c r="B1450" s="26" t="n">
        <v>180</v>
      </c>
      <c r="C1450" s="26" t="n">
        <v>1147</v>
      </c>
      <c r="D1450" s="14" t="inlineStr">
        <is>
          <t>ESCOLA MUNICIPAL DOUCTOR PAULO MALAQUIAS DE MELLO</t>
        </is>
      </c>
      <c r="E1450" s="14" t="inlineStr">
        <is>
          <t>PORTÃO</t>
        </is>
      </c>
      <c r="F1450" s="14" t="inlineStr">
        <is>
          <t>RUA NOVA BRASÍLIA, S/N - ZONA URBANA</t>
        </is>
      </c>
      <c r="G1450" s="27" t="inlineStr">
        <is>
          <t>42700-000</t>
        </is>
      </c>
      <c r="H1450" s="15" t="n">
        <v>7</v>
      </c>
      <c r="I1450" s="28" t="inlineStr">
        <is>
          <t>NÃO</t>
        </is>
      </c>
      <c r="J1450" s="29" t="n">
        <v>260.1</v>
      </c>
      <c r="K1450" s="14" t="str">
        <f>IF(J1450="","7. Acima de 2 km",IF(J1450&lt;=50,"1. Até 50 m",IF(J1450&lt;=100,"2. De 50 a 100 m",IF(J1450&lt;=200,"3. De 100 a 200 m",IF(J1450&lt;=300,"4. De 200 a 300 m",IF(J1450&lt;=500,"5. De 300 a 500 m","6. De 500 m a 2 km"))))))</f>
        <v>4. De 200 a 300 m</v>
      </c>
      <c r="L1450" s="26" t="n">
        <v>0</v>
      </c>
      <c r="M1450" s="26" t="n">
        <v>0</v>
      </c>
      <c r="N1450" s="26" t="n">
        <v>0</v>
      </c>
      <c r="O1450" s="26" t="n">
        <v>1</v>
      </c>
      <c r="P1450" s="30" t="n">
        <v>-12.8669903</v>
      </c>
      <c r="Q1450" s="30" t="n">
        <v>-38.3042877</v>
      </c>
      <c r="R1450" s="14" t="inlineStr">
        <is>
          <t>RUA SILVANDIR F. CHAVES, Nº 108, ED. TORRES BUSINESS, LOJA 03, RECREIO IPITANGA, LAURO DE FREITAS/BA</t>
        </is>
      </c>
      <c r="S1450" s="26">
        <f>IF(A1450=A1449,0,1)</f>
        <v>0</v>
      </c>
      <c r="T1450" s="26">
        <f>IF(COUNTIF($B$4:B1450,B1450)=1,1,0)</f>
        <v>0</v>
      </c>
    </row>
    <row r="1451">
      <c r="A1451" s="14" t="inlineStr">
        <is>
          <t>LAURO DE FREITAS</t>
        </is>
      </c>
      <c r="B1451" s="26" t="n">
        <v>180</v>
      </c>
      <c r="C1451" s="26" t="n">
        <v>1155</v>
      </c>
      <c r="D1451" s="14" t="inlineStr">
        <is>
          <t>COLÉGIO APOIO</t>
        </is>
      </c>
      <c r="E1451" s="14" t="inlineStr">
        <is>
          <t>VILAS DO ATLÂNTICO</t>
        </is>
      </c>
      <c r="F1451" s="14" t="inlineStr">
        <is>
          <t>AVENIDA PRAIA DE ITAPUÃ QUADRA 23 LOTE 44 - ZONA URBANA</t>
        </is>
      </c>
      <c r="G1451" s="27" t="inlineStr">
        <is>
          <t>42700-000</t>
        </is>
      </c>
      <c r="H1451" s="15" t="n">
        <v>23</v>
      </c>
      <c r="I1451" s="28" t="inlineStr">
        <is>
          <t>NÃO</t>
        </is>
      </c>
      <c r="J1451" s="29" t="n">
        <v>214.2</v>
      </c>
      <c r="K1451" s="14" t="str">
        <f>IF(J1451="","7. Acima de 2 km",IF(J1451&lt;=50,"1. Até 50 m",IF(J1451&lt;=100,"2. De 50 a 100 m",IF(J1451&lt;=200,"3. De 100 a 200 m",IF(J1451&lt;=300,"4. De 200 a 300 m",IF(J1451&lt;=500,"5. De 300 a 500 m","6. De 500 m a 2 km"))))))</f>
        <v>4. De 200 a 300 m</v>
      </c>
      <c r="L1451" s="26" t="n">
        <v>0</v>
      </c>
      <c r="M1451" s="26" t="n">
        <v>0</v>
      </c>
      <c r="N1451" s="26" t="n">
        <v>0</v>
      </c>
      <c r="O1451" s="26" t="n">
        <v>1</v>
      </c>
      <c r="P1451" s="30" t="n">
        <v>-12.8880195</v>
      </c>
      <c r="Q1451" s="30" t="n">
        <v>-38.2975145</v>
      </c>
      <c r="R1451" s="14" t="inlineStr">
        <is>
          <t>RUA SILVANDIR F. CHAVES, Nº 108, ED. TORRES BUSINESS, LOJA 03, RECREIO IPITANGA, LAURO DE FREITAS/BA</t>
        </is>
      </c>
      <c r="S1451" s="26">
        <f>IF(A1451=A1450,0,1)</f>
        <v>0</v>
      </c>
      <c r="T1451" s="26">
        <f>IF(COUNTIF($B$4:B1451,B1451)=1,1,0)</f>
        <v>0</v>
      </c>
    </row>
    <row r="1452">
      <c r="A1452" s="14" t="inlineStr">
        <is>
          <t>LAURO DE FREITAS</t>
        </is>
      </c>
      <c r="B1452" s="26" t="n">
        <v>180</v>
      </c>
      <c r="C1452" s="26" t="n">
        <v>1287</v>
      </c>
      <c r="D1452" s="14" t="inlineStr">
        <is>
          <t>ESCOLA MUNICIPAL ANA LÚCIA MAGALHÃES</t>
        </is>
      </c>
      <c r="E1452" s="14" t="inlineStr">
        <is>
          <t>CENTRO</t>
        </is>
      </c>
      <c r="F1452" s="14" t="inlineStr">
        <is>
          <t>AVENIDA BRIGADEIRO MÁRIO EPINGAUS S/N - ZONA URBANA</t>
        </is>
      </c>
      <c r="G1452" s="27" t="inlineStr">
        <is>
          <t>42700-000</t>
        </is>
      </c>
      <c r="H1452" s="15" t="n">
        <v>6</v>
      </c>
      <c r="I1452" s="28" t="inlineStr">
        <is>
          <t>NÃO</t>
        </is>
      </c>
      <c r="J1452" s="29" t="n">
        <v>105.4</v>
      </c>
      <c r="K1452" s="14" t="str">
        <f>IF(J1452="","7. Acima de 2 km",IF(J1452&lt;=50,"1. Até 50 m",IF(J1452&lt;=100,"2. De 50 a 100 m",IF(J1452&lt;=200,"3. De 100 a 200 m",IF(J1452&lt;=300,"4. De 200 a 300 m",IF(J1452&lt;=500,"5. De 300 a 500 m","6. De 500 m a 2 km"))))))</f>
        <v>3. De 100 a 200 m</v>
      </c>
      <c r="L1452" s="26" t="n">
        <v>0</v>
      </c>
      <c r="M1452" s="26" t="n">
        <v>0</v>
      </c>
      <c r="N1452" s="26" t="n">
        <v>1</v>
      </c>
      <c r="O1452" s="26" t="n">
        <v>6</v>
      </c>
      <c r="P1452" s="30" t="n">
        <v>-12.8975754</v>
      </c>
      <c r="Q1452" s="30" t="n">
        <v>-38.3224623</v>
      </c>
      <c r="R1452" s="14" t="inlineStr">
        <is>
          <t>RUA SILVANDIR F. CHAVES, Nº 108, ED. TORRES BUSINESS, LOJA 03, RECREIO IPITANGA, LAURO DE FREITAS/BA</t>
        </is>
      </c>
      <c r="S1452" s="26">
        <f>IF(A1452=A1451,0,1)</f>
        <v>0</v>
      </c>
      <c r="T1452" s="26">
        <f>IF(COUNTIF($B$4:B1452,B1452)=1,1,0)</f>
        <v>0</v>
      </c>
    </row>
    <row r="1453">
      <c r="A1453" s="14" t="inlineStr">
        <is>
          <t>LAURO DE FREITAS</t>
        </is>
      </c>
      <c r="B1453" s="26" t="n">
        <v>180</v>
      </c>
      <c r="C1453" s="26" t="n">
        <v>1414</v>
      </c>
      <c r="D1453" s="14" t="inlineStr">
        <is>
          <t>CENTRO EDUCACIONAL MUNICIPAL FÊNIX</t>
        </is>
      </c>
      <c r="E1453" s="14" t="inlineStr">
        <is>
          <t>CENTRO</t>
        </is>
      </c>
      <c r="F1453" s="14" t="inlineStr">
        <is>
          <t>RUA SÃO JORGE S/N - ZONA URBANA</t>
        </is>
      </c>
      <c r="G1453" s="27" t="inlineStr">
        <is>
          <t>42700-000</t>
        </is>
      </c>
      <c r="H1453" s="15" t="n">
        <v>11</v>
      </c>
      <c r="I1453" s="28" t="inlineStr">
        <is>
          <t>NÃO</t>
        </is>
      </c>
      <c r="J1453" s="29" t="n">
        <v>219</v>
      </c>
      <c r="K1453" s="14" t="str">
        <f>IF(J1453="","7. Acima de 2 km",IF(J1453&lt;=50,"1. Até 50 m",IF(J1453&lt;=100,"2. De 50 a 100 m",IF(J1453&lt;=200,"3. De 100 a 200 m",IF(J1453&lt;=300,"4. De 200 a 300 m",IF(J1453&lt;=500,"5. De 300 a 500 m","6. De 500 m a 2 km"))))))</f>
        <v>4. De 200 a 300 m</v>
      </c>
      <c r="L1453" s="26" t="n">
        <v>0</v>
      </c>
      <c r="M1453" s="26" t="n">
        <v>0</v>
      </c>
      <c r="N1453" s="26" t="n">
        <v>0</v>
      </c>
      <c r="O1453" s="26" t="n">
        <v>1</v>
      </c>
      <c r="P1453" s="30" t="n">
        <v>-12.9009953</v>
      </c>
      <c r="Q1453" s="30" t="n">
        <v>-38.3192884</v>
      </c>
      <c r="R1453" s="14" t="inlineStr">
        <is>
          <t>RUA SILVANDIR F. CHAVES, Nº 108, ED. TORRES BUSINESS, LOJA 03, RECREIO IPITANGA, LAURO DE FREITAS/BA</t>
        </is>
      </c>
      <c r="S1453" s="26">
        <f>IF(A1453=A1452,0,1)</f>
        <v>0</v>
      </c>
      <c r="T1453" s="26">
        <f>IF(COUNTIF($B$4:B1453,B1453)=1,1,0)</f>
        <v>0</v>
      </c>
    </row>
    <row r="1454">
      <c r="A1454" s="14" t="inlineStr">
        <is>
          <t>LAURO DE FREITAS</t>
        </is>
      </c>
      <c r="B1454" s="26" t="n">
        <v>180</v>
      </c>
      <c r="C1454" s="26" t="n">
        <v>1422</v>
      </c>
      <c r="D1454" s="14" t="inlineStr">
        <is>
          <t>ESCOLA MUNICIPAL DA VILA PRAIANA</t>
        </is>
      </c>
      <c r="E1454" s="14" t="inlineStr">
        <is>
          <t>CENTRO</t>
        </is>
      </c>
      <c r="F1454" s="14" t="inlineStr">
        <is>
          <t>ALTO DA VILA PRAIANA S/N - ZONA URBANA</t>
        </is>
      </c>
      <c r="G1454" s="27" t="inlineStr">
        <is>
          <t>42700-000</t>
        </is>
      </c>
      <c r="H1454" s="15" t="n">
        <v>11</v>
      </c>
      <c r="I1454" s="28" t="inlineStr">
        <is>
          <t>NÃO</t>
        </is>
      </c>
      <c r="J1454" s="29" t="n">
        <v>253.3</v>
      </c>
      <c r="K1454" s="14" t="str">
        <f>IF(J1454="","7. Acima de 2 km",IF(J1454&lt;=50,"1. Até 50 m",IF(J1454&lt;=100,"2. De 50 a 100 m",IF(J1454&lt;=200,"3. De 100 a 200 m",IF(J1454&lt;=300,"4. De 200 a 300 m",IF(J1454&lt;=500,"5. De 300 a 500 m","6. De 500 m a 2 km"))))))</f>
        <v>4. De 200 a 300 m</v>
      </c>
      <c r="L1454" s="26" t="n">
        <v>0</v>
      </c>
      <c r="M1454" s="26" t="n">
        <v>0</v>
      </c>
      <c r="N1454" s="26" t="n">
        <v>0</v>
      </c>
      <c r="O1454" s="26" t="n">
        <v>2</v>
      </c>
      <c r="P1454" s="30" t="n">
        <v>-12.9012509</v>
      </c>
      <c r="Q1454" s="30" t="n">
        <v>-38.3190371</v>
      </c>
      <c r="R1454" s="14" t="inlineStr">
        <is>
          <t>RUA SILVANDIR F. CHAVES, Nº 108, ED. TORRES BUSINESS, LOJA 03, RECREIO IPITANGA, LAURO DE FREITAS/BA</t>
        </is>
      </c>
      <c r="S1454" s="26">
        <f>IF(A1454=A1453,0,1)</f>
        <v>0</v>
      </c>
      <c r="T1454" s="26">
        <f>IF(COUNTIF($B$4:B1454,B1454)=1,1,0)</f>
        <v>0</v>
      </c>
    </row>
    <row r="1455">
      <c r="A1455" s="14" t="inlineStr">
        <is>
          <t>LAURO DE FREITAS</t>
        </is>
      </c>
      <c r="B1455" s="26" t="n">
        <v>180</v>
      </c>
      <c r="C1455" s="26" t="n">
        <v>1430</v>
      </c>
      <c r="D1455" s="14" t="inlineStr">
        <is>
          <t>UNIME - UNIÃO METROPOLITANA DE EDUCAÇÃO E CULTURA</t>
        </is>
      </c>
      <c r="E1455" s="14" t="inlineStr">
        <is>
          <t>CENTRO</t>
        </is>
      </c>
      <c r="F1455" s="14" t="inlineStr">
        <is>
          <t>AV LUIZ TARQUINIO PONTES, 600 - ZONA URBANA</t>
        </is>
      </c>
      <c r="G1455" s="27" t="inlineStr">
        <is>
          <t>42700-000</t>
        </is>
      </c>
      <c r="H1455" s="15" t="n">
        <v>27</v>
      </c>
      <c r="I1455" s="28" t="inlineStr">
        <is>
          <t>SIM</t>
        </is>
      </c>
      <c r="J1455" s="29" t="n">
        <v>98.3</v>
      </c>
      <c r="K1455" s="14" t="str">
        <f>IF(J1455="","7. Acima de 2 km",IF(J1455&lt;=50,"1. Até 50 m",IF(J1455&lt;=100,"2. De 50 a 100 m",IF(J1455&lt;=200,"3. De 100 a 200 m",IF(J1455&lt;=300,"4. De 200 a 300 m",IF(J1455&lt;=500,"5. De 300 a 500 m","6. De 500 m a 2 km"))))))</f>
        <v>2. De 50 a 100 m</v>
      </c>
      <c r="L1455" s="26" t="n">
        <v>0</v>
      </c>
      <c r="M1455" s="26" t="n">
        <v>1</v>
      </c>
      <c r="N1455" s="26" t="n">
        <v>1</v>
      </c>
      <c r="O1455" s="26" t="n">
        <v>1</v>
      </c>
      <c r="P1455" s="30" t="n">
        <v>-12.8910038</v>
      </c>
      <c r="Q1455" s="30" t="n">
        <v>-38.3153824</v>
      </c>
      <c r="R1455" s="14" t="inlineStr">
        <is>
          <t>RUA SILVANDIR F. CHAVES, Nº 108, ED. TORRES BUSINESS, LOJA 03, RECREIO IPITANGA, LAURO DE FREITAS/BA</t>
        </is>
      </c>
      <c r="S1455" s="26">
        <f>IF(A1455=A1454,0,1)</f>
        <v>0</v>
      </c>
      <c r="T1455" s="26">
        <f>IF(COUNTIF($B$4:B1455,B1455)=1,1,0)</f>
        <v>0</v>
      </c>
    </row>
    <row r="1456">
      <c r="A1456" s="14" t="inlineStr">
        <is>
          <t>LAURO DE FREITAS</t>
        </is>
      </c>
      <c r="B1456" s="26" t="n">
        <v>180</v>
      </c>
      <c r="C1456" s="26" t="n">
        <v>1449</v>
      </c>
      <c r="D1456" s="14" t="inlineStr">
        <is>
          <t>ESCOLA MUNICIPAL PEDRO PARANHOS</t>
        </is>
      </c>
      <c r="E1456" s="14" t="inlineStr">
        <is>
          <t>PORTÃO</t>
        </is>
      </c>
      <c r="F1456" s="14" t="inlineStr">
        <is>
          <t>RUA QUEIRA DEUS S/N - ZONA URBANA</t>
        </is>
      </c>
      <c r="G1456" s="27" t="inlineStr">
        <is>
          <t>42700-000</t>
        </is>
      </c>
      <c r="H1456" s="15" t="n">
        <v>11</v>
      </c>
      <c r="I1456" s="28" t="inlineStr">
        <is>
          <t>NÃO</t>
        </is>
      </c>
      <c r="J1456" s="29" t="n">
        <v>645.5</v>
      </c>
      <c r="K1456" s="14" t="str">
        <f>IF(J1456="","7. Acima de 2 km",IF(J1456&lt;=50,"1. Até 50 m",IF(J1456&lt;=100,"2. De 50 a 100 m",IF(J1456&lt;=200,"3. De 100 a 200 m",IF(J1456&lt;=300,"4. De 200 a 300 m",IF(J1456&lt;=500,"5. De 300 a 500 m","6. De 500 m a 2 km"))))))</f>
        <v>6. De 500 m a 2 km</v>
      </c>
      <c r="L1456" s="26" t="n">
        <v>0</v>
      </c>
      <c r="M1456" s="26" t="n">
        <v>0</v>
      </c>
      <c r="N1456" s="26" t="n">
        <v>0</v>
      </c>
      <c r="O1456" s="26" t="n">
        <v>0</v>
      </c>
      <c r="P1456" s="30" t="n">
        <v>-12.8632</v>
      </c>
      <c r="Q1456" s="30" t="n">
        <v>-38.3099345</v>
      </c>
      <c r="R1456" s="14" t="inlineStr">
        <is>
          <t>RUA SILVANDIR F. CHAVES, Nº 108, ED. TORRES BUSINESS, LOJA 03, RECREIO IPITANGA, LAURO DE FREITAS/BA</t>
        </is>
      </c>
      <c r="S1456" s="26">
        <f>IF(A1456=A1455,0,1)</f>
        <v>0</v>
      </c>
      <c r="T1456" s="26">
        <f>IF(COUNTIF($B$4:B1456,B1456)=1,1,0)</f>
        <v>0</v>
      </c>
    </row>
    <row r="1457">
      <c r="A1457" s="14" t="inlineStr">
        <is>
          <t>LAURO DE FREITAS</t>
        </is>
      </c>
      <c r="B1457" s="26" t="n">
        <v>180</v>
      </c>
      <c r="C1457" s="26" t="n">
        <v>1520</v>
      </c>
      <c r="D1457" s="14" t="inlineStr">
        <is>
          <t>SARTRE ESCOLA SEB - UNIDADE MONET</t>
        </is>
      </c>
      <c r="E1457" s="14" t="inlineStr">
        <is>
          <t>BURAQUINHO</t>
        </is>
      </c>
      <c r="F1457" s="14" t="inlineStr">
        <is>
          <t>RUA ANA C. B. DIAS, 259 - ZONA URBANA</t>
        </is>
      </c>
      <c r="G1457" s="27" t="inlineStr">
        <is>
          <t>42709-500</t>
        </is>
      </c>
      <c r="H1457" s="15" t="n">
        <v>10</v>
      </c>
      <c r="I1457" s="28" t="inlineStr">
        <is>
          <t>SIM</t>
        </is>
      </c>
      <c r="J1457" s="29" t="n">
        <v>22.2</v>
      </c>
      <c r="K1457" s="14" t="str">
        <f>IF(J1457="","7. Acima de 2 km",IF(J1457&lt;=50,"1. Até 50 m",IF(J1457&lt;=100,"2. De 50 a 100 m",IF(J1457&lt;=200,"3. De 100 a 200 m",IF(J1457&lt;=300,"4. De 200 a 300 m",IF(J1457&lt;=500,"5. De 300 a 500 m","6. De 500 m a 2 km"))))))</f>
        <v>1. Até 50 m</v>
      </c>
      <c r="L1457" s="26" t="n">
        <v>1</v>
      </c>
      <c r="M1457" s="26" t="n">
        <v>1</v>
      </c>
      <c r="N1457" s="26" t="n">
        <v>2</v>
      </c>
      <c r="O1457" s="26" t="n">
        <v>2</v>
      </c>
      <c r="P1457" s="30" t="n">
        <v>-12.8813923</v>
      </c>
      <c r="Q1457" s="30" t="n">
        <v>-38.2925282</v>
      </c>
      <c r="R1457" s="14" t="inlineStr">
        <is>
          <t>RUA SILVANDIR F. CHAVES, Nº 108, ED. TORRES BUSINESS, LOJA 03, RECREIO IPITANGA, LAURO DE FREITAS/BA</t>
        </is>
      </c>
      <c r="S1457" s="26">
        <f>IF(A1457=A1456,0,1)</f>
        <v>0</v>
      </c>
      <c r="T1457" s="26">
        <f>IF(COUNTIF($B$4:B1457,B1457)=1,1,0)</f>
        <v>0</v>
      </c>
    </row>
    <row r="1458">
      <c r="A1458" s="14" t="inlineStr">
        <is>
          <t>LAURO DE FREITAS</t>
        </is>
      </c>
      <c r="B1458" s="26" t="n">
        <v>180</v>
      </c>
      <c r="C1458" s="26" t="n">
        <v>1538</v>
      </c>
      <c r="D1458" s="14" t="inlineStr">
        <is>
          <t>COLÉGIO MENDEL</t>
        </is>
      </c>
      <c r="E1458" s="14" t="inlineStr">
        <is>
          <t>VILAS DO ATLÂNTICO</t>
        </is>
      </c>
      <c r="F1458" s="14" t="inlineStr">
        <is>
          <t>RUA PRAIA DO FORTE, S/N - ZONA URBANA</t>
        </is>
      </c>
      <c r="G1458" s="27" t="inlineStr">
        <is>
          <t>42700-000</t>
        </is>
      </c>
      <c r="H1458" s="15" t="n">
        <v>12</v>
      </c>
      <c r="I1458" s="28" t="inlineStr">
        <is>
          <t>NÃO</t>
        </is>
      </c>
      <c r="J1458" s="29" t="n">
        <v>488</v>
      </c>
      <c r="K1458" s="14" t="str">
        <f>IF(J1458="","7. Acima de 2 km",IF(J1458&lt;=50,"1. Até 50 m",IF(J1458&lt;=100,"2. De 50 a 100 m",IF(J1458&lt;=200,"3. De 100 a 200 m",IF(J1458&lt;=300,"4. De 200 a 300 m",IF(J1458&lt;=500,"5. De 300 a 500 m","6. De 500 m a 2 km"))))))</f>
        <v>5. De 300 a 500 m</v>
      </c>
      <c r="L1458" s="26" t="n">
        <v>0</v>
      </c>
      <c r="M1458" s="26" t="n">
        <v>0</v>
      </c>
      <c r="N1458" s="26" t="n">
        <v>0</v>
      </c>
      <c r="O1458" s="26" t="n">
        <v>0</v>
      </c>
      <c r="P1458" s="30" t="n">
        <v>-12.8819411</v>
      </c>
      <c r="Q1458" s="30" t="n">
        <v>-38.3011083</v>
      </c>
      <c r="R1458" s="14" t="inlineStr">
        <is>
          <t>RUA SILVANDIR F. CHAVES, Nº 108, ED. TORRES BUSINESS, LOJA 03, RECREIO IPITANGA, LAURO DE FREITAS/BA</t>
        </is>
      </c>
      <c r="S1458" s="26">
        <f>IF(A1458=A1457,0,1)</f>
        <v>0</v>
      </c>
      <c r="T1458" s="26">
        <f>IF(COUNTIF($B$4:B1458,B1458)=1,1,0)</f>
        <v>0</v>
      </c>
    </row>
    <row r="1459">
      <c r="A1459" s="14" t="inlineStr">
        <is>
          <t>LAURO DE FREITAS</t>
        </is>
      </c>
      <c r="B1459" s="26" t="n">
        <v>180</v>
      </c>
      <c r="C1459" s="26" t="n">
        <v>1546</v>
      </c>
      <c r="D1459" s="14" t="inlineStr">
        <is>
          <t>CEEP TIC - CENTRO ESTADUAL DE EDUC PROF EM TEC, INF E COMUNIC</t>
        </is>
      </c>
      <c r="E1459" s="14" t="inlineStr">
        <is>
          <t>CENTRO</t>
        </is>
      </c>
      <c r="F1459" s="14" t="inlineStr">
        <is>
          <t>RUA EUVALDO SANTOS LEITE S/N</t>
        </is>
      </c>
      <c r="G1459" s="27" t="inlineStr">
        <is>
          <t>42703-510</t>
        </is>
      </c>
      <c r="H1459" s="15" t="n">
        <v>11</v>
      </c>
      <c r="I1459" s="28" t="inlineStr">
        <is>
          <t>NÃO</t>
        </is>
      </c>
      <c r="J1459" s="29" t="n">
        <v>121.3</v>
      </c>
      <c r="K1459" s="14" t="str">
        <f>IF(J1459="","7. Acima de 2 km",IF(J1459&lt;=50,"1. Até 50 m",IF(J1459&lt;=100,"2. De 50 a 100 m",IF(J1459&lt;=200,"3. De 100 a 200 m",IF(J1459&lt;=300,"4. De 200 a 300 m",IF(J1459&lt;=500,"5. De 300 a 500 m","6. De 500 m a 2 km"))))))</f>
        <v>3. De 100 a 200 m</v>
      </c>
      <c r="L1459" s="26" t="n">
        <v>0</v>
      </c>
      <c r="M1459" s="26" t="n">
        <v>0</v>
      </c>
      <c r="N1459" s="26" t="n">
        <v>1</v>
      </c>
      <c r="O1459" s="26" t="n">
        <v>3</v>
      </c>
      <c r="P1459" s="30" t="n">
        <v>-12.898685</v>
      </c>
      <c r="Q1459" s="30" t="n">
        <v>-38.3265826</v>
      </c>
      <c r="R1459" s="14" t="inlineStr">
        <is>
          <t>RUA SILVANDIR F. CHAVES, Nº 108, ED. TORRES BUSINESS, LOJA 03, RECREIO IPITANGA, LAURO DE FREITAS/BA</t>
        </is>
      </c>
      <c r="S1459" s="26">
        <f>IF(A1459=A1458,0,1)</f>
        <v>0</v>
      </c>
      <c r="T1459" s="26">
        <f>IF(COUNTIF($B$4:B1459,B1459)=1,1,0)</f>
        <v>0</v>
      </c>
    </row>
    <row r="1460">
      <c r="A1460" s="14" t="inlineStr">
        <is>
          <t>LAURO DE FREITAS</t>
        </is>
      </c>
      <c r="B1460" s="26" t="n">
        <v>180</v>
      </c>
      <c r="C1460" s="26" t="n">
        <v>1554</v>
      </c>
      <c r="D1460" s="14" t="inlineStr">
        <is>
          <t>ESCOLA MUNICIPAL GREGÓRIO PINTO DE ALMEIDA</t>
        </is>
      </c>
      <c r="E1460" s="14" t="inlineStr">
        <is>
          <t>VILA PRAIANA</t>
        </is>
      </c>
      <c r="F1460" s="14" t="inlineStr">
        <is>
          <t>AV. VITÓRIA DA CONQUISTA, S/N - ZONA URBANA</t>
        </is>
      </c>
      <c r="G1460" s="27" t="inlineStr">
        <is>
          <t>42700-000</t>
        </is>
      </c>
      <c r="H1460" s="15" t="n">
        <v>8</v>
      </c>
      <c r="I1460" s="28" t="inlineStr">
        <is>
          <t>NÃO</t>
        </is>
      </c>
      <c r="J1460" s="29" t="n">
        <v>441.8</v>
      </c>
      <c r="K1460" s="14" t="str">
        <f>IF(J1460="","7. Acima de 2 km",IF(J1460&lt;=50,"1. Até 50 m",IF(J1460&lt;=100,"2. De 50 a 100 m",IF(J1460&lt;=200,"3. De 100 a 200 m",IF(J1460&lt;=300,"4. De 200 a 300 m",IF(J1460&lt;=500,"5. De 300 a 500 m","6. De 500 m a 2 km"))))))</f>
        <v>5. De 300 a 500 m</v>
      </c>
      <c r="L1460" s="26" t="n">
        <v>0</v>
      </c>
      <c r="M1460" s="26" t="n">
        <v>0</v>
      </c>
      <c r="N1460" s="26" t="n">
        <v>0</v>
      </c>
      <c r="O1460" s="26" t="n">
        <v>0</v>
      </c>
      <c r="P1460" s="30" t="n">
        <v>-12.9004218</v>
      </c>
      <c r="Q1460" s="30" t="n">
        <v>-38.3084042</v>
      </c>
      <c r="R1460" s="14" t="inlineStr">
        <is>
          <t>RUA SILVANDIR F. CHAVES, Nº 108, ED. TORRES BUSINESS, LOJA 03, RECREIO IPITANGA, LAURO DE FREITAS/BA</t>
        </is>
      </c>
      <c r="S1460" s="26">
        <f>IF(A1460=A1459,0,1)</f>
        <v>0</v>
      </c>
      <c r="T1460" s="26">
        <f>IF(COUNTIF($B$4:B1460,B1460)=1,1,0)</f>
        <v>0</v>
      </c>
    </row>
    <row r="1461">
      <c r="A1461" s="14" t="inlineStr">
        <is>
          <t>LAURO DE FREITAS</t>
        </is>
      </c>
      <c r="B1461" s="26" t="n">
        <v>180</v>
      </c>
      <c r="C1461" s="26" t="n">
        <v>1562</v>
      </c>
      <c r="D1461" s="14" t="inlineStr">
        <is>
          <t>ESCOLA MUNICIPAL QUINGOMA</t>
        </is>
      </c>
      <c r="E1461" s="14" t="inlineStr">
        <is>
          <t>QUINGOMA</t>
        </is>
      </c>
      <c r="F1461" s="14" t="inlineStr">
        <is>
          <t>RUA SÃO JOSÉ, N 10 - ZONA URBANA</t>
        </is>
      </c>
      <c r="G1461" s="27" t="inlineStr">
        <is>
          <t>42700-000</t>
        </is>
      </c>
      <c r="H1461" s="15" t="n">
        <v>3</v>
      </c>
      <c r="I1461" s="28" t="inlineStr">
        <is>
          <t>NÃO</t>
        </is>
      </c>
      <c r="J1461" s="29" t="n"/>
      <c r="K1461" s="14" t="str">
        <f>IF(J1461="","7. Acima de 2 km",IF(J1461&lt;=50,"1. Até 50 m",IF(J1461&lt;=100,"2. De 50 a 100 m",IF(J1461&lt;=200,"3. De 100 a 200 m",IF(J1461&lt;=300,"4. De 200 a 300 m",IF(J1461&lt;=500,"5. De 300 a 500 m","6. De 500 m a 2 km"))))))</f>
        <v>7. Acima de 2 km</v>
      </c>
      <c r="L1461" s="26" t="n">
        <v>0</v>
      </c>
      <c r="M1461" s="26" t="n">
        <v>0</v>
      </c>
      <c r="N1461" s="26" t="n">
        <v>0</v>
      </c>
      <c r="O1461" s="26" t="n">
        <v>0</v>
      </c>
      <c r="P1461" s="30" t="n">
        <v>-12.8690967</v>
      </c>
      <c r="Q1461" s="30" t="n">
        <v>-38.3266878</v>
      </c>
      <c r="R1461" s="14" t="inlineStr">
        <is>
          <t>RUA SILVANDIR F. CHAVES, Nº 108, ED. TORRES BUSINESS, LOJA 03, RECREIO IPITANGA, LAURO DE FREITAS/BA</t>
        </is>
      </c>
      <c r="S1461" s="26">
        <f>IF(A1461=A1460,0,1)</f>
        <v>0</v>
      </c>
      <c r="T1461" s="26">
        <f>IF(COUNTIF($B$4:B1461,B1461)=1,1,0)</f>
        <v>0</v>
      </c>
    </row>
    <row r="1462">
      <c r="A1462" s="14" t="inlineStr">
        <is>
          <t>LAURO DE FREITAS</t>
        </is>
      </c>
      <c r="B1462" s="26" t="n">
        <v>180</v>
      </c>
      <c r="C1462" s="26" t="n">
        <v>1570</v>
      </c>
      <c r="D1462" s="14" t="inlineStr">
        <is>
          <t>ESCOLA TENENTE GUSTAVO DOS SANTOS</t>
        </is>
      </c>
      <c r="E1462" s="14" t="inlineStr">
        <is>
          <t>AREIA BRANCA</t>
        </is>
      </c>
      <c r="F1462" s="14" t="inlineStr">
        <is>
          <t>RUA DIRETA DO CAPELÃO 130 - ZONA URBANA</t>
        </is>
      </c>
      <c r="G1462" s="27" t="inlineStr">
        <is>
          <t>42700-000</t>
        </is>
      </c>
      <c r="H1462" s="15" t="n">
        <v>5</v>
      </c>
      <c r="I1462" s="28" t="inlineStr">
        <is>
          <t>NÃO</t>
        </is>
      </c>
      <c r="J1462" s="29" t="n">
        <v>121.9</v>
      </c>
      <c r="K1462" s="14" t="str">
        <f>IF(J1462="","7. Acima de 2 km",IF(J1462&lt;=50,"1. Até 50 m",IF(J1462&lt;=100,"2. De 50 a 100 m",IF(J1462&lt;=200,"3. De 100 a 200 m",IF(J1462&lt;=300,"4. De 200 a 300 m",IF(J1462&lt;=500,"5. De 300 a 500 m","6. De 500 m a 2 km"))))))</f>
        <v>3. De 100 a 200 m</v>
      </c>
      <c r="L1462" s="26" t="n">
        <v>0</v>
      </c>
      <c r="M1462" s="26" t="n">
        <v>0</v>
      </c>
      <c r="N1462" s="26" t="n">
        <v>1</v>
      </c>
      <c r="O1462" s="26" t="n">
        <v>1</v>
      </c>
      <c r="P1462" s="30" t="n">
        <v>-12.8553339</v>
      </c>
      <c r="Q1462" s="30" t="n">
        <v>-38.3569957</v>
      </c>
      <c r="R1462" s="14" t="inlineStr">
        <is>
          <t>RUA SILVANDIR F. CHAVES, Nº 108, ED. TORRES BUSINESS, LOJA 03, RECREIO IPITANGA, LAURO DE FREITAS/BA</t>
        </is>
      </c>
      <c r="S1462" s="26">
        <f>IF(A1462=A1461,0,1)</f>
        <v>0</v>
      </c>
      <c r="T1462" s="26">
        <f>IF(COUNTIF($B$4:B1462,B1462)=1,1,0)</f>
        <v>0</v>
      </c>
    </row>
    <row r="1463">
      <c r="A1463" s="14" t="inlineStr">
        <is>
          <t>LAURO DE FREITAS</t>
        </is>
      </c>
      <c r="B1463" s="26" t="n">
        <v>180</v>
      </c>
      <c r="C1463" s="26" t="n">
        <v>1589</v>
      </c>
      <c r="D1463" s="14" t="inlineStr">
        <is>
          <t>COLÉGIO ESTADUAL HERMANO GOUVEIA NETO</t>
        </is>
      </c>
      <c r="E1463" s="14" t="inlineStr">
        <is>
          <t>CAJI</t>
        </is>
      </c>
      <c r="F1463" s="14" t="inlineStr">
        <is>
          <t>LOTEAMENTO VIDA NOVA S/N - ZONA URBANA</t>
        </is>
      </c>
      <c r="G1463" s="27" t="inlineStr">
        <is>
          <t>42700-000</t>
        </is>
      </c>
      <c r="H1463" s="15" t="n">
        <v>11</v>
      </c>
      <c r="I1463" s="28" t="inlineStr">
        <is>
          <t>SIM</t>
        </is>
      </c>
      <c r="J1463" s="29" t="n">
        <v>61.7</v>
      </c>
      <c r="K1463" s="14" t="str">
        <f>IF(J1463="","7. Acima de 2 km",IF(J1463&lt;=50,"1. Até 50 m",IF(J1463&lt;=100,"2. De 50 a 100 m",IF(J1463&lt;=200,"3. De 100 a 200 m",IF(J1463&lt;=300,"4. De 200 a 300 m",IF(J1463&lt;=500,"5. De 300 a 500 m","6. De 500 m a 2 km"))))))</f>
        <v>2. De 50 a 100 m</v>
      </c>
      <c r="L1463" s="26" t="n">
        <v>0</v>
      </c>
      <c r="M1463" s="26" t="n">
        <v>1</v>
      </c>
      <c r="N1463" s="26" t="n">
        <v>1</v>
      </c>
      <c r="O1463" s="26" t="n">
        <v>1</v>
      </c>
      <c r="P1463" s="30" t="n">
        <v>-12.881228</v>
      </c>
      <c r="Q1463" s="30" t="n">
        <v>-38.331427</v>
      </c>
      <c r="R1463" s="14" t="inlineStr">
        <is>
          <t>RUA SILVANDIR F. CHAVES, Nº 108, ED. TORRES BUSINESS, LOJA 03, RECREIO IPITANGA, LAURO DE FREITAS/BA</t>
        </is>
      </c>
      <c r="S1463" s="26">
        <f>IF(A1463=A1462,0,1)</f>
        <v>0</v>
      </c>
      <c r="T1463" s="26">
        <f>IF(COUNTIF($B$4:B1463,B1463)=1,1,0)</f>
        <v>0</v>
      </c>
    </row>
    <row r="1464">
      <c r="A1464" s="14" t="inlineStr">
        <is>
          <t>LAURO DE FREITAS</t>
        </is>
      </c>
      <c r="B1464" s="26" t="n">
        <v>180</v>
      </c>
      <c r="C1464" s="26" t="n">
        <v>1597</v>
      </c>
      <c r="D1464" s="14" t="inlineStr">
        <is>
          <t>ESCOLA MUNICIPAL ESFINGE</t>
        </is>
      </c>
      <c r="E1464" s="14" t="inlineStr">
        <is>
          <t>AREIA BRANCA</t>
        </is>
      </c>
      <c r="F1464" s="14" t="inlineStr">
        <is>
          <t>PRAÇA DA MATRIZ S/N - ZONA URBANA</t>
        </is>
      </c>
      <c r="G1464" s="27" t="inlineStr">
        <is>
          <t>42700-000</t>
        </is>
      </c>
      <c r="H1464" s="15" t="n">
        <v>8</v>
      </c>
      <c r="I1464" s="28" t="inlineStr">
        <is>
          <t>NÃO</t>
        </is>
      </c>
      <c r="J1464" s="29" t="n">
        <v>806.5</v>
      </c>
      <c r="K1464" s="14" t="str">
        <f>IF(J1464="","7. Acima de 2 km",IF(J1464&lt;=50,"1. Até 50 m",IF(J1464&lt;=100,"2. De 50 a 100 m",IF(J1464&lt;=200,"3. De 100 a 200 m",IF(J1464&lt;=300,"4. De 200 a 300 m",IF(J1464&lt;=500,"5. De 300 a 500 m","6. De 500 m a 2 km"))))))</f>
        <v>6. De 500 m a 2 km</v>
      </c>
      <c r="L1464" s="26" t="n">
        <v>0</v>
      </c>
      <c r="M1464" s="26" t="n">
        <v>0</v>
      </c>
      <c r="N1464" s="26" t="n">
        <v>0</v>
      </c>
      <c r="O1464" s="26" t="n">
        <v>0</v>
      </c>
      <c r="P1464" s="30" t="n">
        <v>-12.8384754</v>
      </c>
      <c r="Q1464" s="30" t="n">
        <v>-38.3491582</v>
      </c>
      <c r="R1464" s="14" t="inlineStr">
        <is>
          <t>RUA SILVANDIR F. CHAVES, Nº 108, ED. TORRES BUSINESS, LOJA 03, RECREIO IPITANGA, LAURO DE FREITAS/BA</t>
        </is>
      </c>
      <c r="S1464" s="26">
        <f>IF(A1464=A1463,0,1)</f>
        <v>0</v>
      </c>
      <c r="T1464" s="26">
        <f>IF(COUNTIF($B$4:B1464,B1464)=1,1,0)</f>
        <v>0</v>
      </c>
    </row>
    <row r="1465">
      <c r="A1465" s="14" t="inlineStr">
        <is>
          <t>LAURO DE FREITAS</t>
        </is>
      </c>
      <c r="B1465" s="26" t="n">
        <v>180</v>
      </c>
      <c r="C1465" s="26" t="n">
        <v>1600</v>
      </c>
      <c r="D1465" s="14" t="inlineStr">
        <is>
          <t>ESCOLA MUNICIPAL SENHORA VALENTINA SILVINA SANTOS</t>
        </is>
      </c>
      <c r="E1465" s="14" t="inlineStr">
        <is>
          <t>ITINGA</t>
        </is>
      </c>
      <c r="F1465" s="14" t="inlineStr">
        <is>
          <t>RUA SÃO CRISTÓVÃO, 48 - ZONA URBANA</t>
        </is>
      </c>
      <c r="G1465" s="27" t="inlineStr">
        <is>
          <t>42700-000</t>
        </is>
      </c>
      <c r="H1465" s="15" t="n">
        <v>5</v>
      </c>
      <c r="I1465" s="28" t="inlineStr">
        <is>
          <t>NÃO</t>
        </is>
      </c>
      <c r="J1465" s="29" t="n">
        <v>239.2</v>
      </c>
      <c r="K1465" s="14" t="str">
        <f>IF(J1465="","7. Acima de 2 km",IF(J1465&lt;=50,"1. Até 50 m",IF(J1465&lt;=100,"2. De 50 a 100 m",IF(J1465&lt;=200,"3. De 100 a 200 m",IF(J1465&lt;=300,"4. De 200 a 300 m",IF(J1465&lt;=500,"5. De 300 a 500 m","6. De 500 m a 2 km"))))))</f>
        <v>4. De 200 a 300 m</v>
      </c>
      <c r="L1465" s="26" t="n">
        <v>0</v>
      </c>
      <c r="M1465" s="26" t="n">
        <v>0</v>
      </c>
      <c r="N1465" s="26" t="n">
        <v>0</v>
      </c>
      <c r="O1465" s="26" t="n">
        <v>2</v>
      </c>
      <c r="P1465" s="30" t="n">
        <v>-12.9021283</v>
      </c>
      <c r="Q1465" s="30" t="n">
        <v>-38.3459267</v>
      </c>
      <c r="R1465" s="14" t="inlineStr">
        <is>
          <t>RUA SILVANDIR F. CHAVES, Nº 108, ED. TORRES BUSINESS, LOJA 03, RECREIO IPITANGA, LAURO DE FREITAS/BA</t>
        </is>
      </c>
      <c r="S1465" s="26">
        <f>IF(A1465=A1464,0,1)</f>
        <v>0</v>
      </c>
      <c r="T1465" s="26">
        <f>IF(COUNTIF($B$4:B1465,B1465)=1,1,0)</f>
        <v>0</v>
      </c>
    </row>
    <row r="1466">
      <c r="A1466" s="14" t="inlineStr">
        <is>
          <t>LAURO DE FREITAS</t>
        </is>
      </c>
      <c r="B1466" s="26" t="n">
        <v>180</v>
      </c>
      <c r="C1466" s="26" t="n">
        <v>1619</v>
      </c>
      <c r="D1466" s="14" t="inlineStr">
        <is>
          <t>ESCOLA MUNICIPAL CATARINA DE SENA</t>
        </is>
      </c>
      <c r="E1466" s="14" t="inlineStr">
        <is>
          <t>CAJI</t>
        </is>
      </c>
      <c r="F1466" s="14" t="inlineStr">
        <is>
          <t>AV. DR. GERINO DE SOUZA FILHO, S/N - ZONA URBANA</t>
        </is>
      </c>
      <c r="G1466" s="27" t="inlineStr">
        <is>
          <t>42700-000</t>
        </is>
      </c>
      <c r="H1466" s="15" t="n">
        <v>7</v>
      </c>
      <c r="I1466" s="28" t="inlineStr">
        <is>
          <t>NÃO</t>
        </is>
      </c>
      <c r="J1466" s="29" t="n">
        <v>265.8</v>
      </c>
      <c r="K1466" s="14" t="str">
        <f>IF(J1466="","7. Acima de 2 km",IF(J1466&lt;=50,"1. Até 50 m",IF(J1466&lt;=100,"2. De 50 a 100 m",IF(J1466&lt;=200,"3. De 100 a 200 m",IF(J1466&lt;=300,"4. De 200 a 300 m",IF(J1466&lt;=500,"5. De 300 a 500 m","6. De 500 m a 2 km"))))))</f>
        <v>4. De 200 a 300 m</v>
      </c>
      <c r="L1466" s="26" t="n">
        <v>0</v>
      </c>
      <c r="M1466" s="26" t="n">
        <v>0</v>
      </c>
      <c r="N1466" s="26" t="n">
        <v>0</v>
      </c>
      <c r="O1466" s="26" t="n">
        <v>1</v>
      </c>
      <c r="P1466" s="30" t="n">
        <v>-12.8859109</v>
      </c>
      <c r="Q1466" s="30" t="n">
        <v>-38.3232413</v>
      </c>
      <c r="R1466" s="14" t="inlineStr">
        <is>
          <t>RUA SILVANDIR F. CHAVES, Nº 108, ED. TORRES BUSINESS, LOJA 03, RECREIO IPITANGA, LAURO DE FREITAS/BA</t>
        </is>
      </c>
      <c r="S1466" s="26">
        <f>IF(A1466=A1465,0,1)</f>
        <v>0</v>
      </c>
      <c r="T1466" s="26">
        <f>IF(COUNTIF($B$4:B1466,B1466)=1,1,0)</f>
        <v>0</v>
      </c>
    </row>
    <row r="1467">
      <c r="A1467" s="14" t="inlineStr">
        <is>
          <t>LAURO DE FREITAS</t>
        </is>
      </c>
      <c r="B1467" s="26" t="n">
        <v>180</v>
      </c>
      <c r="C1467" s="26" t="n">
        <v>1627</v>
      </c>
      <c r="D1467" s="14" t="inlineStr">
        <is>
          <t>INSTITUTO DE EDUC PROFISSIONALIZANTE EURIDES SANTANNA</t>
        </is>
      </c>
      <c r="E1467" s="14" t="inlineStr">
        <is>
          <t>ITINGA</t>
        </is>
      </c>
      <c r="F1467" s="14" t="inlineStr">
        <is>
          <t>ESTRADA DA JAQUEIRA - ZONA URBANA</t>
        </is>
      </c>
      <c r="G1467" s="27" t="inlineStr">
        <is>
          <t>42739-005</t>
        </is>
      </c>
      <c r="H1467" s="15" t="n">
        <v>17</v>
      </c>
      <c r="I1467" s="28" t="inlineStr">
        <is>
          <t>NÃO</t>
        </is>
      </c>
      <c r="J1467" s="29" t="n">
        <v>201.4</v>
      </c>
      <c r="K1467" s="14" t="str">
        <f>IF(J1467="","7. Acima de 2 km",IF(J1467&lt;=50,"1. Até 50 m",IF(J1467&lt;=100,"2. De 50 a 100 m",IF(J1467&lt;=200,"3. De 100 a 200 m",IF(J1467&lt;=300,"4. De 200 a 300 m",IF(J1467&lt;=500,"5. De 300 a 500 m","6. De 500 m a 2 km"))))))</f>
        <v>4. De 200 a 300 m</v>
      </c>
      <c r="L1467" s="26" t="n">
        <v>0</v>
      </c>
      <c r="M1467" s="26" t="n">
        <v>0</v>
      </c>
      <c r="N1467" s="26" t="n">
        <v>0</v>
      </c>
      <c r="O1467" s="26" t="n">
        <v>3</v>
      </c>
      <c r="P1467" s="30" t="n">
        <v>-12.8925537</v>
      </c>
      <c r="Q1467" s="30" t="n">
        <v>-38.3484045</v>
      </c>
      <c r="R1467" s="14" t="inlineStr">
        <is>
          <t>RUA SILVANDIR F. CHAVES, Nº 108, ED. TORRES BUSINESS, LOJA 03, RECREIO IPITANGA, LAURO DE FREITAS/BA</t>
        </is>
      </c>
      <c r="S1467" s="26">
        <f>IF(A1467=A1466,0,1)</f>
        <v>0</v>
      </c>
      <c r="T1467" s="26">
        <f>IF(COUNTIF($B$4:B1467,B1467)=1,1,0)</f>
        <v>0</v>
      </c>
    </row>
    <row r="1468">
      <c r="A1468" s="14" t="inlineStr">
        <is>
          <t>LAURO DE FREITAS</t>
        </is>
      </c>
      <c r="B1468" s="26" t="n">
        <v>180</v>
      </c>
      <c r="C1468" s="26" t="n">
        <v>1635</v>
      </c>
      <c r="D1468" s="14" t="inlineStr">
        <is>
          <t>ESCOLA MUNICIPAL EDIVALDO BOAVENTURA</t>
        </is>
      </c>
      <c r="E1468" s="14" t="inlineStr">
        <is>
          <t>AREIA BRANCA</t>
        </is>
      </c>
      <c r="F1468" s="14" t="inlineStr">
        <is>
          <t>RUA DOIS DE JULHO S/N - ZONA URBANA</t>
        </is>
      </c>
      <c r="G1468" s="27" t="inlineStr">
        <is>
          <t>42700-000</t>
        </is>
      </c>
      <c r="H1468" s="15" t="n">
        <v>8</v>
      </c>
      <c r="I1468" s="28" t="inlineStr">
        <is>
          <t>NÃO</t>
        </is>
      </c>
      <c r="J1468" s="29" t="n">
        <v>730.8</v>
      </c>
      <c r="K1468" s="14" t="str">
        <f>IF(J1468="","7. Acima de 2 km",IF(J1468&lt;=50,"1. Até 50 m",IF(J1468&lt;=100,"2. De 50 a 100 m",IF(J1468&lt;=200,"3. De 100 a 200 m",IF(J1468&lt;=300,"4. De 200 a 300 m",IF(J1468&lt;=500,"5. De 300 a 500 m","6. De 500 m a 2 km"))))))</f>
        <v>6. De 500 m a 2 km</v>
      </c>
      <c r="L1468" s="26" t="n">
        <v>0</v>
      </c>
      <c r="M1468" s="26" t="n">
        <v>0</v>
      </c>
      <c r="N1468" s="26" t="n">
        <v>0</v>
      </c>
      <c r="O1468" s="26" t="n">
        <v>0</v>
      </c>
      <c r="P1468" s="30" t="n">
        <v>-12.8385849</v>
      </c>
      <c r="Q1468" s="30" t="n">
        <v>-38.3498977</v>
      </c>
      <c r="R1468" s="14" t="inlineStr">
        <is>
          <t>RUA SILVANDIR F. CHAVES, Nº 108, ED. TORRES BUSINESS, LOJA 03, RECREIO IPITANGA, LAURO DE FREITAS/BA</t>
        </is>
      </c>
      <c r="S1468" s="26">
        <f>IF(A1468=A1467,0,1)</f>
        <v>0</v>
      </c>
      <c r="T1468" s="26">
        <f>IF(COUNTIF($B$4:B1468,B1468)=1,1,0)</f>
        <v>0</v>
      </c>
    </row>
    <row r="1469">
      <c r="A1469" s="14" t="inlineStr">
        <is>
          <t>LAURO DE FREITAS</t>
        </is>
      </c>
      <c r="B1469" s="26" t="n">
        <v>180</v>
      </c>
      <c r="C1469" s="26" t="n">
        <v>1643</v>
      </c>
      <c r="D1469" s="14" t="inlineStr">
        <is>
          <t>CAIC - CENTRO DE ATENÇÃO INTEGRAL À CRIANÇA E AO ADOLESCENTE</t>
        </is>
      </c>
      <c r="E1469" s="14" t="inlineStr">
        <is>
          <t>ITINGA</t>
        </is>
      </c>
      <c r="F1469" s="14" t="inlineStr">
        <is>
          <t>RUA PROF. TEOCRITO BATISTA, S/N - JARDIM PICUAIA - ZONA URBANA</t>
        </is>
      </c>
      <c r="G1469" s="27" t="inlineStr">
        <is>
          <t>42700-000</t>
        </is>
      </c>
      <c r="H1469" s="15" t="n">
        <v>7</v>
      </c>
      <c r="I1469" s="28" t="inlineStr">
        <is>
          <t>NÃO</t>
        </is>
      </c>
      <c r="J1469" s="29" t="n">
        <v>940.5</v>
      </c>
      <c r="K1469" s="14" t="str">
        <f>IF(J1469="","7. Acima de 2 km",IF(J1469&lt;=50,"1. Até 50 m",IF(J1469&lt;=100,"2. De 50 a 100 m",IF(J1469&lt;=200,"3. De 100 a 200 m",IF(J1469&lt;=300,"4. De 200 a 300 m",IF(J1469&lt;=500,"5. De 300 a 500 m","6. De 500 m a 2 km"))))))</f>
        <v>6. De 500 m a 2 km</v>
      </c>
      <c r="L1469" s="26" t="n">
        <v>0</v>
      </c>
      <c r="M1469" s="26" t="n">
        <v>0</v>
      </c>
      <c r="N1469" s="26" t="n">
        <v>0</v>
      </c>
      <c r="O1469" s="26" t="n">
        <v>0</v>
      </c>
      <c r="P1469" s="30" t="n">
        <v>-12.8859157</v>
      </c>
      <c r="Q1469" s="30" t="n">
        <v>-38.343238</v>
      </c>
      <c r="R1469" s="14" t="inlineStr">
        <is>
          <t>RUA SILVANDIR F. CHAVES, Nº 108, ED. TORRES BUSINESS, LOJA 03, RECREIO IPITANGA, LAURO DE FREITAS/BA</t>
        </is>
      </c>
      <c r="S1469" s="26">
        <f>IF(A1469=A1468,0,1)</f>
        <v>0</v>
      </c>
      <c r="T1469" s="26">
        <f>IF(COUNTIF($B$4:B1469,B1469)=1,1,0)</f>
        <v>0</v>
      </c>
    </row>
    <row r="1470">
      <c r="A1470" s="14" t="inlineStr">
        <is>
          <t>LAURO DE FREITAS</t>
        </is>
      </c>
      <c r="B1470" s="26" t="n">
        <v>180</v>
      </c>
      <c r="C1470" s="26" t="n">
        <v>1651</v>
      </c>
      <c r="D1470" s="14" t="inlineStr">
        <is>
          <t>COLÉGIO ESTADUAL FRANCISCO PEREIRA FRANCO</t>
        </is>
      </c>
      <c r="E1470" s="14" t="inlineStr">
        <is>
          <t>ITINGA</t>
        </is>
      </c>
      <c r="F1470" s="14" t="inlineStr">
        <is>
          <t>PARQUE SÃO PAULO S/N - ZONA URBANA</t>
        </is>
      </c>
      <c r="G1470" s="27" t="inlineStr">
        <is>
          <t>42700-000</t>
        </is>
      </c>
      <c r="H1470" s="15" t="n">
        <v>7</v>
      </c>
      <c r="I1470" s="28" t="inlineStr">
        <is>
          <t>NÃO</t>
        </is>
      </c>
      <c r="J1470" s="29" t="n">
        <v>371.1</v>
      </c>
      <c r="K1470" s="14" t="str">
        <f>IF(J1470="","7. Acima de 2 km",IF(J1470&lt;=50,"1. Até 50 m",IF(J1470&lt;=100,"2. De 50 a 100 m",IF(J1470&lt;=200,"3. De 100 a 200 m",IF(J1470&lt;=300,"4. De 200 a 300 m",IF(J1470&lt;=500,"5. De 300 a 500 m","6. De 500 m a 2 km"))))))</f>
        <v>5. De 300 a 500 m</v>
      </c>
      <c r="L1470" s="26" t="n">
        <v>0</v>
      </c>
      <c r="M1470" s="26" t="n">
        <v>0</v>
      </c>
      <c r="N1470" s="26" t="n">
        <v>0</v>
      </c>
      <c r="O1470" s="26" t="n">
        <v>0</v>
      </c>
      <c r="P1470" s="30" t="n">
        <v>-12.8833154</v>
      </c>
      <c r="Q1470" s="30" t="n">
        <v>-38.3545139</v>
      </c>
      <c r="R1470" s="14" t="inlineStr">
        <is>
          <t>RUA SILVANDIR F. CHAVES, Nº 108, ED. TORRES BUSINESS, LOJA 03, RECREIO IPITANGA, LAURO DE FREITAS/BA</t>
        </is>
      </c>
      <c r="S1470" s="26">
        <f>IF(A1470=A1469,0,1)</f>
        <v>0</v>
      </c>
      <c r="T1470" s="26">
        <f>IF(COUNTIF($B$4:B1470,B1470)=1,1,0)</f>
        <v>0</v>
      </c>
    </row>
    <row r="1471">
      <c r="A1471" s="14" t="inlineStr">
        <is>
          <t>LAURO DE FREITAS</t>
        </is>
      </c>
      <c r="B1471" s="26" t="n">
        <v>180</v>
      </c>
      <c r="C1471" s="26" t="n">
        <v>1660</v>
      </c>
      <c r="D1471" s="14" t="inlineStr">
        <is>
          <t>ESCOLA MUNICIPAL VIDA NOVA</t>
        </is>
      </c>
      <c r="E1471" s="14" t="inlineStr">
        <is>
          <t>VIDA NOVA</t>
        </is>
      </c>
      <c r="F1471" s="14" t="inlineStr">
        <is>
          <t>RUA VIA LOCAL, S/N - ZONA URBANA</t>
        </is>
      </c>
      <c r="G1471" s="27" t="inlineStr">
        <is>
          <t>42700-000</t>
        </is>
      </c>
      <c r="H1471" s="15" t="n">
        <v>12</v>
      </c>
      <c r="I1471" s="28" t="inlineStr">
        <is>
          <t>NÃO</t>
        </is>
      </c>
      <c r="J1471" s="29" t="n">
        <v>684.6</v>
      </c>
      <c r="K1471" s="14" t="str">
        <f>IF(J1471="","7. Acima de 2 km",IF(J1471&lt;=50,"1. Até 50 m",IF(J1471&lt;=100,"2. De 50 a 100 m",IF(J1471&lt;=200,"3. De 100 a 200 m",IF(J1471&lt;=300,"4. De 200 a 300 m",IF(J1471&lt;=500,"5. De 300 a 500 m","6. De 500 m a 2 km"))))))</f>
        <v>6. De 500 m a 2 km</v>
      </c>
      <c r="L1471" s="26" t="n">
        <v>0</v>
      </c>
      <c r="M1471" s="26" t="n">
        <v>0</v>
      </c>
      <c r="N1471" s="26" t="n">
        <v>0</v>
      </c>
      <c r="O1471" s="26" t="n">
        <v>0</v>
      </c>
      <c r="P1471" s="30" t="n">
        <v>-12.8871421</v>
      </c>
      <c r="Q1471" s="30" t="n">
        <v>-38.3461903</v>
      </c>
      <c r="R1471" s="14" t="inlineStr">
        <is>
          <t>RUA SILVANDIR F. CHAVES, Nº 108, ED. TORRES BUSINESS, LOJA 03, RECREIO IPITANGA, LAURO DE FREITAS/BA</t>
        </is>
      </c>
      <c r="S1471" s="26">
        <f>IF(A1471=A1470,0,1)</f>
        <v>0</v>
      </c>
      <c r="T1471" s="26">
        <f>IF(COUNTIF($B$4:B1471,B1471)=1,1,0)</f>
        <v>0</v>
      </c>
    </row>
    <row r="1472">
      <c r="A1472" s="14" t="inlineStr">
        <is>
          <t>LAURO DE FREITAS</t>
        </is>
      </c>
      <c r="B1472" s="26" t="n">
        <v>180</v>
      </c>
      <c r="C1472" s="26" t="n">
        <v>1678</v>
      </c>
      <c r="D1472" s="14" t="inlineStr">
        <is>
          <t>ESCOLA MUNICIPAL DINORAH PESSOA</t>
        </is>
      </c>
      <c r="E1472" s="14" t="inlineStr">
        <is>
          <t>ITINGA</t>
        </is>
      </c>
      <c r="F1472" s="14" t="inlineStr">
        <is>
          <t>RUA NOSSA SENHORA APARECIDA - ZONA URBANA</t>
        </is>
      </c>
      <c r="G1472" s="27" t="inlineStr">
        <is>
          <t>42700-000</t>
        </is>
      </c>
      <c r="H1472" s="15" t="n">
        <v>13</v>
      </c>
      <c r="I1472" s="28" t="inlineStr">
        <is>
          <t>NÃO</t>
        </is>
      </c>
      <c r="J1472" s="29" t="n">
        <v>159.3</v>
      </c>
      <c r="K1472" s="14" t="str">
        <f>IF(J1472="","7. Acima de 2 km",IF(J1472&lt;=50,"1. Até 50 m",IF(J1472&lt;=100,"2. De 50 a 100 m",IF(J1472&lt;=200,"3. De 100 a 200 m",IF(J1472&lt;=300,"4. De 200 a 300 m",IF(J1472&lt;=500,"5. De 300 a 500 m","6. De 500 m a 2 km"))))))</f>
        <v>3. De 100 a 200 m</v>
      </c>
      <c r="L1472" s="26" t="n">
        <v>0</v>
      </c>
      <c r="M1472" s="26" t="n">
        <v>0</v>
      </c>
      <c r="N1472" s="26" t="n">
        <v>1</v>
      </c>
      <c r="O1472" s="26" t="n">
        <v>1</v>
      </c>
      <c r="P1472" s="30" t="n">
        <v>-12.8936987</v>
      </c>
      <c r="Q1472" s="30" t="n">
        <v>-38.3429557</v>
      </c>
      <c r="R1472" s="14" t="inlineStr">
        <is>
          <t>RUA SILVANDIR F. CHAVES, Nº 108, ED. TORRES BUSINESS, LOJA 03, RECREIO IPITANGA, LAURO DE FREITAS/BA</t>
        </is>
      </c>
      <c r="S1472" s="26">
        <f>IF(A1472=A1471,0,1)</f>
        <v>0</v>
      </c>
      <c r="T1472" s="26">
        <f>IF(COUNTIF($B$4:B1472,B1472)=1,1,0)</f>
        <v>0</v>
      </c>
    </row>
    <row r="1473">
      <c r="A1473" s="14" t="inlineStr">
        <is>
          <t>LAURO DE FREITAS</t>
        </is>
      </c>
      <c r="B1473" s="26" t="n">
        <v>180</v>
      </c>
      <c r="C1473" s="26" t="n">
        <v>1686</v>
      </c>
      <c r="D1473" s="14" t="inlineStr">
        <is>
          <t>COLÉGIO ESTADUAL ALFREDO AGOSTINHO DE DEUS</t>
        </is>
      </c>
      <c r="E1473" s="14" t="inlineStr">
        <is>
          <t>ITINGA</t>
        </is>
      </c>
      <c r="F1473" s="14" t="inlineStr">
        <is>
          <t>AVENIDA FORTALEZA S/N - ZONA URBANA</t>
        </is>
      </c>
      <c r="G1473" s="27" t="inlineStr">
        <is>
          <t>42700-000</t>
        </is>
      </c>
      <c r="H1473" s="15" t="n">
        <v>15</v>
      </c>
      <c r="I1473" s="28" t="inlineStr">
        <is>
          <t>NÃO</t>
        </is>
      </c>
      <c r="J1473" s="29" t="n">
        <v>188.9</v>
      </c>
      <c r="K1473" s="14" t="str">
        <f>IF(J1473="","7. Acima de 2 km",IF(J1473&lt;=50,"1. Até 50 m",IF(J1473&lt;=100,"2. De 50 a 100 m",IF(J1473&lt;=200,"3. De 100 a 200 m",IF(J1473&lt;=300,"4. De 200 a 300 m",IF(J1473&lt;=500,"5. De 300 a 500 m","6. De 500 m a 2 km"))))))</f>
        <v>3. De 100 a 200 m</v>
      </c>
      <c r="L1473" s="26" t="n">
        <v>0</v>
      </c>
      <c r="M1473" s="26" t="n">
        <v>0</v>
      </c>
      <c r="N1473" s="26" t="n">
        <v>1</v>
      </c>
      <c r="O1473" s="26" t="n">
        <v>1</v>
      </c>
      <c r="P1473" s="30" t="n">
        <v>-12.895503</v>
      </c>
      <c r="Q1473" s="30" t="n">
        <v>-38.3404443</v>
      </c>
      <c r="R1473" s="14" t="inlineStr">
        <is>
          <t>RUA SILVANDIR F. CHAVES, Nº 108, ED. TORRES BUSINESS, LOJA 03, RECREIO IPITANGA, LAURO DE FREITAS/BA</t>
        </is>
      </c>
      <c r="S1473" s="26">
        <f>IF(A1473=A1472,0,1)</f>
        <v>0</v>
      </c>
      <c r="T1473" s="26">
        <f>IF(COUNTIF($B$4:B1473,B1473)=1,1,0)</f>
        <v>0</v>
      </c>
    </row>
    <row r="1474">
      <c r="A1474" s="14" t="inlineStr">
        <is>
          <t>LAURO DE FREITAS</t>
        </is>
      </c>
      <c r="B1474" s="26" t="n">
        <v>180</v>
      </c>
      <c r="C1474" s="26" t="n">
        <v>1694</v>
      </c>
      <c r="D1474" s="14" t="inlineStr">
        <is>
          <t>ESCOLA MUNICIPAL JARDIM DO TALISMÃ</t>
        </is>
      </c>
      <c r="E1474" s="14" t="inlineStr">
        <is>
          <t>ITINGA</t>
        </is>
      </c>
      <c r="F1474" s="14" t="inlineStr">
        <is>
          <t>LOTEAMENTO JARDIM TALISMÃ, S/N - ZONA URBANA</t>
        </is>
      </c>
      <c r="G1474" s="27" t="inlineStr">
        <is>
          <t>42700-000</t>
        </is>
      </c>
      <c r="H1474" s="15" t="n">
        <v>10</v>
      </c>
      <c r="I1474" s="28" t="inlineStr">
        <is>
          <t>NÃO</t>
        </is>
      </c>
      <c r="J1474" s="29" t="n">
        <v>400.6</v>
      </c>
      <c r="K1474" s="14" t="str">
        <f>IF(J1474="","7. Acima de 2 km",IF(J1474&lt;=50,"1. Até 50 m",IF(J1474&lt;=100,"2. De 50 a 100 m",IF(J1474&lt;=200,"3. De 100 a 200 m",IF(J1474&lt;=300,"4. De 200 a 300 m",IF(J1474&lt;=500,"5. De 300 a 500 m","6. De 500 m a 2 km"))))))</f>
        <v>5. De 300 a 500 m</v>
      </c>
      <c r="L1474" s="26" t="n">
        <v>0</v>
      </c>
      <c r="M1474" s="26" t="n">
        <v>0</v>
      </c>
      <c r="N1474" s="26" t="n">
        <v>0</v>
      </c>
      <c r="O1474" s="26" t="n">
        <v>0</v>
      </c>
      <c r="P1474" s="30" t="n">
        <v>-12.8861598</v>
      </c>
      <c r="Q1474" s="30" t="n">
        <v>-38.3511944</v>
      </c>
      <c r="R1474" s="14" t="inlineStr">
        <is>
          <t>RUA SILVANDIR F. CHAVES, Nº 108, ED. TORRES BUSINESS, LOJA 03, RECREIO IPITANGA, LAURO DE FREITAS/BA</t>
        </is>
      </c>
      <c r="S1474" s="26">
        <f>IF(A1474=A1473,0,1)</f>
        <v>0</v>
      </c>
      <c r="T1474" s="26">
        <f>IF(COUNTIF($B$4:B1474,B1474)=1,1,0)</f>
        <v>0</v>
      </c>
    </row>
    <row r="1475">
      <c r="A1475" s="14" t="inlineStr">
        <is>
          <t>LAURO DE FREITAS</t>
        </is>
      </c>
      <c r="B1475" s="26" t="n">
        <v>180</v>
      </c>
      <c r="C1475" s="26" t="n">
        <v>1708</v>
      </c>
      <c r="D1475" s="14" t="inlineStr">
        <is>
          <t>ESCOLA MUNICIPAL SÔNIA MARIA PEREIRA DO NASCIMENTO</t>
        </is>
      </c>
      <c r="E1475" s="14" t="inlineStr">
        <is>
          <t>ITINGA</t>
        </is>
      </c>
      <c r="F1475" s="14" t="inlineStr">
        <is>
          <t>LOTEAMENTO PARQUE SÃO PAULO S/N - ZONA URBANA</t>
        </is>
      </c>
      <c r="G1475" s="27" t="inlineStr">
        <is>
          <t>42740-490</t>
        </is>
      </c>
      <c r="H1475" s="15" t="n">
        <v>10</v>
      </c>
      <c r="I1475" s="28" t="inlineStr">
        <is>
          <t>NÃO</t>
        </is>
      </c>
      <c r="J1475" s="29" t="n">
        <v>177</v>
      </c>
      <c r="K1475" s="14" t="str">
        <f>IF(J1475="","7. Acima de 2 km",IF(J1475&lt;=50,"1. Até 50 m",IF(J1475&lt;=100,"2. De 50 a 100 m",IF(J1475&lt;=200,"3. De 100 a 200 m",IF(J1475&lt;=300,"4. De 200 a 300 m",IF(J1475&lt;=500,"5. De 300 a 500 m","6. De 500 m a 2 km"))))))</f>
        <v>3. De 100 a 200 m</v>
      </c>
      <c r="L1475" s="26" t="n">
        <v>0</v>
      </c>
      <c r="M1475" s="26" t="n">
        <v>0</v>
      </c>
      <c r="N1475" s="26" t="n">
        <v>1</v>
      </c>
      <c r="O1475" s="26" t="n">
        <v>1</v>
      </c>
      <c r="P1475" s="30" t="n">
        <v>-12.8792893</v>
      </c>
      <c r="Q1475" s="30" t="n">
        <v>-38.3551831</v>
      </c>
      <c r="R1475" s="14" t="inlineStr">
        <is>
          <t>RUA SILVANDIR F. CHAVES, Nº 108, ED. TORRES BUSINESS, LOJA 03, RECREIO IPITANGA, LAURO DE FREITAS/BA</t>
        </is>
      </c>
      <c r="S1475" s="26">
        <f>IF(A1475=A1474,0,1)</f>
        <v>0</v>
      </c>
      <c r="T1475" s="26">
        <f>IF(COUNTIF($B$4:B1475,B1475)=1,1,0)</f>
        <v>0</v>
      </c>
    </row>
    <row r="1476">
      <c r="A1476" s="14" t="inlineStr">
        <is>
          <t>LAURO DE FREITAS</t>
        </is>
      </c>
      <c r="B1476" s="26" t="n">
        <v>180</v>
      </c>
      <c r="C1476" s="26" t="n">
        <v>1716</v>
      </c>
      <c r="D1476" s="14" t="inlineStr">
        <is>
          <t>ESCOLA MUNICIPAL DO LOTEAMENTO SANTA JÚLIA</t>
        </is>
      </c>
      <c r="E1476" s="14" t="inlineStr">
        <is>
          <t>ITINGA</t>
        </is>
      </c>
      <c r="F1476" s="14" t="inlineStr">
        <is>
          <t>LOTEAMENTO SANTA JÚLIA, S/N  - ZONA URBANA</t>
        </is>
      </c>
      <c r="G1476" s="27" t="inlineStr">
        <is>
          <t>42700-000</t>
        </is>
      </c>
      <c r="H1476" s="15" t="n">
        <v>15</v>
      </c>
      <c r="I1476" s="28" t="inlineStr">
        <is>
          <t>SIM</t>
        </is>
      </c>
      <c r="J1476" s="29" t="n">
        <v>64.3</v>
      </c>
      <c r="K1476" s="14" t="str">
        <f>IF(J1476="","7. Acima de 2 km",IF(J1476&lt;=50,"1. Até 50 m",IF(J1476&lt;=100,"2. De 50 a 100 m",IF(J1476&lt;=200,"3. De 100 a 200 m",IF(J1476&lt;=300,"4. De 200 a 300 m",IF(J1476&lt;=500,"5. De 300 a 500 m","6. De 500 m a 2 km"))))))</f>
        <v>2. De 50 a 100 m</v>
      </c>
      <c r="L1476" s="26" t="n">
        <v>0</v>
      </c>
      <c r="M1476" s="26" t="n">
        <v>1</v>
      </c>
      <c r="N1476" s="26" t="n">
        <v>1</v>
      </c>
      <c r="O1476" s="26" t="n">
        <v>1</v>
      </c>
      <c r="P1476" s="30" t="n">
        <v>-12.8887177</v>
      </c>
      <c r="Q1476" s="30" t="n">
        <v>-38.3528656</v>
      </c>
      <c r="R1476" s="14" t="inlineStr">
        <is>
          <t>RUA SILVANDIR F. CHAVES, Nº 108, ED. TORRES BUSINESS, LOJA 03, RECREIO IPITANGA, LAURO DE FREITAS/BA</t>
        </is>
      </c>
      <c r="S1476" s="26">
        <f>IF(A1476=A1475,0,1)</f>
        <v>0</v>
      </c>
      <c r="T1476" s="26">
        <f>IF(COUNTIF($B$4:B1476,B1476)=1,1,0)</f>
        <v>0</v>
      </c>
    </row>
    <row r="1477">
      <c r="A1477" s="14" t="inlineStr">
        <is>
          <t>LAURO DE FREITAS</t>
        </is>
      </c>
      <c r="B1477" s="26" t="n">
        <v>180</v>
      </c>
      <c r="C1477" s="26" t="n">
        <v>1724</v>
      </c>
      <c r="D1477" s="14" t="inlineStr">
        <is>
          <t>ESCOLA MUNICIPAL MERCEDES DO ESPÍRITO SANTO</t>
        </is>
      </c>
      <c r="E1477" s="14" t="inlineStr">
        <is>
          <t>ITINGA</t>
        </is>
      </c>
      <c r="F1477" s="14" t="inlineStr">
        <is>
          <t>RUA SANTA CECÍLIA, S/N - ZONA URBANA</t>
        </is>
      </c>
      <c r="G1477" s="27" t="inlineStr">
        <is>
          <t>42738-795</t>
        </is>
      </c>
      <c r="H1477" s="15" t="n">
        <v>7</v>
      </c>
      <c r="I1477" s="28" t="inlineStr">
        <is>
          <t>NÃO</t>
        </is>
      </c>
      <c r="J1477" s="29" t="n">
        <v>312.1</v>
      </c>
      <c r="K1477" s="14" t="str">
        <f>IF(J1477="","7. Acima de 2 km",IF(J1477&lt;=50,"1. Até 50 m",IF(J1477&lt;=100,"2. De 50 a 100 m",IF(J1477&lt;=200,"3. De 100 a 200 m",IF(J1477&lt;=300,"4. De 200 a 300 m",IF(J1477&lt;=500,"5. De 300 a 500 m","6. De 500 m a 2 km"))))))</f>
        <v>5. De 300 a 500 m</v>
      </c>
      <c r="L1477" s="26" t="n">
        <v>0</v>
      </c>
      <c r="M1477" s="26" t="n">
        <v>0</v>
      </c>
      <c r="N1477" s="26" t="n">
        <v>0</v>
      </c>
      <c r="O1477" s="26" t="n">
        <v>0</v>
      </c>
      <c r="P1477" s="30" t="n">
        <v>-12.901391</v>
      </c>
      <c r="Q1477" s="30" t="n">
        <v>-38.3494854</v>
      </c>
      <c r="R1477" s="14" t="inlineStr">
        <is>
          <t>RUA SILVANDIR F. CHAVES, Nº 108, ED. TORRES BUSINESS, LOJA 03, RECREIO IPITANGA, LAURO DE FREITAS/BA</t>
        </is>
      </c>
      <c r="S1477" s="26">
        <f>IF(A1477=A1476,0,1)</f>
        <v>0</v>
      </c>
      <c r="T1477" s="26">
        <f>IF(COUNTIF($B$4:B1477,B1477)=1,1,0)</f>
        <v>0</v>
      </c>
    </row>
    <row r="1478">
      <c r="A1478" s="14" t="inlineStr">
        <is>
          <t>LAURO DE FREITAS</t>
        </is>
      </c>
      <c r="B1478" s="26" t="n">
        <v>180</v>
      </c>
      <c r="C1478" s="26" t="n">
        <v>1732</v>
      </c>
      <c r="D1478" s="14" t="inlineStr">
        <is>
          <t>ESCOLA MUNICIPAL CAPITULINO DOS SANTOS</t>
        </is>
      </c>
      <c r="E1478" s="14" t="inlineStr">
        <is>
          <t>AREIA BRANCA</t>
        </is>
      </c>
      <c r="F1478" s="14" t="inlineStr">
        <is>
          <t>RUA DIRETA DO JAMBEIRO S/N - ZONA URBANA</t>
        </is>
      </c>
      <c r="G1478" s="27" t="inlineStr">
        <is>
          <t>42700-000</t>
        </is>
      </c>
      <c r="H1478" s="15" t="n">
        <v>4</v>
      </c>
      <c r="I1478" s="28" t="inlineStr">
        <is>
          <t>NÃO</t>
        </is>
      </c>
      <c r="J1478" s="29" t="n"/>
      <c r="K1478" s="14" t="str">
        <f>IF(J1478="","7. Acima de 2 km",IF(J1478&lt;=50,"1. Até 50 m",IF(J1478&lt;=100,"2. De 50 a 100 m",IF(J1478&lt;=200,"3. De 100 a 200 m",IF(J1478&lt;=300,"4. De 200 a 300 m",IF(J1478&lt;=500,"5. De 300 a 500 m","6. De 500 m a 2 km"))))))</f>
        <v>7. Acima de 2 km</v>
      </c>
      <c r="L1478" s="26" t="n">
        <v>0</v>
      </c>
      <c r="M1478" s="26" t="n">
        <v>0</v>
      </c>
      <c r="N1478" s="26" t="n">
        <v>0</v>
      </c>
      <c r="O1478" s="26" t="n">
        <v>0</v>
      </c>
      <c r="P1478" s="30" t="n">
        <v>-12.8389413</v>
      </c>
      <c r="Q1478" s="30" t="n">
        <v>-38.3272723</v>
      </c>
      <c r="R1478" s="14" t="inlineStr">
        <is>
          <t>RUA SILVANDIR F. CHAVES, Nº 108, ED. TORRES BUSINESS, LOJA 03, RECREIO IPITANGA, LAURO DE FREITAS/BA</t>
        </is>
      </c>
      <c r="S1478" s="26">
        <f>IF(A1478=A1477,0,1)</f>
        <v>0</v>
      </c>
      <c r="T1478" s="26">
        <f>IF(COUNTIF($B$4:B1478,B1478)=1,1,0)</f>
        <v>0</v>
      </c>
    </row>
    <row r="1479">
      <c r="A1479" s="14" t="inlineStr">
        <is>
          <t>LAURO DE FREITAS</t>
        </is>
      </c>
      <c r="B1479" s="26" t="n">
        <v>180</v>
      </c>
      <c r="C1479" s="26" t="n">
        <v>1740</v>
      </c>
      <c r="D1479" s="14" t="inlineStr">
        <is>
          <t>ESCOLA MUNICIPAL DOIS DE JULHO</t>
        </is>
      </c>
      <c r="E1479" s="14" t="inlineStr">
        <is>
          <t>ITINGA</t>
        </is>
      </c>
      <c r="F1479" s="14" t="inlineStr">
        <is>
          <t>RUA SÃO CRISTÓVÃO, S/N - ZONA URBANA</t>
        </is>
      </c>
      <c r="G1479" s="27" t="inlineStr">
        <is>
          <t>42700-000</t>
        </is>
      </c>
      <c r="H1479" s="15" t="n">
        <v>16</v>
      </c>
      <c r="I1479" s="28" t="inlineStr">
        <is>
          <t>SIM</t>
        </is>
      </c>
      <c r="J1479" s="29" t="n">
        <v>78.2</v>
      </c>
      <c r="K1479" s="14" t="str">
        <f>IF(J1479="","7. Acima de 2 km",IF(J1479&lt;=50,"1. Até 50 m",IF(J1479&lt;=100,"2. De 50 a 100 m",IF(J1479&lt;=200,"3. De 100 a 200 m",IF(J1479&lt;=300,"4. De 200 a 300 m",IF(J1479&lt;=500,"5. De 300 a 500 m","6. De 500 m a 2 km"))))))</f>
        <v>2. De 50 a 100 m</v>
      </c>
      <c r="L1479" s="26" t="n">
        <v>0</v>
      </c>
      <c r="M1479" s="26" t="n">
        <v>1</v>
      </c>
      <c r="N1479" s="26" t="n">
        <v>1</v>
      </c>
      <c r="O1479" s="26" t="n">
        <v>1</v>
      </c>
      <c r="P1479" s="30" t="n">
        <v>-12.8898133</v>
      </c>
      <c r="Q1479" s="30" t="n">
        <v>-38.3534827</v>
      </c>
      <c r="R1479" s="14" t="inlineStr">
        <is>
          <t>RUA SILVANDIR F. CHAVES, Nº 108, ED. TORRES BUSINESS, LOJA 03, RECREIO IPITANGA, LAURO DE FREITAS/BA</t>
        </is>
      </c>
      <c r="S1479" s="26">
        <f>IF(A1479=A1478,0,1)</f>
        <v>0</v>
      </c>
      <c r="T1479" s="26">
        <f>IF(COUNTIF($B$4:B1479,B1479)=1,1,0)</f>
        <v>0</v>
      </c>
    </row>
    <row r="1480">
      <c r="A1480" s="14" t="inlineStr">
        <is>
          <t>LAURO DE FREITAS</t>
        </is>
      </c>
      <c r="B1480" s="26" t="n">
        <v>180</v>
      </c>
      <c r="C1480" s="26" t="n">
        <v>1759</v>
      </c>
      <c r="D1480" s="14" t="inlineStr">
        <is>
          <t>ESCOLA MUNICIPAL SANTA RITA</t>
        </is>
      </c>
      <c r="E1480" s="14" t="inlineStr">
        <is>
          <t>ITINGA</t>
        </is>
      </c>
      <c r="F1480" s="14" t="inlineStr">
        <is>
          <t>PARQUE SANTA RITA - SETOR 1, S/N - ZONA URBANA</t>
        </is>
      </c>
      <c r="G1480" s="27" t="inlineStr">
        <is>
          <t>42740-040</t>
        </is>
      </c>
      <c r="H1480" s="15" t="n">
        <v>10</v>
      </c>
      <c r="I1480" s="28" t="inlineStr">
        <is>
          <t>NÃO</t>
        </is>
      </c>
      <c r="J1480" s="29" t="n">
        <v>221.8</v>
      </c>
      <c r="K1480" s="14" t="str">
        <f>IF(J1480="","7. Acima de 2 km",IF(J1480&lt;=50,"1. Até 50 m",IF(J1480&lt;=100,"2. De 50 a 100 m",IF(J1480&lt;=200,"3. De 100 a 200 m",IF(J1480&lt;=300,"4. De 200 a 300 m",IF(J1480&lt;=500,"5. De 300 a 500 m","6. De 500 m a 2 km"))))))</f>
        <v>4. De 200 a 300 m</v>
      </c>
      <c r="L1480" s="26" t="n">
        <v>0</v>
      </c>
      <c r="M1480" s="26" t="n">
        <v>0</v>
      </c>
      <c r="N1480" s="26" t="n">
        <v>0</v>
      </c>
      <c r="O1480" s="26" t="n">
        <v>3</v>
      </c>
      <c r="P1480" s="30" t="n">
        <v>-12.8910525</v>
      </c>
      <c r="Q1480" s="30" t="n">
        <v>-38.3526815</v>
      </c>
      <c r="R1480" s="14" t="inlineStr">
        <is>
          <t>RUA SILVANDIR F. CHAVES, Nº 108, ED. TORRES BUSINESS, LOJA 03, RECREIO IPITANGA, LAURO DE FREITAS/BA</t>
        </is>
      </c>
      <c r="S1480" s="26">
        <f>IF(A1480=A1479,0,1)</f>
        <v>0</v>
      </c>
      <c r="T1480" s="26">
        <f>IF(COUNTIF($B$4:B1480,B1480)=1,1,0)</f>
        <v>0</v>
      </c>
    </row>
    <row r="1481">
      <c r="A1481" s="14" t="inlineStr">
        <is>
          <t>LAURO DE FREITAS</t>
        </is>
      </c>
      <c r="B1481" s="26" t="n">
        <v>180</v>
      </c>
      <c r="C1481" s="26" t="n">
        <v>1775</v>
      </c>
      <c r="D1481" s="14" t="inlineStr">
        <is>
          <t>ESCOLA MUNICIPAL JARDIM IPITANGA</t>
        </is>
      </c>
      <c r="E1481" s="14" t="inlineStr">
        <is>
          <t>CAJI</t>
        </is>
      </c>
      <c r="F1481" s="14" t="inlineStr">
        <is>
          <t>RUA MARIA DE LOURDES DA SILVA, S/N</t>
        </is>
      </c>
      <c r="G1481" s="27" t="inlineStr">
        <is>
          <t>42721-190</t>
        </is>
      </c>
      <c r="H1481" s="15" t="n">
        <v>6</v>
      </c>
      <c r="I1481" s="28" t="inlineStr">
        <is>
          <t>NÃO</t>
        </is>
      </c>
      <c r="J1481" s="29" t="n">
        <v>684.2</v>
      </c>
      <c r="K1481" s="14" t="str">
        <f>IF(J1481="","7. Acima de 2 km",IF(J1481&lt;=50,"1. Até 50 m",IF(J1481&lt;=100,"2. De 50 a 100 m",IF(J1481&lt;=200,"3. De 100 a 200 m",IF(J1481&lt;=300,"4. De 200 a 300 m",IF(J1481&lt;=500,"5. De 300 a 500 m","6. De 500 m a 2 km"))))))</f>
        <v>6. De 500 m a 2 km</v>
      </c>
      <c r="L1481" s="26" t="n">
        <v>0</v>
      </c>
      <c r="M1481" s="26" t="n">
        <v>0</v>
      </c>
      <c r="N1481" s="26" t="n">
        <v>0</v>
      </c>
      <c r="O1481" s="26" t="n">
        <v>0</v>
      </c>
      <c r="P1481" s="30" t="n">
        <v>-12.8770787</v>
      </c>
      <c r="Q1481" s="30" t="n">
        <v>-38.3367951</v>
      </c>
      <c r="R1481" s="14" t="inlineStr">
        <is>
          <t>RUA SILVANDIR F. CHAVES, Nº 108, ED. TORRES BUSINESS, LOJA 03, RECREIO IPITANGA, LAURO DE FREITAS/BA</t>
        </is>
      </c>
      <c r="S1481" s="26">
        <f>IF(A1481=A1480,0,1)</f>
        <v>0</v>
      </c>
      <c r="T1481" s="26">
        <f>IF(COUNTIF($B$4:B1481,B1481)=1,1,0)</f>
        <v>0</v>
      </c>
    </row>
    <row r="1482">
      <c r="A1482" s="14" t="inlineStr">
        <is>
          <t>LAURO DE FREITAS</t>
        </is>
      </c>
      <c r="B1482" s="26" t="n">
        <v>180</v>
      </c>
      <c r="C1482" s="26" t="n">
        <v>1783</v>
      </c>
      <c r="D1482" s="14" t="inlineStr">
        <is>
          <t>IFBA CAMPUS LAURO DE FREITAS</t>
        </is>
      </c>
      <c r="E1482" s="14" t="inlineStr">
        <is>
          <t>ITINGA</t>
        </is>
      </c>
      <c r="F1482" s="14" t="inlineStr">
        <is>
          <t>RUA SÃO CRISTÓVÃO, S/N - ZONA URBANA</t>
        </is>
      </c>
      <c r="G1482" s="27" t="inlineStr">
        <is>
          <t>42739-005</t>
        </is>
      </c>
      <c r="H1482" s="15" t="n">
        <v>7</v>
      </c>
      <c r="I1482" s="28" t="inlineStr">
        <is>
          <t>NÃO</t>
        </is>
      </c>
      <c r="J1482" s="29" t="n">
        <v>139</v>
      </c>
      <c r="K1482" s="14" t="str">
        <f>IF(J1482="","7. Acima de 2 km",IF(J1482&lt;=50,"1. Até 50 m",IF(J1482&lt;=100,"2. De 50 a 100 m",IF(J1482&lt;=200,"3. De 100 a 200 m",IF(J1482&lt;=300,"4. De 200 a 300 m",IF(J1482&lt;=500,"5. De 300 a 500 m","6. De 500 m a 2 km"))))))</f>
        <v>3. De 100 a 200 m</v>
      </c>
      <c r="L1482" s="26" t="n">
        <v>0</v>
      </c>
      <c r="M1482" s="26" t="n">
        <v>0</v>
      </c>
      <c r="N1482" s="26" t="n">
        <v>1</v>
      </c>
      <c r="O1482" s="26" t="n">
        <v>1</v>
      </c>
      <c r="P1482" s="30" t="n">
        <v>-12.8902151</v>
      </c>
      <c r="Q1482" s="30" t="n">
        <v>-38.3539247</v>
      </c>
      <c r="R1482" s="14" t="inlineStr">
        <is>
          <t>RUA SILVANDIR F. CHAVES, Nº 108, ED. TORRES BUSINESS, LOJA 03, RECREIO IPITANGA, LAURO DE FREITAS/BA</t>
        </is>
      </c>
      <c r="S1482" s="26">
        <f>IF(A1482=A1481,0,1)</f>
        <v>0</v>
      </c>
      <c r="T1482" s="26">
        <f>IF(COUNTIF($B$4:B1482,B1482)=1,1,0)</f>
        <v>0</v>
      </c>
    </row>
    <row r="1483">
      <c r="A1483" s="14" t="inlineStr">
        <is>
          <t>LAURO DE FREITAS</t>
        </is>
      </c>
      <c r="B1483" s="26" t="n">
        <v>180</v>
      </c>
      <c r="C1483" s="26" t="n">
        <v>1805</v>
      </c>
      <c r="D1483" s="14" t="inlineStr">
        <is>
          <t>SENAI LAURO DE FREITAS</t>
        </is>
      </c>
      <c r="E1483" s="14" t="inlineStr">
        <is>
          <t>CENTRO</t>
        </is>
      </c>
      <c r="F1483" s="14" t="inlineStr">
        <is>
          <t>AV. LUIZ TARQUÍNIO PONTES, N 938 - ZONA URBANA</t>
        </is>
      </c>
      <c r="G1483" s="27" t="inlineStr">
        <is>
          <t>42702-420</t>
        </is>
      </c>
      <c r="H1483" s="15" t="n">
        <v>11</v>
      </c>
      <c r="I1483" s="28" t="inlineStr">
        <is>
          <t>NÃO</t>
        </is>
      </c>
      <c r="J1483" s="29" t="n">
        <v>203.7</v>
      </c>
      <c r="K1483" s="14" t="str">
        <f>IF(J1483="","7. Acima de 2 km",IF(J1483&lt;=50,"1. Até 50 m",IF(J1483&lt;=100,"2. De 50 a 100 m",IF(J1483&lt;=200,"3. De 100 a 200 m",IF(J1483&lt;=300,"4. De 200 a 300 m",IF(J1483&lt;=500,"5. De 300 a 500 m","6. De 500 m a 2 km"))))))</f>
        <v>4. De 200 a 300 m</v>
      </c>
      <c r="L1483" s="26" t="n">
        <v>0</v>
      </c>
      <c r="M1483" s="26" t="n">
        <v>0</v>
      </c>
      <c r="N1483" s="26" t="n">
        <v>0</v>
      </c>
      <c r="O1483" s="26" t="n">
        <v>1</v>
      </c>
      <c r="P1483" s="30" t="n">
        <v>-12.8903713</v>
      </c>
      <c r="Q1483" s="30" t="n">
        <v>-38.3128498</v>
      </c>
      <c r="R1483" s="14" t="inlineStr">
        <is>
          <t>RUA SILVANDIR F. CHAVES, Nº 108, ED. TORRES BUSINESS, LOJA 03, RECREIO IPITANGA, LAURO DE FREITAS/BA</t>
        </is>
      </c>
      <c r="S1483" s="26">
        <f>IF(A1483=A1482,0,1)</f>
        <v>0</v>
      </c>
      <c r="T1483" s="26">
        <f>IF(COUNTIF($B$4:B1483,B1483)=1,1,0)</f>
        <v>0</v>
      </c>
    </row>
    <row r="1484">
      <c r="A1484" s="14" t="inlineStr">
        <is>
          <t>LAURO DE FREITAS</t>
        </is>
      </c>
      <c r="B1484" s="26" t="n">
        <v>180</v>
      </c>
      <c r="C1484" s="26" t="n">
        <v>1813</v>
      </c>
      <c r="D1484" s="14" t="inlineStr">
        <is>
          <t>CENTRO MUNICIPAL DE EDUCAÇÃO INFANTIL DOUTOR DJALMA RAMOS</t>
        </is>
      </c>
      <c r="E1484" s="14" t="inlineStr">
        <is>
          <t>VIDA NOVA</t>
        </is>
      </c>
      <c r="F1484" s="14" t="inlineStr">
        <is>
          <t>RUA DE PENETRAÇÃO I S/N</t>
        </is>
      </c>
      <c r="G1484" s="27" t="inlineStr">
        <is>
          <t>42717-650</t>
        </is>
      </c>
      <c r="H1484" s="15" t="n">
        <v>5</v>
      </c>
      <c r="I1484" s="28" t="inlineStr">
        <is>
          <t>NÃO</t>
        </is>
      </c>
      <c r="J1484" s="29" t="n">
        <v>245.4</v>
      </c>
      <c r="K1484" s="14" t="str">
        <f>IF(J1484="","7. Acima de 2 km",IF(J1484&lt;=50,"1. Até 50 m",IF(J1484&lt;=100,"2. De 50 a 100 m",IF(J1484&lt;=200,"3. De 100 a 200 m",IF(J1484&lt;=300,"4. De 200 a 300 m",IF(J1484&lt;=500,"5. De 300 a 500 m","6. De 500 m a 2 km"))))))</f>
        <v>4. De 200 a 300 m</v>
      </c>
      <c r="L1484" s="26" t="n">
        <v>0</v>
      </c>
      <c r="M1484" s="26" t="n">
        <v>0</v>
      </c>
      <c r="N1484" s="26" t="n">
        <v>0</v>
      </c>
      <c r="O1484" s="26" t="n">
        <v>1</v>
      </c>
      <c r="P1484" s="30" t="n">
        <v>-12.8790918</v>
      </c>
      <c r="Q1484" s="30" t="n">
        <v>-38.3332173</v>
      </c>
      <c r="R1484" s="14" t="inlineStr">
        <is>
          <t>RUA SILVANDIR F. CHAVES, Nº 108, ED. TORRES BUSINESS, LOJA 03, RECREIO IPITANGA, LAURO DE FREITAS/BA</t>
        </is>
      </c>
      <c r="S1484" s="26">
        <f>IF(A1484=A1483,0,1)</f>
        <v>0</v>
      </c>
      <c r="T1484" s="26">
        <f>IF(COUNTIF($B$4:B1484,B1484)=1,1,0)</f>
        <v>0</v>
      </c>
    </row>
    <row r="1485">
      <c r="A1485" s="14" t="inlineStr">
        <is>
          <t>LENÇÓIS</t>
        </is>
      </c>
      <c r="B1485" s="26" t="n">
        <v>89</v>
      </c>
      <c r="C1485" s="26" t="n">
        <v>1023</v>
      </c>
      <c r="D1485" s="14" t="inlineStr">
        <is>
          <t>CENTRO EDUCACIONAL RENATO PEREIRA VIANA</t>
        </is>
      </c>
      <c r="E1485" s="14" t="inlineStr">
        <is>
          <t>CENTRO</t>
        </is>
      </c>
      <c r="F1485" s="14" t="inlineStr">
        <is>
          <t>RUA JOSÉ FLORÊNCIO 36 - ZONA URBANA</t>
        </is>
      </c>
      <c r="G1485" s="27" t="inlineStr">
        <is>
          <t>46960-000</t>
        </is>
      </c>
      <c r="H1485" s="15" t="n">
        <v>6</v>
      </c>
      <c r="I1485" s="28" t="inlineStr">
        <is>
          <t>NÃO</t>
        </is>
      </c>
      <c r="J1485" s="29" t="n">
        <v>211.7</v>
      </c>
      <c r="K1485" s="14" t="str">
        <f>IF(J1485="","7. Acima de 2 km",IF(J1485&lt;=50,"1. Até 50 m",IF(J1485&lt;=100,"2. De 50 a 100 m",IF(J1485&lt;=200,"3. De 100 a 200 m",IF(J1485&lt;=300,"4. De 200 a 300 m",IF(J1485&lt;=500,"5. De 300 a 500 m","6. De 500 m a 2 km"))))))</f>
        <v>4. De 200 a 300 m</v>
      </c>
      <c r="L1485" s="26" t="n">
        <v>0</v>
      </c>
      <c r="M1485" s="26" t="n">
        <v>0</v>
      </c>
      <c r="N1485" s="26" t="n">
        <v>0</v>
      </c>
      <c r="O1485" s="26" t="n">
        <v>3</v>
      </c>
      <c r="P1485" s="30" t="n">
        <v>-12.5629496</v>
      </c>
      <c r="Q1485" s="30" t="n">
        <v>-41.3879062</v>
      </c>
      <c r="R1485" s="14" t="inlineStr">
        <is>
          <t>CARTORIO ELEITORAL ZONA 089 - RODOVIA BA 144, AVENIDA CORONEL FELISBERTO SÁ, Nº 113 - CENTRO, LENÇÓIS/BA</t>
        </is>
      </c>
      <c r="S1485" s="26">
        <f>IF(A1485=A1484,0,1)</f>
        <v>1</v>
      </c>
      <c r="T1485" s="26">
        <f>IF(COUNTIF($B$4:B1485,B1485)=1,1,0)</f>
        <v>1</v>
      </c>
    </row>
    <row r="1486">
      <c r="A1486" s="14" t="inlineStr">
        <is>
          <t>LENÇÓIS</t>
        </is>
      </c>
      <c r="B1486" s="26" t="n">
        <v>89</v>
      </c>
      <c r="C1486" s="26" t="n">
        <v>1058</v>
      </c>
      <c r="D1486" s="14" t="inlineStr">
        <is>
          <t>ESCOLA TEREZINHA GUERRA DE ATHAYDE MACEDO</t>
        </is>
      </c>
      <c r="E1486" s="14" t="inlineStr">
        <is>
          <t>POVOADO REMANSO</t>
        </is>
      </c>
      <c r="F1486" s="14" t="inlineStr">
        <is>
          <t>POVOADO REMANSO - ZONA RURAL</t>
        </is>
      </c>
      <c r="G1486" s="27" t="inlineStr">
        <is>
          <t>46960-000</t>
        </is>
      </c>
      <c r="H1486" s="15" t="n">
        <v>1</v>
      </c>
      <c r="I1486" s="28" t="inlineStr">
        <is>
          <t>NÃO</t>
        </is>
      </c>
      <c r="J1486" s="29" t="n"/>
      <c r="K1486" s="14" t="str">
        <f>IF(J1486="","7. Acima de 2 km",IF(J1486&lt;=50,"1. Até 50 m",IF(J1486&lt;=100,"2. De 50 a 100 m",IF(J1486&lt;=200,"3. De 100 a 200 m",IF(J1486&lt;=300,"4. De 200 a 300 m",IF(J1486&lt;=500,"5. De 300 a 500 m","6. De 500 m a 2 km"))))))</f>
        <v>7. Acima de 2 km</v>
      </c>
      <c r="L1486" s="26" t="n">
        <v>0</v>
      </c>
      <c r="M1486" s="26" t="n">
        <v>0</v>
      </c>
      <c r="N1486" s="26" t="n">
        <v>0</v>
      </c>
      <c r="O1486" s="26" t="n">
        <v>0</v>
      </c>
      <c r="P1486" s="30" t="n">
        <v>-12.66319202</v>
      </c>
      <c r="Q1486" s="30" t="n">
        <v>-41.33222778</v>
      </c>
      <c r="R1486" s="14" t="inlineStr">
        <is>
          <t>CARTORIO ELEITORAL ZONA 089 - RODOVIA BA 144, AVENIDA CORONEL FELISBERTO SÁ, Nº 113 - CENTRO, LENÇÓIS/BA</t>
        </is>
      </c>
      <c r="S1486" s="26">
        <f>IF(A1486=A1485,0,1)</f>
        <v>0</v>
      </c>
      <c r="T1486" s="26">
        <f>IF(COUNTIF($B$4:B1486,B1486)=1,1,0)</f>
        <v>0</v>
      </c>
    </row>
    <row r="1487">
      <c r="A1487" s="14" t="inlineStr">
        <is>
          <t>LENÇÓIS</t>
        </is>
      </c>
      <c r="B1487" s="26" t="n">
        <v>89</v>
      </c>
      <c r="C1487" s="26" t="n">
        <v>1066</v>
      </c>
      <c r="D1487" s="14" t="inlineStr">
        <is>
          <t>PRÉDIO ESCOLAR FERNANDO SALES</t>
        </is>
      </c>
      <c r="E1487" s="14" t="inlineStr">
        <is>
          <t>DISTRITO AFRÂNIO PEIXOTO</t>
        </is>
      </c>
      <c r="F1487" s="14" t="inlineStr">
        <is>
          <t>DISTRITO AFRÂNIO PEIXOTO - ZONA RURAL</t>
        </is>
      </c>
      <c r="G1487" s="27" t="inlineStr">
        <is>
          <t>46965-000</t>
        </is>
      </c>
      <c r="H1487" s="15" t="n">
        <v>2</v>
      </c>
      <c r="I1487" s="28" t="inlineStr">
        <is>
          <t>NÃO</t>
        </is>
      </c>
      <c r="J1487" s="29" t="n"/>
      <c r="K1487" s="14" t="str">
        <f>IF(J1487="","7. Acima de 2 km",IF(J1487&lt;=50,"1. Até 50 m",IF(J1487&lt;=100,"2. De 50 a 100 m",IF(J1487&lt;=200,"3. De 100 a 200 m",IF(J1487&lt;=300,"4. De 200 a 300 m",IF(J1487&lt;=500,"5. De 300 a 500 m","6. De 500 m a 2 km"))))))</f>
        <v>7. Acima de 2 km</v>
      </c>
      <c r="L1487" s="26" t="n">
        <v>0</v>
      </c>
      <c r="M1487" s="26" t="n">
        <v>0</v>
      </c>
      <c r="N1487" s="26" t="n">
        <v>0</v>
      </c>
      <c r="O1487" s="26" t="n">
        <v>0</v>
      </c>
      <c r="P1487" s="30" t="n">
        <v>-12.2874999</v>
      </c>
      <c r="Q1487" s="30" t="n">
        <v>-41.4188646</v>
      </c>
      <c r="R1487" s="14" t="inlineStr">
        <is>
          <t>CARTORIO ELEITORAL ZONA 089 - RODOVIA BA 144, AVENIDA CORONEL FELISBERTO SÁ, Nº 113 - CENTRO, LENÇÓIS/BA</t>
        </is>
      </c>
      <c r="S1487" s="26">
        <f>IF(A1487=A1486,0,1)</f>
        <v>0</v>
      </c>
      <c r="T1487" s="26">
        <f>IF(COUNTIF($B$4:B1487,B1487)=1,1,0)</f>
        <v>0</v>
      </c>
    </row>
    <row r="1488">
      <c r="A1488" s="14" t="inlineStr">
        <is>
          <t>LENÇÓIS</t>
        </is>
      </c>
      <c r="B1488" s="26" t="n">
        <v>89</v>
      </c>
      <c r="C1488" s="26" t="n">
        <v>1082</v>
      </c>
      <c r="D1488" s="14" t="inlineStr">
        <is>
          <t>ESCOLA MUNICIPAL OCTAVIANO ALVES</t>
        </is>
      </c>
      <c r="E1488" s="14" t="inlineStr">
        <is>
          <t>POVOADO CORONEL OCTAVIANO ALVES</t>
        </is>
      </c>
      <c r="F1488" s="14" t="inlineStr">
        <is>
          <t>RUA DA IGREJA - ZONA RURAL</t>
        </is>
      </c>
      <c r="G1488" s="27" t="inlineStr">
        <is>
          <t>46960-000</t>
        </is>
      </c>
      <c r="H1488" s="15" t="n">
        <v>3</v>
      </c>
      <c r="I1488" s="28" t="inlineStr">
        <is>
          <t>NÃO</t>
        </is>
      </c>
      <c r="J1488" s="29" t="n">
        <v>118.9</v>
      </c>
      <c r="K1488" s="14" t="str">
        <f>IF(J1488="","7. Acima de 2 km",IF(J1488&lt;=50,"1. Até 50 m",IF(J1488&lt;=100,"2. De 50 a 100 m",IF(J1488&lt;=200,"3. De 100 a 200 m",IF(J1488&lt;=300,"4. De 200 a 300 m",IF(J1488&lt;=500,"5. De 300 a 500 m","6. De 500 m a 2 km"))))))</f>
        <v>3. De 100 a 200 m</v>
      </c>
      <c r="L1488" s="26" t="n">
        <v>0</v>
      </c>
      <c r="M1488" s="26" t="n">
        <v>0</v>
      </c>
      <c r="N1488" s="26" t="n">
        <v>1</v>
      </c>
      <c r="O1488" s="26" t="n">
        <v>1</v>
      </c>
      <c r="P1488" s="30" t="n">
        <v>-12.49892995</v>
      </c>
      <c r="Q1488" s="30" t="n">
        <v>-41.2941971</v>
      </c>
      <c r="R1488" s="14" t="inlineStr">
        <is>
          <t>CARTORIO ELEITORAL ZONA 089 - RODOVIA BA 144, AVENIDA CORONEL FELISBERTO SÁ, Nº 113 - CENTRO, LENÇÓIS/BA</t>
        </is>
      </c>
      <c r="S1488" s="26">
        <f>IF(A1488=A1487,0,1)</f>
        <v>0</v>
      </c>
      <c r="T1488" s="26">
        <f>IF(COUNTIF($B$4:B1488,B1488)=1,1,0)</f>
        <v>0</v>
      </c>
    </row>
    <row r="1489">
      <c r="A1489" s="14" t="inlineStr">
        <is>
          <t>LENÇÓIS</t>
        </is>
      </c>
      <c r="B1489" s="26" t="n">
        <v>89</v>
      </c>
      <c r="C1489" s="26" t="n">
        <v>1112</v>
      </c>
      <c r="D1489" s="14" t="inlineStr">
        <is>
          <t>ESCOLA MUNICIPAL MARIA ALDA RIBEIRO DE ANDRADE</t>
        </is>
      </c>
      <c r="E1489" s="14" t="inlineStr">
        <is>
          <t>POVOADO RIACHÃOZINHO</t>
        </is>
      </c>
      <c r="F1489" s="14" t="inlineStr">
        <is>
          <t>POVOADO RIACHÃOZINHO - ZONA RURAL</t>
        </is>
      </c>
      <c r="G1489" s="27" t="inlineStr">
        <is>
          <t>46960-000</t>
        </is>
      </c>
      <c r="H1489" s="15" t="n">
        <v>1</v>
      </c>
      <c r="I1489" s="28" t="inlineStr">
        <is>
          <t>NÃO</t>
        </is>
      </c>
      <c r="J1489" s="29" t="n"/>
      <c r="K1489" s="14" t="str">
        <f>IF(J1489="","7. Acima de 2 km",IF(J1489&lt;=50,"1. Até 50 m",IF(J1489&lt;=100,"2. De 50 a 100 m",IF(J1489&lt;=200,"3. De 100 a 200 m",IF(J1489&lt;=300,"4. De 200 a 300 m",IF(J1489&lt;=500,"5. De 300 a 500 m","6. De 500 m a 2 km"))))))</f>
        <v>7. Acima de 2 km</v>
      </c>
      <c r="L1489" s="26" t="n">
        <v>0</v>
      </c>
      <c r="M1489" s="26" t="n">
        <v>0</v>
      </c>
      <c r="N1489" s="26" t="n">
        <v>0</v>
      </c>
      <c r="O1489" s="26" t="n">
        <v>0</v>
      </c>
      <c r="P1489" s="30" t="n">
        <v>-12.23426191</v>
      </c>
      <c r="Q1489" s="30" t="n">
        <v>-41.30949304</v>
      </c>
      <c r="R1489" s="14" t="inlineStr">
        <is>
          <t>CARTORIO ELEITORAL ZONA 089 - RODOVIA BA 144, AVENIDA CORONEL FELISBERTO SÁ, Nº 113 - CENTRO, LENÇÓIS/BA</t>
        </is>
      </c>
      <c r="S1489" s="26">
        <f>IF(A1489=A1488,0,1)</f>
        <v>0</v>
      </c>
      <c r="T1489" s="26">
        <f>IF(COUNTIF($B$4:B1489,B1489)=1,1,0)</f>
        <v>0</v>
      </c>
    </row>
    <row r="1490">
      <c r="A1490" s="14" t="inlineStr">
        <is>
          <t>LENÇÓIS</t>
        </is>
      </c>
      <c r="B1490" s="26" t="n">
        <v>89</v>
      </c>
      <c r="C1490" s="26" t="n">
        <v>1120</v>
      </c>
      <c r="D1490" s="14" t="inlineStr">
        <is>
          <t>ESCOLA MUNICIPAL LINDOLFO SANTOS ALMEIDA</t>
        </is>
      </c>
      <c r="E1490" s="14" t="inlineStr">
        <is>
          <t>POVOADO SÃO JOSÉ DE UTINGA</t>
        </is>
      </c>
      <c r="F1490" s="14" t="inlineStr">
        <is>
          <t>POVOADO SÃO JOSÉ DE UTINGA - ZONA RURAL</t>
        </is>
      </c>
      <c r="G1490" s="27" t="inlineStr">
        <is>
          <t>46960-000</t>
        </is>
      </c>
      <c r="H1490" s="15" t="n">
        <v>1</v>
      </c>
      <c r="I1490" s="28" t="inlineStr">
        <is>
          <t>NÃO</t>
        </is>
      </c>
      <c r="J1490" s="29" t="n"/>
      <c r="K1490" s="14" t="str">
        <f>IF(J1490="","7. Acima de 2 km",IF(J1490&lt;=50,"1. Até 50 m",IF(J1490&lt;=100,"2. De 50 a 100 m",IF(J1490&lt;=200,"3. De 100 a 200 m",IF(J1490&lt;=300,"4. De 200 a 300 m",IF(J1490&lt;=500,"5. De 300 a 500 m","6. De 500 m a 2 km"))))))</f>
        <v>7. Acima de 2 km</v>
      </c>
      <c r="L1490" s="26" t="n">
        <v>0</v>
      </c>
      <c r="M1490" s="26" t="n">
        <v>0</v>
      </c>
      <c r="N1490" s="26" t="n">
        <v>0</v>
      </c>
      <c r="O1490" s="26" t="n">
        <v>0</v>
      </c>
      <c r="P1490" s="30" t="n">
        <v>-12.50418363</v>
      </c>
      <c r="Q1490" s="30" t="n">
        <v>-41.20942343</v>
      </c>
      <c r="R1490" s="14" t="inlineStr">
        <is>
          <t>CARTORIO ELEITORAL ZONA 089 - RODOVIA BA 144, AVENIDA CORONEL FELISBERTO SÁ, Nº 113 - CENTRO, LENÇÓIS/BA</t>
        </is>
      </c>
      <c r="S1490" s="26">
        <f>IF(A1490=A1489,0,1)</f>
        <v>0</v>
      </c>
      <c r="T1490" s="26">
        <f>IF(COUNTIF($B$4:B1490,B1490)=1,1,0)</f>
        <v>0</v>
      </c>
    </row>
    <row r="1491">
      <c r="A1491" s="14" t="inlineStr">
        <is>
          <t>LENÇÓIS</t>
        </is>
      </c>
      <c r="B1491" s="26" t="n">
        <v>89</v>
      </c>
      <c r="C1491" s="26" t="n">
        <v>1139</v>
      </c>
      <c r="D1491" s="14" t="inlineStr">
        <is>
          <t>ESCOLA MUNICIPAL JOSÉ SENA</t>
        </is>
      </c>
      <c r="E1491" s="14" t="inlineStr">
        <is>
          <t>CENTRO</t>
        </is>
      </c>
      <c r="F1491" s="14" t="inlineStr">
        <is>
          <t>RUA VAI QUEM QUER, S/N - ZONA URBANA</t>
        </is>
      </c>
      <c r="G1491" s="27" t="inlineStr">
        <is>
          <t>46960-000</t>
        </is>
      </c>
      <c r="H1491" s="15" t="n">
        <v>2</v>
      </c>
      <c r="I1491" s="28" t="inlineStr">
        <is>
          <t>NÃO</t>
        </is>
      </c>
      <c r="J1491" s="29" t="n">
        <v>112.2</v>
      </c>
      <c r="K1491" s="14" t="str">
        <f>IF(J1491="","7. Acima de 2 km",IF(J1491&lt;=50,"1. Até 50 m",IF(J1491&lt;=100,"2. De 50 a 100 m",IF(J1491&lt;=200,"3. De 100 a 200 m",IF(J1491&lt;=300,"4. De 200 a 300 m",IF(J1491&lt;=500,"5. De 300 a 500 m","6. De 500 m a 2 km"))))))</f>
        <v>3. De 100 a 200 m</v>
      </c>
      <c r="L1491" s="26" t="n">
        <v>0</v>
      </c>
      <c r="M1491" s="26" t="n">
        <v>0</v>
      </c>
      <c r="N1491" s="26" t="n">
        <v>1</v>
      </c>
      <c r="O1491" s="26" t="n">
        <v>3</v>
      </c>
      <c r="P1491" s="30" t="n">
        <v>-12.5603709</v>
      </c>
      <c r="Q1491" s="30" t="n">
        <v>-41.3879177</v>
      </c>
      <c r="R1491" s="14" t="inlineStr">
        <is>
          <t>CARTORIO ELEITORAL ZONA 089 - RODOVIA BA 144, AVENIDA CORONEL FELISBERTO SÁ, Nº 113 - CENTRO, LENÇÓIS/BA</t>
        </is>
      </c>
      <c r="S1491" s="26">
        <f>IF(A1491=A1490,0,1)</f>
        <v>0</v>
      </c>
      <c r="T1491" s="26">
        <f>IF(COUNTIF($B$4:B1491,B1491)=1,1,0)</f>
        <v>0</v>
      </c>
    </row>
    <row r="1492">
      <c r="A1492" s="14" t="inlineStr">
        <is>
          <t>LENÇÓIS</t>
        </is>
      </c>
      <c r="B1492" s="26" t="n">
        <v>89</v>
      </c>
      <c r="C1492" s="26" t="n">
        <v>1147</v>
      </c>
      <c r="D1492" s="14" t="inlineStr">
        <is>
          <t>NÚCLEO DE EDUCAÇÃO INFANTIL IVANY ALCÂNTARA DE SOUZA</t>
        </is>
      </c>
      <c r="E1492" s="14" t="inlineStr">
        <is>
          <t>CENTRO</t>
        </is>
      </c>
      <c r="F1492" s="14" t="inlineStr">
        <is>
          <t>AVENIDA SENHOR DOS PASSOS S/N - ZONA URBANA</t>
        </is>
      </c>
      <c r="G1492" s="27" t="inlineStr">
        <is>
          <t>46960-000</t>
        </is>
      </c>
      <c r="H1492" s="15" t="n">
        <v>3</v>
      </c>
      <c r="I1492" s="28" t="inlineStr">
        <is>
          <t>SIM</t>
        </is>
      </c>
      <c r="J1492" s="29" t="n">
        <v>44.7</v>
      </c>
      <c r="K1492" s="14" t="str">
        <f>IF(J1492="","7. Acima de 2 km",IF(J1492&lt;=50,"1. Até 50 m",IF(J1492&lt;=100,"2. De 50 a 100 m",IF(J1492&lt;=200,"3. De 100 a 200 m",IF(J1492&lt;=300,"4. De 200 a 300 m",IF(J1492&lt;=500,"5. De 300 a 500 m","6. De 500 m a 2 km"))))))</f>
        <v>1. Até 50 m</v>
      </c>
      <c r="L1492" s="26" t="n">
        <v>1</v>
      </c>
      <c r="M1492" s="26" t="n">
        <v>1</v>
      </c>
      <c r="N1492" s="26" t="n">
        <v>2</v>
      </c>
      <c r="O1492" s="26" t="n">
        <v>2</v>
      </c>
      <c r="P1492" s="30" t="n">
        <v>-12.56047767</v>
      </c>
      <c r="Q1492" s="30" t="n">
        <v>-41.39190377</v>
      </c>
      <c r="R1492" s="14" t="inlineStr">
        <is>
          <t>CARTORIO ELEITORAL ZONA 089 - RODOVIA BA 144, AVENIDA CORONEL FELISBERTO SÁ, Nº 113 - CENTRO, LENÇÓIS/BA</t>
        </is>
      </c>
      <c r="S1492" s="26">
        <f>IF(A1492=A1491,0,1)</f>
        <v>0</v>
      </c>
      <c r="T1492" s="26">
        <f>IF(COUNTIF($B$4:B1492,B1492)=1,1,0)</f>
        <v>0</v>
      </c>
    </row>
    <row r="1493">
      <c r="A1493" s="14" t="inlineStr">
        <is>
          <t>LENÇÓIS</t>
        </is>
      </c>
      <c r="B1493" s="26" t="n">
        <v>89</v>
      </c>
      <c r="C1493" s="26" t="n">
        <v>1155</v>
      </c>
      <c r="D1493" s="14" t="inlineStr">
        <is>
          <t>ESCOLA CORONEL HORÁCIO DE MATTOS</t>
        </is>
      </c>
      <c r="E1493" s="14" t="inlineStr">
        <is>
          <t>ALTO DA ESTRELA</t>
        </is>
      </c>
      <c r="F1493" s="14" t="inlineStr">
        <is>
          <t>AVENIDA ARNULFO MORAES, S/N - ZONA URBANA</t>
        </is>
      </c>
      <c r="G1493" s="27" t="inlineStr">
        <is>
          <t>46960-000</t>
        </is>
      </c>
      <c r="H1493" s="15" t="n">
        <v>3</v>
      </c>
      <c r="I1493" s="28" t="inlineStr">
        <is>
          <t>NÃO</t>
        </is>
      </c>
      <c r="J1493" s="29" t="n">
        <v>297.3</v>
      </c>
      <c r="K1493" s="14" t="str">
        <f>IF(J1493="","7. Acima de 2 km",IF(J1493&lt;=50,"1. Até 50 m",IF(J1493&lt;=100,"2. De 50 a 100 m",IF(J1493&lt;=200,"3. De 100 a 200 m",IF(J1493&lt;=300,"4. De 200 a 300 m",IF(J1493&lt;=500,"5. De 300 a 500 m","6. De 500 m a 2 km"))))))</f>
        <v>4. De 200 a 300 m</v>
      </c>
      <c r="L1493" s="26" t="n">
        <v>0</v>
      </c>
      <c r="M1493" s="26" t="n">
        <v>0</v>
      </c>
      <c r="N1493" s="26" t="n">
        <v>0</v>
      </c>
      <c r="O1493" s="26" t="n">
        <v>1</v>
      </c>
      <c r="P1493" s="30" t="n">
        <v>-12.56477019</v>
      </c>
      <c r="Q1493" s="30" t="n">
        <v>-41.39210578</v>
      </c>
      <c r="R1493" s="14" t="inlineStr">
        <is>
          <t>CARTORIO ELEITORAL ZONA 089 - RODOVIA BA 144, AVENIDA CORONEL FELISBERTO SÁ, Nº 113 - CENTRO, LENÇÓIS/BA</t>
        </is>
      </c>
      <c r="S1493" s="26">
        <f>IF(A1493=A1492,0,1)</f>
        <v>0</v>
      </c>
      <c r="T1493" s="26">
        <f>IF(COUNTIF($B$4:B1493,B1493)=1,1,0)</f>
        <v>0</v>
      </c>
    </row>
    <row r="1494">
      <c r="A1494" s="14" t="inlineStr">
        <is>
          <t>LENÇÓIS</t>
        </is>
      </c>
      <c r="B1494" s="26" t="n">
        <v>89</v>
      </c>
      <c r="C1494" s="26" t="n">
        <v>1163</v>
      </c>
      <c r="D1494" s="14" t="inlineStr">
        <is>
          <t>ESCOLA MUNICIPAL MARIA ISABEL DA SILVEIRA</t>
        </is>
      </c>
      <c r="E1494" s="14" t="inlineStr">
        <is>
          <t>TOMBA</t>
        </is>
      </c>
      <c r="F1494" s="14" t="inlineStr">
        <is>
          <t>RUA MARIA ADILSON, S/N - ZONA URBANA</t>
        </is>
      </c>
      <c r="G1494" s="27" t="inlineStr">
        <is>
          <t>46960-000</t>
        </is>
      </c>
      <c r="H1494" s="15" t="n">
        <v>3</v>
      </c>
      <c r="I1494" s="28" t="inlineStr">
        <is>
          <t>NÃO</t>
        </is>
      </c>
      <c r="J1494" s="29" t="n">
        <v>331.7</v>
      </c>
      <c r="K1494" s="14" t="str">
        <f>IF(J1494="","7. Acima de 2 km",IF(J1494&lt;=50,"1. Até 50 m",IF(J1494&lt;=100,"2. De 50 a 100 m",IF(J1494&lt;=200,"3. De 100 a 200 m",IF(J1494&lt;=300,"4. De 200 a 300 m",IF(J1494&lt;=500,"5. De 300 a 500 m","6. De 500 m a 2 km"))))))</f>
        <v>5. De 300 a 500 m</v>
      </c>
      <c r="L1494" s="26" t="n">
        <v>0</v>
      </c>
      <c r="M1494" s="26" t="n">
        <v>0</v>
      </c>
      <c r="N1494" s="26" t="n">
        <v>0</v>
      </c>
      <c r="O1494" s="26" t="n">
        <v>0</v>
      </c>
      <c r="P1494" s="30" t="n">
        <v>-12.55773097</v>
      </c>
      <c r="Q1494" s="30" t="n">
        <v>-41.38778935</v>
      </c>
      <c r="R1494" s="14" t="inlineStr">
        <is>
          <t>CARTORIO ELEITORAL ZONA 089 - RODOVIA BA 144, AVENIDA CORONEL FELISBERTO SÁ, Nº 113 - CENTRO, LENÇÓIS/BA</t>
        </is>
      </c>
      <c r="S1494" s="26">
        <f>IF(A1494=A1493,0,1)</f>
        <v>0</v>
      </c>
      <c r="T1494" s="26">
        <f>IF(COUNTIF($B$4:B1494,B1494)=1,1,0)</f>
        <v>0</v>
      </c>
    </row>
    <row r="1495">
      <c r="A1495" s="14" t="inlineStr">
        <is>
          <t>LENÇÓIS</t>
        </is>
      </c>
      <c r="B1495" s="26" t="n">
        <v>89</v>
      </c>
      <c r="C1495" s="26" t="n">
        <v>1171</v>
      </c>
      <c r="D1495" s="14" t="inlineStr">
        <is>
          <t>CRECHE MUNICIPAL JANIRA DE OLIVEIRA GUIMARÃES</t>
        </is>
      </c>
      <c r="E1495" s="14" t="inlineStr">
        <is>
          <t>POVOADO CORONEL OCTAVIANO ALVES</t>
        </is>
      </c>
      <c r="F1495" s="14" t="inlineStr">
        <is>
          <t>RUA JOSÉ DEODATO PEIXINHO, S/N - ZONA RURAL</t>
        </is>
      </c>
      <c r="G1495" s="27" t="inlineStr">
        <is>
          <t>46960-000</t>
        </is>
      </c>
      <c r="H1495" s="15" t="n">
        <v>3</v>
      </c>
      <c r="I1495" s="28" t="inlineStr">
        <is>
          <t>NÃO</t>
        </is>
      </c>
      <c r="J1495" s="29" t="n">
        <v>462.8</v>
      </c>
      <c r="K1495" s="14" t="str">
        <f>IF(J1495="","7. Acima de 2 km",IF(J1495&lt;=50,"1. Até 50 m",IF(J1495&lt;=100,"2. De 50 a 100 m",IF(J1495&lt;=200,"3. De 100 a 200 m",IF(J1495&lt;=300,"4. De 200 a 300 m",IF(J1495&lt;=500,"5. De 300 a 500 m","6. De 500 m a 2 km"))))))</f>
        <v>5. De 300 a 500 m</v>
      </c>
      <c r="L1495" s="26" t="n">
        <v>0</v>
      </c>
      <c r="M1495" s="26" t="n">
        <v>0</v>
      </c>
      <c r="N1495" s="26" t="n">
        <v>0</v>
      </c>
      <c r="O1495" s="26" t="n">
        <v>0</v>
      </c>
      <c r="P1495" s="30" t="n">
        <v>-12.49578475</v>
      </c>
      <c r="Q1495" s="30" t="n">
        <v>-41.29147715</v>
      </c>
      <c r="R1495" s="14" t="inlineStr">
        <is>
          <t>CARTORIO ELEITORAL ZONA 089 - RODOVIA BA 144, AVENIDA CORONEL FELISBERTO SÁ, Nº 113 - CENTRO, LENÇÓIS/BA</t>
        </is>
      </c>
      <c r="S1495" s="26">
        <f>IF(A1495=A1494,0,1)</f>
        <v>0</v>
      </c>
      <c r="T1495" s="26">
        <f>IF(COUNTIF($B$4:B1495,B1495)=1,1,0)</f>
        <v>0</v>
      </c>
    </row>
    <row r="1496">
      <c r="A1496" s="14" t="inlineStr">
        <is>
          <t>LUÍS EDUARDO MAGALHÃES</t>
        </is>
      </c>
      <c r="B1496" s="26" t="n">
        <v>205</v>
      </c>
      <c r="C1496" s="26" t="n">
        <v>1015</v>
      </c>
      <c r="D1496" s="14" t="inlineStr">
        <is>
          <t>ESCOLA MUNICIPAL SAO PAULO</t>
        </is>
      </c>
      <c r="E1496" s="14" t="inlineStr">
        <is>
          <t>DISTRITO NOVO PARANÁ</t>
        </is>
      </c>
      <c r="F1496" s="14" t="inlineStr">
        <is>
          <t>RUA PINHEIROS, 167 - ZONA RURAL</t>
        </is>
      </c>
      <c r="G1496" s="27" t="inlineStr">
        <is>
          <t>47865-899</t>
        </is>
      </c>
      <c r="H1496" s="15" t="n">
        <v>3</v>
      </c>
      <c r="I1496" s="28" t="inlineStr">
        <is>
          <t>NÃO</t>
        </is>
      </c>
      <c r="J1496" s="29" t="n"/>
      <c r="K1496" s="14" t="str">
        <f>IF(J1496="","7. Acima de 2 km",IF(J1496&lt;=50,"1. Até 50 m",IF(J1496&lt;=100,"2. De 50 a 100 m",IF(J1496&lt;=200,"3. De 100 a 200 m",IF(J1496&lt;=300,"4. De 200 a 300 m",IF(J1496&lt;=500,"5. De 300 a 500 m","6. De 500 m a 2 km"))))))</f>
        <v>7. Acima de 2 km</v>
      </c>
      <c r="L1496" s="26" t="n">
        <v>0</v>
      </c>
      <c r="M1496" s="26" t="n">
        <v>0</v>
      </c>
      <c r="N1496" s="26" t="n">
        <v>0</v>
      </c>
      <c r="O1496" s="26" t="n">
        <v>0</v>
      </c>
      <c r="P1496" s="30" t="n">
        <v>-12.3268349</v>
      </c>
      <c r="Q1496" s="30" t="n">
        <v>-45.8593512</v>
      </c>
      <c r="R1496" s="14" t="inlineStr">
        <is>
          <t>RUA PIAUÍ, 590, EDF. FAINELLO, CENTRO, LUÍS EDUARDO MAGALHÃES/BA</t>
        </is>
      </c>
      <c r="S1496" s="26">
        <f>IF(A1496=A1495,0,1)</f>
        <v>1</v>
      </c>
      <c r="T1496" s="26">
        <f>IF(COUNTIF($B$4:B1496,B1496)=1,1,0)</f>
        <v>1</v>
      </c>
    </row>
    <row r="1497">
      <c r="A1497" s="14" t="inlineStr">
        <is>
          <t>LUÍS EDUARDO MAGALHÃES</t>
        </is>
      </c>
      <c r="B1497" s="26" t="n">
        <v>205</v>
      </c>
      <c r="C1497" s="26" t="n">
        <v>1023</v>
      </c>
      <c r="D1497" s="14" t="inlineStr">
        <is>
          <t>ESCOLA MUNICIPAL FABIO JOHNNER</t>
        </is>
      </c>
      <c r="E1497" s="14" t="inlineStr">
        <is>
          <t>POVOADO BELA VISTA</t>
        </is>
      </c>
      <c r="F1497" s="14" t="inlineStr">
        <is>
          <t>RUA OSCAR DOERNER, S/N - ZONA RURAL</t>
        </is>
      </c>
      <c r="G1497" s="27" t="inlineStr">
        <is>
          <t>47865-899</t>
        </is>
      </c>
      <c r="H1497" s="15" t="n">
        <v>1</v>
      </c>
      <c r="I1497" s="28" t="inlineStr">
        <is>
          <t>NÃO</t>
        </is>
      </c>
      <c r="J1497" s="29" t="n"/>
      <c r="K1497" s="14" t="str">
        <f>IF(J1497="","7. Acima de 2 km",IF(J1497&lt;=50,"1. Até 50 m",IF(J1497&lt;=100,"2. De 50 a 100 m",IF(J1497&lt;=200,"3. De 100 a 200 m",IF(J1497&lt;=300,"4. De 200 a 300 m",IF(J1497&lt;=500,"5. De 300 a 500 m","6. De 500 m a 2 km"))))))</f>
        <v>7. Acima de 2 km</v>
      </c>
      <c r="L1497" s="26" t="n">
        <v>0</v>
      </c>
      <c r="M1497" s="26" t="n">
        <v>0</v>
      </c>
      <c r="N1497" s="26" t="n">
        <v>0</v>
      </c>
      <c r="O1497" s="26" t="n">
        <v>0</v>
      </c>
      <c r="P1497" s="30" t="n">
        <v>-12.1110571</v>
      </c>
      <c r="Q1497" s="30" t="n">
        <v>-46.2898872</v>
      </c>
      <c r="R1497" s="14" t="inlineStr">
        <is>
          <t>RUA PIAUÍ, 590, EDF. FAINELLO, CENTRO, LUÍS EDUARDO MAGALHÃES/BA</t>
        </is>
      </c>
      <c r="S1497" s="26">
        <f>IF(A1497=A1496,0,1)</f>
        <v>0</v>
      </c>
      <c r="T1497" s="26">
        <f>IF(COUNTIF($B$4:B1497,B1497)=1,1,0)</f>
        <v>0</v>
      </c>
    </row>
    <row r="1498">
      <c r="A1498" s="14" t="inlineStr">
        <is>
          <t>LUÍS EDUARDO MAGALHÃES</t>
        </is>
      </c>
      <c r="B1498" s="26" t="n">
        <v>205</v>
      </c>
      <c r="C1498" s="26" t="n">
        <v>1031</v>
      </c>
      <c r="D1498" s="14" t="inlineStr">
        <is>
          <t>ESCOLA MUNICIPAL HENRIQUE DE FREITAS MOREIRA</t>
        </is>
      </c>
      <c r="E1498" s="14" t="inlineStr">
        <is>
          <t>POVOADO RIO DE ONDAS REFORMA AGRÁRIA</t>
        </is>
      </c>
      <c r="F1498" s="14" t="inlineStr">
        <is>
          <t>PRAÇA PRINCIPAL - VILA 02 - ZONA RURAL</t>
        </is>
      </c>
      <c r="G1498" s="27" t="inlineStr">
        <is>
          <t>47865-899</t>
        </is>
      </c>
      <c r="H1498" s="15" t="n">
        <v>3</v>
      </c>
      <c r="I1498" s="28" t="inlineStr">
        <is>
          <t>NÃO</t>
        </is>
      </c>
      <c r="J1498" s="29" t="n"/>
      <c r="K1498" s="14" t="str">
        <f>IF(J1498="","7. Acima de 2 km",IF(J1498&lt;=50,"1. Até 50 m",IF(J1498&lt;=100,"2. De 50 a 100 m",IF(J1498&lt;=200,"3. De 100 a 200 m",IF(J1498&lt;=300,"4. De 200 a 300 m",IF(J1498&lt;=500,"5. De 300 a 500 m","6. De 500 m a 2 km"))))))</f>
        <v>7. Acima de 2 km</v>
      </c>
      <c r="L1498" s="26" t="n">
        <v>0</v>
      </c>
      <c r="M1498" s="26" t="n">
        <v>0</v>
      </c>
      <c r="N1498" s="26" t="n">
        <v>0</v>
      </c>
      <c r="O1498" s="26" t="n">
        <v>0</v>
      </c>
      <c r="P1498" s="30" t="n">
        <v>-12.3708191</v>
      </c>
      <c r="Q1498" s="30" t="n">
        <v>-45.8061845</v>
      </c>
      <c r="R1498" s="14" t="inlineStr">
        <is>
          <t>RUA PIAUÍ, 590, EDF. FAINELLO, CENTRO, LUÍS EDUARDO MAGALHÃES/BA</t>
        </is>
      </c>
      <c r="S1498" s="26">
        <f>IF(A1498=A1497,0,1)</f>
        <v>0</v>
      </c>
      <c r="T1498" s="26">
        <f>IF(COUNTIF($B$4:B1498,B1498)=1,1,0)</f>
        <v>0</v>
      </c>
    </row>
    <row r="1499">
      <c r="A1499" s="14" t="inlineStr">
        <is>
          <t>LUÍS EDUARDO MAGALHÃES</t>
        </is>
      </c>
      <c r="B1499" s="26" t="n">
        <v>205</v>
      </c>
      <c r="C1499" s="26" t="n">
        <v>1066</v>
      </c>
      <c r="D1499" s="14" t="inlineStr">
        <is>
          <t>ESCOLA MUNICIPAL JOSÉ CARDOSO DE LIMA</t>
        </is>
      </c>
      <c r="E1499" s="14" t="inlineStr">
        <is>
          <t>CENTRO</t>
        </is>
      </c>
      <c r="F1499" s="14" t="inlineStr">
        <is>
          <t>RUA PARAÍBA, 59 - ZONA URBANA</t>
        </is>
      </c>
      <c r="G1499" s="27" t="inlineStr">
        <is>
          <t>47850-047</t>
        </is>
      </c>
      <c r="H1499" s="15" t="n">
        <v>5</v>
      </c>
      <c r="I1499" s="28" t="inlineStr">
        <is>
          <t>NÃO</t>
        </is>
      </c>
      <c r="J1499" s="29" t="n">
        <v>106.3</v>
      </c>
      <c r="K1499" s="14" t="str">
        <f>IF(J1499="","7. Acima de 2 km",IF(J1499&lt;=50,"1. Até 50 m",IF(J1499&lt;=100,"2. De 50 a 100 m",IF(J1499&lt;=200,"3. De 100 a 200 m",IF(J1499&lt;=300,"4. De 200 a 300 m",IF(J1499&lt;=500,"5. De 300 a 500 m","6. De 500 m a 2 km"))))))</f>
        <v>3. De 100 a 200 m</v>
      </c>
      <c r="L1499" s="26" t="n">
        <v>0</v>
      </c>
      <c r="M1499" s="26" t="n">
        <v>0</v>
      </c>
      <c r="N1499" s="26" t="n">
        <v>4</v>
      </c>
      <c r="O1499" s="26" t="n">
        <v>8</v>
      </c>
      <c r="P1499" s="30" t="n">
        <v>-12.0874408</v>
      </c>
      <c r="Q1499" s="30" t="n">
        <v>-45.7979517</v>
      </c>
      <c r="R1499" s="14" t="inlineStr">
        <is>
          <t>RUA PIAUÍ, 590, EDF. FAINELLO, CENTRO, LUÍS EDUARDO MAGALHÃES/BA</t>
        </is>
      </c>
      <c r="S1499" s="26">
        <f>IF(A1499=A1498,0,1)</f>
        <v>0</v>
      </c>
      <c r="T1499" s="26">
        <f>IF(COUNTIF($B$4:B1499,B1499)=1,1,0)</f>
        <v>0</v>
      </c>
    </row>
    <row r="1500">
      <c r="A1500" s="14" t="inlineStr">
        <is>
          <t>LUÍS EDUARDO MAGALHÃES</t>
        </is>
      </c>
      <c r="B1500" s="26" t="n">
        <v>205</v>
      </c>
      <c r="C1500" s="26" t="n">
        <v>1074</v>
      </c>
      <c r="D1500" s="14" t="inlineStr">
        <is>
          <t>ESCOLA MUNICIPAL ONERO COSTA DA ROSA</t>
        </is>
      </c>
      <c r="E1500" s="14" t="inlineStr">
        <is>
          <t>SANTA CRUZ</t>
        </is>
      </c>
      <c r="F1500" s="14" t="inlineStr">
        <is>
          <t>RUA JOÃO DOURADO, 230 - ZONA URBANA</t>
        </is>
      </c>
      <c r="G1500" s="27" t="inlineStr">
        <is>
          <t>47855-260</t>
        </is>
      </c>
      <c r="H1500" s="15" t="n">
        <v>8</v>
      </c>
      <c r="I1500" s="28" t="inlineStr">
        <is>
          <t>NÃO</t>
        </is>
      </c>
      <c r="J1500" s="29" t="n">
        <v>649.7</v>
      </c>
      <c r="K1500" s="14" t="str">
        <f>IF(J1500="","7. Acima de 2 km",IF(J1500&lt;=50,"1. Até 50 m",IF(J1500&lt;=100,"2. De 50 a 100 m",IF(J1500&lt;=200,"3. De 100 a 200 m",IF(J1500&lt;=300,"4. De 200 a 300 m",IF(J1500&lt;=500,"5. De 300 a 500 m","6. De 500 m a 2 km"))))))</f>
        <v>6. De 500 m a 2 km</v>
      </c>
      <c r="L1500" s="26" t="n">
        <v>0</v>
      </c>
      <c r="M1500" s="26" t="n">
        <v>0</v>
      </c>
      <c r="N1500" s="26" t="n">
        <v>0</v>
      </c>
      <c r="O1500" s="26" t="n">
        <v>0</v>
      </c>
      <c r="P1500" s="30" t="n">
        <v>-12.1022361</v>
      </c>
      <c r="Q1500" s="30" t="n">
        <v>-45.8054111</v>
      </c>
      <c r="R1500" s="14" t="inlineStr">
        <is>
          <t>RUA PIAUÍ, 590, EDF. FAINELLO, CENTRO, LUÍS EDUARDO MAGALHÃES/BA</t>
        </is>
      </c>
      <c r="S1500" s="26">
        <f>IF(A1500=A1499,0,1)</f>
        <v>0</v>
      </c>
      <c r="T1500" s="26">
        <f>IF(COUNTIF($B$4:B1500,B1500)=1,1,0)</f>
        <v>0</v>
      </c>
    </row>
    <row r="1501">
      <c r="A1501" s="14" t="inlineStr">
        <is>
          <t>LUÍS EDUARDO MAGALHÃES</t>
        </is>
      </c>
      <c r="B1501" s="26" t="n">
        <v>205</v>
      </c>
      <c r="C1501" s="26" t="n">
        <v>1082</v>
      </c>
      <c r="D1501" s="14" t="inlineStr">
        <is>
          <t>ESCOLA MUNICIPAL IVO HERING</t>
        </is>
      </c>
      <c r="E1501" s="14" t="inlineStr">
        <is>
          <t>CENTRO</t>
        </is>
      </c>
      <c r="F1501" s="14" t="inlineStr">
        <is>
          <t>RUA RUY BARBOSA, 321 - ZONA URBANA</t>
        </is>
      </c>
      <c r="G1501" s="27" t="inlineStr">
        <is>
          <t>47850-009</t>
        </is>
      </c>
      <c r="H1501" s="15" t="n">
        <v>10</v>
      </c>
      <c r="I1501" s="28" t="inlineStr">
        <is>
          <t>NÃO</t>
        </is>
      </c>
      <c r="J1501" s="29" t="n">
        <v>535.3</v>
      </c>
      <c r="K1501" s="14" t="str">
        <f>IF(J1501="","7. Acima de 2 km",IF(J1501&lt;=50,"1. Até 50 m",IF(J1501&lt;=100,"2. De 50 a 100 m",IF(J1501&lt;=200,"3. De 100 a 200 m",IF(J1501&lt;=300,"4. De 200 a 300 m",IF(J1501&lt;=500,"5. De 300 a 500 m","6. De 500 m a 2 km"))))))</f>
        <v>6. De 500 m a 2 km</v>
      </c>
      <c r="L1501" s="26" t="n">
        <v>0</v>
      </c>
      <c r="M1501" s="26" t="n">
        <v>0</v>
      </c>
      <c r="N1501" s="26" t="n">
        <v>0</v>
      </c>
      <c r="O1501" s="26" t="n">
        <v>0</v>
      </c>
      <c r="P1501" s="30" t="n">
        <v>-12.0874423</v>
      </c>
      <c r="Q1501" s="30" t="n">
        <v>-45.8065636</v>
      </c>
      <c r="R1501" s="14" t="inlineStr">
        <is>
          <t>RUA PIAUÍ, 590, EDF. FAINELLO, CENTRO, LUÍS EDUARDO MAGALHÃES/BA</t>
        </is>
      </c>
      <c r="S1501" s="26">
        <f>IF(A1501=A1500,0,1)</f>
        <v>0</v>
      </c>
      <c r="T1501" s="26">
        <f>IF(COUNTIF($B$4:B1501,B1501)=1,1,0)</f>
        <v>0</v>
      </c>
    </row>
    <row r="1502">
      <c r="A1502" s="14" t="inlineStr">
        <is>
          <t>LUÍS EDUARDO MAGALHÃES</t>
        </is>
      </c>
      <c r="B1502" s="26" t="n">
        <v>205</v>
      </c>
      <c r="C1502" s="26" t="n">
        <v>1090</v>
      </c>
      <c r="D1502" s="14" t="inlineStr">
        <is>
          <t>ESCOLA MUNICIPAL OTTOMAR SCHWENGBER</t>
        </is>
      </c>
      <c r="E1502" s="14" t="inlineStr">
        <is>
          <t>MIMOSO DO OESTE</t>
        </is>
      </c>
      <c r="F1502" s="14" t="inlineStr">
        <is>
          <t>RUA PERNAMBUCO, 1241 - MIMOSO I -  ZONA URBANA</t>
        </is>
      </c>
      <c r="G1502" s="27" t="inlineStr">
        <is>
          <t>47850-045</t>
        </is>
      </c>
      <c r="H1502" s="15" t="n">
        <v>6</v>
      </c>
      <c r="I1502" s="28" t="inlineStr">
        <is>
          <t>NÃO</t>
        </is>
      </c>
      <c r="J1502" s="29" t="n">
        <v>487.3</v>
      </c>
      <c r="K1502" s="14" t="str">
        <f>IF(J1502="","7. Acima de 2 km",IF(J1502&lt;=50,"1. Até 50 m",IF(J1502&lt;=100,"2. De 50 a 100 m",IF(J1502&lt;=200,"3. De 100 a 200 m",IF(J1502&lt;=300,"4. De 200 a 300 m",IF(J1502&lt;=500,"5. De 300 a 500 m","6. De 500 m a 2 km"))))))</f>
        <v>5. De 300 a 500 m</v>
      </c>
      <c r="L1502" s="26" t="n">
        <v>0</v>
      </c>
      <c r="M1502" s="26" t="n">
        <v>0</v>
      </c>
      <c r="N1502" s="26" t="n">
        <v>0</v>
      </c>
      <c r="O1502" s="26" t="n">
        <v>0</v>
      </c>
      <c r="P1502" s="30" t="n">
        <v>-12.0798582</v>
      </c>
      <c r="Q1502" s="30" t="n">
        <v>-45.7977019</v>
      </c>
      <c r="R1502" s="14" t="inlineStr">
        <is>
          <t>RUA PIAUÍ, 590, EDF. FAINELLO, CENTRO, LUÍS EDUARDO MAGALHÃES/BA</t>
        </is>
      </c>
      <c r="S1502" s="26">
        <f>IF(A1502=A1501,0,1)</f>
        <v>0</v>
      </c>
      <c r="T1502" s="26">
        <f>IF(COUNTIF($B$4:B1502,B1502)=1,1,0)</f>
        <v>0</v>
      </c>
    </row>
    <row r="1503">
      <c r="A1503" s="14" t="inlineStr">
        <is>
          <t>LUÍS EDUARDO MAGALHÃES</t>
        </is>
      </c>
      <c r="B1503" s="26" t="n">
        <v>205</v>
      </c>
      <c r="C1503" s="26" t="n">
        <v>1104</v>
      </c>
      <c r="D1503" s="14" t="inlineStr">
        <is>
          <t>ESCOLA MUNICIPAL AMÉLIO GATTO</t>
        </is>
      </c>
      <c r="E1503" s="14" t="inlineStr">
        <is>
          <t>SANTA CRUZ</t>
        </is>
      </c>
      <c r="F1503" s="14" t="inlineStr">
        <is>
          <t>RUA TEIXEIRA DE FREITAS, 1020, QUADRA 93 - ZONA URBANA</t>
        </is>
      </c>
      <c r="G1503" s="27" t="inlineStr">
        <is>
          <t>47855-392</t>
        </is>
      </c>
      <c r="H1503" s="15" t="n">
        <v>6</v>
      </c>
      <c r="I1503" s="28" t="inlineStr">
        <is>
          <t>NÃO</t>
        </is>
      </c>
      <c r="J1503" s="29" t="n">
        <v>670.8</v>
      </c>
      <c r="K1503" s="14" t="str">
        <f>IF(J1503="","7. Acima de 2 km",IF(J1503&lt;=50,"1. Até 50 m",IF(J1503&lt;=100,"2. De 50 a 100 m",IF(J1503&lt;=200,"3. De 100 a 200 m",IF(J1503&lt;=300,"4. De 200 a 300 m",IF(J1503&lt;=500,"5. De 300 a 500 m","6. De 500 m a 2 km"))))))</f>
        <v>6. De 500 m a 2 km</v>
      </c>
      <c r="L1503" s="26" t="n">
        <v>0</v>
      </c>
      <c r="M1503" s="26" t="n">
        <v>0</v>
      </c>
      <c r="N1503" s="26" t="n">
        <v>0</v>
      </c>
      <c r="O1503" s="26" t="n">
        <v>0</v>
      </c>
      <c r="P1503" s="30" t="n">
        <v>-12.103945</v>
      </c>
      <c r="Q1503" s="30" t="n">
        <v>-45.7996812</v>
      </c>
      <c r="R1503" s="14" t="inlineStr">
        <is>
          <t>RUA PIAUÍ, 590, EDF. FAINELLO, CENTRO, LUÍS EDUARDO MAGALHÃES/BA</t>
        </is>
      </c>
      <c r="S1503" s="26">
        <f>IF(A1503=A1502,0,1)</f>
        <v>0</v>
      </c>
      <c r="T1503" s="26">
        <f>IF(COUNTIF($B$4:B1503,B1503)=1,1,0)</f>
        <v>0</v>
      </c>
    </row>
    <row r="1504">
      <c r="A1504" s="14" t="inlineStr">
        <is>
          <t>LUÍS EDUARDO MAGALHÃES</t>
        </is>
      </c>
      <c r="B1504" s="26" t="n">
        <v>205</v>
      </c>
      <c r="C1504" s="26" t="n">
        <v>1112</v>
      </c>
      <c r="D1504" s="14" t="inlineStr">
        <is>
          <t>CIASF - CENTRO INFANTIL DE APRENDIZADO SEMENTES DO FUTURO</t>
        </is>
      </c>
      <c r="E1504" s="14" t="inlineStr">
        <is>
          <t>JARDIM DAS OLIVEIRAS</t>
        </is>
      </c>
      <c r="F1504" s="14" t="inlineStr">
        <is>
          <t>AVENIDA LUIS EDUARDO MAGALHAES, 757 - ZONA URBANA</t>
        </is>
      </c>
      <c r="G1504" s="27" t="inlineStr">
        <is>
          <t>47861-548</t>
        </is>
      </c>
      <c r="H1504" s="15" t="n">
        <v>4</v>
      </c>
      <c r="I1504" s="28" t="inlineStr">
        <is>
          <t>SIM</t>
        </is>
      </c>
      <c r="J1504" s="29" t="n">
        <v>65.09999999999999</v>
      </c>
      <c r="K1504" s="14" t="str">
        <f>IF(J1504="","7. Acima de 2 km",IF(J1504&lt;=50,"1. Até 50 m",IF(J1504&lt;=100,"2. De 50 a 100 m",IF(J1504&lt;=200,"3. De 100 a 200 m",IF(J1504&lt;=300,"4. De 200 a 300 m",IF(J1504&lt;=500,"5. De 300 a 500 m","6. De 500 m a 2 km"))))))</f>
        <v>2. De 50 a 100 m</v>
      </c>
      <c r="L1504" s="26" t="n">
        <v>0</v>
      </c>
      <c r="M1504" s="26" t="n">
        <v>1</v>
      </c>
      <c r="N1504" s="26" t="n">
        <v>1</v>
      </c>
      <c r="O1504" s="26" t="n">
        <v>2</v>
      </c>
      <c r="P1504" s="30" t="n">
        <v>-12.0814943</v>
      </c>
      <c r="Q1504" s="30" t="n">
        <v>-45.7258501</v>
      </c>
      <c r="R1504" s="14" t="inlineStr">
        <is>
          <t>RUA PIAUÍ, 590, EDF. FAINELLO, CENTRO, LUÍS EDUARDO MAGALHÃES/BA</t>
        </is>
      </c>
      <c r="S1504" s="26">
        <f>IF(A1504=A1503,0,1)</f>
        <v>0</v>
      </c>
      <c r="T1504" s="26">
        <f>IF(COUNTIF($B$4:B1504,B1504)=1,1,0)</f>
        <v>0</v>
      </c>
    </row>
    <row r="1505">
      <c r="A1505" s="14" t="inlineStr">
        <is>
          <t>LUÍS EDUARDO MAGALHÃES</t>
        </is>
      </c>
      <c r="B1505" s="26" t="n">
        <v>205</v>
      </c>
      <c r="C1505" s="26" t="n">
        <v>1139</v>
      </c>
      <c r="D1505" s="14" t="inlineStr">
        <is>
          <t>ESCOLA MUNICIPAL VANIA APARECIDA SANTOS RIBEIRO</t>
        </is>
      </c>
      <c r="E1505" s="14" t="inlineStr">
        <is>
          <t>MIMOSO DO OESTE</t>
        </is>
      </c>
      <c r="F1505" s="14" t="inlineStr">
        <is>
          <t>RUA CEARÁ, 993 -  MIMOSO II - ZONA URBANA</t>
        </is>
      </c>
      <c r="G1505" s="27" t="inlineStr">
        <is>
          <t>47850-188</t>
        </is>
      </c>
      <c r="H1505" s="15" t="n">
        <v>6</v>
      </c>
      <c r="I1505" s="28" t="inlineStr">
        <is>
          <t>NÃO</t>
        </is>
      </c>
      <c r="J1505" s="29" t="n">
        <v>391.2</v>
      </c>
      <c r="K1505" s="14" t="str">
        <f>IF(J1505="","7. Acima de 2 km",IF(J1505&lt;=50,"1. Até 50 m",IF(J1505&lt;=100,"2. De 50 a 100 m",IF(J1505&lt;=200,"3. De 100 a 200 m",IF(J1505&lt;=300,"4. De 200 a 300 m",IF(J1505&lt;=500,"5. De 300 a 500 m","6. De 500 m a 2 km"))))))</f>
        <v>5. De 300 a 500 m</v>
      </c>
      <c r="L1505" s="26" t="n">
        <v>0</v>
      </c>
      <c r="M1505" s="26" t="n">
        <v>0</v>
      </c>
      <c r="N1505" s="26" t="n">
        <v>0</v>
      </c>
      <c r="O1505" s="26" t="n">
        <v>0</v>
      </c>
      <c r="P1505" s="30" t="n">
        <v>-12.0807783</v>
      </c>
      <c r="Q1505" s="30" t="n">
        <v>-45.8082739</v>
      </c>
      <c r="R1505" s="14" t="inlineStr">
        <is>
          <t>RUA PIAUÍ, 590, EDF. FAINELLO, CENTRO, LUÍS EDUARDO MAGALHÃES/BA</t>
        </is>
      </c>
      <c r="S1505" s="26">
        <f>IF(A1505=A1504,0,1)</f>
        <v>0</v>
      </c>
      <c r="T1505" s="26">
        <f>IF(COUNTIF($B$4:B1505,B1505)=1,1,0)</f>
        <v>0</v>
      </c>
    </row>
    <row r="1506">
      <c r="A1506" s="14" t="inlineStr">
        <is>
          <t>LUÍS EDUARDO MAGALHÃES</t>
        </is>
      </c>
      <c r="B1506" s="26" t="n">
        <v>205</v>
      </c>
      <c r="C1506" s="26" t="n">
        <v>1147</v>
      </c>
      <c r="D1506" s="14" t="inlineStr">
        <is>
          <t>ESCOLA MUNICIPAL CEZER PELISSARI</t>
        </is>
      </c>
      <c r="E1506" s="14" t="inlineStr">
        <is>
          <t>JARDIM DAS ACÁCIAS</t>
        </is>
      </c>
      <c r="F1506" s="14" t="inlineStr">
        <is>
          <t>RUA DO BARÚ, 1169, QUADRA 64 - ZONA URBANA</t>
        </is>
      </c>
      <c r="G1506" s="27" t="inlineStr">
        <is>
          <t>47862-144</t>
        </is>
      </c>
      <c r="H1506" s="15" t="n">
        <v>5</v>
      </c>
      <c r="I1506" s="28" t="inlineStr">
        <is>
          <t>NÃO</t>
        </is>
      </c>
      <c r="J1506" s="29" t="n">
        <v>240.7</v>
      </c>
      <c r="K1506" s="14" t="str">
        <f>IF(J1506="","7. Acima de 2 km",IF(J1506&lt;=50,"1. Até 50 m",IF(J1506&lt;=100,"2. De 50 a 100 m",IF(J1506&lt;=200,"3. De 100 a 200 m",IF(J1506&lt;=300,"4. De 200 a 300 m",IF(J1506&lt;=500,"5. De 300 a 500 m","6. De 500 m a 2 km"))))))</f>
        <v>4. De 200 a 300 m</v>
      </c>
      <c r="L1506" s="26" t="n">
        <v>0</v>
      </c>
      <c r="M1506" s="26" t="n">
        <v>0</v>
      </c>
      <c r="N1506" s="26" t="n">
        <v>0</v>
      </c>
      <c r="O1506" s="26" t="n">
        <v>3</v>
      </c>
      <c r="P1506" s="30" t="n">
        <v>-12.0801915</v>
      </c>
      <c r="Q1506" s="30" t="n">
        <v>-45.7657486</v>
      </c>
      <c r="R1506" s="14" t="inlineStr">
        <is>
          <t>RUA PIAUÍ, 590, EDF. FAINELLO, CENTRO, LUÍS EDUARDO MAGALHÃES/BA</t>
        </is>
      </c>
      <c r="S1506" s="26">
        <f>IF(A1506=A1505,0,1)</f>
        <v>0</v>
      </c>
      <c r="T1506" s="26">
        <f>IF(COUNTIF($B$4:B1506,B1506)=1,1,0)</f>
        <v>0</v>
      </c>
    </row>
    <row r="1507">
      <c r="A1507" s="14" t="inlineStr">
        <is>
          <t>LUÍS EDUARDO MAGALHÃES</t>
        </is>
      </c>
      <c r="B1507" s="26" t="n">
        <v>205</v>
      </c>
      <c r="C1507" s="26" t="n">
        <v>1155</v>
      </c>
      <c r="D1507" s="14" t="inlineStr">
        <is>
          <t>ESCOLA MUNICIPAL ALDORI LUIS TOLAZZI</t>
        </is>
      </c>
      <c r="E1507" s="14" t="inlineStr">
        <is>
          <t>SANTA CRUZ</t>
        </is>
      </c>
      <c r="F1507" s="14" t="inlineStr">
        <is>
          <t>RUA CAFARNAUM, 622, QUADRA 118 - ZONA URBANA</t>
        </is>
      </c>
      <c r="G1507" s="27" t="inlineStr">
        <is>
          <t>47855-238</t>
        </is>
      </c>
      <c r="H1507" s="15" t="n">
        <v>7</v>
      </c>
      <c r="I1507" s="28" t="inlineStr">
        <is>
          <t>NÃO</t>
        </is>
      </c>
      <c r="J1507" s="29" t="n">
        <v>667</v>
      </c>
      <c r="K1507" s="14" t="str">
        <f>IF(J1507="","7. Acima de 2 km",IF(J1507&lt;=50,"1. Até 50 m",IF(J1507&lt;=100,"2. De 50 a 100 m",IF(J1507&lt;=200,"3. De 100 a 200 m",IF(J1507&lt;=300,"4. De 200 a 300 m",IF(J1507&lt;=500,"5. De 300 a 500 m","6. De 500 m a 2 km"))))))</f>
        <v>6. De 500 m a 2 km</v>
      </c>
      <c r="L1507" s="26" t="n">
        <v>0</v>
      </c>
      <c r="M1507" s="26" t="n">
        <v>0</v>
      </c>
      <c r="N1507" s="26" t="n">
        <v>0</v>
      </c>
      <c r="O1507" s="26" t="n">
        <v>0</v>
      </c>
      <c r="P1507" s="30" t="n">
        <v>-12.1071762</v>
      </c>
      <c r="Q1507" s="30" t="n">
        <v>-45.8039982</v>
      </c>
      <c r="R1507" s="14" t="inlineStr">
        <is>
          <t>RUA PIAUÍ, 590, EDF. FAINELLO, CENTRO, LUÍS EDUARDO MAGALHÃES/BA</t>
        </is>
      </c>
      <c r="S1507" s="26">
        <f>IF(A1507=A1506,0,1)</f>
        <v>0</v>
      </c>
      <c r="T1507" s="26">
        <f>IF(COUNTIF($B$4:B1507,B1507)=1,1,0)</f>
        <v>0</v>
      </c>
    </row>
    <row r="1508">
      <c r="A1508" s="14" t="inlineStr">
        <is>
          <t>LUÍS EDUARDO MAGALHÃES</t>
        </is>
      </c>
      <c r="B1508" s="26" t="n">
        <v>205</v>
      </c>
      <c r="C1508" s="26" t="n">
        <v>1163</v>
      </c>
      <c r="D1508" s="14" t="inlineStr">
        <is>
          <t>ESCOLA MUNICIPAL MARLEI TERESINHA PRETTO</t>
        </is>
      </c>
      <c r="E1508" s="14" t="inlineStr">
        <is>
          <t>JARDIM DAS OLIVEIRAS</t>
        </is>
      </c>
      <c r="F1508" s="14" t="inlineStr">
        <is>
          <t>RUA A, QUADRA 02, SETOR W3/W4 - ZONA URBANA</t>
        </is>
      </c>
      <c r="G1508" s="27" t="inlineStr">
        <is>
          <t>47861-544</t>
        </is>
      </c>
      <c r="H1508" s="15" t="n">
        <v>5</v>
      </c>
      <c r="I1508" s="28" t="inlineStr">
        <is>
          <t>NÃO</t>
        </is>
      </c>
      <c r="J1508" s="29" t="n">
        <v>325.8</v>
      </c>
      <c r="K1508" s="14" t="str">
        <f>IF(J1508="","7. Acima de 2 km",IF(J1508&lt;=50,"1. Até 50 m",IF(J1508&lt;=100,"2. De 50 a 100 m",IF(J1508&lt;=200,"3. De 100 a 200 m",IF(J1508&lt;=300,"4. De 200 a 300 m",IF(J1508&lt;=500,"5. De 300 a 500 m","6. De 500 m a 2 km"))))))</f>
        <v>5. De 300 a 500 m</v>
      </c>
      <c r="L1508" s="26" t="n">
        <v>0</v>
      </c>
      <c r="M1508" s="26" t="n">
        <v>0</v>
      </c>
      <c r="N1508" s="26" t="n">
        <v>0</v>
      </c>
      <c r="O1508" s="26" t="n">
        <v>0</v>
      </c>
      <c r="P1508" s="30" t="n">
        <v>-12.0763428</v>
      </c>
      <c r="Q1508" s="30" t="n">
        <v>-45.7279568</v>
      </c>
      <c r="R1508" s="14" t="inlineStr">
        <is>
          <t>RUA PIAUÍ, 590, EDF. FAINELLO, CENTRO, LUÍS EDUARDO MAGALHÃES/BA</t>
        </is>
      </c>
      <c r="S1508" s="26">
        <f>IF(A1508=A1507,0,1)</f>
        <v>0</v>
      </c>
      <c r="T1508" s="26">
        <f>IF(COUNTIF($B$4:B1508,B1508)=1,1,0)</f>
        <v>0</v>
      </c>
    </row>
    <row r="1509">
      <c r="A1509" s="14" t="inlineStr">
        <is>
          <t>LUÍS EDUARDO MAGALHÃES</t>
        </is>
      </c>
      <c r="B1509" s="26" t="n">
        <v>205</v>
      </c>
      <c r="C1509" s="26" t="n">
        <v>1171</v>
      </c>
      <c r="D1509" s="14" t="inlineStr">
        <is>
          <t>ESCOLA MUNICIPAL JARDIM PARAÍSO</t>
        </is>
      </c>
      <c r="E1509" s="14" t="inlineStr">
        <is>
          <t>JARDIM PARAÍSO</t>
        </is>
      </c>
      <c r="F1509" s="14" t="inlineStr">
        <is>
          <t>RUA 1 DE MAIO, 991, QUADRA 59, LOTE 01 - ZONA URBANA</t>
        </is>
      </c>
      <c r="G1509" s="27" t="inlineStr">
        <is>
          <t>47855-644</t>
        </is>
      </c>
      <c r="H1509" s="15" t="n">
        <v>7</v>
      </c>
      <c r="I1509" s="28" t="inlineStr">
        <is>
          <t>NÃO</t>
        </is>
      </c>
      <c r="J1509" s="29" t="n">
        <v>1225.7</v>
      </c>
      <c r="K1509" s="14" t="str">
        <f>IF(J1509="","7. Acima de 2 km",IF(J1509&lt;=50,"1. Até 50 m",IF(J1509&lt;=100,"2. De 50 a 100 m",IF(J1509&lt;=200,"3. De 100 a 200 m",IF(J1509&lt;=300,"4. De 200 a 300 m",IF(J1509&lt;=500,"5. De 300 a 500 m","6. De 500 m a 2 km"))))))</f>
        <v>6. De 500 m a 2 km</v>
      </c>
      <c r="L1509" s="26" t="n">
        <v>0</v>
      </c>
      <c r="M1509" s="26" t="n">
        <v>0</v>
      </c>
      <c r="N1509" s="26" t="n">
        <v>0</v>
      </c>
      <c r="O1509" s="26" t="n">
        <v>0</v>
      </c>
      <c r="P1509" s="30" t="n">
        <v>-12.0986755</v>
      </c>
      <c r="Q1509" s="30" t="n">
        <v>-45.7812647</v>
      </c>
      <c r="R1509" s="14" t="inlineStr">
        <is>
          <t>RUA PIAUÍ, 590, EDF. FAINELLO, CENTRO, LUÍS EDUARDO MAGALHÃES/BA</t>
        </is>
      </c>
      <c r="S1509" s="26">
        <f>IF(A1509=A1508,0,1)</f>
        <v>0</v>
      </c>
      <c r="T1509" s="26">
        <f>IF(COUNTIF($B$4:B1509,B1509)=1,1,0)</f>
        <v>0</v>
      </c>
    </row>
    <row r="1510">
      <c r="A1510" s="14" t="inlineStr">
        <is>
          <t>LUÍS EDUARDO MAGALHÃES</t>
        </is>
      </c>
      <c r="B1510" s="26" t="n">
        <v>205</v>
      </c>
      <c r="C1510" s="26" t="n">
        <v>1198</v>
      </c>
      <c r="D1510" s="14" t="inlineStr">
        <is>
          <t>COLÉGIO MUNICIPAL ÂNGELO BOSA</t>
        </is>
      </c>
      <c r="E1510" s="14" t="inlineStr">
        <is>
          <t>FLORAIS LEA</t>
        </is>
      </c>
      <c r="F1510" s="14" t="inlineStr">
        <is>
          <t>RUA IRARÁ, 1649, QUADRA 62 - ZONA URBANA</t>
        </is>
      </c>
      <c r="G1510" s="27" t="inlineStr">
        <is>
          <t>47855-292</t>
        </is>
      </c>
      <c r="H1510" s="15" t="n">
        <v>6</v>
      </c>
      <c r="I1510" s="28" t="inlineStr">
        <is>
          <t>NÃO</t>
        </is>
      </c>
      <c r="J1510" s="29" t="n">
        <v>519.8</v>
      </c>
      <c r="K1510" s="14" t="str">
        <f>IF(J1510="","7. Acima de 2 km",IF(J1510&lt;=50,"1. Até 50 m",IF(J1510&lt;=100,"2. De 50 a 100 m",IF(J1510&lt;=200,"3. De 100 a 200 m",IF(J1510&lt;=300,"4. De 200 a 300 m",IF(J1510&lt;=500,"5. De 300 a 500 m","6. De 500 m a 2 km"))))))</f>
        <v>6. De 500 m a 2 km</v>
      </c>
      <c r="L1510" s="26" t="n">
        <v>0</v>
      </c>
      <c r="M1510" s="26" t="n">
        <v>0</v>
      </c>
      <c r="N1510" s="26" t="n">
        <v>0</v>
      </c>
      <c r="O1510" s="26" t="n">
        <v>0</v>
      </c>
      <c r="P1510" s="30" t="n">
        <v>-12.1071688</v>
      </c>
      <c r="Q1510" s="30" t="n">
        <v>-45.7965535</v>
      </c>
      <c r="R1510" s="14" t="inlineStr">
        <is>
          <t>RUA PIAUÍ, 590, EDF. FAINELLO, CENTRO, LUÍS EDUARDO MAGALHÃES/BA</t>
        </is>
      </c>
      <c r="S1510" s="26">
        <f>IF(A1510=A1509,0,1)</f>
        <v>0</v>
      </c>
      <c r="T1510" s="26">
        <f>IF(COUNTIF($B$4:B1510,B1510)=1,1,0)</f>
        <v>0</v>
      </c>
    </row>
    <row r="1511">
      <c r="A1511" s="14" t="inlineStr">
        <is>
          <t>LUÍS EDUARDO MAGALHÃES</t>
        </is>
      </c>
      <c r="B1511" s="26" t="n">
        <v>205</v>
      </c>
      <c r="C1511" s="26" t="n">
        <v>1201</v>
      </c>
      <c r="D1511" s="14" t="inlineStr">
        <is>
          <t>ESCOLA MUNICIPAL HERMÍNIO CARLOS BRANDÃO</t>
        </is>
      </c>
      <c r="E1511" s="14" t="inlineStr">
        <is>
          <t>JARDIM DAS ACÁCIAS</t>
        </is>
      </c>
      <c r="F1511" s="14" t="inlineStr">
        <is>
          <t>RUA DA AROEIRA, 672, QUADRA 64, LOTE 05 - ZONA URBANA</t>
        </is>
      </c>
      <c r="G1511" s="27" t="inlineStr">
        <is>
          <t>47862-110</t>
        </is>
      </c>
      <c r="H1511" s="15" t="n">
        <v>7</v>
      </c>
      <c r="I1511" s="28" t="inlineStr">
        <is>
          <t>NÃO</t>
        </is>
      </c>
      <c r="J1511" s="29" t="n">
        <v>309.8</v>
      </c>
      <c r="K1511" s="14" t="str">
        <f>IF(J1511="","7. Acima de 2 km",IF(J1511&lt;=50,"1. Até 50 m",IF(J1511&lt;=100,"2. De 50 a 100 m",IF(J1511&lt;=200,"3. De 100 a 200 m",IF(J1511&lt;=300,"4. De 200 a 300 m",IF(J1511&lt;=500,"5. De 300 a 500 m","6. De 500 m a 2 km"))))))</f>
        <v>5. De 300 a 500 m</v>
      </c>
      <c r="L1511" s="26" t="n">
        <v>0</v>
      </c>
      <c r="M1511" s="26" t="n">
        <v>0</v>
      </c>
      <c r="N1511" s="26" t="n">
        <v>0</v>
      </c>
      <c r="O1511" s="26" t="n">
        <v>0</v>
      </c>
      <c r="P1511" s="30" t="n">
        <v>-12.0789355</v>
      </c>
      <c r="Q1511" s="30" t="n">
        <v>-45.7689775</v>
      </c>
      <c r="R1511" s="14" t="inlineStr">
        <is>
          <t>RUA PIAUÍ, 590, EDF. FAINELLO, CENTRO, LUÍS EDUARDO MAGALHÃES/BA</t>
        </is>
      </c>
      <c r="S1511" s="26">
        <f>IF(A1511=A1510,0,1)</f>
        <v>0</v>
      </c>
      <c r="T1511" s="26">
        <f>IF(COUNTIF($B$4:B1511,B1511)=1,1,0)</f>
        <v>0</v>
      </c>
    </row>
    <row r="1512">
      <c r="A1512" s="14" t="inlineStr">
        <is>
          <t>LUÍS EDUARDO MAGALHÃES</t>
        </is>
      </c>
      <c r="B1512" s="26" t="n">
        <v>205</v>
      </c>
      <c r="C1512" s="26" t="n">
        <v>1210</v>
      </c>
      <c r="D1512" s="14" t="inlineStr">
        <is>
          <t>ESCOLA MUNICIPAL MOZART FELICIANO</t>
        </is>
      </c>
      <c r="E1512" s="14" t="inlineStr">
        <is>
          <t>CENTRO</t>
        </is>
      </c>
      <c r="F1512" s="14" t="inlineStr">
        <is>
          <t>AV. BARREIRAS, 981  - ZONA URBANA</t>
        </is>
      </c>
      <c r="G1512" s="27" t="inlineStr">
        <is>
          <t>47850-001</t>
        </is>
      </c>
      <c r="H1512" s="15" t="n">
        <v>5</v>
      </c>
      <c r="I1512" s="28" t="inlineStr">
        <is>
          <t>NÃO</t>
        </is>
      </c>
      <c r="J1512" s="29" t="n">
        <v>107.7</v>
      </c>
      <c r="K1512" s="14" t="str">
        <f>IF(J1512="","7. Acima de 2 km",IF(J1512&lt;=50,"1. Até 50 m",IF(J1512&lt;=100,"2. De 50 a 100 m",IF(J1512&lt;=200,"3. De 100 a 200 m",IF(J1512&lt;=300,"4. De 200 a 300 m",IF(J1512&lt;=500,"5. De 300 a 500 m","6. De 500 m a 2 km"))))))</f>
        <v>3. De 100 a 200 m</v>
      </c>
      <c r="L1512" s="26" t="n">
        <v>0</v>
      </c>
      <c r="M1512" s="26" t="n">
        <v>0</v>
      </c>
      <c r="N1512" s="26" t="n">
        <v>4</v>
      </c>
      <c r="O1512" s="26" t="n">
        <v>8</v>
      </c>
      <c r="P1512" s="30" t="n">
        <v>-12.0903495</v>
      </c>
      <c r="Q1512" s="30" t="n">
        <v>-45.7951492</v>
      </c>
      <c r="R1512" s="14" t="inlineStr">
        <is>
          <t>RUA PIAUÍ, 590, EDF. FAINELLO, CENTRO, LUÍS EDUARDO MAGALHÃES/BA</t>
        </is>
      </c>
      <c r="S1512" s="26">
        <f>IF(A1512=A1511,0,1)</f>
        <v>0</v>
      </c>
      <c r="T1512" s="26">
        <f>IF(COUNTIF($B$4:B1512,B1512)=1,1,0)</f>
        <v>0</v>
      </c>
    </row>
    <row r="1513">
      <c r="A1513" s="14" t="inlineStr">
        <is>
          <t>LUÍS EDUARDO MAGALHÃES</t>
        </is>
      </c>
      <c r="B1513" s="26" t="n">
        <v>205</v>
      </c>
      <c r="C1513" s="26" t="n">
        <v>1228</v>
      </c>
      <c r="D1513" s="14" t="inlineStr">
        <is>
          <t>CRECHE MUNICIPAL MENINO JESUS</t>
        </is>
      </c>
      <c r="E1513" s="14" t="inlineStr">
        <is>
          <t>MIMOSO DO OESTE</t>
        </is>
      </c>
      <c r="F1513" s="14" t="inlineStr">
        <is>
          <t>RUA SEVERINO FRACARO,136, QUADRA EPC, LOTE C - MIMOSO II - ZONA URBANA</t>
        </is>
      </c>
      <c r="G1513" s="27" t="inlineStr">
        <is>
          <t>47850-134</t>
        </is>
      </c>
      <c r="H1513" s="15" t="n">
        <v>8</v>
      </c>
      <c r="I1513" s="28" t="inlineStr">
        <is>
          <t>NÃO</t>
        </is>
      </c>
      <c r="J1513" s="29" t="n">
        <v>232.3</v>
      </c>
      <c r="K1513" s="14" t="str">
        <f>IF(J1513="","7. Acima de 2 km",IF(J1513&lt;=50,"1. Até 50 m",IF(J1513&lt;=100,"2. De 50 a 100 m",IF(J1513&lt;=200,"3. De 100 a 200 m",IF(J1513&lt;=300,"4. De 200 a 300 m",IF(J1513&lt;=500,"5. De 300 a 500 m","6. De 500 m a 2 km"))))))</f>
        <v>4. De 200 a 300 m</v>
      </c>
      <c r="L1513" s="26" t="n">
        <v>0</v>
      </c>
      <c r="M1513" s="26" t="n">
        <v>0</v>
      </c>
      <c r="N1513" s="26" t="n">
        <v>0</v>
      </c>
      <c r="O1513" s="26" t="n">
        <v>1</v>
      </c>
      <c r="P1513" s="30" t="n">
        <v>-12.0816498</v>
      </c>
      <c r="Q1513" s="30" t="n">
        <v>-45.817065</v>
      </c>
      <c r="R1513" s="14" t="inlineStr">
        <is>
          <t>RUA PIAUÍ, 590, EDF. FAINELLO, CENTRO, LUÍS EDUARDO MAGALHÃES/BA</t>
        </is>
      </c>
      <c r="S1513" s="26">
        <f>IF(A1513=A1512,0,1)</f>
        <v>0</v>
      </c>
      <c r="T1513" s="26">
        <f>IF(COUNTIF($B$4:B1513,B1513)=1,1,0)</f>
        <v>0</v>
      </c>
    </row>
    <row r="1514">
      <c r="A1514" s="14" t="inlineStr">
        <is>
          <t>LUÍS EDUARDO MAGALHÃES</t>
        </is>
      </c>
      <c r="B1514" s="26" t="n">
        <v>205</v>
      </c>
      <c r="C1514" s="26" t="n">
        <v>1236</v>
      </c>
      <c r="D1514" s="14" t="inlineStr">
        <is>
          <t>CENTRO UNIVERSITÁRIO ARNALDO HORÁCIO FERREIRA - UNIFAAHF</t>
        </is>
      </c>
      <c r="E1514" s="14" t="inlineStr">
        <is>
          <t>MIMOSO DO OESTE</t>
        </is>
      </c>
      <c r="F1514" s="14" t="inlineStr">
        <is>
          <t>RUA PARÁ, 2280 - MIMOSO II - ZONA URBANA</t>
        </is>
      </c>
      <c r="G1514" s="27" t="inlineStr">
        <is>
          <t>47850-051</t>
        </is>
      </c>
      <c r="H1514" s="15" t="n">
        <v>10</v>
      </c>
      <c r="I1514" s="28" t="inlineStr">
        <is>
          <t>NÃO</t>
        </is>
      </c>
      <c r="J1514" s="29" t="n">
        <v>489.2</v>
      </c>
      <c r="K1514" s="14" t="str">
        <f>IF(J1514="","7. Acima de 2 km",IF(J1514&lt;=50,"1. Até 50 m",IF(J1514&lt;=100,"2. De 50 a 100 m",IF(J1514&lt;=200,"3. De 100 a 200 m",IF(J1514&lt;=300,"4. De 200 a 300 m",IF(J1514&lt;=500,"5. De 300 a 500 m","6. De 500 m a 2 km"))))))</f>
        <v>5. De 300 a 500 m</v>
      </c>
      <c r="L1514" s="26" t="n">
        <v>0</v>
      </c>
      <c r="M1514" s="26" t="n">
        <v>0</v>
      </c>
      <c r="N1514" s="26" t="n">
        <v>0</v>
      </c>
      <c r="O1514" s="26" t="n">
        <v>0</v>
      </c>
      <c r="P1514" s="30" t="n">
        <v>-12.0729882</v>
      </c>
      <c r="Q1514" s="30" t="n">
        <v>-45.8009486</v>
      </c>
      <c r="R1514" s="14" t="inlineStr">
        <is>
          <t>RUA PIAUÍ, 590, EDF. FAINELLO, CENTRO, LUÍS EDUARDO MAGALHÃES/BA</t>
        </is>
      </c>
      <c r="S1514" s="26">
        <f>IF(A1514=A1513,0,1)</f>
        <v>0</v>
      </c>
      <c r="T1514" s="26">
        <f>IF(COUNTIF($B$4:B1514,B1514)=1,1,0)</f>
        <v>0</v>
      </c>
    </row>
    <row r="1515">
      <c r="A1515" s="14" t="inlineStr">
        <is>
          <t>LUÍS EDUARDO MAGALHÃES</t>
        </is>
      </c>
      <c r="B1515" s="26" t="n">
        <v>205</v>
      </c>
      <c r="C1515" s="26" t="n">
        <v>1244</v>
      </c>
      <c r="D1515" s="14" t="inlineStr">
        <is>
          <t>ESCOLA MUNICIPAL CAIO FELIPPE MIRANDA DE OLIVEIRA</t>
        </is>
      </c>
      <c r="E1515" s="14" t="inlineStr">
        <is>
          <t>SANTA CRUZ</t>
        </is>
      </c>
      <c r="F1515" s="14" t="inlineStr">
        <is>
          <t>RUA CARAVELAS, EPC-B1 - ZONA URBANA</t>
        </is>
      </c>
      <c r="G1515" s="27" t="inlineStr">
        <is>
          <t>47855-452</t>
        </is>
      </c>
      <c r="H1515" s="15" t="n">
        <v>3</v>
      </c>
      <c r="I1515" s="28" t="inlineStr">
        <is>
          <t>NÃO</t>
        </is>
      </c>
      <c r="J1515" s="29" t="n">
        <v>432.7</v>
      </c>
      <c r="K1515" s="14" t="str">
        <f>IF(J1515="","7. Acima de 2 km",IF(J1515&lt;=50,"1. Até 50 m",IF(J1515&lt;=100,"2. De 50 a 100 m",IF(J1515&lt;=200,"3. De 100 a 200 m",IF(J1515&lt;=300,"4. De 200 a 300 m",IF(J1515&lt;=500,"5. De 300 a 500 m","6. De 500 m a 2 km"))))))</f>
        <v>5. De 300 a 500 m</v>
      </c>
      <c r="L1515" s="26" t="n">
        <v>0</v>
      </c>
      <c r="M1515" s="26" t="n">
        <v>0</v>
      </c>
      <c r="N1515" s="26" t="n">
        <v>0</v>
      </c>
      <c r="O1515" s="26" t="n">
        <v>0</v>
      </c>
      <c r="P1515" s="30" t="n">
        <v>-12.1123694</v>
      </c>
      <c r="Q1515" s="30" t="n">
        <v>-45.79555</v>
      </c>
      <c r="R1515" s="14" t="inlineStr">
        <is>
          <t>RUA PIAUÍ, 590, EDF. FAINELLO, CENTRO, LUÍS EDUARDO MAGALHÃES/BA</t>
        </is>
      </c>
      <c r="S1515" s="26">
        <f>IF(A1515=A1514,0,1)</f>
        <v>0</v>
      </c>
      <c r="T1515" s="26">
        <f>IF(COUNTIF($B$4:B1515,B1515)=1,1,0)</f>
        <v>0</v>
      </c>
    </row>
    <row r="1516">
      <c r="A1516" s="14" t="inlineStr">
        <is>
          <t>LUÍS EDUARDO MAGALHÃES</t>
        </is>
      </c>
      <c r="B1516" s="26" t="n">
        <v>205</v>
      </c>
      <c r="C1516" s="26" t="n">
        <v>1252</v>
      </c>
      <c r="D1516" s="14" t="inlineStr">
        <is>
          <t>CRECHE MUNICIPAL PEQUENO PRÍNCIPE</t>
        </is>
      </c>
      <c r="E1516" s="14" t="inlineStr">
        <is>
          <t>FLORAIS LEA</t>
        </is>
      </c>
      <c r="F1516" s="14" t="inlineStr">
        <is>
          <t>RUA TARSILA DO AMARAL, QUADRA EPC 08 - ZONA URBANA</t>
        </is>
      </c>
      <c r="G1516" s="27" t="inlineStr">
        <is>
          <t>47855-370</t>
        </is>
      </c>
      <c r="H1516" s="15" t="n">
        <v>5</v>
      </c>
      <c r="I1516" s="28" t="inlineStr">
        <is>
          <t>NÃO</t>
        </is>
      </c>
      <c r="J1516" s="29" t="n">
        <v>597.6</v>
      </c>
      <c r="K1516" s="14" t="str">
        <f>IF(J1516="","7. Acima de 2 km",IF(J1516&lt;=50,"1. Até 50 m",IF(J1516&lt;=100,"2. De 50 a 100 m",IF(J1516&lt;=200,"3. De 100 a 200 m",IF(J1516&lt;=300,"4. De 200 a 300 m",IF(J1516&lt;=500,"5. De 300 a 500 m","6. De 500 m a 2 km"))))))</f>
        <v>6. De 500 m a 2 km</v>
      </c>
      <c r="L1516" s="26" t="n">
        <v>0</v>
      </c>
      <c r="M1516" s="26" t="n">
        <v>0</v>
      </c>
      <c r="N1516" s="26" t="n">
        <v>0</v>
      </c>
      <c r="O1516" s="26" t="n">
        <v>0</v>
      </c>
      <c r="P1516" s="30" t="n">
        <v>-12.1023278</v>
      </c>
      <c r="Q1516" s="30" t="n">
        <v>-45.7967959</v>
      </c>
      <c r="R1516" s="14" t="inlineStr">
        <is>
          <t>RUA PIAUÍ, 590, EDF. FAINELLO, CENTRO, LUÍS EDUARDO MAGALHÃES/BA</t>
        </is>
      </c>
      <c r="S1516" s="26">
        <f>IF(A1516=A1515,0,1)</f>
        <v>0</v>
      </c>
      <c r="T1516" s="26">
        <f>IF(COUNTIF($B$4:B1516,B1516)=1,1,0)</f>
        <v>0</v>
      </c>
    </row>
    <row r="1517">
      <c r="A1517" s="14" t="inlineStr">
        <is>
          <t>LUÍS EDUARDO MAGALHÃES</t>
        </is>
      </c>
      <c r="B1517" s="26" t="n">
        <v>205</v>
      </c>
      <c r="C1517" s="26" t="n">
        <v>1279</v>
      </c>
      <c r="D1517" s="14" t="inlineStr">
        <is>
          <t>APAE - ASSOCIAÇÃO DE PAIS E AMIGOS DOS EXCEPCIONAIS</t>
        </is>
      </c>
      <c r="E1517" s="14" t="inlineStr">
        <is>
          <t>CENTRO</t>
        </is>
      </c>
      <c r="F1517" s="14" t="inlineStr">
        <is>
          <t>RUA CEARÁ, 181, QUADRA G - ZONA URBANA</t>
        </is>
      </c>
      <c r="G1517" s="27" t="inlineStr">
        <is>
          <t>47850-071</t>
        </is>
      </c>
      <c r="H1517" s="15" t="n">
        <v>4</v>
      </c>
      <c r="I1517" s="28" t="inlineStr">
        <is>
          <t>NÃO</t>
        </is>
      </c>
      <c r="J1517" s="29" t="n">
        <v>571.9</v>
      </c>
      <c r="K1517" s="14" t="str">
        <f>IF(J1517="","7. Acima de 2 km",IF(J1517&lt;=50,"1. Até 50 m",IF(J1517&lt;=100,"2. De 50 a 100 m",IF(J1517&lt;=200,"3. De 100 a 200 m",IF(J1517&lt;=300,"4. De 200 a 300 m",IF(J1517&lt;=500,"5. De 300 a 500 m","6. De 500 m a 2 km"))))))</f>
        <v>6. De 500 m a 2 km</v>
      </c>
      <c r="L1517" s="26" t="n">
        <v>0</v>
      </c>
      <c r="M1517" s="26" t="n">
        <v>0</v>
      </c>
      <c r="N1517" s="26" t="n">
        <v>0</v>
      </c>
      <c r="O1517" s="26" t="n">
        <v>0</v>
      </c>
      <c r="P1517" s="30" t="n">
        <v>-12.0882761</v>
      </c>
      <c r="Q1517" s="30" t="n">
        <v>-45.8073648</v>
      </c>
      <c r="R1517" s="14" t="inlineStr">
        <is>
          <t>RUA PIAUÍ, 590, EDF. FAINELLO, CENTRO, LUÍS EDUARDO MAGALHÃES/BA</t>
        </is>
      </c>
      <c r="S1517" s="26">
        <f>IF(A1517=A1516,0,1)</f>
        <v>0</v>
      </c>
      <c r="T1517" s="26">
        <f>IF(COUNTIF($B$4:B1517,B1517)=1,1,0)</f>
        <v>0</v>
      </c>
    </row>
    <row r="1518">
      <c r="A1518" s="14" t="inlineStr">
        <is>
          <t>LUÍS EDUARDO MAGALHÃES</t>
        </is>
      </c>
      <c r="B1518" s="26" t="n">
        <v>205</v>
      </c>
      <c r="C1518" s="26" t="n">
        <v>1287</v>
      </c>
      <c r="D1518" s="14" t="inlineStr">
        <is>
          <t>ESCOLA MUNICIPAL CECÍLIA MEIRELES</t>
        </is>
      </c>
      <c r="E1518" s="14" t="inlineStr">
        <is>
          <t>RESIDENCIAL SOL DO CERRADO</t>
        </is>
      </c>
      <c r="F1518" s="14" t="inlineStr">
        <is>
          <t>RUA ALAMEDA DOS BURITIS - ZONA URBANA</t>
        </is>
      </c>
      <c r="G1518" s="27" t="inlineStr">
        <is>
          <t>47861-416</t>
        </is>
      </c>
      <c r="H1518" s="15" t="n">
        <v>4</v>
      </c>
      <c r="I1518" s="28" t="inlineStr">
        <is>
          <t>NÃO</t>
        </is>
      </c>
      <c r="J1518" s="29" t="n"/>
      <c r="K1518" s="14" t="str">
        <f>IF(J1518="","7. Acima de 2 km",IF(J1518&lt;=50,"1. Até 50 m",IF(J1518&lt;=100,"2. De 50 a 100 m",IF(J1518&lt;=200,"3. De 100 a 200 m",IF(J1518&lt;=300,"4. De 200 a 300 m",IF(J1518&lt;=500,"5. De 300 a 500 m","6. De 500 m a 2 km"))))))</f>
        <v>7. Acima de 2 km</v>
      </c>
      <c r="L1518" s="26" t="n">
        <v>0</v>
      </c>
      <c r="M1518" s="26" t="n">
        <v>0</v>
      </c>
      <c r="N1518" s="26" t="n">
        <v>0</v>
      </c>
      <c r="O1518" s="26" t="n">
        <v>0</v>
      </c>
      <c r="P1518" s="30" t="n">
        <v>-12.0624414</v>
      </c>
      <c r="Q1518" s="30" t="n">
        <v>-45.7147442</v>
      </c>
      <c r="R1518" s="14" t="inlineStr">
        <is>
          <t>RUA PIAUÍ, 590, EDF. FAINELLO, CENTRO, LUÍS EDUARDO MAGALHÃES/BA</t>
        </is>
      </c>
      <c r="S1518" s="26">
        <f>IF(A1518=A1517,0,1)</f>
        <v>0</v>
      </c>
      <c r="T1518" s="26">
        <f>IF(COUNTIF($B$4:B1518,B1518)=1,1,0)</f>
        <v>0</v>
      </c>
    </row>
    <row r="1519">
      <c r="A1519" s="14" t="inlineStr">
        <is>
          <t>LUÍS EDUARDO MAGALHÃES</t>
        </is>
      </c>
      <c r="B1519" s="26" t="n">
        <v>205</v>
      </c>
      <c r="C1519" s="26" t="n">
        <v>1295</v>
      </c>
      <c r="D1519" s="14" t="inlineStr">
        <is>
          <t>CEMEI PATRICIA OSHIRO BRENTAN</t>
        </is>
      </c>
      <c r="E1519" s="14" t="inlineStr">
        <is>
          <t>MIMOSO DO OESTE</t>
        </is>
      </c>
      <c r="F1519" s="14" t="inlineStr">
        <is>
          <t>RUA SÃO FRANCISCO - MIMOSO I - ZONA URBANA</t>
        </is>
      </c>
      <c r="G1519" s="27" t="inlineStr">
        <is>
          <t>47850-025</t>
        </is>
      </c>
      <c r="H1519" s="15" t="n">
        <v>8</v>
      </c>
      <c r="I1519" s="28" t="inlineStr">
        <is>
          <t>NÃO</t>
        </is>
      </c>
      <c r="J1519" s="29" t="n">
        <v>235.9</v>
      </c>
      <c r="K1519" s="14" t="str">
        <f>IF(J1519="","7. Acima de 2 km",IF(J1519&lt;=50,"1. Até 50 m",IF(J1519&lt;=100,"2. De 50 a 100 m",IF(J1519&lt;=200,"3. De 100 a 200 m",IF(J1519&lt;=300,"4. De 200 a 300 m",IF(J1519&lt;=500,"5. De 300 a 500 m","6. De 500 m a 2 km"))))))</f>
        <v>4. De 200 a 300 m</v>
      </c>
      <c r="L1519" s="26" t="n">
        <v>0</v>
      </c>
      <c r="M1519" s="26" t="n">
        <v>0</v>
      </c>
      <c r="N1519" s="26" t="n">
        <v>0</v>
      </c>
      <c r="O1519" s="26" t="n">
        <v>2</v>
      </c>
      <c r="P1519" s="30" t="n">
        <v>-12.0779453</v>
      </c>
      <c r="Q1519" s="30" t="n">
        <v>-45.7911489</v>
      </c>
      <c r="R1519" s="14" t="inlineStr">
        <is>
          <t>RUA PIAUÍ, 590, EDF. FAINELLO, CENTRO, LUÍS EDUARDO MAGALHÃES/BA</t>
        </is>
      </c>
      <c r="S1519" s="26">
        <f>IF(A1519=A1518,0,1)</f>
        <v>0</v>
      </c>
      <c r="T1519" s="26">
        <f>IF(COUNTIF($B$4:B1519,B1519)=1,1,0)</f>
        <v>0</v>
      </c>
    </row>
    <row r="1520">
      <c r="A1520" s="14" t="inlineStr">
        <is>
          <t>LUÍS EDUARDO MAGALHÃES</t>
        </is>
      </c>
      <c r="B1520" s="26" t="n">
        <v>205</v>
      </c>
      <c r="C1520" s="26" t="n">
        <v>1309</v>
      </c>
      <c r="D1520" s="14" t="inlineStr">
        <is>
          <t>COLÉGIO ESTADUAL CONSTANTINO CATARINO DE SOUZA</t>
        </is>
      </c>
      <c r="E1520" s="14" t="inlineStr">
        <is>
          <t>SANTA CRUZ</t>
        </is>
      </c>
      <c r="F1520" s="14" t="inlineStr">
        <is>
          <t>RUA PORTO SEGURO, 3110, QUADRA 23 - ZONA URBANA</t>
        </is>
      </c>
      <c r="G1520" s="27" t="inlineStr">
        <is>
          <t>47855-308</t>
        </is>
      </c>
      <c r="H1520" s="15" t="n">
        <v>6</v>
      </c>
      <c r="I1520" s="28" t="inlineStr">
        <is>
          <t>NÃO</t>
        </is>
      </c>
      <c r="J1520" s="29" t="n">
        <v>202.2</v>
      </c>
      <c r="K1520" s="14" t="str">
        <f>IF(J1520="","7. Acima de 2 km",IF(J1520&lt;=50,"1. Até 50 m",IF(J1520&lt;=100,"2. De 50 a 100 m",IF(J1520&lt;=200,"3. De 100 a 200 m",IF(J1520&lt;=300,"4. De 200 a 300 m",IF(J1520&lt;=500,"5. De 300 a 500 m","6. De 500 m a 2 km"))))))</f>
        <v>4. De 200 a 300 m</v>
      </c>
      <c r="L1520" s="26" t="n">
        <v>0</v>
      </c>
      <c r="M1520" s="26" t="n">
        <v>0</v>
      </c>
      <c r="N1520" s="26" t="n">
        <v>0</v>
      </c>
      <c r="O1520" s="26" t="n">
        <v>2</v>
      </c>
      <c r="P1520" s="30" t="n">
        <v>-12.0939877</v>
      </c>
      <c r="Q1520" s="30" t="n">
        <v>-45.7976302</v>
      </c>
      <c r="R1520" s="14" t="inlineStr">
        <is>
          <t>RUA PIAUÍ, 590, EDF. FAINELLO, CENTRO, LUÍS EDUARDO MAGALHÃES/BA</t>
        </is>
      </c>
      <c r="S1520" s="26">
        <f>IF(A1520=A1519,0,1)</f>
        <v>0</v>
      </c>
      <c r="T1520" s="26">
        <f>IF(COUNTIF($B$4:B1520,B1520)=1,1,0)</f>
        <v>0</v>
      </c>
    </row>
    <row r="1521">
      <c r="A1521" s="14" t="inlineStr">
        <is>
          <t>LUÍS EDUARDO MAGALHÃES</t>
        </is>
      </c>
      <c r="B1521" s="26" t="n">
        <v>205</v>
      </c>
      <c r="C1521" s="26" t="n">
        <v>1317</v>
      </c>
      <c r="D1521" s="14" t="inlineStr">
        <is>
          <t>CEMEI CLEUSA SANTOS SILVA E SILVA</t>
        </is>
      </c>
      <c r="E1521" s="14" t="inlineStr">
        <is>
          <t>CONQUISTA</t>
        </is>
      </c>
      <c r="F1521" s="14" t="inlineStr">
        <is>
          <t>RUA IRECÊ, QUADRA EPC, LOTE 03 - ZONA URBANA</t>
        </is>
      </c>
      <c r="G1521" s="27" t="inlineStr">
        <is>
          <t>47855-176</t>
        </is>
      </c>
      <c r="H1521" s="15" t="n">
        <v>5</v>
      </c>
      <c r="I1521" s="28" t="inlineStr">
        <is>
          <t>NÃO</t>
        </is>
      </c>
      <c r="J1521" s="29" t="n">
        <v>222.7</v>
      </c>
      <c r="K1521" s="14" t="str">
        <f>IF(J1521="","7. Acima de 2 km",IF(J1521&lt;=50,"1. Até 50 m",IF(J1521&lt;=100,"2. De 50 a 100 m",IF(J1521&lt;=200,"3. De 100 a 200 m",IF(J1521&lt;=300,"4. De 200 a 300 m",IF(J1521&lt;=500,"5. De 300 a 500 m","6. De 500 m a 2 km"))))))</f>
        <v>4. De 200 a 300 m</v>
      </c>
      <c r="L1521" s="26" t="n">
        <v>0</v>
      </c>
      <c r="M1521" s="26" t="n">
        <v>0</v>
      </c>
      <c r="N1521" s="26" t="n">
        <v>0</v>
      </c>
      <c r="O1521" s="26" t="n">
        <v>1</v>
      </c>
      <c r="P1521" s="30" t="n">
        <v>-12.1123681</v>
      </c>
      <c r="Q1521" s="30" t="n">
        <v>-45.800784</v>
      </c>
      <c r="R1521" s="14" t="inlineStr">
        <is>
          <t>RUA PIAUÍ, 590, EDF. FAINELLO, CENTRO, LUÍS EDUARDO MAGALHÃES/BA</t>
        </is>
      </c>
      <c r="S1521" s="26">
        <f>IF(A1521=A1520,0,1)</f>
        <v>0</v>
      </c>
      <c r="T1521" s="26">
        <f>IF(COUNTIF($B$4:B1521,B1521)=1,1,0)</f>
        <v>0</v>
      </c>
    </row>
    <row r="1522">
      <c r="A1522" s="14" t="inlineStr">
        <is>
          <t>LUÍS EDUARDO MAGALHÃES</t>
        </is>
      </c>
      <c r="B1522" s="26" t="n">
        <v>205</v>
      </c>
      <c r="C1522" s="26" t="n">
        <v>1325</v>
      </c>
      <c r="D1522" s="14" t="inlineStr">
        <is>
          <t>CENTRO CULTURAL DA ASSOCIAÇÃO DE MORADORES</t>
        </is>
      </c>
      <c r="E1522" s="14" t="inlineStr">
        <is>
          <t>POVOADO MURIÇOCA</t>
        </is>
      </c>
      <c r="F1522" s="14" t="inlineStr">
        <is>
          <t>RUA PRINCIPAL - ZONA RURAL</t>
        </is>
      </c>
      <c r="G1522" s="27" t="inlineStr">
        <is>
          <t>47850-000</t>
        </is>
      </c>
      <c r="H1522" s="15" t="n">
        <v>1</v>
      </c>
      <c r="I1522" s="28" t="inlineStr">
        <is>
          <t>NÃO</t>
        </is>
      </c>
      <c r="J1522" s="29" t="n"/>
      <c r="K1522" s="14" t="str">
        <f>IF(J1522="","7. Acima de 2 km",IF(J1522&lt;=50,"1. Até 50 m",IF(J1522&lt;=100,"2. De 50 a 100 m",IF(J1522&lt;=200,"3. De 100 a 200 m",IF(J1522&lt;=300,"4. De 200 a 300 m",IF(J1522&lt;=500,"5. De 300 a 500 m","6. De 500 m a 2 km"))))))</f>
        <v>7. Acima de 2 km</v>
      </c>
      <c r="L1522" s="26" t="n">
        <v>0</v>
      </c>
      <c r="M1522" s="26" t="n">
        <v>0</v>
      </c>
      <c r="N1522" s="26" t="n">
        <v>0</v>
      </c>
      <c r="O1522" s="26" t="n">
        <v>0</v>
      </c>
      <c r="P1522" s="30" t="n">
        <v>-11.8824741</v>
      </c>
      <c r="Q1522" s="30" t="n">
        <v>-45.8026581</v>
      </c>
      <c r="R1522" s="14" t="inlineStr">
        <is>
          <t>RUA PIAUÍ, 590, EDF. FAINELLO, CENTRO, LUÍS EDUARDO MAGALHÃES/BA</t>
        </is>
      </c>
      <c r="S1522" s="26">
        <f>IF(A1522=A1521,0,1)</f>
        <v>0</v>
      </c>
      <c r="T1522" s="26">
        <f>IF(COUNTIF($B$4:B1522,B1522)=1,1,0)</f>
        <v>0</v>
      </c>
    </row>
    <row r="1523">
      <c r="A1523" s="14" t="inlineStr">
        <is>
          <t>LUÍS EDUARDO MAGALHÃES</t>
        </is>
      </c>
      <c r="B1523" s="26" t="n">
        <v>205</v>
      </c>
      <c r="C1523" s="26" t="n">
        <v>1333</v>
      </c>
      <c r="D1523" s="14" t="inlineStr">
        <is>
          <t>ESCOLA MUNICIPAL PEDRO PAULO CORTE FILHO</t>
        </is>
      </c>
      <c r="E1523" s="14" t="inlineStr">
        <is>
          <t>CIDADE UNIVERSITÁRIA - BAIRRO UNIVERSITÁRIO</t>
        </is>
      </c>
      <c r="F1523" s="14" t="inlineStr">
        <is>
          <t>AVENIDA SALVADOR, 2631 - ZONA URBANA</t>
        </is>
      </c>
      <c r="G1523" s="27" t="inlineStr">
        <is>
          <t>47864-326</t>
        </is>
      </c>
      <c r="H1523" s="15" t="n">
        <v>8</v>
      </c>
      <c r="I1523" s="28" t="inlineStr">
        <is>
          <t>NÃO</t>
        </is>
      </c>
      <c r="J1523" s="29" t="n">
        <v>1254.3</v>
      </c>
      <c r="K1523" s="14" t="str">
        <f>IF(J1523="","7. Acima de 2 km",IF(J1523&lt;=50,"1. Até 50 m",IF(J1523&lt;=100,"2. De 50 a 100 m",IF(J1523&lt;=200,"3. De 100 a 200 m",IF(J1523&lt;=300,"4. De 200 a 300 m",IF(J1523&lt;=500,"5. De 300 a 500 m","6. De 500 m a 2 km"))))))</f>
        <v>6. De 500 m a 2 km</v>
      </c>
      <c r="L1523" s="26" t="n">
        <v>0</v>
      </c>
      <c r="M1523" s="26" t="n">
        <v>0</v>
      </c>
      <c r="N1523" s="26" t="n">
        <v>0</v>
      </c>
      <c r="O1523" s="26" t="n">
        <v>0</v>
      </c>
      <c r="P1523" s="30" t="n">
        <v>-12.0671432</v>
      </c>
      <c r="Q1523" s="30" t="n">
        <v>-45.7956794</v>
      </c>
      <c r="R1523" s="14" t="inlineStr">
        <is>
          <t>RUA PIAUÍ, 590, EDF. FAINELLO, CENTRO, LUÍS EDUARDO MAGALHÃES/BA</t>
        </is>
      </c>
      <c r="S1523" s="26">
        <f>IF(A1523=A1522,0,1)</f>
        <v>0</v>
      </c>
      <c r="T1523" s="26">
        <f>IF(COUNTIF($B$4:B1523,B1523)=1,1,0)</f>
        <v>0</v>
      </c>
    </row>
    <row r="1524">
      <c r="A1524" s="14" t="inlineStr">
        <is>
          <t>LUÍS EDUARDO MAGALHÃES</t>
        </is>
      </c>
      <c r="B1524" s="26" t="n">
        <v>205</v>
      </c>
      <c r="C1524" s="26" t="n">
        <v>1341</v>
      </c>
      <c r="D1524" s="14" t="inlineStr">
        <is>
          <t>CEMEI VITORIA FONTANA</t>
        </is>
      </c>
      <c r="E1524" s="14" t="inlineStr">
        <is>
          <t>JARDIM DAS ACÁCIAS</t>
        </is>
      </c>
      <c r="F1524" s="14" t="inlineStr">
        <is>
          <t>RUA MUTAMBA/PEQUIZEIRO, QUADRA 39 - ZONA URBANA</t>
        </is>
      </c>
      <c r="G1524" s="27" t="inlineStr">
        <is>
          <t>47862-114</t>
        </is>
      </c>
      <c r="H1524" s="15" t="n">
        <v>4</v>
      </c>
      <c r="I1524" s="28" t="inlineStr">
        <is>
          <t>NÃO</t>
        </is>
      </c>
      <c r="J1524" s="29" t="n">
        <v>826</v>
      </c>
      <c r="K1524" s="14" t="str">
        <f>IF(J1524="","7. Acima de 2 km",IF(J1524&lt;=50,"1. Até 50 m",IF(J1524&lt;=100,"2. De 50 a 100 m",IF(J1524&lt;=200,"3. De 100 a 200 m",IF(J1524&lt;=300,"4. De 200 a 300 m",IF(J1524&lt;=500,"5. De 300 a 500 m","6. De 500 m a 2 km"))))))</f>
        <v>6. De 500 m a 2 km</v>
      </c>
      <c r="L1524" s="26" t="n">
        <v>0</v>
      </c>
      <c r="M1524" s="26" t="n">
        <v>0</v>
      </c>
      <c r="N1524" s="26" t="n">
        <v>0</v>
      </c>
      <c r="O1524" s="26" t="n">
        <v>0</v>
      </c>
      <c r="P1524" s="30" t="n">
        <v>-12.0826492</v>
      </c>
      <c r="Q1524" s="30" t="n">
        <v>-45.7721737</v>
      </c>
      <c r="R1524" s="14" t="inlineStr">
        <is>
          <t>RUA PIAUÍ, 590, EDF. FAINELLO, CENTRO, LUÍS EDUARDO MAGALHÃES/BA</t>
        </is>
      </c>
      <c r="S1524" s="26">
        <f>IF(A1524=A1523,0,1)</f>
        <v>0</v>
      </c>
      <c r="T1524" s="26">
        <f>IF(COUNTIF($B$4:B1524,B1524)=1,1,0)</f>
        <v>0</v>
      </c>
    </row>
    <row r="1525">
      <c r="A1525" s="14" t="inlineStr">
        <is>
          <t>LUÍS EDUARDO MAGALHÃES</t>
        </is>
      </c>
      <c r="B1525" s="26" t="n">
        <v>205</v>
      </c>
      <c r="C1525" s="26" t="n">
        <v>1350</v>
      </c>
      <c r="D1525" s="14" t="inlineStr">
        <is>
          <t>CEMEI MAURÍLIO COMPARIM</t>
        </is>
      </c>
      <c r="E1525" s="14" t="inlineStr">
        <is>
          <t>JARDIM DAS ACÁCIAS</t>
        </is>
      </c>
      <c r="F1525" s="14" t="inlineStr">
        <is>
          <t>RUA DO CAJUEIRO, S/N, LOTE 13A, EPC - VEREDA TROPICAL - ZONA URBANA</t>
        </is>
      </c>
      <c r="G1525" s="27" t="inlineStr">
        <is>
          <t>47862-130</t>
        </is>
      </c>
      <c r="H1525" s="15" t="n">
        <v>2</v>
      </c>
      <c r="I1525" s="28" t="inlineStr">
        <is>
          <t>NÃO</t>
        </is>
      </c>
      <c r="J1525" s="29" t="n">
        <v>579.7</v>
      </c>
      <c r="K1525" s="14" t="str">
        <f>IF(J1525="","7. Acima de 2 km",IF(J1525&lt;=50,"1. Até 50 m",IF(J1525&lt;=100,"2. De 50 a 100 m",IF(J1525&lt;=200,"3. De 100 a 200 m",IF(J1525&lt;=300,"4. De 200 a 300 m",IF(J1525&lt;=500,"5. De 300 a 500 m","6. De 500 m a 2 km"))))))</f>
        <v>6. De 500 m a 2 km</v>
      </c>
      <c r="L1525" s="26" t="n">
        <v>0</v>
      </c>
      <c r="M1525" s="26" t="n">
        <v>0</v>
      </c>
      <c r="N1525" s="26" t="n">
        <v>0</v>
      </c>
      <c r="O1525" s="26" t="n">
        <v>0</v>
      </c>
      <c r="P1525" s="30" t="n">
        <v>-12.0819198</v>
      </c>
      <c r="Q1525" s="30" t="n">
        <v>-45.7587303</v>
      </c>
      <c r="R1525" s="14" t="inlineStr">
        <is>
          <t>RUA PIAUÍ, 590, EDF. FAINELLO, CENTRO, LUÍS EDUARDO MAGALHÃES/BA</t>
        </is>
      </c>
      <c r="S1525" s="26">
        <f>IF(A1525=A1524,0,1)</f>
        <v>0</v>
      </c>
      <c r="T1525" s="26">
        <f>IF(COUNTIF($B$4:B1525,B1525)=1,1,0)</f>
        <v>0</v>
      </c>
    </row>
    <row r="1526">
      <c r="A1526" s="14" t="inlineStr">
        <is>
          <t>LUÍS EDUARDO MAGALHÃES</t>
        </is>
      </c>
      <c r="B1526" s="26" t="n">
        <v>205</v>
      </c>
      <c r="C1526" s="26" t="n">
        <v>1376</v>
      </c>
      <c r="D1526" s="14" t="inlineStr">
        <is>
          <t>ESCOLA MUNICIPAL AMABÍLIO VIEIRA DOS SANTOS</t>
        </is>
      </c>
      <c r="E1526" s="14" t="inlineStr">
        <is>
          <t>SANTA CRUZ</t>
        </is>
      </c>
      <c r="F1526" s="14" t="inlineStr">
        <is>
          <t>RUA AIRTON SENNA, QUADRA 14 A 17 - ZONA URBANA</t>
        </is>
      </c>
      <c r="G1526" s="27" t="inlineStr">
        <is>
          <t>47855-282</t>
        </is>
      </c>
      <c r="H1526" s="15" t="n">
        <v>5</v>
      </c>
      <c r="I1526" s="28" t="inlineStr">
        <is>
          <t>NÃO</t>
        </is>
      </c>
      <c r="J1526" s="29" t="n">
        <v>264.6</v>
      </c>
      <c r="K1526" s="14" t="str">
        <f>IF(J1526="","7. Acima de 2 km",IF(J1526&lt;=50,"1. Até 50 m",IF(J1526&lt;=100,"2. De 50 a 100 m",IF(J1526&lt;=200,"3. De 100 a 200 m",IF(J1526&lt;=300,"4. De 200 a 300 m",IF(J1526&lt;=500,"5. De 300 a 500 m","6. De 500 m a 2 km"))))))</f>
        <v>4. De 200 a 300 m</v>
      </c>
      <c r="L1526" s="26" t="n">
        <v>0</v>
      </c>
      <c r="M1526" s="26" t="n">
        <v>0</v>
      </c>
      <c r="N1526" s="26" t="n">
        <v>0</v>
      </c>
      <c r="O1526" s="26" t="n">
        <v>1</v>
      </c>
      <c r="P1526" s="30" t="n">
        <v>-12.0990639</v>
      </c>
      <c r="Q1526" s="30" t="n">
        <v>-45.7989703</v>
      </c>
      <c r="R1526" s="14" t="inlineStr">
        <is>
          <t>RUA PIAUÍ, 590, EDF. FAINELLO, CENTRO, LUÍS EDUARDO MAGALHÃES/BA</t>
        </is>
      </c>
      <c r="S1526" s="26">
        <f>IF(A1526=A1525,0,1)</f>
        <v>0</v>
      </c>
      <c r="T1526" s="26">
        <f>IF(COUNTIF($B$4:B1526,B1526)=1,1,0)</f>
        <v>0</v>
      </c>
    </row>
    <row r="1527">
      <c r="A1527" s="14" t="inlineStr">
        <is>
          <t>LUÍS EDUARDO MAGALHÃES</t>
        </is>
      </c>
      <c r="B1527" s="26" t="n">
        <v>205</v>
      </c>
      <c r="C1527" s="26" t="n">
        <v>1384</v>
      </c>
      <c r="D1527" s="14" t="inlineStr">
        <is>
          <t>UFOB - UNIVERSIDADE FEDERAL DO OESTE DA BAHIA</t>
        </is>
      </c>
      <c r="E1527" s="14" t="inlineStr">
        <is>
          <t>SANTA CRUZ</t>
        </is>
      </c>
      <c r="F1527" s="14" t="inlineStr">
        <is>
          <t>RUA ITABUNA, 1278, QUADRA 97-B - ZONA URBANA</t>
        </is>
      </c>
      <c r="G1527" s="27" t="inlineStr">
        <is>
          <t>47855-218</t>
        </is>
      </c>
      <c r="H1527" s="15" t="n">
        <v>7</v>
      </c>
      <c r="I1527" s="28" t="inlineStr">
        <is>
          <t>NÃO</t>
        </is>
      </c>
      <c r="J1527" s="29" t="n">
        <v>795.4</v>
      </c>
      <c r="K1527" s="14" t="str">
        <f>IF(J1527="","7. Acima de 2 km",IF(J1527&lt;=50,"1. Até 50 m",IF(J1527&lt;=100,"2. De 50 a 100 m",IF(J1527&lt;=200,"3. De 100 a 200 m",IF(J1527&lt;=300,"4. De 200 a 300 m",IF(J1527&lt;=500,"5. De 300 a 500 m","6. De 500 m a 2 km"))))))</f>
        <v>6. De 500 m a 2 km</v>
      </c>
      <c r="L1527" s="26" t="n">
        <v>0</v>
      </c>
      <c r="M1527" s="26" t="n">
        <v>0</v>
      </c>
      <c r="N1527" s="26" t="n">
        <v>0</v>
      </c>
      <c r="O1527" s="26" t="n">
        <v>0</v>
      </c>
      <c r="P1527" s="30" t="n">
        <v>-12.1050959</v>
      </c>
      <c r="Q1527" s="30" t="n">
        <v>-45.8033952</v>
      </c>
      <c r="R1527" s="14" t="inlineStr">
        <is>
          <t>RUA PIAUÍ, 590, EDF. FAINELLO, CENTRO, LUÍS EDUARDO MAGALHÃES/BA</t>
        </is>
      </c>
      <c r="S1527" s="26">
        <f>IF(A1527=A1526,0,1)</f>
        <v>0</v>
      </c>
      <c r="T1527" s="26">
        <f>IF(COUNTIF($B$4:B1527,B1527)=1,1,0)</f>
        <v>0</v>
      </c>
    </row>
    <row r="1528">
      <c r="A1528" s="14" t="inlineStr">
        <is>
          <t>LUÍS EDUARDO MAGALHÃES</t>
        </is>
      </c>
      <c r="B1528" s="26" t="n">
        <v>205</v>
      </c>
      <c r="C1528" s="26" t="n">
        <v>1422</v>
      </c>
      <c r="D1528" s="14" t="inlineStr">
        <is>
          <t>ESCOLA MUNICIPAL VEREADOR MARDONIO DA ROCHA CARVALHO</t>
        </is>
      </c>
      <c r="E1528" s="14" t="inlineStr">
        <is>
          <t>MIMOSO DO OESTE</t>
        </is>
      </c>
      <c r="F1528" s="14" t="inlineStr">
        <is>
          <t>RUA PATAXÓ, 1025, QUADRA A - MIMOSO II - ZONA URBANA</t>
        </is>
      </c>
      <c r="G1528" s="27" t="inlineStr">
        <is>
          <t>47850-150</t>
        </is>
      </c>
      <c r="H1528" s="15" t="n">
        <v>8</v>
      </c>
      <c r="I1528" s="28" t="inlineStr">
        <is>
          <t>NÃO</t>
        </is>
      </c>
      <c r="J1528" s="29" t="n">
        <v>372.4</v>
      </c>
      <c r="K1528" s="14" t="str">
        <f>IF(J1528="","7. Acima de 2 km",IF(J1528&lt;=50,"1. Até 50 m",IF(J1528&lt;=100,"2. De 50 a 100 m",IF(J1528&lt;=200,"3. De 100 a 200 m",IF(J1528&lt;=300,"4. De 200 a 300 m",IF(J1528&lt;=500,"5. De 300 a 500 m","6. De 500 m a 2 km"))))))</f>
        <v>5. De 300 a 500 m</v>
      </c>
      <c r="L1528" s="26" t="n">
        <v>0</v>
      </c>
      <c r="M1528" s="26" t="n">
        <v>0</v>
      </c>
      <c r="N1528" s="26" t="n">
        <v>0</v>
      </c>
      <c r="O1528" s="26" t="n">
        <v>0</v>
      </c>
      <c r="P1528" s="30" t="n">
        <v>-12.0765406</v>
      </c>
      <c r="Q1528" s="30" t="n">
        <v>-45.8152086</v>
      </c>
      <c r="R1528" s="14" t="inlineStr">
        <is>
          <t>RUA PIAUÍ, 590, EDF. FAINELLO, CENTRO, LUÍS EDUARDO MAGALHÃES/BA</t>
        </is>
      </c>
      <c r="S1528" s="26">
        <f>IF(A1528=A1527,0,1)</f>
        <v>0</v>
      </c>
      <c r="T1528" s="26">
        <f>IF(COUNTIF($B$4:B1528,B1528)=1,1,0)</f>
        <v>0</v>
      </c>
    </row>
    <row r="1529">
      <c r="A1529" s="14" t="inlineStr">
        <is>
          <t>LUÍS EDUARDO MAGALHÃES</t>
        </is>
      </c>
      <c r="B1529" s="26" t="n">
        <v>205</v>
      </c>
      <c r="C1529" s="26" t="n">
        <v>1457</v>
      </c>
      <c r="D1529" s="14" t="inlineStr">
        <is>
          <t>ESCOLA MUNICIPAL VEREADOR LUCIR FICANHA</t>
        </is>
      </c>
      <c r="E1529" s="14" t="inlineStr">
        <is>
          <t>FLORAIS LEA</t>
        </is>
      </c>
      <c r="F1529" s="14" t="inlineStr">
        <is>
          <t>RUA TEIXEIRA DE FREITAS, 1949 - ZONA URBANA</t>
        </is>
      </c>
      <c r="G1529" s="27" t="inlineStr">
        <is>
          <t>47855-392</t>
        </is>
      </c>
      <c r="H1529" s="15" t="n">
        <v>8</v>
      </c>
      <c r="I1529" s="28" t="inlineStr">
        <is>
          <t>NÃO</t>
        </is>
      </c>
      <c r="J1529" s="29" t="n">
        <v>616.6</v>
      </c>
      <c r="K1529" s="14" t="str">
        <f>IF(J1529="","7. Acima de 2 km",IF(J1529&lt;=50,"1. Até 50 m",IF(J1529&lt;=100,"2. De 50 a 100 m",IF(J1529&lt;=200,"3. De 100 a 200 m",IF(J1529&lt;=300,"4. De 200 a 300 m",IF(J1529&lt;=500,"5. De 300 a 500 m","6. De 500 m a 2 km"))))))</f>
        <v>6. De 500 m a 2 km</v>
      </c>
      <c r="L1529" s="26" t="n">
        <v>0</v>
      </c>
      <c r="M1529" s="26" t="n">
        <v>0</v>
      </c>
      <c r="N1529" s="26" t="n">
        <v>0</v>
      </c>
      <c r="O1529" s="26" t="n">
        <v>0</v>
      </c>
      <c r="P1529" s="30" t="n">
        <v>-12.1025702</v>
      </c>
      <c r="Q1529" s="30" t="n">
        <v>-45.7914958</v>
      </c>
      <c r="R1529" s="14" t="inlineStr">
        <is>
          <t>RUA PIAUÍ, 590, EDF. FAINELLO, CENTRO, LUÍS EDUARDO MAGALHÃES/BA</t>
        </is>
      </c>
      <c r="S1529" s="26">
        <f>IF(A1529=A1528,0,1)</f>
        <v>0</v>
      </c>
      <c r="T1529" s="26">
        <f>IF(COUNTIF($B$4:B1529,B1529)=1,1,0)</f>
        <v>0</v>
      </c>
    </row>
    <row r="1530">
      <c r="A1530" s="14" t="inlineStr">
        <is>
          <t>LUÍS EDUARDO MAGALHÃES</t>
        </is>
      </c>
      <c r="B1530" s="26" t="n">
        <v>205</v>
      </c>
      <c r="C1530" s="26" t="n">
        <v>1465</v>
      </c>
      <c r="D1530" s="14" t="inlineStr">
        <is>
          <t>COLÉGIO ESTADUAL MARIA OTÍLIA LUTZ</t>
        </is>
      </c>
      <c r="E1530" s="14" t="inlineStr">
        <is>
          <t>JARDIM DAS ACÁCIAS</t>
        </is>
      </c>
      <c r="F1530" s="14" t="inlineStr">
        <is>
          <t>RUA DO FLAMBOYANT, QUADRA 102 - ZONA URBANA</t>
        </is>
      </c>
      <c r="G1530" s="27" t="inlineStr">
        <is>
          <t>47862-178</t>
        </is>
      </c>
      <c r="H1530" s="15" t="n">
        <v>6</v>
      </c>
      <c r="I1530" s="28" t="inlineStr">
        <is>
          <t>NÃO</t>
        </is>
      </c>
      <c r="J1530" s="29" t="n">
        <v>649.1</v>
      </c>
      <c r="K1530" s="14" t="str">
        <f>IF(J1530="","7. Acima de 2 km",IF(J1530&lt;=50,"1. Até 50 m",IF(J1530&lt;=100,"2. De 50 a 100 m",IF(J1530&lt;=200,"3. De 100 a 200 m",IF(J1530&lt;=300,"4. De 200 a 300 m",IF(J1530&lt;=500,"5. De 300 a 500 m","6. De 500 m a 2 km"))))))</f>
        <v>6. De 500 m a 2 km</v>
      </c>
      <c r="L1530" s="26" t="n">
        <v>0</v>
      </c>
      <c r="M1530" s="26" t="n">
        <v>0</v>
      </c>
      <c r="N1530" s="26" t="n">
        <v>0</v>
      </c>
      <c r="O1530" s="26" t="n">
        <v>0</v>
      </c>
      <c r="P1530" s="30" t="n">
        <v>-12.0767903</v>
      </c>
      <c r="Q1530" s="30" t="n">
        <v>-45.7721923</v>
      </c>
      <c r="R1530" s="14" t="inlineStr">
        <is>
          <t>RUA PIAUÍ, 590, EDF. FAINELLO, CENTRO, LUÍS EDUARDO MAGALHÃES/BA</t>
        </is>
      </c>
      <c r="S1530" s="26">
        <f>IF(A1530=A1529,0,1)</f>
        <v>0</v>
      </c>
      <c r="T1530" s="26">
        <f>IF(COUNTIF($B$4:B1530,B1530)=1,1,0)</f>
        <v>0</v>
      </c>
    </row>
    <row r="1531">
      <c r="A1531" s="14" t="inlineStr">
        <is>
          <t>LUÍS EDUARDO MAGALHÃES</t>
        </is>
      </c>
      <c r="B1531" s="26" t="n">
        <v>205</v>
      </c>
      <c r="C1531" s="26" t="n">
        <v>1473</v>
      </c>
      <c r="D1531" s="14" t="inlineStr">
        <is>
          <t>ESCOLA MUNICIPAL TIAGO ALFREDO LUPSCHISKI LIESENFELD</t>
        </is>
      </c>
      <c r="E1531" s="14" t="inlineStr">
        <is>
          <t>BOA VISTA</t>
        </is>
      </c>
      <c r="F1531" s="14" t="inlineStr">
        <is>
          <t>RUA A, 469 - VISTA ALEGRE - ZONA URBANA</t>
        </is>
      </c>
      <c r="G1531" s="27" t="inlineStr">
        <is>
          <t>47852-876</t>
        </is>
      </c>
      <c r="H1531" s="15" t="n">
        <v>4</v>
      </c>
      <c r="I1531" s="28" t="inlineStr">
        <is>
          <t>NÃO</t>
        </is>
      </c>
      <c r="J1531" s="29" t="n">
        <v>1433.5</v>
      </c>
      <c r="K1531" s="14" t="str">
        <f>IF(J1531="","7. Acima de 2 km",IF(J1531&lt;=50,"1. Até 50 m",IF(J1531&lt;=100,"2. De 50 a 100 m",IF(J1531&lt;=200,"3. De 100 a 200 m",IF(J1531&lt;=300,"4. De 200 a 300 m",IF(J1531&lt;=500,"5. De 300 a 500 m","6. De 500 m a 2 km"))))))</f>
        <v>6. De 500 m a 2 km</v>
      </c>
      <c r="L1531" s="26" t="n">
        <v>0</v>
      </c>
      <c r="M1531" s="26" t="n">
        <v>0</v>
      </c>
      <c r="N1531" s="26" t="n">
        <v>0</v>
      </c>
      <c r="O1531" s="26" t="n">
        <v>0</v>
      </c>
      <c r="P1531" s="30" t="n">
        <v>-12.1037694</v>
      </c>
      <c r="Q1531" s="30" t="n">
        <v>-45.8326416</v>
      </c>
      <c r="R1531" s="14" t="inlineStr">
        <is>
          <t>RUA PIAUÍ, 590, EDF. FAINELLO, CENTRO, LUÍS EDUARDO MAGALHÃES/BA</t>
        </is>
      </c>
      <c r="S1531" s="26">
        <f>IF(A1531=A1530,0,1)</f>
        <v>0</v>
      </c>
      <c r="T1531" s="26">
        <f>IF(COUNTIF($B$4:B1531,B1531)=1,1,0)</f>
        <v>0</v>
      </c>
    </row>
    <row r="1532">
      <c r="A1532" s="14" t="inlineStr">
        <is>
          <t>LUÍS EDUARDO MAGALHÃES</t>
        </is>
      </c>
      <c r="B1532" s="26" t="n">
        <v>205</v>
      </c>
      <c r="C1532" s="26" t="n">
        <v>1481</v>
      </c>
      <c r="D1532" s="14" t="inlineStr">
        <is>
          <t>ESCOLA MUNICIPAL EDALEIO BARBOSA DE SOUZA</t>
        </is>
      </c>
      <c r="E1532" s="14" t="inlineStr">
        <is>
          <t>SANTA CRUZ</t>
        </is>
      </c>
      <c r="F1532" s="14" t="inlineStr">
        <is>
          <t>AVENIDA ITABUNA, 592, QUADRA 55, LTS.08 E 09 - ZONA URBANA</t>
        </is>
      </c>
      <c r="G1532" s="27" t="inlineStr">
        <is>
          <t>47855-218</t>
        </is>
      </c>
      <c r="H1532" s="15" t="n">
        <v>6</v>
      </c>
      <c r="I1532" s="28" t="inlineStr">
        <is>
          <t>NÃO</t>
        </is>
      </c>
      <c r="J1532" s="29" t="n">
        <v>363.7</v>
      </c>
      <c r="K1532" s="14" t="str">
        <f>IF(J1532="","7. Acima de 2 km",IF(J1532&lt;=50,"1. Até 50 m",IF(J1532&lt;=100,"2. De 50 a 100 m",IF(J1532&lt;=200,"3. De 100 a 200 m",IF(J1532&lt;=300,"4. De 200 a 300 m",IF(J1532&lt;=500,"5. De 300 a 500 m","6. De 500 m a 2 km"))))))</f>
        <v>5. De 300 a 500 m</v>
      </c>
      <c r="L1532" s="26" t="n">
        <v>0</v>
      </c>
      <c r="M1532" s="26" t="n">
        <v>0</v>
      </c>
      <c r="N1532" s="26" t="n">
        <v>0</v>
      </c>
      <c r="O1532" s="26" t="n">
        <v>0</v>
      </c>
      <c r="P1532" s="30" t="n">
        <v>-12.0992455</v>
      </c>
      <c r="Q1532" s="30" t="n">
        <v>-45.8043259</v>
      </c>
      <c r="R1532" s="14" t="inlineStr">
        <is>
          <t>RUA PIAUÍ, 590, EDF. FAINELLO, CENTRO, LUÍS EDUARDO MAGALHÃES/BA</t>
        </is>
      </c>
      <c r="S1532" s="26">
        <f>IF(A1532=A1531,0,1)</f>
        <v>0</v>
      </c>
      <c r="T1532" s="26">
        <f>IF(COUNTIF($B$4:B1532,B1532)=1,1,0)</f>
        <v>0</v>
      </c>
    </row>
    <row r="1533">
      <c r="A1533" s="14" t="inlineStr">
        <is>
          <t>LUÍS EDUARDO MAGALHÃES</t>
        </is>
      </c>
      <c r="B1533" s="26" t="n">
        <v>205</v>
      </c>
      <c r="C1533" s="26" t="n">
        <v>1490</v>
      </c>
      <c r="D1533" s="14" t="inlineStr">
        <is>
          <t>ESCOLA MUNICIPAL LUZIA FONTANA</t>
        </is>
      </c>
      <c r="E1533" s="14" t="inlineStr">
        <is>
          <t>TROPICAL VILLE</t>
        </is>
      </c>
      <c r="F1533" s="14" t="inlineStr">
        <is>
          <t>RUA RIO BRANCO, 811 - ZONA URBANA</t>
        </is>
      </c>
      <c r="G1533" s="27" t="inlineStr">
        <is>
          <t>47861-718</t>
        </is>
      </c>
      <c r="H1533" s="15" t="n">
        <v>2</v>
      </c>
      <c r="I1533" s="28" t="inlineStr">
        <is>
          <t>NÃO</t>
        </is>
      </c>
      <c r="J1533" s="29" t="n">
        <v>337.3</v>
      </c>
      <c r="K1533" s="14" t="str">
        <f>IF(J1533="","7. Acima de 2 km",IF(J1533&lt;=50,"1. Até 50 m",IF(J1533&lt;=100,"2. De 50 a 100 m",IF(J1533&lt;=200,"3. De 100 a 200 m",IF(J1533&lt;=300,"4. De 200 a 300 m",IF(J1533&lt;=500,"5. De 300 a 500 m","6. De 500 m a 2 km"))))))</f>
        <v>5. De 300 a 500 m</v>
      </c>
      <c r="L1533" s="26" t="n">
        <v>0</v>
      </c>
      <c r="M1533" s="26" t="n">
        <v>0</v>
      </c>
      <c r="N1533" s="26" t="n">
        <v>0</v>
      </c>
      <c r="O1533" s="26" t="n">
        <v>0</v>
      </c>
      <c r="P1533" s="30" t="n">
        <v>-12.0782152</v>
      </c>
      <c r="Q1533" s="30" t="n">
        <v>-45.7533153</v>
      </c>
      <c r="R1533" s="14" t="inlineStr">
        <is>
          <t>RUA PIAUÍ, 590, EDF. FAINELLO, CENTRO, LUÍS EDUARDO MAGALHÃES/BA</t>
        </is>
      </c>
      <c r="S1533" s="26">
        <f>IF(A1533=A1532,0,1)</f>
        <v>0</v>
      </c>
      <c r="T1533" s="26">
        <f>IF(COUNTIF($B$4:B1533,B1533)=1,1,0)</f>
        <v>0</v>
      </c>
    </row>
    <row r="1534">
      <c r="A1534" s="14" t="inlineStr">
        <is>
          <t>LUÍS EDUARDO MAGALHÃES</t>
        </is>
      </c>
      <c r="B1534" s="26" t="n">
        <v>205</v>
      </c>
      <c r="C1534" s="26" t="n">
        <v>1503</v>
      </c>
      <c r="D1534" s="14" t="inlineStr">
        <is>
          <t>CEMEI MIMOSO - CENTRO MUNICIPAL DE EDUCAÇÃO INFANTIL MIMOSO</t>
        </is>
      </c>
      <c r="E1534" s="14" t="inlineStr">
        <is>
          <t>MIMOSO DO OESTE</t>
        </is>
      </c>
      <c r="F1534" s="14" t="inlineStr">
        <is>
          <t>RUA DORIVAL CAYMMI, 195 - MIMOSO I - ZONA URBANA</t>
        </is>
      </c>
      <c r="G1534" s="27" t="inlineStr">
        <is>
          <t>47850-015</t>
        </is>
      </c>
      <c r="H1534" s="15" t="n">
        <v>1</v>
      </c>
      <c r="I1534" s="28" t="inlineStr">
        <is>
          <t>NÃO</t>
        </is>
      </c>
      <c r="J1534" s="29" t="n">
        <v>292.5</v>
      </c>
      <c r="K1534" s="14" t="str">
        <f>IF(J1534="","7. Acima de 2 km",IF(J1534&lt;=50,"1. Até 50 m",IF(J1534&lt;=100,"2. De 50 a 100 m",IF(J1534&lt;=200,"3. De 100 a 200 m",IF(J1534&lt;=300,"4. De 200 a 300 m",IF(J1534&lt;=500,"5. De 300 a 500 m","6. De 500 m a 2 km"))))))</f>
        <v>4. De 200 a 300 m</v>
      </c>
      <c r="L1534" s="26" t="n">
        <v>0</v>
      </c>
      <c r="M1534" s="26" t="n">
        <v>0</v>
      </c>
      <c r="N1534" s="26" t="n">
        <v>0</v>
      </c>
      <c r="O1534" s="26" t="n">
        <v>1</v>
      </c>
      <c r="P1534" s="30" t="n">
        <v>-12.0829151</v>
      </c>
      <c r="Q1534" s="30" t="n">
        <v>-45.8005235</v>
      </c>
      <c r="R1534" s="14" t="inlineStr">
        <is>
          <t>RUA PIAUÍ, 590, EDF. FAINELLO, CENTRO, LUÍS EDUARDO MAGALHÃES/BA</t>
        </is>
      </c>
      <c r="S1534" s="26">
        <f>IF(A1534=A1533,0,1)</f>
        <v>0</v>
      </c>
      <c r="T1534" s="26">
        <f>IF(COUNTIF($B$4:B1534,B1534)=1,1,0)</f>
        <v>0</v>
      </c>
    </row>
    <row r="1535">
      <c r="A1535" s="14" t="inlineStr">
        <is>
          <t>LUÍS EDUARDO MAGALHÃES</t>
        </is>
      </c>
      <c r="B1535" s="26" t="n">
        <v>205</v>
      </c>
      <c r="C1535" s="26" t="n">
        <v>1511</v>
      </c>
      <c r="D1535" s="14" t="inlineStr">
        <is>
          <t>ESCOLA MUNICIPAL IRANI LEITE MATUTINO DOS SANTOS</t>
        </is>
      </c>
      <c r="E1535" s="14" t="inlineStr">
        <is>
          <t>MIMOSO DO OESTE</t>
        </is>
      </c>
      <c r="F1535" s="14" t="inlineStr">
        <is>
          <t>RUA RIO GRANDE DO SUL, QUADRA D, LOTE D2 - MIMOSO I - ZONA URBANA</t>
        </is>
      </c>
      <c r="G1535" s="27" t="inlineStr">
        <is>
          <t>47850-029</t>
        </is>
      </c>
      <c r="H1535" s="15" t="n">
        <v>11</v>
      </c>
      <c r="I1535" s="28" t="inlineStr">
        <is>
          <t>NÃO</t>
        </is>
      </c>
      <c r="J1535" s="29" t="n">
        <v>146.9</v>
      </c>
      <c r="K1535" s="14" t="str">
        <f>IF(J1535="","7. Acima de 2 km",IF(J1535&lt;=50,"1. Até 50 m",IF(J1535&lt;=100,"2. De 50 a 100 m",IF(J1535&lt;=200,"3. De 100 a 200 m",IF(J1535&lt;=300,"4. De 200 a 300 m",IF(J1535&lt;=500,"5. De 300 a 500 m","6. De 500 m a 2 km"))))))</f>
        <v>3. De 100 a 200 m</v>
      </c>
      <c r="L1535" s="26" t="n">
        <v>0</v>
      </c>
      <c r="M1535" s="26" t="n">
        <v>0</v>
      </c>
      <c r="N1535" s="26" t="n">
        <v>2</v>
      </c>
      <c r="O1535" s="26" t="n">
        <v>2</v>
      </c>
      <c r="P1535" s="30" t="n">
        <v>-12.0786998</v>
      </c>
      <c r="Q1535" s="30" t="n">
        <v>-45.7920399</v>
      </c>
      <c r="R1535" s="14" t="inlineStr">
        <is>
          <t>RUA PIAUÍ, 590, EDF. FAINELLO, CENTRO, LUÍS EDUARDO MAGALHÃES/BA</t>
        </is>
      </c>
      <c r="S1535" s="26">
        <f>IF(A1535=A1534,0,1)</f>
        <v>0</v>
      </c>
      <c r="T1535" s="26">
        <f>IF(COUNTIF($B$4:B1535,B1535)=1,1,0)</f>
        <v>0</v>
      </c>
    </row>
    <row r="1536">
      <c r="A1536" s="14" t="inlineStr">
        <is>
          <t>LUÍS EDUARDO MAGALHÃES</t>
        </is>
      </c>
      <c r="B1536" s="26" t="n">
        <v>205</v>
      </c>
      <c r="C1536" s="26" t="n">
        <v>1538</v>
      </c>
      <c r="D1536" s="14" t="inlineStr">
        <is>
          <t>CEMEI PAULO VICTOR XAVIER OTIM BORGES</t>
        </is>
      </c>
      <c r="E1536" s="14" t="inlineStr">
        <is>
          <t>FLORAIS LEA</t>
        </is>
      </c>
      <c r="F1536" s="14" t="inlineStr">
        <is>
          <t>RUA ITACARÉ, 1208 - ZONA URBANA</t>
        </is>
      </c>
      <c r="G1536" s="27" t="inlineStr">
        <is>
          <t>47855-294</t>
        </is>
      </c>
      <c r="H1536" s="15" t="n">
        <v>5</v>
      </c>
      <c r="I1536" s="28" t="inlineStr">
        <is>
          <t>NÃO</t>
        </is>
      </c>
      <c r="J1536" s="29" t="n">
        <v>514.3</v>
      </c>
      <c r="K1536" s="14" t="str">
        <f>IF(J1536="","7. Acima de 2 km",IF(J1536&lt;=50,"1. Até 50 m",IF(J1536&lt;=100,"2. De 50 a 100 m",IF(J1536&lt;=200,"3. De 100 a 200 m",IF(J1536&lt;=300,"4. De 200 a 300 m",IF(J1536&lt;=500,"5. De 300 a 500 m","6. De 500 m a 2 km"))))))</f>
        <v>6. De 500 m a 2 km</v>
      </c>
      <c r="L1536" s="26" t="n">
        <v>0</v>
      </c>
      <c r="M1536" s="26" t="n">
        <v>0</v>
      </c>
      <c r="N1536" s="26" t="n">
        <v>0</v>
      </c>
      <c r="O1536" s="26" t="n">
        <v>0</v>
      </c>
      <c r="P1536" s="30" t="n">
        <v>-12.101905</v>
      </c>
      <c r="Q1536" s="30" t="n">
        <v>-45.795778</v>
      </c>
      <c r="R1536" s="14" t="inlineStr">
        <is>
          <t>RUA PIAUÍ, 590, EDF. FAINELLO, CENTRO, LUÍS EDUARDO MAGALHÃES/BA</t>
        </is>
      </c>
      <c r="S1536" s="26">
        <f>IF(A1536=A1535,0,1)</f>
        <v>0</v>
      </c>
      <c r="T1536" s="26">
        <f>IF(COUNTIF($B$4:B1536,B1536)=1,1,0)</f>
        <v>0</v>
      </c>
    </row>
    <row r="1537">
      <c r="A1537" s="14" t="inlineStr">
        <is>
          <t>LUÍS EDUARDO MAGALHÃES</t>
        </is>
      </c>
      <c r="B1537" s="26" t="n">
        <v>205</v>
      </c>
      <c r="C1537" s="26" t="n">
        <v>1546</v>
      </c>
      <c r="D1537" s="14" t="inlineStr">
        <is>
          <t>ESCOLA MUNICIPAL CLÁUDIO ROGÉRIO ALMEIDA SILVA</t>
        </is>
      </c>
      <c r="E1537" s="14" t="inlineStr">
        <is>
          <t>JARDIM DAS ACÁCIAS</t>
        </is>
      </c>
      <c r="F1537" s="14" t="inlineStr">
        <is>
          <t>AVENIDA JK, QUADRA 7, LOTES 14,15 E 16  - ZONA URBANA</t>
        </is>
      </c>
      <c r="G1537" s="27" t="inlineStr">
        <is>
          <t>47862-146</t>
        </is>
      </c>
      <c r="H1537" s="15" t="n">
        <v>3</v>
      </c>
      <c r="I1537" s="28" t="inlineStr">
        <is>
          <t>NÃO</t>
        </is>
      </c>
      <c r="J1537" s="29" t="n">
        <v>649.7</v>
      </c>
      <c r="K1537" s="14" t="str">
        <f>IF(J1537="","7. Acima de 2 km",IF(J1537&lt;=50,"1. Até 50 m",IF(J1537&lt;=100,"2. De 50 a 100 m",IF(J1537&lt;=200,"3. De 100 a 200 m",IF(J1537&lt;=300,"4. De 200 a 300 m",IF(J1537&lt;=500,"5. De 300 a 500 m","6. De 500 m a 2 km"))))))</f>
        <v>6. De 500 m a 2 km</v>
      </c>
      <c r="L1537" s="26" t="n">
        <v>0</v>
      </c>
      <c r="M1537" s="26" t="n">
        <v>0</v>
      </c>
      <c r="N1537" s="26" t="n">
        <v>0</v>
      </c>
      <c r="O1537" s="26" t="n">
        <v>0</v>
      </c>
      <c r="P1537" s="30" t="n">
        <v>-12.0795643</v>
      </c>
      <c r="Q1537" s="30" t="n">
        <v>-45.7720591</v>
      </c>
      <c r="R1537" s="14" t="inlineStr">
        <is>
          <t>RUA PIAUÍ, 590, EDF. FAINELLO, CENTRO, LUÍS EDUARDO MAGALHÃES/BA</t>
        </is>
      </c>
      <c r="S1537" s="26">
        <f>IF(A1537=A1536,0,1)</f>
        <v>0</v>
      </c>
      <c r="T1537" s="26">
        <f>IF(COUNTIF($B$4:B1537,B1537)=1,1,0)</f>
        <v>0</v>
      </c>
    </row>
    <row r="1538">
      <c r="A1538" s="14" t="inlineStr">
        <is>
          <t>LUÍS EDUARDO MAGALHÃES</t>
        </is>
      </c>
      <c r="B1538" s="26" t="n">
        <v>205</v>
      </c>
      <c r="C1538" s="26" t="n">
        <v>1562</v>
      </c>
      <c r="D1538" s="14" t="inlineStr">
        <is>
          <t>COLÉGIO MUNDO DA ESCRITA</t>
        </is>
      </c>
      <c r="E1538" s="14" t="inlineStr">
        <is>
          <t>CENTRO</t>
        </is>
      </c>
      <c r="F1538" s="14" t="inlineStr">
        <is>
          <t>RUA RONDÔNIA, 791 - ZONA URBANA</t>
        </is>
      </c>
      <c r="G1538" s="27" t="inlineStr">
        <is>
          <t>47850-041</t>
        </is>
      </c>
      <c r="H1538" s="15" t="n">
        <v>6</v>
      </c>
      <c r="I1538" s="28" t="inlineStr">
        <is>
          <t>NÃO</t>
        </is>
      </c>
      <c r="J1538" s="29" t="n">
        <v>192.5</v>
      </c>
      <c r="K1538" s="14" t="str">
        <f>IF(J1538="","7. Acima de 2 km",IF(J1538&lt;=50,"1. Até 50 m",IF(J1538&lt;=100,"2. De 50 a 100 m",IF(J1538&lt;=200,"3. De 100 a 200 m",IF(J1538&lt;=300,"4. De 200 a 300 m",IF(J1538&lt;=500,"5. De 300 a 500 m","6. De 500 m a 2 km"))))))</f>
        <v>3. De 100 a 200 m</v>
      </c>
      <c r="L1538" s="26" t="n">
        <v>0</v>
      </c>
      <c r="M1538" s="26" t="n">
        <v>0</v>
      </c>
      <c r="N1538" s="26" t="n">
        <v>1</v>
      </c>
      <c r="O1538" s="26" t="n">
        <v>1</v>
      </c>
      <c r="P1538" s="30" t="n">
        <v>-12.083516</v>
      </c>
      <c r="Q1538" s="30" t="n">
        <v>-45.7945636</v>
      </c>
      <c r="R1538" s="14" t="inlineStr">
        <is>
          <t>RUA PIAUÍ, 590, EDF. FAINELLO, CENTRO, LUÍS EDUARDO MAGALHÃES/BA</t>
        </is>
      </c>
      <c r="S1538" s="26">
        <f>IF(A1538=A1537,0,1)</f>
        <v>0</v>
      </c>
      <c r="T1538" s="26">
        <f>IF(COUNTIF($B$4:B1538,B1538)=1,1,0)</f>
        <v>0</v>
      </c>
    </row>
    <row r="1539">
      <c r="A1539" s="14" t="inlineStr">
        <is>
          <t>LUÍS EDUARDO MAGALHÃES</t>
        </is>
      </c>
      <c r="B1539" s="26" t="n">
        <v>205</v>
      </c>
      <c r="C1539" s="26" t="n">
        <v>1570</v>
      </c>
      <c r="D1539" s="14" t="inlineStr">
        <is>
          <t>NOVO CEMO - COLÉGIO ESTADUAL DE TEMPO INTEGRAL MIMOSO DO OESTE</t>
        </is>
      </c>
      <c r="E1539" s="14" t="inlineStr">
        <is>
          <t>MIMOSO DO OESTE</t>
        </is>
      </c>
      <c r="F1539" s="14" t="inlineStr">
        <is>
          <t>RUA 5, 311 - NOVA BRASÍLIA - ZONA URBANA</t>
        </is>
      </c>
      <c r="G1539" s="27" t="inlineStr">
        <is>
          <t>47850-194</t>
        </is>
      </c>
      <c r="H1539" s="15" t="n">
        <v>3</v>
      </c>
      <c r="I1539" s="28" t="inlineStr">
        <is>
          <t>NÃO</t>
        </is>
      </c>
      <c r="J1539" s="29" t="n">
        <v>239.6</v>
      </c>
      <c r="K1539" s="14" t="str">
        <f>IF(J1539="","7. Acima de 2 km",IF(J1539&lt;=50,"1. Até 50 m",IF(J1539&lt;=100,"2. De 50 a 100 m",IF(J1539&lt;=200,"3. De 100 a 200 m",IF(J1539&lt;=300,"4. De 200 a 300 m",IF(J1539&lt;=500,"5. De 300 a 500 m","6. De 500 m a 2 km"))))))</f>
        <v>4. De 200 a 300 m</v>
      </c>
      <c r="L1539" s="26" t="n">
        <v>0</v>
      </c>
      <c r="M1539" s="26" t="n">
        <v>0</v>
      </c>
      <c r="N1539" s="26" t="n">
        <v>0</v>
      </c>
      <c r="O1539" s="26" t="n">
        <v>1</v>
      </c>
      <c r="P1539" s="30" t="n">
        <v>-12.0738174</v>
      </c>
      <c r="Q1539" s="30" t="n">
        <v>-45.8069663</v>
      </c>
      <c r="R1539" s="14" t="inlineStr">
        <is>
          <t>RUA PIAUÍ, 590, EDF. FAINELLO, CENTRO, LUÍS EDUARDO MAGALHÃES/BA</t>
        </is>
      </c>
      <c r="S1539" s="26">
        <f>IF(A1539=A1538,0,1)</f>
        <v>0</v>
      </c>
      <c r="T1539" s="26">
        <f>IF(COUNTIF($B$4:B1539,B1539)=1,1,0)</f>
        <v>0</v>
      </c>
    </row>
    <row r="1540">
      <c r="A1540" s="14" t="inlineStr">
        <is>
          <t>LUÍS EDUARDO MAGALHÃES</t>
        </is>
      </c>
      <c r="B1540" s="26" t="n">
        <v>205</v>
      </c>
      <c r="C1540" s="26" t="n">
        <v>1589</v>
      </c>
      <c r="D1540" s="14" t="inlineStr">
        <is>
          <t>ESCOLA MUNICIPAL ADÉLIA DE MORAES CASSINS</t>
        </is>
      </c>
      <c r="E1540" s="14" t="inlineStr">
        <is>
          <t>JARDIM IMPERIAL</t>
        </is>
      </c>
      <c r="F1540" s="14" t="inlineStr">
        <is>
          <t>RUA NILZA REMPEL, QUADRA 42, LTS 01 A 03 - ZONA URBANA</t>
        </is>
      </c>
      <c r="G1540" s="27" t="inlineStr">
        <is>
          <t>47864-084</t>
        </is>
      </c>
      <c r="H1540" s="15" t="n">
        <v>3</v>
      </c>
      <c r="I1540" s="28" t="inlineStr">
        <is>
          <t>NÃO</t>
        </is>
      </c>
      <c r="J1540" s="29" t="n">
        <v>466</v>
      </c>
      <c r="K1540" s="14" t="str">
        <f>IF(J1540="","7. Acima de 2 km",IF(J1540&lt;=50,"1. Até 50 m",IF(J1540&lt;=100,"2. De 50 a 100 m",IF(J1540&lt;=200,"3. De 100 a 200 m",IF(J1540&lt;=300,"4. De 200 a 300 m",IF(J1540&lt;=500,"5. De 300 a 500 m","6. De 500 m a 2 km"))))))</f>
        <v>5. De 300 a 500 m</v>
      </c>
      <c r="L1540" s="26" t="n">
        <v>0</v>
      </c>
      <c r="M1540" s="26" t="n">
        <v>0</v>
      </c>
      <c r="N1540" s="26" t="n">
        <v>0</v>
      </c>
      <c r="O1540" s="26" t="n">
        <v>0</v>
      </c>
      <c r="P1540" s="30" t="n">
        <v>-12.0789296</v>
      </c>
      <c r="Q1540" s="30" t="n">
        <v>-45.7760897</v>
      </c>
      <c r="R1540" s="14" t="inlineStr">
        <is>
          <t>RUA PIAUÍ, 590, EDF. FAINELLO, CENTRO, LUÍS EDUARDO MAGALHÃES/BA</t>
        </is>
      </c>
      <c r="S1540" s="26">
        <f>IF(A1540=A1539,0,1)</f>
        <v>0</v>
      </c>
      <c r="T1540" s="26">
        <f>IF(COUNTIF($B$4:B1540,B1540)=1,1,0)</f>
        <v>0</v>
      </c>
    </row>
    <row r="1541">
      <c r="A1541" s="14" t="inlineStr">
        <is>
          <t>LUÍS EDUARDO MAGALHÃES</t>
        </is>
      </c>
      <c r="B1541" s="26" t="n">
        <v>205</v>
      </c>
      <c r="C1541" s="26" t="n">
        <v>1597</v>
      </c>
      <c r="D1541" s="14" t="inlineStr">
        <is>
          <t>CEMEI ZILDA ARNS NEUMANN</t>
        </is>
      </c>
      <c r="E1541" s="14" t="inlineStr">
        <is>
          <t>JARDIM DAS ACÁCIAS</t>
        </is>
      </c>
      <c r="F1541" s="14" t="inlineStr">
        <is>
          <t>RUA DO BARU, 650, QUADRA 51, LOTES 08 E 09 - ZONA URBANA</t>
        </is>
      </c>
      <c r="G1541" s="27" t="inlineStr">
        <is>
          <t>47862-144</t>
        </is>
      </c>
      <c r="H1541" s="15" t="n">
        <v>3</v>
      </c>
      <c r="I1541" s="28" t="inlineStr">
        <is>
          <t>NÃO</t>
        </is>
      </c>
      <c r="J1541" s="29" t="n">
        <v>657.9</v>
      </c>
      <c r="K1541" s="14" t="str">
        <f>IF(J1541="","7. Acima de 2 km",IF(J1541&lt;=50,"1. Até 50 m",IF(J1541&lt;=100,"2. De 50 a 100 m",IF(J1541&lt;=200,"3. De 100 a 200 m",IF(J1541&lt;=300,"4. De 200 a 300 m",IF(J1541&lt;=500,"5. De 300 a 500 m","6. De 500 m a 2 km"))))))</f>
        <v>6. De 500 m a 2 km</v>
      </c>
      <c r="L1541" s="26" t="n">
        <v>0</v>
      </c>
      <c r="M1541" s="26" t="n">
        <v>0</v>
      </c>
      <c r="N1541" s="26" t="n">
        <v>0</v>
      </c>
      <c r="O1541" s="26" t="n">
        <v>0</v>
      </c>
      <c r="P1541" s="30" t="n">
        <v>-12.0812456</v>
      </c>
      <c r="Q1541" s="30" t="n">
        <v>-45.7713229</v>
      </c>
      <c r="R1541" s="14" t="inlineStr">
        <is>
          <t>RUA PIAUÍ, 590, EDF. FAINELLO, CENTRO, LUÍS EDUARDO MAGALHÃES/BA</t>
        </is>
      </c>
      <c r="S1541" s="26">
        <f>IF(A1541=A1540,0,1)</f>
        <v>0</v>
      </c>
      <c r="T1541" s="26">
        <f>IF(COUNTIF($B$4:B1541,B1541)=1,1,0)</f>
        <v>0</v>
      </c>
    </row>
    <row r="1542">
      <c r="A1542" s="14" t="inlineStr">
        <is>
          <t>LUÍS EDUARDO MAGALHÃES</t>
        </is>
      </c>
      <c r="B1542" s="26" t="n">
        <v>205</v>
      </c>
      <c r="C1542" s="26" t="n">
        <v>1600</v>
      </c>
      <c r="D1542" s="14" t="inlineStr">
        <is>
          <t>ESCOLA MUNICIPAL DOM RICARDO JOSEF WEBERBERGER</t>
        </is>
      </c>
      <c r="E1542" s="14" t="inlineStr">
        <is>
          <t>FLORAIS LEA</t>
        </is>
      </c>
      <c r="F1542" s="14" t="inlineStr">
        <is>
          <t>RUA ANITA GARIBALDI, 261 - ZONA URBANA</t>
        </is>
      </c>
      <c r="G1542" s="27" t="inlineStr">
        <is>
          <t>47855-364</t>
        </is>
      </c>
      <c r="H1542" s="15" t="n">
        <v>3</v>
      </c>
      <c r="I1542" s="28" t="inlineStr">
        <is>
          <t>NÃO</t>
        </is>
      </c>
      <c r="J1542" s="29" t="n">
        <v>436.2</v>
      </c>
      <c r="K1542" s="14" t="str">
        <f>IF(J1542="","7. Acima de 2 km",IF(J1542&lt;=50,"1. Até 50 m",IF(J1542&lt;=100,"2. De 50 a 100 m",IF(J1542&lt;=200,"3. De 100 a 200 m",IF(J1542&lt;=300,"4. De 200 a 300 m",IF(J1542&lt;=500,"5. De 300 a 500 m","6. De 500 m a 2 km"))))))</f>
        <v>5. De 300 a 500 m</v>
      </c>
      <c r="L1542" s="26" t="n">
        <v>0</v>
      </c>
      <c r="M1542" s="26" t="n">
        <v>0</v>
      </c>
      <c r="N1542" s="26" t="n">
        <v>0</v>
      </c>
      <c r="O1542" s="26" t="n">
        <v>0</v>
      </c>
      <c r="P1542" s="30" t="n">
        <v>-12.1006534</v>
      </c>
      <c r="Q1542" s="30" t="n">
        <v>-45.7967939</v>
      </c>
      <c r="R1542" s="14" t="inlineStr">
        <is>
          <t>RUA PIAUÍ, 590, EDF. FAINELLO, CENTRO, LUÍS EDUARDO MAGALHÃES/BA</t>
        </is>
      </c>
      <c r="S1542" s="26">
        <f>IF(A1542=A1541,0,1)</f>
        <v>0</v>
      </c>
      <c r="T1542" s="26">
        <f>IF(COUNTIF($B$4:B1542,B1542)=1,1,0)</f>
        <v>0</v>
      </c>
    </row>
    <row r="1543">
      <c r="A1543" s="14" t="inlineStr">
        <is>
          <t>LUÍS EDUARDO MAGALHÃES</t>
        </is>
      </c>
      <c r="B1543" s="26" t="n">
        <v>205</v>
      </c>
      <c r="C1543" s="26" t="n">
        <v>1619</v>
      </c>
      <c r="D1543" s="14" t="inlineStr">
        <is>
          <t>CRAS SANTA CRUZ - CENTRO DE REFERÊNCIA DE ASSISTÊNCIA SOCIAL - CEUS</t>
        </is>
      </c>
      <c r="E1543" s="14" t="inlineStr">
        <is>
          <t>SANTA CRUZ</t>
        </is>
      </c>
      <c r="F1543" s="14" t="inlineStr">
        <is>
          <t>RUA IBITIBA, 1789 - ZONA URBANA</t>
        </is>
      </c>
      <c r="G1543" s="27" t="inlineStr">
        <is>
          <t>47850-990</t>
        </is>
      </c>
      <c r="H1543" s="15" t="n">
        <v>2</v>
      </c>
      <c r="I1543" s="28" t="inlineStr">
        <is>
          <t>NÃO</t>
        </is>
      </c>
      <c r="J1543" s="29" t="n">
        <v>305.3</v>
      </c>
      <c r="K1543" s="14" t="str">
        <f>IF(J1543="","7. Acima de 2 km",IF(J1543&lt;=50,"1. Até 50 m",IF(J1543&lt;=100,"2. De 50 a 100 m",IF(J1543&lt;=200,"3. De 100 a 200 m",IF(J1543&lt;=300,"4. De 200 a 300 m",IF(J1543&lt;=500,"5. De 300 a 500 m","6. De 500 m a 2 km"))))))</f>
        <v>5. De 300 a 500 m</v>
      </c>
      <c r="L1543" s="26" t="n">
        <v>0</v>
      </c>
      <c r="M1543" s="26" t="n">
        <v>0</v>
      </c>
      <c r="N1543" s="26" t="n">
        <v>0</v>
      </c>
      <c r="O1543" s="26" t="n">
        <v>0</v>
      </c>
      <c r="P1543" s="30" t="n">
        <v>-12.1082988</v>
      </c>
      <c r="Q1543" s="30" t="n">
        <v>-45.7997278</v>
      </c>
      <c r="R1543" s="14" t="inlineStr">
        <is>
          <t>RUA PIAUÍ, 590, EDF. FAINELLO, CENTRO, LUÍS EDUARDO MAGALHÃES/BA</t>
        </is>
      </c>
      <c r="S1543" s="26">
        <f>IF(A1543=A1542,0,1)</f>
        <v>0</v>
      </c>
      <c r="T1543" s="26">
        <f>IF(COUNTIF($B$4:B1543,B1543)=1,1,0)</f>
        <v>0</v>
      </c>
    </row>
    <row r="1544">
      <c r="A1544" s="14" t="inlineStr">
        <is>
          <t>MADRE DE DEUS</t>
        </is>
      </c>
      <c r="B1544" s="26" t="n">
        <v>162</v>
      </c>
      <c r="C1544" s="26" t="n">
        <v>1015</v>
      </c>
      <c r="D1544" s="14" t="inlineStr">
        <is>
          <t>ESCOLA DJAIR MARIA PINHEIRO</t>
        </is>
      </c>
      <c r="E1544" s="14" t="inlineStr">
        <is>
          <t>NOVA MADRE DE DEUS</t>
        </is>
      </c>
      <c r="F1544" s="14" t="inlineStr">
        <is>
          <t>CONJ HABITACIONAL NOVA MADRE DE DEUS - ZONA URBANA</t>
        </is>
      </c>
      <c r="G1544" s="27" t="inlineStr">
        <is>
          <t>42600-000</t>
        </is>
      </c>
      <c r="H1544" s="15" t="n">
        <v>5</v>
      </c>
      <c r="I1544" s="28" t="inlineStr">
        <is>
          <t>NÃO</t>
        </is>
      </c>
      <c r="J1544" s="29" t="n">
        <v>182.1</v>
      </c>
      <c r="K1544" s="14" t="str">
        <f>IF(J1544="","7. Acima de 2 km",IF(J1544&lt;=50,"1. Até 50 m",IF(J1544&lt;=100,"2. De 50 a 100 m",IF(J1544&lt;=200,"3. De 100 a 200 m",IF(J1544&lt;=300,"4. De 200 a 300 m",IF(J1544&lt;=500,"5. De 300 a 500 m","6. De 500 m a 2 km"))))))</f>
        <v>3. De 100 a 200 m</v>
      </c>
      <c r="L1544" s="26" t="n">
        <v>0</v>
      </c>
      <c r="M1544" s="26" t="n">
        <v>0</v>
      </c>
      <c r="N1544" s="26" t="n">
        <v>2</v>
      </c>
      <c r="O1544" s="26" t="n">
        <v>4</v>
      </c>
      <c r="P1544" s="30" t="n">
        <v>-12.7397285</v>
      </c>
      <c r="Q1544" s="30" t="n">
        <v>-38.6174123</v>
      </c>
      <c r="R1544" s="14" t="inlineStr">
        <is>
          <t>R. DO ASFALTO, 9, CENTRO, SÃO FRANCISCO DO CONDE/BA</t>
        </is>
      </c>
      <c r="S1544" s="26">
        <f>IF(A1544=A1543,0,1)</f>
        <v>1</v>
      </c>
      <c r="T1544" s="26">
        <f>IF(COUNTIF($B$4:B1544,B1544)=1,1,0)</f>
        <v>1</v>
      </c>
    </row>
    <row r="1545">
      <c r="A1545" s="14" t="inlineStr">
        <is>
          <t>MADRE DE DEUS</t>
        </is>
      </c>
      <c r="B1545" s="26" t="n">
        <v>162</v>
      </c>
      <c r="C1545" s="26" t="n">
        <v>1023</v>
      </c>
      <c r="D1545" s="14" t="inlineStr">
        <is>
          <t>COMPLEXO MAGALHÃES NETTO</t>
        </is>
      </c>
      <c r="E1545" s="14" t="inlineStr">
        <is>
          <t>CENTRO</t>
        </is>
      </c>
      <c r="F1545" s="14" t="inlineStr">
        <is>
          <t>RUA NELSON BARBOSA AZEVEDO, 122 - ZONA URBANA</t>
        </is>
      </c>
      <c r="G1545" s="27" t="inlineStr">
        <is>
          <t>42600-000</t>
        </is>
      </c>
      <c r="H1545" s="15" t="n">
        <v>11</v>
      </c>
      <c r="I1545" s="28" t="inlineStr">
        <is>
          <t>SIM</t>
        </is>
      </c>
      <c r="J1545" s="29" t="n">
        <v>51.5</v>
      </c>
      <c r="K1545" s="14" t="str">
        <f>IF(J1545="","7. Acima de 2 km",IF(J1545&lt;=50,"1. Até 50 m",IF(J1545&lt;=100,"2. De 50 a 100 m",IF(J1545&lt;=200,"3. De 100 a 200 m",IF(J1545&lt;=300,"4. De 200 a 300 m",IF(J1545&lt;=500,"5. De 300 a 500 m","6. De 500 m a 2 km"))))))</f>
        <v>2. De 50 a 100 m</v>
      </c>
      <c r="L1545" s="26" t="n">
        <v>0</v>
      </c>
      <c r="M1545" s="26" t="n">
        <v>1</v>
      </c>
      <c r="N1545" s="26" t="n">
        <v>5</v>
      </c>
      <c r="O1545" s="26" t="n">
        <v>7</v>
      </c>
      <c r="P1545" s="30" t="n">
        <v>-12.7415383</v>
      </c>
      <c r="Q1545" s="30" t="n">
        <v>-38.6140752</v>
      </c>
      <c r="R1545" s="14" t="inlineStr">
        <is>
          <t>R. DO ASFALTO, 9, CENTRO, SÃO FRANCISCO DO CONDE/BA</t>
        </is>
      </c>
      <c r="S1545" s="26">
        <f>IF(A1545=A1544,0,1)</f>
        <v>0</v>
      </c>
      <c r="T1545" s="26">
        <f>IF(COUNTIF($B$4:B1545,B1545)=1,1,0)</f>
        <v>0</v>
      </c>
    </row>
    <row r="1546">
      <c r="A1546" s="14" t="inlineStr">
        <is>
          <t>MADRE DE DEUS</t>
        </is>
      </c>
      <c r="B1546" s="26" t="n">
        <v>162</v>
      </c>
      <c r="C1546" s="26" t="n">
        <v>1031</v>
      </c>
      <c r="D1546" s="14" t="inlineStr">
        <is>
          <t>ESCOLA MUNICIPAL DE MARIA GUARDA</t>
        </is>
      </c>
      <c r="E1546" s="14" t="inlineStr">
        <is>
          <t>POVOADO ILHA DE MARIA GUARDA</t>
        </is>
      </c>
      <c r="F1546" s="14" t="inlineStr">
        <is>
          <t>RUA BEIRA MAR , S/N - ZONA RURAL</t>
        </is>
      </c>
      <c r="G1546" s="27" t="inlineStr">
        <is>
          <t>42600-000</t>
        </is>
      </c>
      <c r="H1546" s="15" t="n">
        <v>2</v>
      </c>
      <c r="I1546" s="28" t="inlineStr">
        <is>
          <t>NÃO</t>
        </is>
      </c>
      <c r="J1546" s="29" t="n"/>
      <c r="K1546" s="14" t="str">
        <f>IF(J1546="","7. Acima de 2 km",IF(J1546&lt;=50,"1. Até 50 m",IF(J1546&lt;=100,"2. De 50 a 100 m",IF(J1546&lt;=200,"3. De 100 a 200 m",IF(J1546&lt;=300,"4. De 200 a 300 m",IF(J1546&lt;=500,"5. De 300 a 500 m","6. De 500 m a 2 km"))))))</f>
        <v>7. Acima de 2 km</v>
      </c>
      <c r="L1546" s="26" t="n">
        <v>0</v>
      </c>
      <c r="M1546" s="26" t="n">
        <v>0</v>
      </c>
      <c r="N1546" s="26" t="n">
        <v>0</v>
      </c>
      <c r="O1546" s="26" t="n">
        <v>0</v>
      </c>
      <c r="P1546" s="30" t="n">
        <v>-12.7353987</v>
      </c>
      <c r="Q1546" s="30" t="n">
        <v>-38.6359381</v>
      </c>
      <c r="R1546" s="14" t="inlineStr">
        <is>
          <t>R. DO ASFALTO, 9, CENTRO, SÃO FRANCISCO DO CONDE/BA</t>
        </is>
      </c>
      <c r="S1546" s="26">
        <f>IF(A1546=A1545,0,1)</f>
        <v>0</v>
      </c>
      <c r="T1546" s="26">
        <f>IF(COUNTIF($B$4:B1546,B1546)=1,1,0)</f>
        <v>0</v>
      </c>
    </row>
    <row r="1547">
      <c r="A1547" s="14" t="inlineStr">
        <is>
          <t>MADRE DE DEUS</t>
        </is>
      </c>
      <c r="B1547" s="26" t="n">
        <v>162</v>
      </c>
      <c r="C1547" s="26" t="n">
        <v>1040</v>
      </c>
      <c r="D1547" s="14" t="inlineStr">
        <is>
          <t>ESCOLA MUNICIPAL ANTÔNIO CARLOS MAGALHÃES</t>
        </is>
      </c>
      <c r="E1547" s="14" t="inlineStr">
        <is>
          <t>SUAPE</t>
        </is>
      </c>
      <c r="F1547" s="14" t="inlineStr">
        <is>
          <t>RUA PROFESSOR ANTÔNIO BALBINO, S/N - ZONA URBANA</t>
        </is>
      </c>
      <c r="G1547" s="27" t="inlineStr">
        <is>
          <t>42600-000</t>
        </is>
      </c>
      <c r="H1547" s="15" t="n">
        <v>8</v>
      </c>
      <c r="I1547" s="28" t="inlineStr">
        <is>
          <t>SIM</t>
        </is>
      </c>
      <c r="J1547" s="29" t="n">
        <v>16.5</v>
      </c>
      <c r="K1547" s="14" t="str">
        <f>IF(J1547="","7. Acima de 2 km",IF(J1547&lt;=50,"1. Até 50 m",IF(J1547&lt;=100,"2. De 50 a 100 m",IF(J1547&lt;=200,"3. De 100 a 200 m",IF(J1547&lt;=300,"4. De 200 a 300 m",IF(J1547&lt;=500,"5. De 300 a 500 m","6. De 500 m a 2 km"))))))</f>
        <v>1. Até 50 m</v>
      </c>
      <c r="L1547" s="26" t="n">
        <v>1</v>
      </c>
      <c r="M1547" s="26" t="n">
        <v>1</v>
      </c>
      <c r="N1547" s="26" t="n">
        <v>1</v>
      </c>
      <c r="O1547" s="26" t="n">
        <v>4</v>
      </c>
      <c r="P1547" s="30" t="n">
        <v>-12.7360522</v>
      </c>
      <c r="Q1547" s="30" t="n">
        <v>-38.6053101</v>
      </c>
      <c r="R1547" s="14" t="inlineStr">
        <is>
          <t>R. DO ASFALTO, 9, CENTRO, SÃO FRANCISCO DO CONDE/BA</t>
        </is>
      </c>
      <c r="S1547" s="26">
        <f>IF(A1547=A1546,0,1)</f>
        <v>0</v>
      </c>
      <c r="T1547" s="26">
        <f>IF(COUNTIF($B$4:B1547,B1547)=1,1,0)</f>
        <v>0</v>
      </c>
    </row>
    <row r="1548">
      <c r="A1548" s="14" t="inlineStr">
        <is>
          <t>MADRE DE DEUS</t>
        </is>
      </c>
      <c r="B1548" s="26" t="n">
        <v>162</v>
      </c>
      <c r="C1548" s="26" t="n">
        <v>1058</v>
      </c>
      <c r="D1548" s="14" t="inlineStr">
        <is>
          <t>ESCOLA NOSSA SENHORA DE MADRE DE DEUS</t>
        </is>
      </c>
      <c r="E1548" s="14" t="inlineStr">
        <is>
          <t>NOVA MADRE DE DEUS</t>
        </is>
      </c>
      <c r="F1548" s="14" t="inlineStr">
        <is>
          <t xml:space="preserve">RUA A, S/N - ZONA URBANA  </t>
        </is>
      </c>
      <c r="G1548" s="27" t="inlineStr">
        <is>
          <t>42600-000</t>
        </is>
      </c>
      <c r="H1548" s="15" t="n">
        <v>4</v>
      </c>
      <c r="I1548" s="28" t="inlineStr">
        <is>
          <t>NÃO</t>
        </is>
      </c>
      <c r="J1548" s="29" t="n">
        <v>172.4</v>
      </c>
      <c r="K1548" s="14" t="str">
        <f>IF(J1548="","7. Acima de 2 km",IF(J1548&lt;=50,"1. Até 50 m",IF(J1548&lt;=100,"2. De 50 a 100 m",IF(J1548&lt;=200,"3. De 100 a 200 m",IF(J1548&lt;=300,"4. De 200 a 300 m",IF(J1548&lt;=500,"5. De 300 a 500 m","6. De 500 m a 2 km"))))))</f>
        <v>3. De 100 a 200 m</v>
      </c>
      <c r="L1548" s="26" t="n">
        <v>0</v>
      </c>
      <c r="M1548" s="26" t="n">
        <v>0</v>
      </c>
      <c r="N1548" s="26" t="n">
        <v>2</v>
      </c>
      <c r="O1548" s="26" t="n">
        <v>5</v>
      </c>
      <c r="P1548" s="30" t="n">
        <v>-12.7402032</v>
      </c>
      <c r="Q1548" s="30" t="n">
        <v>-38.6161764</v>
      </c>
      <c r="R1548" s="14" t="inlineStr">
        <is>
          <t>R. DO ASFALTO, 9, CENTRO, SÃO FRANCISCO DO CONDE/BA</t>
        </is>
      </c>
      <c r="S1548" s="26">
        <f>IF(A1548=A1547,0,1)</f>
        <v>0</v>
      </c>
      <c r="T1548" s="26">
        <f>IF(COUNTIF($B$4:B1548,B1548)=1,1,0)</f>
        <v>0</v>
      </c>
    </row>
    <row r="1549">
      <c r="A1549" s="14" t="inlineStr">
        <is>
          <t>MADRE DE DEUS</t>
        </is>
      </c>
      <c r="B1549" s="26" t="n">
        <v>162</v>
      </c>
      <c r="C1549" s="26" t="n">
        <v>1066</v>
      </c>
      <c r="D1549" s="14" t="inlineStr">
        <is>
          <t>ESCOLA MUNICIPAL LUIZ EDUARDO MAGALHÃES</t>
        </is>
      </c>
      <c r="E1549" s="14" t="inlineStr">
        <is>
          <t>CENTRO</t>
        </is>
      </c>
      <c r="F1549" s="14" t="inlineStr">
        <is>
          <t>RUA FRANCISCO LEITÃO, S/N  - ZONA URBANA</t>
        </is>
      </c>
      <c r="G1549" s="27" t="inlineStr">
        <is>
          <t>42600-000</t>
        </is>
      </c>
      <c r="H1549" s="15" t="n">
        <v>8</v>
      </c>
      <c r="I1549" s="28" t="inlineStr">
        <is>
          <t>SIM</t>
        </is>
      </c>
      <c r="J1549" s="29" t="n">
        <v>47</v>
      </c>
      <c r="K1549" s="14" t="str">
        <f>IF(J1549="","7. Acima de 2 km",IF(J1549&lt;=50,"1. Até 50 m",IF(J1549&lt;=100,"2. De 50 a 100 m",IF(J1549&lt;=200,"3. De 100 a 200 m",IF(J1549&lt;=300,"4. De 200 a 300 m",IF(J1549&lt;=500,"5. De 300 a 500 m","6. De 500 m a 2 km"))))))</f>
        <v>1. Até 50 m</v>
      </c>
      <c r="L1549" s="26" t="n">
        <v>1</v>
      </c>
      <c r="M1549" s="26" t="n">
        <v>1</v>
      </c>
      <c r="N1549" s="26" t="n">
        <v>3</v>
      </c>
      <c r="O1549" s="26" t="n">
        <v>6</v>
      </c>
      <c r="P1549" s="30" t="n">
        <v>-12.7390115</v>
      </c>
      <c r="Q1549" s="30" t="n">
        <v>-38.6144246</v>
      </c>
      <c r="R1549" s="14" t="inlineStr">
        <is>
          <t>R. DO ASFALTO, 9, CENTRO, SÃO FRANCISCO DO CONDE/BA</t>
        </is>
      </c>
      <c r="S1549" s="26">
        <f>IF(A1549=A1548,0,1)</f>
        <v>0</v>
      </c>
      <c r="T1549" s="26">
        <f>IF(COUNTIF($B$4:B1549,B1549)=1,1,0)</f>
        <v>0</v>
      </c>
    </row>
    <row r="1550">
      <c r="A1550" s="14" t="inlineStr">
        <is>
          <t>MADRE DE DEUS</t>
        </is>
      </c>
      <c r="B1550" s="26" t="n">
        <v>162</v>
      </c>
      <c r="C1550" s="26" t="n">
        <v>1082</v>
      </c>
      <c r="D1550" s="14" t="inlineStr">
        <is>
          <t>COLÉGIO PROFESSOR ANTÔNIO BALBINO</t>
        </is>
      </c>
      <c r="E1550" s="14" t="inlineStr">
        <is>
          <t>CENTRO</t>
        </is>
      </c>
      <c r="F1550" s="14" t="inlineStr">
        <is>
          <t>RUA 13 DE JUNHO, 191 - ZONA URBANA</t>
        </is>
      </c>
      <c r="G1550" s="27" t="inlineStr">
        <is>
          <t>42600-000</t>
        </is>
      </c>
      <c r="H1550" s="15" t="n">
        <v>7</v>
      </c>
      <c r="I1550" s="28" t="inlineStr">
        <is>
          <t>SIM</t>
        </is>
      </c>
      <c r="J1550" s="29" t="n">
        <v>44.5</v>
      </c>
      <c r="K1550" s="14" t="str">
        <f>IF(J1550="","7. Acima de 2 km",IF(J1550&lt;=50,"1. Até 50 m",IF(J1550&lt;=100,"2. De 50 a 100 m",IF(J1550&lt;=200,"3. De 100 a 200 m",IF(J1550&lt;=300,"4. De 200 a 300 m",IF(J1550&lt;=500,"5. De 300 a 500 m","6. De 500 m a 2 km"))))))</f>
        <v>1. Até 50 m</v>
      </c>
      <c r="L1550" s="26" t="n">
        <v>1</v>
      </c>
      <c r="M1550" s="26" t="n">
        <v>1</v>
      </c>
      <c r="N1550" s="26" t="n">
        <v>3</v>
      </c>
      <c r="O1550" s="26" t="n">
        <v>8</v>
      </c>
      <c r="P1550" s="30" t="n">
        <v>-12.7457371</v>
      </c>
      <c r="Q1550" s="30" t="n">
        <v>-38.6173672</v>
      </c>
      <c r="R1550" s="14" t="inlineStr">
        <is>
          <t>R. DO ASFALTO, 9, CENTRO, SÃO FRANCISCO DO CONDE/BA</t>
        </is>
      </c>
      <c r="S1550" s="26">
        <f>IF(A1550=A1549,0,1)</f>
        <v>0</v>
      </c>
      <c r="T1550" s="26">
        <f>IF(COUNTIF($B$4:B1550,B1550)=1,1,0)</f>
        <v>0</v>
      </c>
    </row>
    <row r="1551">
      <c r="A1551" s="14" t="inlineStr">
        <is>
          <t>MADRE DE DEUS</t>
        </is>
      </c>
      <c r="B1551" s="26" t="n">
        <v>162</v>
      </c>
      <c r="C1551" s="26" t="n">
        <v>1090</v>
      </c>
      <c r="D1551" s="14" t="inlineStr">
        <is>
          <t>CENTRO DE EDUCAÇÃO INFANTIL FREI GOLDOFREDO RALF</t>
        </is>
      </c>
      <c r="E1551" s="14" t="inlineStr">
        <is>
          <t>CENTRO</t>
        </is>
      </c>
      <c r="F1551" s="14" t="inlineStr">
        <is>
          <t>RUA SÃO BRÁS</t>
        </is>
      </c>
      <c r="G1551" s="27" t="inlineStr">
        <is>
          <t>42600-000</t>
        </is>
      </c>
      <c r="H1551" s="15" t="n">
        <v>4</v>
      </c>
      <c r="I1551" s="28" t="inlineStr">
        <is>
          <t>NÃO</t>
        </is>
      </c>
      <c r="J1551" s="29" t="n">
        <v>195.8</v>
      </c>
      <c r="K1551" s="14" t="str">
        <f>IF(J1551="","7. Acima de 2 km",IF(J1551&lt;=50,"1. Até 50 m",IF(J1551&lt;=100,"2. De 50 a 100 m",IF(J1551&lt;=200,"3. De 100 a 200 m",IF(J1551&lt;=300,"4. De 200 a 300 m",IF(J1551&lt;=500,"5. De 300 a 500 m","6. De 500 m a 2 km"))))))</f>
        <v>3. De 100 a 200 m</v>
      </c>
      <c r="L1551" s="26" t="n">
        <v>0</v>
      </c>
      <c r="M1551" s="26" t="n">
        <v>0</v>
      </c>
      <c r="N1551" s="26" t="n">
        <v>1</v>
      </c>
      <c r="O1551" s="26" t="n">
        <v>4</v>
      </c>
      <c r="P1551" s="30" t="n">
        <v>-12.7388905</v>
      </c>
      <c r="Q1551" s="30" t="n">
        <v>-38.6166366</v>
      </c>
      <c r="R1551" s="14" t="inlineStr">
        <is>
          <t>R. DO ASFALTO, 9, CENTRO, SÃO FRANCISCO DO CONDE/BA</t>
        </is>
      </c>
      <c r="S1551" s="26">
        <f>IF(A1551=A1550,0,1)</f>
        <v>0</v>
      </c>
      <c r="T1551" s="26">
        <f>IF(COUNTIF($B$4:B1551,B1551)=1,1,0)</f>
        <v>0</v>
      </c>
    </row>
    <row r="1552">
      <c r="A1552" s="14" t="inlineStr">
        <is>
          <t>MARACÁS</t>
        </is>
      </c>
      <c r="B1552" s="26" t="n">
        <v>37</v>
      </c>
      <c r="C1552" s="26" t="n">
        <v>1023</v>
      </c>
      <c r="D1552" s="14" t="inlineStr">
        <is>
          <t xml:space="preserve">ESCOLA MARCIONÍLIO SOUZA </t>
        </is>
      </c>
      <c r="E1552" s="14" t="inlineStr">
        <is>
          <t>CENTRO</t>
        </is>
      </c>
      <c r="F1552" s="14" t="inlineStr">
        <is>
          <t>RUA JOAQUIM JOSÉ DA ROCHA - ZONA URBANA</t>
        </is>
      </c>
      <c r="G1552" s="27" t="inlineStr">
        <is>
          <t>45360-000</t>
        </is>
      </c>
      <c r="H1552" s="15" t="n">
        <v>4</v>
      </c>
      <c r="I1552" s="28" t="inlineStr">
        <is>
          <t>NÃO</t>
        </is>
      </c>
      <c r="J1552" s="29" t="n">
        <v>491.5</v>
      </c>
      <c r="K1552" s="14" t="str">
        <f>IF(J1552="","7. Acima de 2 km",IF(J1552&lt;=50,"1. Até 50 m",IF(J1552&lt;=100,"2. De 50 a 100 m",IF(J1552&lt;=200,"3. De 100 a 200 m",IF(J1552&lt;=300,"4. De 200 a 300 m",IF(J1552&lt;=500,"5. De 300 a 500 m","6. De 500 m a 2 km"))))))</f>
        <v>5. De 300 a 500 m</v>
      </c>
      <c r="L1552" s="26" t="n">
        <v>0</v>
      </c>
      <c r="M1552" s="26" t="n">
        <v>0</v>
      </c>
      <c r="N1552" s="26" t="n">
        <v>0</v>
      </c>
      <c r="O1552" s="26" t="n">
        <v>0</v>
      </c>
      <c r="P1552" s="30" t="n">
        <v>-13.4371245</v>
      </c>
      <c r="Q1552" s="30" t="n">
        <v>-40.4289713</v>
      </c>
      <c r="R1552" s="14" t="inlineStr">
        <is>
          <t>RUA BARÃO DO RIO BRANCO, 91, GALERIA TUPI, LOJA 08, BAIRRO CENTRO, MARACÁS - BA</t>
        </is>
      </c>
      <c r="S1552" s="26">
        <f>IF(A1552=A1551,0,1)</f>
        <v>1</v>
      </c>
      <c r="T1552" s="26">
        <f>IF(COUNTIF($B$4:B1552,B1552)=1,1,0)</f>
        <v>0</v>
      </c>
    </row>
    <row r="1553">
      <c r="A1553" s="14" t="inlineStr">
        <is>
          <t>MARACÁS</t>
        </is>
      </c>
      <c r="B1553" s="26" t="n">
        <v>37</v>
      </c>
      <c r="C1553" s="26" t="n">
        <v>1066</v>
      </c>
      <c r="D1553" s="14" t="inlineStr">
        <is>
          <t>COLÉGIO NORMAL MUNICIPAL DE MARACÁS</t>
        </is>
      </c>
      <c r="E1553" s="14" t="inlineStr">
        <is>
          <t>CENTRO</t>
        </is>
      </c>
      <c r="F1553" s="14" t="inlineStr">
        <is>
          <t>PRAÇA DA BANDEIRA, S/N - ZONA URBANA</t>
        </is>
      </c>
      <c r="G1553" s="27" t="inlineStr">
        <is>
          <t>45360-000</t>
        </is>
      </c>
      <c r="H1553" s="15" t="n">
        <v>7</v>
      </c>
      <c r="I1553" s="28" t="inlineStr">
        <is>
          <t>NÃO</t>
        </is>
      </c>
      <c r="J1553" s="29" t="n">
        <v>113.1</v>
      </c>
      <c r="K1553" s="14" t="str">
        <f>IF(J1553="","7. Acima de 2 km",IF(J1553&lt;=50,"1. Até 50 m",IF(J1553&lt;=100,"2. De 50 a 100 m",IF(J1553&lt;=200,"3. De 100 a 200 m",IF(J1553&lt;=300,"4. De 200 a 300 m",IF(J1553&lt;=500,"5. De 300 a 500 m","6. De 500 m a 2 km"))))))</f>
        <v>3. De 100 a 200 m</v>
      </c>
      <c r="L1553" s="26" t="n">
        <v>0</v>
      </c>
      <c r="M1553" s="26" t="n">
        <v>0</v>
      </c>
      <c r="N1553" s="26" t="n">
        <v>2</v>
      </c>
      <c r="O1553" s="26" t="n">
        <v>3</v>
      </c>
      <c r="P1553" s="30" t="n">
        <v>-13.4442351</v>
      </c>
      <c r="Q1553" s="30" t="n">
        <v>-40.4355794</v>
      </c>
      <c r="R1553" s="14" t="inlineStr">
        <is>
          <t>RUA BARÃO DO RIO BRANCO, 91, GALERIA TUPI, LOJA 08, BAIRRO CENTRO, MARACÁS - BA</t>
        </is>
      </c>
      <c r="S1553" s="26">
        <f>IF(A1553=A1552,0,1)</f>
        <v>0</v>
      </c>
      <c r="T1553" s="26">
        <f>IF(COUNTIF($B$4:B1553,B1553)=1,1,0)</f>
        <v>0</v>
      </c>
    </row>
    <row r="1554">
      <c r="A1554" s="14" t="inlineStr">
        <is>
          <t>MARACÁS</t>
        </is>
      </c>
      <c r="B1554" s="26" t="n">
        <v>37</v>
      </c>
      <c r="C1554" s="26" t="n">
        <v>1082</v>
      </c>
      <c r="D1554" s="14" t="inlineStr">
        <is>
          <t>PREDIO LUIZ ANGELI</t>
        </is>
      </c>
      <c r="E1554" s="14" t="inlineStr">
        <is>
          <t>POVOADO CALDEIRAO DOS MIRANDAS</t>
        </is>
      </c>
      <c r="F1554" s="14" t="inlineStr">
        <is>
          <t>POVOADO CALDEIRAO DOS MIRANDAS - ZONA RURAL</t>
        </is>
      </c>
      <c r="G1554" s="27" t="inlineStr">
        <is>
          <t>45360-000</t>
        </is>
      </c>
      <c r="H1554" s="15" t="n">
        <v>3</v>
      </c>
      <c r="I1554" s="28" t="inlineStr">
        <is>
          <t>NÃO</t>
        </is>
      </c>
      <c r="J1554" s="29" t="n"/>
      <c r="K1554" s="14" t="str">
        <f>IF(J1554="","7. Acima de 2 km",IF(J1554&lt;=50,"1. Até 50 m",IF(J1554&lt;=100,"2. De 50 a 100 m",IF(J1554&lt;=200,"3. De 100 a 200 m",IF(J1554&lt;=300,"4. De 200 a 300 m",IF(J1554&lt;=500,"5. De 300 a 500 m","6. De 500 m a 2 km"))))))</f>
        <v>7. Acima de 2 km</v>
      </c>
      <c r="L1554" s="26" t="n">
        <v>0</v>
      </c>
      <c r="M1554" s="26" t="n">
        <v>0</v>
      </c>
      <c r="N1554" s="26" t="n">
        <v>0</v>
      </c>
      <c r="O1554" s="26" t="n">
        <v>0</v>
      </c>
      <c r="P1554" s="30" t="n">
        <v>-13.6240344</v>
      </c>
      <c r="Q1554" s="30" t="n">
        <v>-40.5395083</v>
      </c>
      <c r="R1554" s="14" t="inlineStr">
        <is>
          <t>RUA BARÃO DO RIO BRANCO, 91, GALERIA TUPI, LOJA 08, BAIRRO CENTRO, MARACÁS - BA</t>
        </is>
      </c>
      <c r="S1554" s="26">
        <f>IF(A1554=A1553,0,1)</f>
        <v>0</v>
      </c>
      <c r="T1554" s="26">
        <f>IF(COUNTIF($B$4:B1554,B1554)=1,1,0)</f>
        <v>0</v>
      </c>
    </row>
    <row r="1555">
      <c r="A1555" s="14" t="inlineStr">
        <is>
          <t>MARACÁS</t>
        </is>
      </c>
      <c r="B1555" s="26" t="n">
        <v>37</v>
      </c>
      <c r="C1555" s="26" t="n">
        <v>1090</v>
      </c>
      <c r="D1555" s="14" t="inlineStr">
        <is>
          <t>PREDIO ADEOVALDO MEIRA</t>
        </is>
      </c>
      <c r="E1555" s="14" t="inlineStr">
        <is>
          <t>POVOADO PE DE SERRA</t>
        </is>
      </c>
      <c r="F1555" s="14" t="inlineStr">
        <is>
          <t>POVOADO PE DE SERRA - ZONA RURAL</t>
        </is>
      </c>
      <c r="G1555" s="27" t="inlineStr">
        <is>
          <t>45360-000</t>
        </is>
      </c>
      <c r="H1555" s="15" t="n">
        <v>4</v>
      </c>
      <c r="I1555" s="28" t="inlineStr">
        <is>
          <t>NÃO</t>
        </is>
      </c>
      <c r="J1555" s="29" t="n"/>
      <c r="K1555" s="14" t="str">
        <f>IF(J1555="","7. Acima de 2 km",IF(J1555&lt;=50,"1. Até 50 m",IF(J1555&lt;=100,"2. De 50 a 100 m",IF(J1555&lt;=200,"3. De 100 a 200 m",IF(J1555&lt;=300,"4. De 200 a 300 m",IF(J1555&lt;=500,"5. De 300 a 500 m","6. De 500 m a 2 km"))))))</f>
        <v>7. Acima de 2 km</v>
      </c>
      <c r="L1555" s="26" t="n">
        <v>0</v>
      </c>
      <c r="M1555" s="26" t="n">
        <v>0</v>
      </c>
      <c r="N1555" s="26" t="n">
        <v>0</v>
      </c>
      <c r="O1555" s="26" t="n">
        <v>0</v>
      </c>
      <c r="P1555" s="30" t="n">
        <v>-13.5323341</v>
      </c>
      <c r="Q1555" s="30" t="n">
        <v>-40.6106541</v>
      </c>
      <c r="R1555" s="14" t="inlineStr">
        <is>
          <t>RUA BARÃO DO RIO BRANCO, 91, GALERIA TUPI, LOJA 08, BAIRRO CENTRO, MARACÁS - BA</t>
        </is>
      </c>
      <c r="S1555" s="26">
        <f>IF(A1555=A1554,0,1)</f>
        <v>0</v>
      </c>
      <c r="T1555" s="26">
        <f>IF(COUNTIF($B$4:B1555,B1555)=1,1,0)</f>
        <v>0</v>
      </c>
    </row>
    <row r="1556">
      <c r="A1556" s="14" t="inlineStr">
        <is>
          <t>MARACÁS</t>
        </is>
      </c>
      <c r="B1556" s="26" t="n">
        <v>37</v>
      </c>
      <c r="C1556" s="26" t="n">
        <v>1104</v>
      </c>
      <c r="D1556" s="14" t="inlineStr">
        <is>
          <t>PREDIO ANTONIO DIAS DE NOVAES</t>
        </is>
      </c>
      <c r="E1556" s="14" t="inlineStr">
        <is>
          <t>POVOADO CAPIVARAS</t>
        </is>
      </c>
      <c r="F1556" s="14" t="inlineStr">
        <is>
          <t>POVOADO DE CAPIVARAS - ZONA RURAL</t>
        </is>
      </c>
      <c r="G1556" s="27" t="inlineStr">
        <is>
          <t>45360-000</t>
        </is>
      </c>
      <c r="H1556" s="15" t="n">
        <v>3</v>
      </c>
      <c r="I1556" s="28" t="inlineStr">
        <is>
          <t>NÃO</t>
        </is>
      </c>
      <c r="J1556" s="29" t="n"/>
      <c r="K1556" s="14" t="str">
        <f>IF(J1556="","7. Acima de 2 km",IF(J1556&lt;=50,"1. Até 50 m",IF(J1556&lt;=100,"2. De 50 a 100 m",IF(J1556&lt;=200,"3. De 100 a 200 m",IF(J1556&lt;=300,"4. De 200 a 300 m",IF(J1556&lt;=500,"5. De 300 a 500 m","6. De 500 m a 2 km"))))))</f>
        <v>7. Acima de 2 km</v>
      </c>
      <c r="L1556" s="26" t="n">
        <v>0</v>
      </c>
      <c r="M1556" s="26" t="n">
        <v>0</v>
      </c>
      <c r="N1556" s="26" t="n">
        <v>0</v>
      </c>
      <c r="O1556" s="26" t="n">
        <v>0</v>
      </c>
      <c r="P1556" s="30" t="n">
        <v>-13.3606261</v>
      </c>
      <c r="Q1556" s="30" t="n">
        <v>-40.6590976</v>
      </c>
      <c r="R1556" s="14" t="inlineStr">
        <is>
          <t>RUA BARÃO DO RIO BRANCO, 91, GALERIA TUPI, LOJA 08, BAIRRO CENTRO, MARACÁS - BA</t>
        </is>
      </c>
      <c r="S1556" s="26">
        <f>IF(A1556=A1555,0,1)</f>
        <v>0</v>
      </c>
      <c r="T1556" s="26">
        <f>IF(COUNTIF($B$4:B1556,B1556)=1,1,0)</f>
        <v>0</v>
      </c>
    </row>
    <row r="1557">
      <c r="A1557" s="14" t="inlineStr">
        <is>
          <t>MARACÁS</t>
        </is>
      </c>
      <c r="B1557" s="26" t="n">
        <v>37</v>
      </c>
      <c r="C1557" s="26" t="n">
        <v>1112</v>
      </c>
      <c r="D1557" s="14" t="inlineStr">
        <is>
          <t>PREDIO ESCOLAR LUIZ BRAGA</t>
        </is>
      </c>
      <c r="E1557" s="14" t="inlineStr">
        <is>
          <t>POVOADO PORTO ALEGRE</t>
        </is>
      </c>
      <c r="F1557" s="14" t="inlineStr">
        <is>
          <t>POVOADO DE PORTO ALEGRE - ZONA RURAL</t>
        </is>
      </c>
      <c r="G1557" s="27" t="inlineStr">
        <is>
          <t>45360-000</t>
        </is>
      </c>
      <c r="H1557" s="15" t="n">
        <v>3</v>
      </c>
      <c r="I1557" s="28" t="inlineStr">
        <is>
          <t>NÃO</t>
        </is>
      </c>
      <c r="J1557" s="29" t="n"/>
      <c r="K1557" s="14" t="str">
        <f>IF(J1557="","7. Acima de 2 km",IF(J1557&lt;=50,"1. Até 50 m",IF(J1557&lt;=100,"2. De 50 a 100 m",IF(J1557&lt;=200,"3. De 100 a 200 m",IF(J1557&lt;=300,"4. De 200 a 300 m",IF(J1557&lt;=500,"5. De 300 a 500 m","6. De 500 m a 2 km"))))))</f>
        <v>7. Acima de 2 km</v>
      </c>
      <c r="L1557" s="26" t="n">
        <v>0</v>
      </c>
      <c r="M1557" s="26" t="n">
        <v>0</v>
      </c>
      <c r="N1557" s="26" t="n">
        <v>0</v>
      </c>
      <c r="O1557" s="26" t="n">
        <v>0</v>
      </c>
      <c r="P1557" s="30" t="n">
        <v>-13.8423065</v>
      </c>
      <c r="Q1557" s="30" t="n">
        <v>-40.6202291</v>
      </c>
      <c r="R1557" s="14" t="inlineStr">
        <is>
          <t>RUA BARÃO DO RIO BRANCO, 91, GALERIA TUPI, LOJA 08, BAIRRO CENTRO, MARACÁS - BA</t>
        </is>
      </c>
      <c r="S1557" s="26">
        <f>IF(A1557=A1556,0,1)</f>
        <v>0</v>
      </c>
      <c r="T1557" s="26">
        <f>IF(COUNTIF($B$4:B1557,B1557)=1,1,0)</f>
        <v>0</v>
      </c>
    </row>
    <row r="1558">
      <c r="A1558" s="14" t="inlineStr">
        <is>
          <t>MARACÁS</t>
        </is>
      </c>
      <c r="B1558" s="26" t="n">
        <v>37</v>
      </c>
      <c r="C1558" s="26" t="n">
        <v>1120</v>
      </c>
      <c r="D1558" s="14" t="inlineStr">
        <is>
          <t>ESCOLA MUNICIPAL MARIA AMÁLIA  DE NOVAES</t>
        </is>
      </c>
      <c r="E1558" s="14" t="inlineStr">
        <is>
          <t>POVOADO GAVIAO</t>
        </is>
      </c>
      <c r="F1558" s="14" t="inlineStr">
        <is>
          <t>POVOADO GAVIAO - ZONA RURAL</t>
        </is>
      </c>
      <c r="G1558" s="27" t="inlineStr">
        <is>
          <t>45360-000</t>
        </is>
      </c>
      <c r="H1558" s="15" t="n">
        <v>1</v>
      </c>
      <c r="I1558" s="28" t="inlineStr">
        <is>
          <t>NÃO</t>
        </is>
      </c>
      <c r="J1558" s="29" t="n"/>
      <c r="K1558" s="14" t="str">
        <f>IF(J1558="","7. Acima de 2 km",IF(J1558&lt;=50,"1. Até 50 m",IF(J1558&lt;=100,"2. De 50 a 100 m",IF(J1558&lt;=200,"3. De 100 a 200 m",IF(J1558&lt;=300,"4. De 200 a 300 m",IF(J1558&lt;=500,"5. De 300 a 500 m","6. De 500 m a 2 km"))))))</f>
        <v>7. Acima de 2 km</v>
      </c>
      <c r="L1558" s="26" t="n">
        <v>0</v>
      </c>
      <c r="M1558" s="26" t="n">
        <v>0</v>
      </c>
      <c r="N1558" s="26" t="n">
        <v>0</v>
      </c>
      <c r="O1558" s="26" t="n">
        <v>0</v>
      </c>
      <c r="P1558" s="30" t="n">
        <v>-13.3820913</v>
      </c>
      <c r="Q1558" s="30" t="n">
        <v>-40.7642383</v>
      </c>
      <c r="R1558" s="14" t="inlineStr">
        <is>
          <t>RUA BARÃO DO RIO BRANCO, 91, GALERIA TUPI, LOJA 08, BAIRRO CENTRO, MARACÁS - BA</t>
        </is>
      </c>
      <c r="S1558" s="26">
        <f>IF(A1558=A1557,0,1)</f>
        <v>0</v>
      </c>
      <c r="T1558" s="26">
        <f>IF(COUNTIF($B$4:B1558,B1558)=1,1,0)</f>
        <v>0</v>
      </c>
    </row>
    <row r="1559">
      <c r="A1559" s="14" t="inlineStr">
        <is>
          <t>MARACÁS</t>
        </is>
      </c>
      <c r="B1559" s="26" t="n">
        <v>37</v>
      </c>
      <c r="C1559" s="26" t="n">
        <v>1147</v>
      </c>
      <c r="D1559" s="14" t="inlineStr">
        <is>
          <t>ESCOLA MUNICIPAL ORDEM E PROGRESSO</t>
        </is>
      </c>
      <c r="E1559" s="14" t="inlineStr">
        <is>
          <t>POVOADO CAMULENGUE</t>
        </is>
      </c>
      <c r="F1559" s="14" t="inlineStr">
        <is>
          <t>POVOADO DO CAMULENGUE - ZONA RURAL</t>
        </is>
      </c>
      <c r="G1559" s="27" t="inlineStr">
        <is>
          <t>45360-000</t>
        </is>
      </c>
      <c r="H1559" s="15" t="n">
        <v>1</v>
      </c>
      <c r="I1559" s="28" t="inlineStr">
        <is>
          <t>NÃO</t>
        </is>
      </c>
      <c r="J1559" s="29" t="n"/>
      <c r="K1559" s="14" t="str">
        <f>IF(J1559="","7. Acima de 2 km",IF(J1559&lt;=50,"1. Até 50 m",IF(J1559&lt;=100,"2. De 50 a 100 m",IF(J1559&lt;=200,"3. De 100 a 200 m",IF(J1559&lt;=300,"4. De 200 a 300 m",IF(J1559&lt;=500,"5. De 300 a 500 m","6. De 500 m a 2 km"))))))</f>
        <v>7. Acima de 2 km</v>
      </c>
      <c r="L1559" s="26" t="n">
        <v>0</v>
      </c>
      <c r="M1559" s="26" t="n">
        <v>0</v>
      </c>
      <c r="N1559" s="26" t="n">
        <v>0</v>
      </c>
      <c r="O1559" s="26" t="n">
        <v>0</v>
      </c>
      <c r="P1559" s="30" t="n">
        <v>-13.5472716</v>
      </c>
      <c r="Q1559" s="30" t="n">
        <v>-40.4652573</v>
      </c>
      <c r="R1559" s="14" t="inlineStr">
        <is>
          <t>RUA BARÃO DO RIO BRANCO, 91, GALERIA TUPI, LOJA 08, BAIRRO CENTRO, MARACÁS - BA</t>
        </is>
      </c>
      <c r="S1559" s="26">
        <f>IF(A1559=A1558,0,1)</f>
        <v>0</v>
      </c>
      <c r="T1559" s="26">
        <f>IF(COUNTIF($B$4:B1559,B1559)=1,1,0)</f>
        <v>0</v>
      </c>
    </row>
    <row r="1560">
      <c r="A1560" s="14" t="inlineStr">
        <is>
          <t>MARACÁS</t>
        </is>
      </c>
      <c r="B1560" s="26" t="n">
        <v>37</v>
      </c>
      <c r="C1560" s="26" t="n">
        <v>1155</v>
      </c>
      <c r="D1560" s="14" t="inlineStr">
        <is>
          <t>CENTRO EDUCACIONAL WANDA LACERDA DE MATOS</t>
        </is>
      </c>
      <c r="E1560" s="14" t="inlineStr">
        <is>
          <t>JIQUIRICA</t>
        </is>
      </c>
      <c r="F1560" s="14" t="inlineStr">
        <is>
          <t>AV. DR. ÁLVARO BEZERRA, N 307 - ZONA URBANA</t>
        </is>
      </c>
      <c r="G1560" s="27" t="inlineStr">
        <is>
          <t>45360-000</t>
        </is>
      </c>
      <c r="H1560" s="15" t="n">
        <v>8</v>
      </c>
      <c r="I1560" s="28" t="inlineStr">
        <is>
          <t>NÃO</t>
        </is>
      </c>
      <c r="J1560" s="29" t="n">
        <v>512.2</v>
      </c>
      <c r="K1560" s="14" t="str">
        <f>IF(J1560="","7. Acima de 2 km",IF(J1560&lt;=50,"1. Até 50 m",IF(J1560&lt;=100,"2. De 50 a 100 m",IF(J1560&lt;=200,"3. De 100 a 200 m",IF(J1560&lt;=300,"4. De 200 a 300 m",IF(J1560&lt;=500,"5. De 300 a 500 m","6. De 500 m a 2 km"))))))</f>
        <v>6. De 500 m a 2 km</v>
      </c>
      <c r="L1560" s="26" t="n">
        <v>0</v>
      </c>
      <c r="M1560" s="26" t="n">
        <v>0</v>
      </c>
      <c r="N1560" s="26" t="n">
        <v>0</v>
      </c>
      <c r="O1560" s="26" t="n">
        <v>0</v>
      </c>
      <c r="P1560" s="30" t="n">
        <v>-13.4476504</v>
      </c>
      <c r="Q1560" s="30" t="n">
        <v>-40.4315388</v>
      </c>
      <c r="R1560" s="14" t="inlineStr">
        <is>
          <t>RUA BARÃO DO RIO BRANCO, 91, GALERIA TUPI, LOJA 08, BAIRRO CENTRO, MARACÁS - BA</t>
        </is>
      </c>
      <c r="S1560" s="26">
        <f>IF(A1560=A1559,0,1)</f>
        <v>0</v>
      </c>
      <c r="T1560" s="26">
        <f>IF(COUNTIF($B$4:B1560,B1560)=1,1,0)</f>
        <v>0</v>
      </c>
    </row>
    <row r="1561">
      <c r="A1561" s="14" t="inlineStr">
        <is>
          <t>MARACÁS</t>
        </is>
      </c>
      <c r="B1561" s="26" t="n">
        <v>37</v>
      </c>
      <c r="C1561" s="26" t="n">
        <v>1228</v>
      </c>
      <c r="D1561" s="14" t="inlineStr">
        <is>
          <t>ESCOLA MUNICIPAL SANTO ESTEVÃO</t>
        </is>
      </c>
      <c r="E1561" s="14" t="inlineStr">
        <is>
          <t>POVOADO CACHOEIRINHA</t>
        </is>
      </c>
      <c r="F1561" s="14" t="inlineStr">
        <is>
          <t>POVOADO CACHOEIRINHA - ZONA RURAL</t>
        </is>
      </c>
      <c r="G1561" s="27" t="inlineStr">
        <is>
          <t>45360-000</t>
        </is>
      </c>
      <c r="H1561" s="15" t="n">
        <v>1</v>
      </c>
      <c r="I1561" s="28" t="inlineStr">
        <is>
          <t>NÃO</t>
        </is>
      </c>
      <c r="J1561" s="29" t="n"/>
      <c r="K1561" s="14" t="str">
        <f>IF(J1561="","7. Acima de 2 km",IF(J1561&lt;=50,"1. Até 50 m",IF(J1561&lt;=100,"2. De 50 a 100 m",IF(J1561&lt;=200,"3. De 100 a 200 m",IF(J1561&lt;=300,"4. De 200 a 300 m",IF(J1561&lt;=500,"5. De 300 a 500 m","6. De 500 m a 2 km"))))))</f>
        <v>7. Acima de 2 km</v>
      </c>
      <c r="L1561" s="26" t="n">
        <v>0</v>
      </c>
      <c r="M1561" s="26" t="n">
        <v>0</v>
      </c>
      <c r="N1561" s="26" t="n">
        <v>0</v>
      </c>
      <c r="O1561" s="26" t="n">
        <v>0</v>
      </c>
      <c r="P1561" s="30" t="n">
        <v>-13.7254375</v>
      </c>
      <c r="Q1561" s="30" t="n">
        <v>-40.5451898</v>
      </c>
      <c r="R1561" s="14" t="inlineStr">
        <is>
          <t>RUA BARÃO DO RIO BRANCO, 91, GALERIA TUPI, LOJA 08, BAIRRO CENTRO, MARACÁS - BA</t>
        </is>
      </c>
      <c r="S1561" s="26">
        <f>IF(A1561=A1560,0,1)</f>
        <v>0</v>
      </c>
      <c r="T1561" s="26">
        <f>IF(COUNTIF($B$4:B1561,B1561)=1,1,0)</f>
        <v>0</v>
      </c>
    </row>
    <row r="1562">
      <c r="A1562" s="14" t="inlineStr">
        <is>
          <t>MARACÁS</t>
        </is>
      </c>
      <c r="B1562" s="26" t="n">
        <v>37</v>
      </c>
      <c r="C1562" s="26" t="n">
        <v>1236</v>
      </c>
      <c r="D1562" s="14" t="inlineStr">
        <is>
          <t>PREDIO MUNICIPAL LAURINDO SILVA</t>
        </is>
      </c>
      <c r="E1562" s="14" t="inlineStr">
        <is>
          <t>POVOADO FUMACA</t>
        </is>
      </c>
      <c r="F1562" s="14" t="inlineStr">
        <is>
          <t xml:space="preserve">POVOADO DA FUMACA - ZONA RURAL </t>
        </is>
      </c>
      <c r="G1562" s="27" t="inlineStr">
        <is>
          <t>45360-000</t>
        </is>
      </c>
      <c r="H1562" s="15" t="n">
        <v>1</v>
      </c>
      <c r="I1562" s="28" t="inlineStr">
        <is>
          <t>NÃO</t>
        </is>
      </c>
      <c r="J1562" s="29" t="n"/>
      <c r="K1562" s="14" t="str">
        <f>IF(J1562="","7. Acima de 2 km",IF(J1562&lt;=50,"1. Até 50 m",IF(J1562&lt;=100,"2. De 50 a 100 m",IF(J1562&lt;=200,"3. De 100 a 200 m",IF(J1562&lt;=300,"4. De 200 a 300 m",IF(J1562&lt;=500,"5. De 300 a 500 m","6. De 500 m a 2 km"))))))</f>
        <v>7. Acima de 2 km</v>
      </c>
      <c r="L1562" s="26" t="n">
        <v>0</v>
      </c>
      <c r="M1562" s="26" t="n">
        <v>0</v>
      </c>
      <c r="N1562" s="26" t="n">
        <v>0</v>
      </c>
      <c r="O1562" s="26" t="n">
        <v>0</v>
      </c>
      <c r="P1562" s="30" t="n">
        <v>-13.2600629</v>
      </c>
      <c r="Q1562" s="30" t="n">
        <v>-40.541066</v>
      </c>
      <c r="R1562" s="14" t="inlineStr">
        <is>
          <t>RUA BARÃO DO RIO BRANCO, 91, GALERIA TUPI, LOJA 08, BAIRRO CENTRO, MARACÁS - BA</t>
        </is>
      </c>
      <c r="S1562" s="26">
        <f>IF(A1562=A1561,0,1)</f>
        <v>0</v>
      </c>
      <c r="T1562" s="26">
        <f>IF(COUNTIF($B$4:B1562,B1562)=1,1,0)</f>
        <v>0</v>
      </c>
    </row>
    <row r="1563">
      <c r="A1563" s="14" t="inlineStr">
        <is>
          <t>MARACÁS</t>
        </is>
      </c>
      <c r="B1563" s="26" t="n">
        <v>37</v>
      </c>
      <c r="C1563" s="26" t="n">
        <v>1678</v>
      </c>
      <c r="D1563" s="14" t="inlineStr">
        <is>
          <t>ESCOLA MUNICIPAL DERALDO SOUZA SILVA</t>
        </is>
      </c>
      <c r="E1563" s="14" t="inlineStr">
        <is>
          <t>POVOADO FURADO ESPINHO</t>
        </is>
      </c>
      <c r="F1563" s="14" t="inlineStr">
        <is>
          <t>POVOADO DO FURADO ESPINHO - ZONA RURAL</t>
        </is>
      </c>
      <c r="G1563" s="27" t="inlineStr">
        <is>
          <t>45360-000</t>
        </is>
      </c>
      <c r="H1563" s="15" t="n">
        <v>1</v>
      </c>
      <c r="I1563" s="28" t="inlineStr">
        <is>
          <t>NÃO</t>
        </is>
      </c>
      <c r="J1563" s="29" t="n"/>
      <c r="K1563" s="14" t="str">
        <f>IF(J1563="","7. Acima de 2 km",IF(J1563&lt;=50,"1. Até 50 m",IF(J1563&lt;=100,"2. De 50 a 100 m",IF(J1563&lt;=200,"3. De 100 a 200 m",IF(J1563&lt;=300,"4. De 200 a 300 m",IF(J1563&lt;=500,"5. De 300 a 500 m","6. De 500 m a 2 km"))))))</f>
        <v>7. Acima de 2 km</v>
      </c>
      <c r="L1563" s="26" t="n">
        <v>0</v>
      </c>
      <c r="M1563" s="26" t="n">
        <v>0</v>
      </c>
      <c r="N1563" s="26" t="n">
        <v>0</v>
      </c>
      <c r="O1563" s="26" t="n">
        <v>0</v>
      </c>
      <c r="P1563" s="30" t="n">
        <v>-13.8660339</v>
      </c>
      <c r="Q1563" s="30" t="n">
        <v>-40.4999149</v>
      </c>
      <c r="R1563" s="14" t="inlineStr">
        <is>
          <t>RUA BARÃO DO RIO BRANCO, 91, GALERIA TUPI, LOJA 08, BAIRRO CENTRO, MARACÁS - BA</t>
        </is>
      </c>
      <c r="S1563" s="26">
        <f>IF(A1563=A1562,0,1)</f>
        <v>0</v>
      </c>
      <c r="T1563" s="26">
        <f>IF(COUNTIF($B$4:B1563,B1563)=1,1,0)</f>
        <v>0</v>
      </c>
    </row>
    <row r="1564">
      <c r="A1564" s="14" t="inlineStr">
        <is>
          <t>MARACÁS</t>
        </is>
      </c>
      <c r="B1564" s="26" t="n">
        <v>37</v>
      </c>
      <c r="C1564" s="26" t="n">
        <v>1686</v>
      </c>
      <c r="D1564" s="14" t="inlineStr">
        <is>
          <t>ESCOLA MUNICIPAL DARIO MEIRA</t>
        </is>
      </c>
      <c r="E1564" s="14" t="inlineStr">
        <is>
          <t>POVOADO PINDOBEIRA</t>
        </is>
      </c>
      <c r="F1564" s="14" t="inlineStr">
        <is>
          <t>POVOADO PINDOBEIRA - ZONA RURAL</t>
        </is>
      </c>
      <c r="G1564" s="27" t="inlineStr">
        <is>
          <t>45360-000</t>
        </is>
      </c>
      <c r="H1564" s="15" t="n">
        <v>1</v>
      </c>
      <c r="I1564" s="28" t="inlineStr">
        <is>
          <t>NÃO</t>
        </is>
      </c>
      <c r="J1564" s="29" t="n"/>
      <c r="K1564" s="14" t="str">
        <f>IF(J1564="","7. Acima de 2 km",IF(J1564&lt;=50,"1. Até 50 m",IF(J1564&lt;=100,"2. De 50 a 100 m",IF(J1564&lt;=200,"3. De 100 a 200 m",IF(J1564&lt;=300,"4. De 200 a 300 m",IF(J1564&lt;=500,"5. De 300 a 500 m","6. De 500 m a 2 km"))))))</f>
        <v>7. Acima de 2 km</v>
      </c>
      <c r="L1564" s="26" t="n">
        <v>0</v>
      </c>
      <c r="M1564" s="26" t="n">
        <v>0</v>
      </c>
      <c r="N1564" s="26" t="n">
        <v>0</v>
      </c>
      <c r="O1564" s="26" t="n">
        <v>0</v>
      </c>
      <c r="P1564" s="30" t="n">
        <v>-13.8079104</v>
      </c>
      <c r="Q1564" s="30" t="n">
        <v>-40.6821221</v>
      </c>
      <c r="R1564" s="14" t="inlineStr">
        <is>
          <t>RUA BARÃO DO RIO BRANCO, 91, GALERIA TUPI, LOJA 08, BAIRRO CENTRO, MARACÁS - BA</t>
        </is>
      </c>
      <c r="S1564" s="26">
        <f>IF(A1564=A1563,0,1)</f>
        <v>0</v>
      </c>
      <c r="T1564" s="26">
        <f>IF(COUNTIF($B$4:B1564,B1564)=1,1,0)</f>
        <v>0</v>
      </c>
    </row>
    <row r="1565">
      <c r="A1565" s="14" t="inlineStr">
        <is>
          <t>MARACÁS</t>
        </is>
      </c>
      <c r="B1565" s="26" t="n">
        <v>37</v>
      </c>
      <c r="C1565" s="26" t="n">
        <v>1708</v>
      </c>
      <c r="D1565" s="14" t="inlineStr">
        <is>
          <t>CRECHE FERNANDO OLIVEIRA DE CARVALHO</t>
        </is>
      </c>
      <c r="E1565" s="14" t="inlineStr">
        <is>
          <t>CENTRO</t>
        </is>
      </c>
      <c r="F1565" s="14" t="inlineStr">
        <is>
          <t>R. VICENTE MARINIELLO S/N AO LADO DA SEC MUNI DE EDUCAÇÃO</t>
        </is>
      </c>
      <c r="G1565" s="27" t="inlineStr">
        <is>
          <t>45360-000</t>
        </is>
      </c>
      <c r="H1565" s="15" t="n">
        <v>6</v>
      </c>
      <c r="I1565" s="28" t="inlineStr">
        <is>
          <t>NÃO</t>
        </is>
      </c>
      <c r="J1565" s="29" t="n">
        <v>208.1</v>
      </c>
      <c r="K1565" s="14" t="str">
        <f>IF(J1565="","7. Acima de 2 km",IF(J1565&lt;=50,"1. Até 50 m",IF(J1565&lt;=100,"2. De 50 a 100 m",IF(J1565&lt;=200,"3. De 100 a 200 m",IF(J1565&lt;=300,"4. De 200 a 300 m",IF(J1565&lt;=500,"5. De 300 a 500 m","6. De 500 m a 2 km"))))))</f>
        <v>4. De 200 a 300 m</v>
      </c>
      <c r="L1565" s="26" t="n">
        <v>0</v>
      </c>
      <c r="M1565" s="26" t="n">
        <v>0</v>
      </c>
      <c r="N1565" s="26" t="n">
        <v>0</v>
      </c>
      <c r="O1565" s="26" t="n">
        <v>2</v>
      </c>
      <c r="P1565" s="30" t="n">
        <v>-13.4452417</v>
      </c>
      <c r="Q1565" s="30" t="n">
        <v>-40.4350461</v>
      </c>
      <c r="R1565" s="14" t="inlineStr">
        <is>
          <t>RUA BARÃO DO RIO BRANCO, 91, GALERIA TUPI, LOJA 08, BAIRRO CENTRO, MARACÁS - BA</t>
        </is>
      </c>
      <c r="S1565" s="26">
        <f>IF(A1565=A1564,0,1)</f>
        <v>0</v>
      </c>
      <c r="T1565" s="26">
        <f>IF(COUNTIF($B$4:B1565,B1565)=1,1,0)</f>
        <v>0</v>
      </c>
    </row>
    <row r="1566">
      <c r="A1566" s="14" t="inlineStr">
        <is>
          <t>MARACÁS</t>
        </is>
      </c>
      <c r="B1566" s="26" t="n">
        <v>37</v>
      </c>
      <c r="C1566" s="26" t="n">
        <v>1716</v>
      </c>
      <c r="D1566" s="14" t="inlineStr">
        <is>
          <t>ESCOLA MUNICIPAL MONTEIRO LOBATO</t>
        </is>
      </c>
      <c r="E1566" s="14" t="inlineStr">
        <is>
          <t>POVOADO DA ÁGUA BRANCA</t>
        </is>
      </c>
      <c r="F1566" s="14" t="inlineStr">
        <is>
          <t>POVOADO DA ÁGUA BRANCA - ZONA RURAL</t>
        </is>
      </c>
      <c r="G1566" s="27" t="inlineStr">
        <is>
          <t>45360-000</t>
        </is>
      </c>
      <c r="H1566" s="15" t="n">
        <v>1</v>
      </c>
      <c r="I1566" s="28" t="inlineStr">
        <is>
          <t>NÃO</t>
        </is>
      </c>
      <c r="J1566" s="29" t="n"/>
      <c r="K1566" s="14" t="str">
        <f>IF(J1566="","7. Acima de 2 km",IF(J1566&lt;=50,"1. Até 50 m",IF(J1566&lt;=100,"2. De 50 a 100 m",IF(J1566&lt;=200,"3. De 100 a 200 m",IF(J1566&lt;=300,"4. De 200 a 300 m",IF(J1566&lt;=500,"5. De 300 a 500 m","6. De 500 m a 2 km"))))))</f>
        <v>7. Acima de 2 km</v>
      </c>
      <c r="L1566" s="26" t="n">
        <v>0</v>
      </c>
      <c r="M1566" s="26" t="n">
        <v>0</v>
      </c>
      <c r="N1566" s="26" t="n">
        <v>0</v>
      </c>
      <c r="O1566" s="26" t="n">
        <v>0</v>
      </c>
      <c r="P1566" s="30" t="n">
        <v>-13.7204768</v>
      </c>
      <c r="Q1566" s="30" t="n">
        <v>-40.6658637</v>
      </c>
      <c r="R1566" s="14" t="inlineStr">
        <is>
          <t>RUA BARÃO DO RIO BRANCO, 91, GALERIA TUPI, LOJA 08, BAIRRO CENTRO, MARACÁS - BA</t>
        </is>
      </c>
      <c r="S1566" s="26">
        <f>IF(A1566=A1565,0,1)</f>
        <v>0</v>
      </c>
      <c r="T1566" s="26">
        <f>IF(COUNTIF($B$4:B1566,B1566)=1,1,0)</f>
        <v>0</v>
      </c>
    </row>
    <row r="1567">
      <c r="A1567" s="14" t="inlineStr">
        <is>
          <t>MARACÁS</t>
        </is>
      </c>
      <c r="B1567" s="26" t="n">
        <v>37</v>
      </c>
      <c r="C1567" s="26" t="n">
        <v>1732</v>
      </c>
      <c r="D1567" s="14" t="inlineStr">
        <is>
          <t>ESCOLA ANTÔNIO LUIZ DE OLIVEIRA</t>
        </is>
      </c>
      <c r="E1567" s="14" t="inlineStr">
        <is>
          <t>POVOADO TAMANDUÁ</t>
        </is>
      </c>
      <c r="F1567" s="14" t="inlineStr">
        <is>
          <t>FAZENDA TAMANDUÁ - ZONA RURAL</t>
        </is>
      </c>
      <c r="G1567" s="27" t="inlineStr">
        <is>
          <t>45360-000</t>
        </is>
      </c>
      <c r="H1567" s="15" t="n">
        <v>1</v>
      </c>
      <c r="I1567" s="28" t="inlineStr">
        <is>
          <t>NÃO</t>
        </is>
      </c>
      <c r="J1567" s="29" t="n"/>
      <c r="K1567" s="14" t="str">
        <f>IF(J1567="","7. Acima de 2 km",IF(J1567&lt;=50,"1. Até 50 m",IF(J1567&lt;=100,"2. De 50 a 100 m",IF(J1567&lt;=200,"3. De 100 a 200 m",IF(J1567&lt;=300,"4. De 200 a 300 m",IF(J1567&lt;=500,"5. De 300 a 500 m","6. De 500 m a 2 km"))))))</f>
        <v>7. Acima de 2 km</v>
      </c>
      <c r="L1567" s="26" t="n">
        <v>0</v>
      </c>
      <c r="M1567" s="26" t="n">
        <v>0</v>
      </c>
      <c r="N1567" s="26" t="n">
        <v>0</v>
      </c>
      <c r="O1567" s="26" t="n">
        <v>0</v>
      </c>
      <c r="P1567" s="30" t="n">
        <v>-13.2140996</v>
      </c>
      <c r="Q1567" s="30" t="n">
        <v>-40.6038776</v>
      </c>
      <c r="R1567" s="14" t="inlineStr">
        <is>
          <t>RUA BARÃO DO RIO BRANCO, 91, GALERIA TUPI, LOJA 08, BAIRRO CENTRO, MARACÁS - BA</t>
        </is>
      </c>
      <c r="S1567" s="26">
        <f>IF(A1567=A1566,0,1)</f>
        <v>0</v>
      </c>
      <c r="T1567" s="26">
        <f>IF(COUNTIF($B$4:B1567,B1567)=1,1,0)</f>
        <v>0</v>
      </c>
    </row>
    <row r="1568">
      <c r="A1568" s="14" t="inlineStr">
        <is>
          <t>MARACÁS</t>
        </is>
      </c>
      <c r="B1568" s="26" t="n">
        <v>37</v>
      </c>
      <c r="C1568" s="26" t="n">
        <v>1740</v>
      </c>
      <c r="D1568" s="14" t="inlineStr">
        <is>
          <t>ESCOLA MARCOLINA ANÉZIA COSTA</t>
        </is>
      </c>
      <c r="E1568" s="14" t="inlineStr">
        <is>
          <t>POVOADO AGUA VERDE</t>
        </is>
      </c>
      <c r="F1568" s="14" t="inlineStr">
        <is>
          <t>FAZENDA ÁGUA VERDE - ZONA RURAL</t>
        </is>
      </c>
      <c r="G1568" s="27" t="inlineStr">
        <is>
          <t>45360-000</t>
        </is>
      </c>
      <c r="H1568" s="15" t="n">
        <v>1</v>
      </c>
      <c r="I1568" s="28" t="inlineStr">
        <is>
          <t>NÃO</t>
        </is>
      </c>
      <c r="J1568" s="29" t="n"/>
      <c r="K1568" s="14" t="str">
        <f>IF(J1568="","7. Acima de 2 km",IF(J1568&lt;=50,"1. Até 50 m",IF(J1568&lt;=100,"2. De 50 a 100 m",IF(J1568&lt;=200,"3. De 100 a 200 m",IF(J1568&lt;=300,"4. De 200 a 300 m",IF(J1568&lt;=500,"5. De 300 a 500 m","6. De 500 m a 2 km"))))))</f>
        <v>7. Acima de 2 km</v>
      </c>
      <c r="L1568" s="26" t="n">
        <v>0</v>
      </c>
      <c r="M1568" s="26" t="n">
        <v>0</v>
      </c>
      <c r="N1568" s="26" t="n">
        <v>0</v>
      </c>
      <c r="O1568" s="26" t="n">
        <v>0</v>
      </c>
      <c r="P1568" s="30" t="n">
        <v>-13.2659366</v>
      </c>
      <c r="Q1568" s="30" t="n">
        <v>-40.4836502</v>
      </c>
      <c r="R1568" s="14" t="inlineStr">
        <is>
          <t>RUA BARÃO DO RIO BRANCO, 91, GALERIA TUPI, LOJA 08, BAIRRO CENTRO, MARACÁS - BA</t>
        </is>
      </c>
      <c r="S1568" s="26">
        <f>IF(A1568=A1567,0,1)</f>
        <v>0</v>
      </c>
      <c r="T1568" s="26">
        <f>IF(COUNTIF($B$4:B1568,B1568)=1,1,0)</f>
        <v>0</v>
      </c>
    </row>
    <row r="1569">
      <c r="A1569" s="14" t="inlineStr">
        <is>
          <t>MARACÁS</t>
        </is>
      </c>
      <c r="B1569" s="26" t="n">
        <v>37</v>
      </c>
      <c r="C1569" s="26" t="n">
        <v>1759</v>
      </c>
      <c r="D1569" s="14" t="inlineStr">
        <is>
          <t>ESCOLA RIBEIRA ALTA</t>
        </is>
      </c>
      <c r="E1569" s="14" t="inlineStr">
        <is>
          <t>POVOADO RIBEIRA ALTA</t>
        </is>
      </c>
      <c r="F1569" s="14" t="inlineStr">
        <is>
          <t>ASSENTAMENTO RIBEIRA ALTA - ZONA RURAL</t>
        </is>
      </c>
      <c r="G1569" s="27" t="inlineStr">
        <is>
          <t>45360-000</t>
        </is>
      </c>
      <c r="H1569" s="15" t="n">
        <v>1</v>
      </c>
      <c r="I1569" s="28" t="inlineStr">
        <is>
          <t>NÃO</t>
        </is>
      </c>
      <c r="J1569" s="29" t="n"/>
      <c r="K1569" s="14" t="str">
        <f>IF(J1569="","7. Acima de 2 km",IF(J1569&lt;=50,"1. Até 50 m",IF(J1569&lt;=100,"2. De 50 a 100 m",IF(J1569&lt;=200,"3. De 100 a 200 m",IF(J1569&lt;=300,"4. De 200 a 300 m",IF(J1569&lt;=500,"5. De 300 a 500 m","6. De 500 m a 2 km"))))))</f>
        <v>7. Acima de 2 km</v>
      </c>
      <c r="L1569" s="26" t="n">
        <v>0</v>
      </c>
      <c r="M1569" s="26" t="n">
        <v>0</v>
      </c>
      <c r="N1569" s="26" t="n">
        <v>0</v>
      </c>
      <c r="O1569" s="26" t="n">
        <v>0</v>
      </c>
      <c r="P1569" s="30" t="n">
        <v>-13.4511768</v>
      </c>
      <c r="Q1569" s="30" t="n">
        <v>-40.3399733</v>
      </c>
      <c r="R1569" s="14" t="inlineStr">
        <is>
          <t>RUA BARÃO DO RIO BRANCO, 91, GALERIA TUPI, LOJA 08, BAIRRO CENTRO, MARACÁS - BA</t>
        </is>
      </c>
      <c r="S1569" s="26">
        <f>IF(A1569=A1568,0,1)</f>
        <v>0</v>
      </c>
      <c r="T1569" s="26">
        <f>IF(COUNTIF($B$4:B1569,B1569)=1,1,0)</f>
        <v>0</v>
      </c>
    </row>
    <row r="1570">
      <c r="A1570" s="14" t="inlineStr">
        <is>
          <t>MARACÁS</t>
        </is>
      </c>
      <c r="B1570" s="26" t="n">
        <v>37</v>
      </c>
      <c r="C1570" s="26" t="n">
        <v>1775</v>
      </c>
      <c r="D1570" s="14" t="inlineStr">
        <is>
          <t>ESCOLA MUNICIPAL SÃO CRISTÓVÃO</t>
        </is>
      </c>
      <c r="E1570" s="14" t="inlineStr">
        <is>
          <t>POVOADO MOENDA I</t>
        </is>
      </c>
      <c r="F1570" s="14" t="inlineStr">
        <is>
          <t>POVOADO MOENDA I - ZONA RURAL</t>
        </is>
      </c>
      <c r="G1570" s="27" t="inlineStr">
        <is>
          <t>45360-000</t>
        </is>
      </c>
      <c r="H1570" s="15" t="n">
        <v>1</v>
      </c>
      <c r="I1570" s="28" t="inlineStr">
        <is>
          <t>NÃO</t>
        </is>
      </c>
      <c r="J1570" s="29" t="n"/>
      <c r="K1570" s="14" t="str">
        <f>IF(J1570="","7. Acima de 2 km",IF(J1570&lt;=50,"1. Até 50 m",IF(J1570&lt;=100,"2. De 50 a 100 m",IF(J1570&lt;=200,"3. De 100 a 200 m",IF(J1570&lt;=300,"4. De 200 a 300 m",IF(J1570&lt;=500,"5. De 300 a 500 m","6. De 500 m a 2 km"))))))</f>
        <v>7. Acima de 2 km</v>
      </c>
      <c r="L1570" s="26" t="n">
        <v>0</v>
      </c>
      <c r="M1570" s="26" t="n">
        <v>0</v>
      </c>
      <c r="N1570" s="26" t="n">
        <v>0</v>
      </c>
      <c r="O1570" s="26" t="n">
        <v>0</v>
      </c>
      <c r="P1570" s="30" t="n">
        <v>-13.3636017</v>
      </c>
      <c r="Q1570" s="30" t="n">
        <v>-40.3134181</v>
      </c>
      <c r="R1570" s="14" t="inlineStr">
        <is>
          <t>RUA BARÃO DO RIO BRANCO, 91, GALERIA TUPI, LOJA 08, BAIRRO CENTRO, MARACÁS - BA</t>
        </is>
      </c>
      <c r="S1570" s="26">
        <f>IF(A1570=A1569,0,1)</f>
        <v>0</v>
      </c>
      <c r="T1570" s="26">
        <f>IF(COUNTIF($B$4:B1570,B1570)=1,1,0)</f>
        <v>0</v>
      </c>
    </row>
    <row r="1571">
      <c r="A1571" s="14" t="inlineStr">
        <is>
          <t>MARACÁS</t>
        </is>
      </c>
      <c r="B1571" s="26" t="n">
        <v>37</v>
      </c>
      <c r="C1571" s="26" t="n">
        <v>1783</v>
      </c>
      <c r="D1571" s="14" t="inlineStr">
        <is>
          <t>INSTITUTO DE EDUCAÇÃO DE MARACÁS (IEM)</t>
        </is>
      </c>
      <c r="E1571" s="14" t="inlineStr">
        <is>
          <t>CAIXA D'AGUA</t>
        </is>
      </c>
      <c r="F1571" s="14" t="inlineStr">
        <is>
          <t>AV. DR. RENATO VAZ SAMPAIO, SN - ZONA URBANA</t>
        </is>
      </c>
      <c r="G1571" s="27" t="inlineStr">
        <is>
          <t>45360-000</t>
        </is>
      </c>
      <c r="H1571" s="15" t="n">
        <v>4</v>
      </c>
      <c r="I1571" s="28" t="inlineStr">
        <is>
          <t>NÃO</t>
        </is>
      </c>
      <c r="J1571" s="29" t="n">
        <v>340.6</v>
      </c>
      <c r="K1571" s="14" t="str">
        <f>IF(J1571="","7. Acima de 2 km",IF(J1571&lt;=50,"1. Até 50 m",IF(J1571&lt;=100,"2. De 50 a 100 m",IF(J1571&lt;=200,"3. De 100 a 200 m",IF(J1571&lt;=300,"4. De 200 a 300 m",IF(J1571&lt;=500,"5. De 300 a 500 m","6. De 500 m a 2 km"))))))</f>
        <v>5. De 300 a 500 m</v>
      </c>
      <c r="L1571" s="26" t="n">
        <v>0</v>
      </c>
      <c r="M1571" s="26" t="n">
        <v>0</v>
      </c>
      <c r="N1571" s="26" t="n">
        <v>0</v>
      </c>
      <c r="O1571" s="26" t="n">
        <v>0</v>
      </c>
      <c r="P1571" s="30" t="n">
        <v>-13.4339945</v>
      </c>
      <c r="Q1571" s="30" t="n">
        <v>-40.4280743</v>
      </c>
      <c r="R1571" s="14" t="inlineStr">
        <is>
          <t>RUA BARÃO DO RIO BRANCO, 91, GALERIA TUPI, LOJA 08, BAIRRO CENTRO, MARACÁS - BA</t>
        </is>
      </c>
      <c r="S1571" s="26">
        <f>IF(A1571=A1570,0,1)</f>
        <v>0</v>
      </c>
      <c r="T1571" s="26">
        <f>IF(COUNTIF($B$4:B1571,B1571)=1,1,0)</f>
        <v>0</v>
      </c>
    </row>
    <row r="1572">
      <c r="A1572" s="14" t="inlineStr">
        <is>
          <t>MARACÁS</t>
        </is>
      </c>
      <c r="B1572" s="26" t="n">
        <v>37</v>
      </c>
      <c r="C1572" s="26" t="n">
        <v>1791</v>
      </c>
      <c r="D1572" s="14" t="inlineStr">
        <is>
          <t>CRECHE IRMÃ DULCE</t>
        </is>
      </c>
      <c r="E1572" s="14" t="inlineStr">
        <is>
          <t>IRMA DULCE</t>
        </is>
      </c>
      <c r="F1572" s="14" t="inlineStr">
        <is>
          <t>RUA JOSÉ PINHEIRO SILVA, S/N - ZONA URBANA</t>
        </is>
      </c>
      <c r="G1572" s="27" t="inlineStr">
        <is>
          <t>45360-000</t>
        </is>
      </c>
      <c r="H1572" s="15" t="n">
        <v>5</v>
      </c>
      <c r="I1572" s="28" t="inlineStr">
        <is>
          <t>NÃO</t>
        </is>
      </c>
      <c r="J1572" s="29" t="n">
        <v>359.9</v>
      </c>
      <c r="K1572" s="14" t="str">
        <f>IF(J1572="","7. Acima de 2 km",IF(J1572&lt;=50,"1. Até 50 m",IF(J1572&lt;=100,"2. De 50 a 100 m",IF(J1572&lt;=200,"3. De 100 a 200 m",IF(J1572&lt;=300,"4. De 200 a 300 m",IF(J1572&lt;=500,"5. De 300 a 500 m","6. De 500 m a 2 km"))))))</f>
        <v>5. De 300 a 500 m</v>
      </c>
      <c r="L1572" s="26" t="n">
        <v>0</v>
      </c>
      <c r="M1572" s="26" t="n">
        <v>0</v>
      </c>
      <c r="N1572" s="26" t="n">
        <v>0</v>
      </c>
      <c r="O1572" s="26" t="n">
        <v>0</v>
      </c>
      <c r="P1572" s="30" t="n">
        <v>-13.4410822</v>
      </c>
      <c r="Q1572" s="30" t="n">
        <v>-40.4419333</v>
      </c>
      <c r="R1572" s="14" t="inlineStr">
        <is>
          <t>RUA BARÃO DO RIO BRANCO, 91, GALERIA TUPI, LOJA 08, BAIRRO CENTRO, MARACÁS - BA</t>
        </is>
      </c>
      <c r="S1572" s="26">
        <f>IF(A1572=A1571,0,1)</f>
        <v>0</v>
      </c>
      <c r="T1572" s="26">
        <f>IF(COUNTIF($B$4:B1572,B1572)=1,1,0)</f>
        <v>0</v>
      </c>
    </row>
    <row r="1573">
      <c r="A1573" s="14" t="inlineStr">
        <is>
          <t>MARACÁS</t>
        </is>
      </c>
      <c r="B1573" s="26" t="n">
        <v>37</v>
      </c>
      <c r="C1573" s="26" t="n">
        <v>1805</v>
      </c>
      <c r="D1573" s="14" t="inlineStr">
        <is>
          <t>GRUPO ESCOLAR DOM JUSTINO MARIA RUSSOLILLO</t>
        </is>
      </c>
      <c r="E1573" s="14" t="inlineStr">
        <is>
          <t>PIONEIRA</t>
        </is>
      </c>
      <c r="F1573" s="14" t="inlineStr">
        <is>
          <t>AV. SENADOR LUÍS VIANA FILHO 440</t>
        </is>
      </c>
      <c r="G1573" s="27" t="inlineStr">
        <is>
          <t>45360-000</t>
        </is>
      </c>
      <c r="H1573" s="15" t="n">
        <v>3</v>
      </c>
      <c r="I1573" s="28" t="inlineStr">
        <is>
          <t>NÃO</t>
        </is>
      </c>
      <c r="J1573" s="29" t="n">
        <v>466.3</v>
      </c>
      <c r="K1573" s="14" t="str">
        <f>IF(J1573="","7. Acima de 2 km",IF(J1573&lt;=50,"1. Até 50 m",IF(J1573&lt;=100,"2. De 50 a 100 m",IF(J1573&lt;=200,"3. De 100 a 200 m",IF(J1573&lt;=300,"4. De 200 a 300 m",IF(J1573&lt;=500,"5. De 300 a 500 m","6. De 500 m a 2 km"))))))</f>
        <v>5. De 300 a 500 m</v>
      </c>
      <c r="L1573" s="26" t="n">
        <v>0</v>
      </c>
      <c r="M1573" s="26" t="n">
        <v>0</v>
      </c>
      <c r="N1573" s="26" t="n">
        <v>0</v>
      </c>
      <c r="O1573" s="26" t="n">
        <v>0</v>
      </c>
      <c r="P1573" s="30" t="n">
        <v>-13.4474617</v>
      </c>
      <c r="Q1573" s="30" t="n">
        <v>-40.4333776</v>
      </c>
      <c r="R1573" s="14" t="inlineStr">
        <is>
          <t>RUA BARÃO DO RIO BRANCO, 91, GALERIA TUPI, LOJA 08, BAIRRO CENTRO, MARACÁS - BA</t>
        </is>
      </c>
      <c r="S1573" s="26">
        <f>IF(A1573=A1572,0,1)</f>
        <v>0</v>
      </c>
      <c r="T1573" s="26">
        <f>IF(COUNTIF($B$4:B1573,B1573)=1,1,0)</f>
        <v>0</v>
      </c>
    </row>
    <row r="1574">
      <c r="A1574" s="14" t="inlineStr">
        <is>
          <t>MARACÁS</t>
        </is>
      </c>
      <c r="B1574" s="26" t="n">
        <v>37</v>
      </c>
      <c r="C1574" s="26" t="n">
        <v>1813</v>
      </c>
      <c r="D1574" s="14" t="inlineStr">
        <is>
          <t>COLÉGIO MUNICIPALIZADO RENATO VAZ SAMPAIO</t>
        </is>
      </c>
      <c r="E1574" s="14" t="inlineStr">
        <is>
          <t>CENTRO</t>
        </is>
      </c>
      <c r="F1574" s="14" t="inlineStr">
        <is>
          <t>RUA CORONEL MARCIONILIO SOUZA 89</t>
        </is>
      </c>
      <c r="G1574" s="27" t="inlineStr">
        <is>
          <t>45360-000</t>
        </is>
      </c>
      <c r="H1574" s="15" t="n">
        <v>2</v>
      </c>
      <c r="I1574" s="28" t="inlineStr">
        <is>
          <t>NÃO</t>
        </is>
      </c>
      <c r="J1574" s="29" t="n">
        <v>173.1</v>
      </c>
      <c r="K1574" s="14" t="str">
        <f>IF(J1574="","7. Acima de 2 km",IF(J1574&lt;=50,"1. Até 50 m",IF(J1574&lt;=100,"2. De 50 a 100 m",IF(J1574&lt;=200,"3. De 100 a 200 m",IF(J1574&lt;=300,"4. De 200 a 300 m",IF(J1574&lt;=500,"5. De 300 a 500 m","6. De 500 m a 2 km"))))))</f>
        <v>3. De 100 a 200 m</v>
      </c>
      <c r="L1574" s="26" t="n">
        <v>0</v>
      </c>
      <c r="M1574" s="26" t="n">
        <v>0</v>
      </c>
      <c r="N1574" s="26" t="n">
        <v>2</v>
      </c>
      <c r="O1574" s="26" t="n">
        <v>3</v>
      </c>
      <c r="P1574" s="30" t="n">
        <v>-13.4441412</v>
      </c>
      <c r="Q1574" s="30" t="n">
        <v>-40.4364957</v>
      </c>
      <c r="R1574" s="14" t="inlineStr">
        <is>
          <t>RUA BARÃO DO RIO BRANCO, 91, GALERIA TUPI, LOJA 08, BAIRRO CENTRO, MARACÁS - BA</t>
        </is>
      </c>
      <c r="S1574" s="26">
        <f>IF(A1574=A1573,0,1)</f>
        <v>0</v>
      </c>
      <c r="T1574" s="26">
        <f>IF(COUNTIF($B$4:B1574,B1574)=1,1,0)</f>
        <v>0</v>
      </c>
    </row>
    <row r="1575">
      <c r="A1575" s="14" t="inlineStr">
        <is>
          <t>MARACÁS</t>
        </is>
      </c>
      <c r="B1575" s="26" t="n">
        <v>37</v>
      </c>
      <c r="C1575" s="26" t="n">
        <v>1848</v>
      </c>
      <c r="D1575" s="14" t="inlineStr">
        <is>
          <t>CRECHE ELVIRA SÁ NASCIMENTO</t>
        </is>
      </c>
      <c r="E1575" s="14" t="inlineStr">
        <is>
          <t>CENTRO</t>
        </is>
      </c>
      <c r="F1575" s="14" t="inlineStr">
        <is>
          <t>PRAÇA RUY BARBOSA 301</t>
        </is>
      </c>
      <c r="G1575" s="27" t="inlineStr">
        <is>
          <t>45360-000</t>
        </is>
      </c>
      <c r="H1575" s="15" t="n">
        <v>3</v>
      </c>
      <c r="I1575" s="28" t="inlineStr">
        <is>
          <t>NÃO</t>
        </is>
      </c>
      <c r="J1575" s="29" t="n">
        <v>123.8</v>
      </c>
      <c r="K1575" s="14" t="str">
        <f>IF(J1575="","7. Acima de 2 km",IF(J1575&lt;=50,"1. Até 50 m",IF(J1575&lt;=100,"2. De 50 a 100 m",IF(J1575&lt;=200,"3. De 100 a 200 m",IF(J1575&lt;=300,"4. De 200 a 300 m",IF(J1575&lt;=500,"5. De 300 a 500 m","6. De 500 m a 2 km"))))))</f>
        <v>3. De 100 a 200 m</v>
      </c>
      <c r="L1575" s="26" t="n">
        <v>0</v>
      </c>
      <c r="M1575" s="26" t="n">
        <v>0</v>
      </c>
      <c r="N1575" s="26" t="n">
        <v>3</v>
      </c>
      <c r="O1575" s="26" t="n">
        <v>4</v>
      </c>
      <c r="P1575" s="30" t="n">
        <v>-13.4408941</v>
      </c>
      <c r="Q1575" s="30" t="n">
        <v>-40.4313708</v>
      </c>
      <c r="R1575" s="14" t="inlineStr">
        <is>
          <t>RUA BARÃO DO RIO BRANCO, 91, GALERIA TUPI, LOJA 08, BAIRRO CENTRO, MARACÁS - BA</t>
        </is>
      </c>
      <c r="S1575" s="26">
        <f>IF(A1575=A1574,0,1)</f>
        <v>0</v>
      </c>
      <c r="T1575" s="26">
        <f>IF(COUNTIF($B$4:B1575,B1575)=1,1,0)</f>
        <v>0</v>
      </c>
    </row>
    <row r="1576">
      <c r="A1576" s="14" t="inlineStr">
        <is>
          <t>MARACÁS</t>
        </is>
      </c>
      <c r="B1576" s="26" t="n">
        <v>37</v>
      </c>
      <c r="C1576" s="26" t="n">
        <v>1856</v>
      </c>
      <c r="D1576" s="14" t="inlineStr">
        <is>
          <t>COLÉGIO ESTADUAL DE TEMPO INTEGRAL DE MARACÁS IRACY MARLENE DA HORA PA</t>
        </is>
      </c>
      <c r="E1576" s="14" t="inlineStr">
        <is>
          <t>CENTRO</t>
        </is>
      </c>
      <c r="F1576" s="14" t="inlineStr">
        <is>
          <t>AVENIDA BRASÍLIA, 4119</t>
        </is>
      </c>
      <c r="G1576" s="27" t="inlineStr">
        <is>
          <t>45360-000</t>
        </is>
      </c>
      <c r="H1576" s="15" t="n">
        <v>14</v>
      </c>
      <c r="I1576" s="28" t="inlineStr">
        <is>
          <t>NÃO</t>
        </is>
      </c>
      <c r="J1576" s="29" t="n">
        <v>231.5</v>
      </c>
      <c r="K1576" s="14" t="str">
        <f>IF(J1576="","7. Acima de 2 km",IF(J1576&lt;=50,"1. Até 50 m",IF(J1576&lt;=100,"2. De 50 a 100 m",IF(J1576&lt;=200,"3. De 100 a 200 m",IF(J1576&lt;=300,"4. De 200 a 300 m",IF(J1576&lt;=500,"5. De 300 a 500 m","6. De 500 m a 2 km"))))))</f>
        <v>4. De 200 a 300 m</v>
      </c>
      <c r="L1576" s="26" t="n">
        <v>0</v>
      </c>
      <c r="M1576" s="26" t="n">
        <v>0</v>
      </c>
      <c r="N1576" s="26" t="n">
        <v>0</v>
      </c>
      <c r="O1576" s="26" t="n">
        <v>2</v>
      </c>
      <c r="P1576" s="30" t="n">
        <v>-13.4367342</v>
      </c>
      <c r="Q1576" s="30" t="n">
        <v>-40.4317638</v>
      </c>
      <c r="R1576" s="14" t="inlineStr">
        <is>
          <t>RUA BARÃO DO RIO BRANCO, 91, GALERIA TUPI, LOJA 08, BAIRRO CENTRO, MARACÁS - BA</t>
        </is>
      </c>
      <c r="S1576" s="26">
        <f>IF(A1576=A1575,0,1)</f>
        <v>0</v>
      </c>
      <c r="T1576" s="26">
        <f>IF(COUNTIF($B$4:B1576,B1576)=1,1,0)</f>
        <v>0</v>
      </c>
    </row>
    <row r="1577">
      <c r="A1577" s="14" t="inlineStr">
        <is>
          <t>MARAGOGIPE</t>
        </is>
      </c>
      <c r="B1577" s="26" t="n">
        <v>118</v>
      </c>
      <c r="C1577" s="26" t="n">
        <v>1015</v>
      </c>
      <c r="D1577" s="14" t="inlineStr">
        <is>
          <t>ESCOLA ESTADUAL LUÍS EDUARDO MAGALHÃES</t>
        </is>
      </c>
      <c r="E1577" s="14" t="inlineStr">
        <is>
          <t>ENSEADA</t>
        </is>
      </c>
      <c r="F1577" s="14" t="inlineStr">
        <is>
          <t>RUA RODRIGUES LIMA, 57 - ZONA URBANA</t>
        </is>
      </c>
      <c r="G1577" s="27" t="inlineStr">
        <is>
          <t>44420-000</t>
        </is>
      </c>
      <c r="H1577" s="15" t="n">
        <v>8</v>
      </c>
      <c r="I1577" s="28" t="inlineStr">
        <is>
          <t>NÃO</t>
        </is>
      </c>
      <c r="J1577" s="29" t="n">
        <v>300</v>
      </c>
      <c r="K1577" s="14" t="str">
        <f>IF(J1577="","7. Acima de 2 km",IF(J1577&lt;=50,"1. Até 50 m",IF(J1577&lt;=100,"2. De 50 a 100 m",IF(J1577&lt;=200,"3. De 100 a 200 m",IF(J1577&lt;=300,"4. De 200 a 300 m",IF(J1577&lt;=500,"5. De 300 a 500 m","6. De 500 m a 2 km"))))))</f>
        <v>4. De 200 a 300 m</v>
      </c>
      <c r="L1577" s="26" t="n">
        <v>0</v>
      </c>
      <c r="M1577" s="26" t="n">
        <v>0</v>
      </c>
      <c r="N1577" s="26" t="n">
        <v>0</v>
      </c>
      <c r="O1577" s="26" t="n">
        <v>0</v>
      </c>
      <c r="P1577" s="30" t="n">
        <v>-12.78048</v>
      </c>
      <c r="Q1577" s="30" t="n">
        <v>-38.9169412</v>
      </c>
      <c r="R1577" s="14" t="inlineStr">
        <is>
          <t>PRAÇA BARÃO DO RIO BRANCO, S/N, CENTRO, CACHOEIRA/BA</t>
        </is>
      </c>
      <c r="S1577" s="26">
        <f>IF(A1577=A1576,0,1)</f>
        <v>1</v>
      </c>
      <c r="T1577" s="26">
        <f>IF(COUNTIF($B$4:B1577,B1577)=1,1,0)</f>
        <v>0</v>
      </c>
    </row>
    <row r="1578">
      <c r="A1578" s="14" t="inlineStr">
        <is>
          <t>MARAGOGIPE</t>
        </is>
      </c>
      <c r="B1578" s="26" t="n">
        <v>118</v>
      </c>
      <c r="C1578" s="26" t="n">
        <v>1031</v>
      </c>
      <c r="D1578" s="14" t="inlineStr">
        <is>
          <t>PRÉDIO ESCOLAR PROFA. ADJOVITA MARQUES</t>
        </is>
      </c>
      <c r="E1578" s="14" t="inlineStr">
        <is>
          <t>CAICAI</t>
        </is>
      </c>
      <c r="F1578" s="14" t="inlineStr">
        <is>
          <t>RUA JOÃO DA CRUZ, S/N - ZONA URBANA</t>
        </is>
      </c>
      <c r="G1578" s="27" t="inlineStr">
        <is>
          <t>44420-000</t>
        </is>
      </c>
      <c r="H1578" s="15" t="n">
        <v>3</v>
      </c>
      <c r="I1578" s="28" t="inlineStr">
        <is>
          <t>NÃO</t>
        </is>
      </c>
      <c r="J1578" s="29" t="n">
        <v>329.2</v>
      </c>
      <c r="K1578" s="14" t="str">
        <f>IF(J1578="","7. Acima de 2 km",IF(J1578&lt;=50,"1. Até 50 m",IF(J1578&lt;=100,"2. De 50 a 100 m",IF(J1578&lt;=200,"3. De 100 a 200 m",IF(J1578&lt;=300,"4. De 200 a 300 m",IF(J1578&lt;=500,"5. De 300 a 500 m","6. De 500 m a 2 km"))))))</f>
        <v>5. De 300 a 500 m</v>
      </c>
      <c r="L1578" s="26" t="n">
        <v>0</v>
      </c>
      <c r="M1578" s="26" t="n">
        <v>0</v>
      </c>
      <c r="N1578" s="26" t="n">
        <v>0</v>
      </c>
      <c r="O1578" s="26" t="n">
        <v>0</v>
      </c>
      <c r="P1578" s="30" t="n">
        <v>-12.7816725</v>
      </c>
      <c r="Q1578" s="30" t="n">
        <v>-38.9227287</v>
      </c>
      <c r="R1578" s="14" t="inlineStr">
        <is>
          <t>PRAÇA BARÃO DO RIO BRANCO, S/N, CENTRO, CACHOEIRA/BA</t>
        </is>
      </c>
      <c r="S1578" s="26">
        <f>IF(A1578=A1577,0,1)</f>
        <v>0</v>
      </c>
      <c r="T1578" s="26">
        <f>IF(COUNTIF($B$4:B1578,B1578)=1,1,0)</f>
        <v>0</v>
      </c>
    </row>
    <row r="1579">
      <c r="A1579" s="14" t="inlineStr">
        <is>
          <t>MARAGOGIPE</t>
        </is>
      </c>
      <c r="B1579" s="26" t="n">
        <v>118</v>
      </c>
      <c r="C1579" s="26" t="n">
        <v>1040</v>
      </c>
      <c r="D1579" s="14" t="inlineStr">
        <is>
          <t>MERCADO MUNICIPAL ALEXANDRE A. PEIXOTO</t>
        </is>
      </c>
      <c r="E1579" s="14" t="inlineStr">
        <is>
          <t>CAIJÁ</t>
        </is>
      </c>
      <c r="F1579" s="14" t="inlineStr">
        <is>
          <t>PRAÇA JOÃO PRIMO GUERREIRO - ZONA URBANA</t>
        </is>
      </c>
      <c r="G1579" s="27" t="inlineStr">
        <is>
          <t>44420-000</t>
        </is>
      </c>
      <c r="H1579" s="15" t="n">
        <v>2</v>
      </c>
      <c r="I1579" s="28" t="inlineStr">
        <is>
          <t>SIM</t>
        </is>
      </c>
      <c r="J1579" s="29" t="n">
        <v>15.7</v>
      </c>
      <c r="K1579" s="14" t="str">
        <f>IF(J1579="","7. Acima de 2 km",IF(J1579&lt;=50,"1. Até 50 m",IF(J1579&lt;=100,"2. De 50 a 100 m",IF(J1579&lt;=200,"3. De 100 a 200 m",IF(J1579&lt;=300,"4. De 200 a 300 m",IF(J1579&lt;=500,"5. De 300 a 500 m","6. De 500 m a 2 km"))))))</f>
        <v>1. Até 50 m</v>
      </c>
      <c r="L1579" s="26" t="n">
        <v>1</v>
      </c>
      <c r="M1579" s="26" t="n">
        <v>1</v>
      </c>
      <c r="N1579" s="26" t="n">
        <v>1</v>
      </c>
      <c r="O1579" s="26" t="n">
        <v>1</v>
      </c>
      <c r="P1579" s="30" t="n">
        <v>-12.7786349</v>
      </c>
      <c r="Q1579" s="30" t="n">
        <v>-38.9114641</v>
      </c>
      <c r="R1579" s="14" t="inlineStr">
        <is>
          <t>PRAÇA BARÃO DO RIO BRANCO, S/N, CENTRO, CACHOEIRA/BA</t>
        </is>
      </c>
      <c r="S1579" s="26">
        <f>IF(A1579=A1578,0,1)</f>
        <v>0</v>
      </c>
      <c r="T1579" s="26">
        <f>IF(COUNTIF($B$4:B1579,B1579)=1,1,0)</f>
        <v>0</v>
      </c>
    </row>
    <row r="1580">
      <c r="A1580" s="14" t="inlineStr">
        <is>
          <t>MARAGOGIPE</t>
        </is>
      </c>
      <c r="B1580" s="26" t="n">
        <v>118</v>
      </c>
      <c r="C1580" s="26" t="n">
        <v>1058</v>
      </c>
      <c r="D1580" s="14" t="inlineStr">
        <is>
          <t>PRÉDIO ESCOLAR ANTÔNIO REBOUÇAS</t>
        </is>
      </c>
      <c r="E1580" s="14" t="inlineStr">
        <is>
          <t>CAIJÁ</t>
        </is>
      </c>
      <c r="F1580" s="14" t="inlineStr">
        <is>
          <t>RUA CORONEL ANTÔNIO FELIPE DE MELO, 97 - ZONA URBANA</t>
        </is>
      </c>
      <c r="G1580" s="27" t="inlineStr">
        <is>
          <t>44420-000</t>
        </is>
      </c>
      <c r="H1580" s="15" t="n">
        <v>6</v>
      </c>
      <c r="I1580" s="28" t="inlineStr">
        <is>
          <t>NÃO</t>
        </is>
      </c>
      <c r="J1580" s="29" t="n">
        <v>389.1</v>
      </c>
      <c r="K1580" s="14" t="str">
        <f>IF(J1580="","7. Acima de 2 km",IF(J1580&lt;=50,"1. Até 50 m",IF(J1580&lt;=100,"2. De 50 a 100 m",IF(J1580&lt;=200,"3. De 100 a 200 m",IF(J1580&lt;=300,"4. De 200 a 300 m",IF(J1580&lt;=500,"5. De 300 a 500 m","6. De 500 m a 2 km"))))))</f>
        <v>5. De 300 a 500 m</v>
      </c>
      <c r="L1580" s="26" t="n">
        <v>0</v>
      </c>
      <c r="M1580" s="26" t="n">
        <v>0</v>
      </c>
      <c r="N1580" s="26" t="n">
        <v>0</v>
      </c>
      <c r="O1580" s="26" t="n">
        <v>0</v>
      </c>
      <c r="P1580" s="30" t="n">
        <v>-12.779087</v>
      </c>
      <c r="Q1580" s="30" t="n">
        <v>-38.9149325</v>
      </c>
      <c r="R1580" s="14" t="inlineStr">
        <is>
          <t>PRAÇA BARÃO DO RIO BRANCO, S/N, CENTRO, CACHOEIRA/BA</t>
        </is>
      </c>
      <c r="S1580" s="26">
        <f>IF(A1580=A1579,0,1)</f>
        <v>0</v>
      </c>
      <c r="T1580" s="26">
        <f>IF(COUNTIF($B$4:B1580,B1580)=1,1,0)</f>
        <v>0</v>
      </c>
    </row>
    <row r="1581">
      <c r="A1581" s="14" t="inlineStr">
        <is>
          <t>MARAGOGIPE</t>
        </is>
      </c>
      <c r="B1581" s="26" t="n">
        <v>118</v>
      </c>
      <c r="C1581" s="26" t="n">
        <v>1082</v>
      </c>
      <c r="D1581" s="14" t="inlineStr">
        <is>
          <t>ESCOLA MUNICIPALIZADA JUVENIL DE OLIVEIRA</t>
        </is>
      </c>
      <c r="E1581" s="14" t="inlineStr">
        <is>
          <t>CENTRO</t>
        </is>
      </c>
      <c r="F1581" s="14" t="inlineStr">
        <is>
          <t>RUA PROFESSOR ERNESTINO BARBOSA</t>
        </is>
      </c>
      <c r="G1581" s="27" t="inlineStr">
        <is>
          <t>44420-000</t>
        </is>
      </c>
      <c r="H1581" s="15" t="n">
        <v>5</v>
      </c>
      <c r="I1581" s="28" t="inlineStr">
        <is>
          <t>NÃO</t>
        </is>
      </c>
      <c r="J1581" s="29" t="n">
        <v>128.3</v>
      </c>
      <c r="K1581" s="14" t="str">
        <f>IF(J1581="","7. Acima de 2 km",IF(J1581&lt;=50,"1. Até 50 m",IF(J1581&lt;=100,"2. De 50 a 100 m",IF(J1581&lt;=200,"3. De 100 a 200 m",IF(J1581&lt;=300,"4. De 200 a 300 m",IF(J1581&lt;=500,"5. De 300 a 500 m","6. De 500 m a 2 km"))))))</f>
        <v>3. De 100 a 200 m</v>
      </c>
      <c r="L1581" s="26" t="n">
        <v>0</v>
      </c>
      <c r="M1581" s="26" t="n">
        <v>0</v>
      </c>
      <c r="N1581" s="26" t="n">
        <v>2</v>
      </c>
      <c r="O1581" s="26" t="n">
        <v>3</v>
      </c>
      <c r="P1581" s="30" t="n">
        <v>-12.7770831</v>
      </c>
      <c r="Q1581" s="30" t="n">
        <v>-38.9193586</v>
      </c>
      <c r="R1581" s="14" t="inlineStr">
        <is>
          <t>PRAÇA BARÃO DO RIO BRANCO, S/N, CENTRO, CACHOEIRA/BA</t>
        </is>
      </c>
      <c r="S1581" s="26">
        <f>IF(A1581=A1580,0,1)</f>
        <v>0</v>
      </c>
      <c r="T1581" s="26">
        <f>IF(COUNTIF($B$4:B1581,B1581)=1,1,0)</f>
        <v>0</v>
      </c>
    </row>
    <row r="1582">
      <c r="A1582" s="14" t="inlineStr">
        <is>
          <t>MARAGOGIPE</t>
        </is>
      </c>
      <c r="B1582" s="26" t="n">
        <v>118</v>
      </c>
      <c r="C1582" s="26" t="n">
        <v>1104</v>
      </c>
      <c r="D1582" s="14" t="inlineStr">
        <is>
          <t>COLÉGIO PLINIO PEREIRA</t>
        </is>
      </c>
      <c r="E1582" s="14" t="inlineStr">
        <is>
          <t>CENTRO</t>
        </is>
      </c>
      <c r="F1582" s="14" t="inlineStr">
        <is>
          <t>RUA DR.PLACIDO ROCHA,S/N,PALMEIRAS- ZONA URBANA</t>
        </is>
      </c>
      <c r="G1582" s="27" t="inlineStr">
        <is>
          <t>44420-000</t>
        </is>
      </c>
      <c r="H1582" s="15" t="n">
        <v>5</v>
      </c>
      <c r="I1582" s="28" t="inlineStr">
        <is>
          <t>SIM</t>
        </is>
      </c>
      <c r="J1582" s="29" t="n">
        <v>98.5</v>
      </c>
      <c r="K1582" s="14" t="str">
        <f>IF(J1582="","7. Acima de 2 km",IF(J1582&lt;=50,"1. Até 50 m",IF(J1582&lt;=100,"2. De 50 a 100 m",IF(J1582&lt;=200,"3. De 100 a 200 m",IF(J1582&lt;=300,"4. De 200 a 300 m",IF(J1582&lt;=500,"5. De 300 a 500 m","6. De 500 m a 2 km"))))))</f>
        <v>2. De 50 a 100 m</v>
      </c>
      <c r="L1582" s="26" t="n">
        <v>0</v>
      </c>
      <c r="M1582" s="26" t="n">
        <v>1</v>
      </c>
      <c r="N1582" s="26" t="n">
        <v>4</v>
      </c>
      <c r="O1582" s="26" t="n">
        <v>5</v>
      </c>
      <c r="P1582" s="30" t="n">
        <v>-12.7782042</v>
      </c>
      <c r="Q1582" s="30" t="n">
        <v>-38.9204861</v>
      </c>
      <c r="R1582" s="14" t="inlineStr">
        <is>
          <t>PRAÇA BARÃO DO RIO BRANCO, S/N, CENTRO, CACHOEIRA/BA</t>
        </is>
      </c>
      <c r="S1582" s="26">
        <f>IF(A1582=A1581,0,1)</f>
        <v>0</v>
      </c>
      <c r="T1582" s="26">
        <f>IF(COUNTIF($B$4:B1582,B1582)=1,1,0)</f>
        <v>0</v>
      </c>
    </row>
    <row r="1583">
      <c r="A1583" s="14" t="inlineStr">
        <is>
          <t>MARAGOGIPE</t>
        </is>
      </c>
      <c r="B1583" s="26" t="n">
        <v>118</v>
      </c>
      <c r="C1583" s="26" t="n">
        <v>1139</v>
      </c>
      <c r="D1583" s="14" t="inlineStr">
        <is>
          <t>PRÉDIO ESCOLAR HILDÉRICO PINHEIRO DE OLIVEIRA</t>
        </is>
      </c>
      <c r="E1583" s="14" t="inlineStr">
        <is>
          <t>PALMEIRAS</t>
        </is>
      </c>
      <c r="F1583" s="14" t="inlineStr">
        <is>
          <t>RUA PLÁCIDO ROCHA, S/N - ZONA URBANA</t>
        </is>
      </c>
      <c r="G1583" s="27" t="inlineStr">
        <is>
          <t>44420-000</t>
        </is>
      </c>
      <c r="H1583" s="15" t="n">
        <v>4</v>
      </c>
      <c r="I1583" s="28" t="inlineStr">
        <is>
          <t>NÃO</t>
        </is>
      </c>
      <c r="J1583" s="29" t="n">
        <v>162.5</v>
      </c>
      <c r="K1583" s="14" t="str">
        <f>IF(J1583="","7. Acima de 2 km",IF(J1583&lt;=50,"1. Até 50 m",IF(J1583&lt;=100,"2. De 50 a 100 m",IF(J1583&lt;=200,"3. De 100 a 200 m",IF(J1583&lt;=300,"4. De 200 a 300 m",IF(J1583&lt;=500,"5. De 300 a 500 m","6. De 500 m a 2 km"))))))</f>
        <v>3. De 100 a 200 m</v>
      </c>
      <c r="L1583" s="26" t="n">
        <v>0</v>
      </c>
      <c r="M1583" s="26" t="n">
        <v>0</v>
      </c>
      <c r="N1583" s="26" t="n">
        <v>1</v>
      </c>
      <c r="O1583" s="26" t="n">
        <v>1</v>
      </c>
      <c r="P1583" s="30" t="n">
        <v>-12.776871</v>
      </c>
      <c r="Q1583" s="30" t="n">
        <v>-38.9215793</v>
      </c>
      <c r="R1583" s="14" t="inlineStr">
        <is>
          <t>PRAÇA BARÃO DO RIO BRANCO, S/N, CENTRO, CACHOEIRA/BA</t>
        </is>
      </c>
      <c r="S1583" s="26">
        <f>IF(A1583=A1582,0,1)</f>
        <v>0</v>
      </c>
      <c r="T1583" s="26">
        <f>IF(COUNTIF($B$4:B1583,B1583)=1,1,0)</f>
        <v>0</v>
      </c>
    </row>
    <row r="1584">
      <c r="A1584" s="14" t="inlineStr">
        <is>
          <t>MARAGOGIPE</t>
        </is>
      </c>
      <c r="B1584" s="26" t="n">
        <v>118</v>
      </c>
      <c r="C1584" s="26" t="n">
        <v>1147</v>
      </c>
      <c r="D1584" s="14" t="inlineStr">
        <is>
          <t>COLÉGIO POLIVALENTE DE MARAGOGIPE</t>
        </is>
      </c>
      <c r="E1584" s="14" t="inlineStr">
        <is>
          <t>PORTO</t>
        </is>
      </c>
      <c r="F1584" s="14" t="inlineStr">
        <is>
          <t>RUA COM. JOSÉ MARTINS BARBOSA, S/N - ZONA URBANA</t>
        </is>
      </c>
      <c r="G1584" s="27" t="inlineStr">
        <is>
          <t>44420-000</t>
        </is>
      </c>
      <c r="H1584" s="15" t="n">
        <v>10</v>
      </c>
      <c r="I1584" s="28" t="inlineStr">
        <is>
          <t>NÃO</t>
        </is>
      </c>
      <c r="J1584" s="29" t="n">
        <v>711.8</v>
      </c>
      <c r="K1584" s="14" t="str">
        <f>IF(J1584="","7. Acima de 2 km",IF(J1584&lt;=50,"1. Até 50 m",IF(J1584&lt;=100,"2. De 50 a 100 m",IF(J1584&lt;=200,"3. De 100 a 200 m",IF(J1584&lt;=300,"4. De 200 a 300 m",IF(J1584&lt;=500,"5. De 300 a 500 m","6. De 500 m a 2 km"))))))</f>
        <v>6. De 500 m a 2 km</v>
      </c>
      <c r="L1584" s="26" t="n">
        <v>0</v>
      </c>
      <c r="M1584" s="26" t="n">
        <v>0</v>
      </c>
      <c r="N1584" s="26" t="n">
        <v>0</v>
      </c>
      <c r="O1584" s="26" t="n">
        <v>0</v>
      </c>
      <c r="P1584" s="30" t="n">
        <v>-12.7720444</v>
      </c>
      <c r="Q1584" s="30" t="n">
        <v>-38.9152215</v>
      </c>
      <c r="R1584" s="14" t="inlineStr">
        <is>
          <t>PRAÇA BARÃO DO RIO BRANCO, S/N, CENTRO, CACHOEIRA/BA</t>
        </is>
      </c>
      <c r="S1584" s="26">
        <f>IF(A1584=A1583,0,1)</f>
        <v>0</v>
      </c>
      <c r="T1584" s="26">
        <f>IF(COUNTIF($B$4:B1584,B1584)=1,1,0)</f>
        <v>0</v>
      </c>
    </row>
    <row r="1585">
      <c r="A1585" s="14" t="inlineStr">
        <is>
          <t>MARAGOGIPE</t>
        </is>
      </c>
      <c r="B1585" s="26" t="n">
        <v>118</v>
      </c>
      <c r="C1585" s="26" t="n">
        <v>1171</v>
      </c>
      <c r="D1585" s="14" t="inlineStr">
        <is>
          <t>COLÉGIO CATARINA PARAGUAÇU</t>
        </is>
      </c>
      <c r="E1585" s="14" t="inlineStr">
        <is>
          <t>DISTRITO DE NAJÉ</t>
        </is>
      </c>
      <c r="F1585" s="14" t="inlineStr">
        <is>
          <t>AV. PIMENTEL, 82 - ZONA RURAL</t>
        </is>
      </c>
      <c r="G1585" s="27" t="inlineStr">
        <is>
          <t>44420-000</t>
        </is>
      </c>
      <c r="H1585" s="15" t="n">
        <v>5</v>
      </c>
      <c r="I1585" s="28" t="inlineStr">
        <is>
          <t>NÃO</t>
        </is>
      </c>
      <c r="J1585" s="29" t="n"/>
      <c r="K1585" s="14" t="str">
        <f>IF(J1585="","7. Acima de 2 km",IF(J1585&lt;=50,"1. Até 50 m",IF(J1585&lt;=100,"2. De 50 a 100 m",IF(J1585&lt;=200,"3. De 100 a 200 m",IF(J1585&lt;=300,"4. De 200 a 300 m",IF(J1585&lt;=500,"5. De 300 a 500 m","6. De 500 m a 2 km"))))))</f>
        <v>7. Acima de 2 km</v>
      </c>
      <c r="L1585" s="26" t="n">
        <v>0</v>
      </c>
      <c r="M1585" s="26" t="n">
        <v>0</v>
      </c>
      <c r="N1585" s="26" t="n">
        <v>0</v>
      </c>
      <c r="O1585" s="26" t="n">
        <v>0</v>
      </c>
      <c r="P1585" s="30" t="n">
        <v>-12.7226925</v>
      </c>
      <c r="Q1585" s="30" t="n">
        <v>-38.9340291</v>
      </c>
      <c r="R1585" s="14" t="inlineStr">
        <is>
          <t>PRAÇA BARÃO DO RIO BRANCO, S/N, CENTRO, CACHOEIRA/BA</t>
        </is>
      </c>
      <c r="S1585" s="26">
        <f>IF(A1585=A1584,0,1)</f>
        <v>0</v>
      </c>
      <c r="T1585" s="26">
        <f>IF(COUNTIF($B$4:B1585,B1585)=1,1,0)</f>
        <v>0</v>
      </c>
    </row>
    <row r="1586">
      <c r="A1586" s="14" t="inlineStr">
        <is>
          <t>MARAGOGIPE</t>
        </is>
      </c>
      <c r="B1586" s="26" t="n">
        <v>118</v>
      </c>
      <c r="C1586" s="26" t="n">
        <v>1180</v>
      </c>
      <c r="D1586" s="14" t="inlineStr">
        <is>
          <t>ESCOLA ODILARDO U. RODRIGUES</t>
        </is>
      </c>
      <c r="E1586" s="14" t="inlineStr">
        <is>
          <t>DISTRITO DE NAJÉ</t>
        </is>
      </c>
      <c r="F1586" s="14" t="inlineStr">
        <is>
          <t>AV. PIMENTEL -  ZONA RURAL</t>
        </is>
      </c>
      <c r="G1586" s="27" t="inlineStr">
        <is>
          <t>44420-000</t>
        </is>
      </c>
      <c r="H1586" s="15" t="n">
        <v>4</v>
      </c>
      <c r="I1586" s="28" t="inlineStr">
        <is>
          <t>NÃO</t>
        </is>
      </c>
      <c r="J1586" s="29" t="n"/>
      <c r="K1586" s="14" t="str">
        <f>IF(J1586="","7. Acima de 2 km",IF(J1586&lt;=50,"1. Até 50 m",IF(J1586&lt;=100,"2. De 50 a 100 m",IF(J1586&lt;=200,"3. De 100 a 200 m",IF(J1586&lt;=300,"4. De 200 a 300 m",IF(J1586&lt;=500,"5. De 300 a 500 m","6. De 500 m a 2 km"))))))</f>
        <v>7. Acima de 2 km</v>
      </c>
      <c r="L1586" s="26" t="n">
        <v>0</v>
      </c>
      <c r="M1586" s="26" t="n">
        <v>0</v>
      </c>
      <c r="N1586" s="26" t="n">
        <v>0</v>
      </c>
      <c r="O1586" s="26" t="n">
        <v>0</v>
      </c>
      <c r="P1586" s="30" t="n">
        <v>-12.7227324</v>
      </c>
      <c r="Q1586" s="30" t="n">
        <v>-38.9366141</v>
      </c>
      <c r="R1586" s="14" t="inlineStr">
        <is>
          <t>PRAÇA BARÃO DO RIO BRANCO, S/N, CENTRO, CACHOEIRA/BA</t>
        </is>
      </c>
      <c r="S1586" s="26">
        <f>IF(A1586=A1585,0,1)</f>
        <v>0</v>
      </c>
      <c r="T1586" s="26">
        <f>IF(COUNTIF($B$4:B1586,B1586)=1,1,0)</f>
        <v>0</v>
      </c>
    </row>
    <row r="1587">
      <c r="A1587" s="14" t="inlineStr">
        <is>
          <t>MARAGOGIPE</t>
        </is>
      </c>
      <c r="B1587" s="26" t="n">
        <v>118</v>
      </c>
      <c r="C1587" s="26" t="n">
        <v>1228</v>
      </c>
      <c r="D1587" s="14" t="inlineStr">
        <is>
          <t>PRÉDIO MUNICIPAL ANTÔNIO OTÍLIO DE ANDRADE</t>
        </is>
      </c>
      <c r="E1587" s="14" t="inlineStr">
        <is>
          <t>DISTRITO DE NAJÉ</t>
        </is>
      </c>
      <c r="F1587" s="14" t="inlineStr">
        <is>
          <t>POVOADO DE SANTO ANTÔNIO DE ALDEIA - ZONA RURAL</t>
        </is>
      </c>
      <c r="G1587" s="27" t="inlineStr">
        <is>
          <t>44420-000</t>
        </is>
      </c>
      <c r="H1587" s="15" t="n">
        <v>3</v>
      </c>
      <c r="I1587" s="28" t="inlineStr">
        <is>
          <t>NÃO</t>
        </is>
      </c>
      <c r="J1587" s="29" t="n"/>
      <c r="K1587" s="14" t="str">
        <f>IF(J1587="","7. Acima de 2 km",IF(J1587&lt;=50,"1. Até 50 m",IF(J1587&lt;=100,"2. De 50 a 100 m",IF(J1587&lt;=200,"3. De 100 a 200 m",IF(J1587&lt;=300,"4. De 200 a 300 m",IF(J1587&lt;=500,"5. De 300 a 500 m","6. De 500 m a 2 km"))))))</f>
        <v>7. Acima de 2 km</v>
      </c>
      <c r="L1587" s="26" t="n">
        <v>0</v>
      </c>
      <c r="M1587" s="26" t="n">
        <v>0</v>
      </c>
      <c r="N1587" s="26" t="n">
        <v>0</v>
      </c>
      <c r="O1587" s="26" t="n">
        <v>0</v>
      </c>
      <c r="P1587" s="30" t="n">
        <v>-12.7553763</v>
      </c>
      <c r="Q1587" s="30" t="n">
        <v>-38.949168</v>
      </c>
      <c r="R1587" s="14" t="inlineStr">
        <is>
          <t>PRAÇA BARÃO DO RIO BRANCO, S/N, CENTRO, CACHOEIRA/BA</t>
        </is>
      </c>
      <c r="S1587" s="26">
        <f>IF(A1587=A1586,0,1)</f>
        <v>0</v>
      </c>
      <c r="T1587" s="26">
        <f>IF(COUNTIF($B$4:B1587,B1587)=1,1,0)</f>
        <v>0</v>
      </c>
    </row>
    <row r="1588">
      <c r="A1588" s="14" t="inlineStr">
        <is>
          <t>MARAGOGIPE</t>
        </is>
      </c>
      <c r="B1588" s="26" t="n">
        <v>118</v>
      </c>
      <c r="C1588" s="26" t="n">
        <v>1279</v>
      </c>
      <c r="D1588" s="14" t="inlineStr">
        <is>
          <t>ESCOLA PE. JULIAN EDWARD JOSEF CLAES</t>
        </is>
      </c>
      <c r="E1588" s="14" t="inlineStr">
        <is>
          <t>DISTRITO DE GUAPIRA</t>
        </is>
      </c>
      <c r="F1588" s="14" t="inlineStr">
        <is>
          <t>DISTRITO DE GUAPIRA - ZONA RURAL</t>
        </is>
      </c>
      <c r="G1588" s="27" t="inlineStr">
        <is>
          <t>44420-000</t>
        </is>
      </c>
      <c r="H1588" s="15" t="n">
        <v>6</v>
      </c>
      <c r="I1588" s="28" t="inlineStr">
        <is>
          <t>NÃO</t>
        </is>
      </c>
      <c r="J1588" s="29" t="n"/>
      <c r="K1588" s="14" t="str">
        <f>IF(J1588="","7. Acima de 2 km",IF(J1588&lt;=50,"1. Até 50 m",IF(J1588&lt;=100,"2. De 50 a 100 m",IF(J1588&lt;=200,"3. De 100 a 200 m",IF(J1588&lt;=300,"4. De 200 a 300 m",IF(J1588&lt;=500,"5. De 300 a 500 m","6. De 500 m a 2 km"))))))</f>
        <v>7. Acima de 2 km</v>
      </c>
      <c r="L1588" s="26" t="n">
        <v>0</v>
      </c>
      <c r="M1588" s="26" t="n">
        <v>0</v>
      </c>
      <c r="N1588" s="26" t="n">
        <v>0</v>
      </c>
      <c r="O1588" s="26" t="n">
        <v>0</v>
      </c>
      <c r="P1588" s="30" t="n">
        <v>-12.7795193</v>
      </c>
      <c r="Q1588" s="30" t="n">
        <v>-39.0317884</v>
      </c>
      <c r="R1588" s="14" t="inlineStr">
        <is>
          <t>PRAÇA BARÃO DO RIO BRANCO, S/N, CENTRO, CACHOEIRA/BA</t>
        </is>
      </c>
      <c r="S1588" s="26">
        <f>IF(A1588=A1587,0,1)</f>
        <v>0</v>
      </c>
      <c r="T1588" s="26">
        <f>IF(COUNTIF($B$4:B1588,B1588)=1,1,0)</f>
        <v>0</v>
      </c>
    </row>
    <row r="1589">
      <c r="A1589" s="14" t="inlineStr">
        <is>
          <t>MARAGOGIPE</t>
        </is>
      </c>
      <c r="B1589" s="26" t="n">
        <v>118</v>
      </c>
      <c r="C1589" s="26" t="n">
        <v>1414</v>
      </c>
      <c r="D1589" s="14" t="inlineStr">
        <is>
          <t>PRÉDIO MUNICIPAL CLERALDO ANDRADE</t>
        </is>
      </c>
      <c r="E1589" s="14" t="inlineStr">
        <is>
          <t>DISTRITO DE COQUEIROS</t>
        </is>
      </c>
      <c r="F1589" s="14" t="inlineStr">
        <is>
          <t>POVOADO SERRARIA - ZONA RURAL</t>
        </is>
      </c>
      <c r="G1589" s="27" t="inlineStr">
        <is>
          <t>44420-000</t>
        </is>
      </c>
      <c r="H1589" s="15" t="n">
        <v>4</v>
      </c>
      <c r="I1589" s="28" t="inlineStr">
        <is>
          <t>NÃO</t>
        </is>
      </c>
      <c r="J1589" s="29" t="n"/>
      <c r="K1589" s="14" t="str">
        <f>IF(J1589="","7. Acima de 2 km",IF(J1589&lt;=50,"1. Até 50 m",IF(J1589&lt;=100,"2. De 50 a 100 m",IF(J1589&lt;=200,"3. De 100 a 200 m",IF(J1589&lt;=300,"4. De 200 a 300 m",IF(J1589&lt;=500,"5. De 300 a 500 m","6. De 500 m a 2 km"))))))</f>
        <v>7. Acima de 2 km</v>
      </c>
      <c r="L1589" s="26" t="n">
        <v>0</v>
      </c>
      <c r="M1589" s="26" t="n">
        <v>0</v>
      </c>
      <c r="N1589" s="26" t="n">
        <v>0</v>
      </c>
      <c r="O1589" s="26" t="n">
        <v>0</v>
      </c>
      <c r="P1589" s="30" t="n">
        <v>-12.7430244</v>
      </c>
      <c r="Q1589" s="30" t="n">
        <v>-38.9946158</v>
      </c>
      <c r="R1589" s="14" t="inlineStr">
        <is>
          <t>PRAÇA BARÃO DO RIO BRANCO, S/N, CENTRO, CACHOEIRA/BA</t>
        </is>
      </c>
      <c r="S1589" s="26">
        <f>IF(A1589=A1588,0,1)</f>
        <v>0</v>
      </c>
      <c r="T1589" s="26">
        <f>IF(COUNTIF($B$4:B1589,B1589)=1,1,0)</f>
        <v>0</v>
      </c>
    </row>
    <row r="1590">
      <c r="A1590" s="14" t="inlineStr">
        <is>
          <t>MARAGOGIPE</t>
        </is>
      </c>
      <c r="B1590" s="26" t="n">
        <v>118</v>
      </c>
      <c r="C1590" s="26" t="n">
        <v>1449</v>
      </c>
      <c r="D1590" s="14" t="inlineStr">
        <is>
          <t>PRÉDIO MUNICIPAL CLERISTON ANDRADE</t>
        </is>
      </c>
      <c r="E1590" s="14" t="inlineStr">
        <is>
          <t>DISTRITO DE GUAPIRA</t>
        </is>
      </c>
      <c r="F1590" s="14" t="inlineStr">
        <is>
          <t>POVOADO DE LARANJEIRAS - ZONA RURAL</t>
        </is>
      </c>
      <c r="G1590" s="27" t="inlineStr">
        <is>
          <t>44420-000</t>
        </is>
      </c>
      <c r="H1590" s="15" t="n">
        <v>2</v>
      </c>
      <c r="I1590" s="28" t="inlineStr">
        <is>
          <t>NÃO</t>
        </is>
      </c>
      <c r="J1590" s="29" t="n"/>
      <c r="K1590" s="14" t="str">
        <f>IF(J1590="","7. Acima de 2 km",IF(J1590&lt;=50,"1. Até 50 m",IF(J1590&lt;=100,"2. De 50 a 100 m",IF(J1590&lt;=200,"3. De 100 a 200 m",IF(J1590&lt;=300,"4. De 200 a 300 m",IF(J1590&lt;=500,"5. De 300 a 500 m","6. De 500 m a 2 km"))))))</f>
        <v>7. Acima de 2 km</v>
      </c>
      <c r="L1590" s="26" t="n">
        <v>0</v>
      </c>
      <c r="M1590" s="26" t="n">
        <v>0</v>
      </c>
      <c r="N1590" s="26" t="n">
        <v>0</v>
      </c>
      <c r="O1590" s="26" t="n">
        <v>0</v>
      </c>
      <c r="P1590" s="30" t="n">
        <v>-12.7737557</v>
      </c>
      <c r="Q1590" s="30" t="n">
        <v>-39.0042034</v>
      </c>
      <c r="R1590" s="14" t="inlineStr">
        <is>
          <t>PRAÇA BARÃO DO RIO BRANCO, S/N, CENTRO, CACHOEIRA/BA</t>
        </is>
      </c>
      <c r="S1590" s="26">
        <f>IF(A1590=A1589,0,1)</f>
        <v>0</v>
      </c>
      <c r="T1590" s="26">
        <f>IF(COUNTIF($B$4:B1590,B1590)=1,1,0)</f>
        <v>0</v>
      </c>
    </row>
    <row r="1591">
      <c r="A1591" s="14" t="inlineStr">
        <is>
          <t>MARAGOGIPE</t>
        </is>
      </c>
      <c r="B1591" s="26" t="n">
        <v>118</v>
      </c>
      <c r="C1591" s="26" t="n">
        <v>1457</v>
      </c>
      <c r="D1591" s="14" t="inlineStr">
        <is>
          <t>ESCOLA MUNICIPAL MENELEU BATISTA SOARES</t>
        </is>
      </c>
      <c r="E1591" s="14" t="inlineStr">
        <is>
          <t>DISTRITO DE NAJÉ</t>
        </is>
      </c>
      <c r="F1591" s="14" t="inlineStr">
        <is>
          <t>POVOADO DE TABULEIRO DA NAVALHA - ZONA RURAL</t>
        </is>
      </c>
      <c r="G1591" s="27" t="inlineStr">
        <is>
          <t>44420-000</t>
        </is>
      </c>
      <c r="H1591" s="15" t="n">
        <v>2</v>
      </c>
      <c r="I1591" s="28" t="inlineStr">
        <is>
          <t>NÃO</t>
        </is>
      </c>
      <c r="J1591" s="29" t="n"/>
      <c r="K1591" s="14" t="str">
        <f>IF(J1591="","7. Acima de 2 km",IF(J1591&lt;=50,"1. Até 50 m",IF(J1591&lt;=100,"2. De 50 a 100 m",IF(J1591&lt;=200,"3. De 100 a 200 m",IF(J1591&lt;=300,"4. De 200 a 300 m",IF(J1591&lt;=500,"5. De 300 a 500 m","6. De 500 m a 2 km"))))))</f>
        <v>7. Acima de 2 km</v>
      </c>
      <c r="L1591" s="26" t="n">
        <v>0</v>
      </c>
      <c r="M1591" s="26" t="n">
        <v>0</v>
      </c>
      <c r="N1591" s="26" t="n">
        <v>0</v>
      </c>
      <c r="O1591" s="26" t="n">
        <v>0</v>
      </c>
      <c r="P1591" s="30" t="n">
        <v>-12.7835055</v>
      </c>
      <c r="Q1591" s="30" t="n">
        <v>-38.9643184</v>
      </c>
      <c r="R1591" s="14" t="inlineStr">
        <is>
          <t>PRAÇA BARÃO DO RIO BRANCO, S/N, CENTRO, CACHOEIRA/BA</t>
        </is>
      </c>
      <c r="S1591" s="26">
        <f>IF(A1591=A1590,0,1)</f>
        <v>0</v>
      </c>
      <c r="T1591" s="26">
        <f>IF(COUNTIF($B$4:B1591,B1591)=1,1,0)</f>
        <v>0</v>
      </c>
    </row>
    <row r="1592">
      <c r="A1592" s="14" t="inlineStr">
        <is>
          <t>MARAGOGIPE</t>
        </is>
      </c>
      <c r="B1592" s="26" t="n">
        <v>118</v>
      </c>
      <c r="C1592" s="26" t="n">
        <v>1481</v>
      </c>
      <c r="D1592" s="14" t="inlineStr">
        <is>
          <t>PRÉDIO MUNICIPAL LUÍS DA FRANÇA PIEDADE</t>
        </is>
      </c>
      <c r="E1592" s="14" t="inlineStr">
        <is>
          <t>DISTRITO DE GUAPIRA</t>
        </is>
      </c>
      <c r="F1592" s="14" t="inlineStr">
        <is>
          <t>POVOADO DE OITIZEIRO - ZONA RURAL</t>
        </is>
      </c>
      <c r="G1592" s="27" t="inlineStr">
        <is>
          <t>44420-000</t>
        </is>
      </c>
      <c r="H1592" s="15" t="n">
        <v>1</v>
      </c>
      <c r="I1592" s="28" t="inlineStr">
        <is>
          <t>NÃO</t>
        </is>
      </c>
      <c r="J1592" s="29" t="n"/>
      <c r="K1592" s="14" t="str">
        <f>IF(J1592="","7. Acima de 2 km",IF(J1592&lt;=50,"1. Até 50 m",IF(J1592&lt;=100,"2. De 50 a 100 m",IF(J1592&lt;=200,"3. De 100 a 200 m",IF(J1592&lt;=300,"4. De 200 a 300 m",IF(J1592&lt;=500,"5. De 300 a 500 m","6. De 500 m a 2 km"))))))</f>
        <v>7. Acima de 2 km</v>
      </c>
      <c r="L1592" s="26" t="n">
        <v>0</v>
      </c>
      <c r="M1592" s="26" t="n">
        <v>0</v>
      </c>
      <c r="N1592" s="26" t="n">
        <v>0</v>
      </c>
      <c r="O1592" s="26" t="n">
        <v>0</v>
      </c>
      <c r="P1592" s="30" t="n">
        <v>-12.7800871</v>
      </c>
      <c r="Q1592" s="30" t="n">
        <v>-38.9846912</v>
      </c>
      <c r="R1592" s="14" t="inlineStr">
        <is>
          <t>PRAÇA BARÃO DO RIO BRANCO, S/N, CENTRO, CACHOEIRA/BA</t>
        </is>
      </c>
      <c r="S1592" s="26">
        <f>IF(A1592=A1591,0,1)</f>
        <v>0</v>
      </c>
      <c r="T1592" s="26">
        <f>IF(COUNTIF($B$4:B1592,B1592)=1,1,0)</f>
        <v>0</v>
      </c>
    </row>
    <row r="1593">
      <c r="A1593" s="14" t="inlineStr">
        <is>
          <t>MARAGOGIPE</t>
        </is>
      </c>
      <c r="B1593" s="26" t="n">
        <v>118</v>
      </c>
      <c r="C1593" s="26" t="n">
        <v>1490</v>
      </c>
      <c r="D1593" s="14" t="inlineStr">
        <is>
          <t>ESCOLA MUNICIPAL SILVIO V. MELO</t>
        </is>
      </c>
      <c r="E1593" s="14" t="inlineStr">
        <is>
          <t>DISTRITO DE NAJÉ</t>
        </is>
      </c>
      <c r="F1593" s="14" t="inlineStr">
        <is>
          <t>POVOADO  ITAPECIRICA - ZONA RURAL</t>
        </is>
      </c>
      <c r="G1593" s="27" t="inlineStr">
        <is>
          <t>44420-000</t>
        </is>
      </c>
      <c r="H1593" s="15" t="n">
        <v>2</v>
      </c>
      <c r="I1593" s="28" t="inlineStr">
        <is>
          <t>NÃO</t>
        </is>
      </c>
      <c r="J1593" s="29" t="n"/>
      <c r="K1593" s="14" t="str">
        <f>IF(J1593="","7. Acima de 2 km",IF(J1593&lt;=50,"1. Até 50 m",IF(J1593&lt;=100,"2. De 50 a 100 m",IF(J1593&lt;=200,"3. De 100 a 200 m",IF(J1593&lt;=300,"4. De 200 a 300 m",IF(J1593&lt;=500,"5. De 300 a 500 m","6. De 500 m a 2 km"))))))</f>
        <v>7. Acima de 2 km</v>
      </c>
      <c r="L1593" s="26" t="n">
        <v>0</v>
      </c>
      <c r="M1593" s="26" t="n">
        <v>0</v>
      </c>
      <c r="N1593" s="26" t="n">
        <v>0</v>
      </c>
      <c r="O1593" s="26" t="n">
        <v>0</v>
      </c>
      <c r="P1593" s="30" t="n">
        <v>-12.7413905</v>
      </c>
      <c r="Q1593" s="30" t="n">
        <v>-38.9173147</v>
      </c>
      <c r="R1593" s="14" t="inlineStr">
        <is>
          <t>PRAÇA BARÃO DO RIO BRANCO, S/N, CENTRO, CACHOEIRA/BA</t>
        </is>
      </c>
      <c r="S1593" s="26">
        <f>IF(A1593=A1592,0,1)</f>
        <v>0</v>
      </c>
      <c r="T1593" s="26">
        <f>IF(COUNTIF($B$4:B1593,B1593)=1,1,0)</f>
        <v>0</v>
      </c>
    </row>
    <row r="1594">
      <c r="A1594" s="14" t="inlineStr">
        <is>
          <t>MARAGOGIPE</t>
        </is>
      </c>
      <c r="B1594" s="26" t="n">
        <v>118</v>
      </c>
      <c r="C1594" s="26" t="n">
        <v>1511</v>
      </c>
      <c r="D1594" s="14" t="inlineStr">
        <is>
          <t>PRÉDIO ESCOLAR MONSENHOR FLORISVALDO JOSÉ DE SOUZA</t>
        </is>
      </c>
      <c r="E1594" s="14" t="inlineStr">
        <is>
          <t>DISTRITO DE GUAPIRA</t>
        </is>
      </c>
      <c r="F1594" s="14" t="inlineStr">
        <is>
          <t>POVOADO BATATAN - ZONA RURAL</t>
        </is>
      </c>
      <c r="G1594" s="27" t="inlineStr">
        <is>
          <t>44420-000</t>
        </is>
      </c>
      <c r="H1594" s="15" t="n">
        <v>2</v>
      </c>
      <c r="I1594" s="28" t="inlineStr">
        <is>
          <t>NÃO</t>
        </is>
      </c>
      <c r="J1594" s="29" t="n"/>
      <c r="K1594" s="14" t="str">
        <f>IF(J1594="","7. Acima de 2 km",IF(J1594&lt;=50,"1. Até 50 m",IF(J1594&lt;=100,"2. De 50 a 100 m",IF(J1594&lt;=200,"3. De 100 a 200 m",IF(J1594&lt;=300,"4. De 200 a 300 m",IF(J1594&lt;=500,"5. De 300 a 500 m","6. De 500 m a 2 km"))))))</f>
        <v>7. Acima de 2 km</v>
      </c>
      <c r="L1594" s="26" t="n">
        <v>0</v>
      </c>
      <c r="M1594" s="26" t="n">
        <v>0</v>
      </c>
      <c r="N1594" s="26" t="n">
        <v>0</v>
      </c>
      <c r="O1594" s="26" t="n">
        <v>0</v>
      </c>
      <c r="P1594" s="30" t="n">
        <v>-12.7455883</v>
      </c>
      <c r="Q1594" s="30" t="n">
        <v>-39.0308644</v>
      </c>
      <c r="R1594" s="14" t="inlineStr">
        <is>
          <t>PRAÇA BARÃO DO RIO BRANCO, S/N, CENTRO, CACHOEIRA/BA</t>
        </is>
      </c>
      <c r="S1594" s="26">
        <f>IF(A1594=A1593,0,1)</f>
        <v>0</v>
      </c>
      <c r="T1594" s="26">
        <f>IF(COUNTIF($B$4:B1594,B1594)=1,1,0)</f>
        <v>0</v>
      </c>
    </row>
    <row r="1595">
      <c r="A1595" s="14" t="inlineStr">
        <is>
          <t>MARAGOGIPE</t>
        </is>
      </c>
      <c r="B1595" s="26" t="n">
        <v>118</v>
      </c>
      <c r="C1595" s="26" t="n">
        <v>1520</v>
      </c>
      <c r="D1595" s="14" t="inlineStr">
        <is>
          <t>ASSOCIAÇÃO DOS MORADORES DO CRUZEIRO</t>
        </is>
      </c>
      <c r="E1595" s="14" t="inlineStr">
        <is>
          <t>ALTO DO CRUZEIRO</t>
        </is>
      </c>
      <c r="F1595" s="14" t="inlineStr">
        <is>
          <t>ALTO DO CRUZEIRO - ZONA URBANA</t>
        </is>
      </c>
      <c r="G1595" s="27" t="inlineStr">
        <is>
          <t>44420-000</t>
        </is>
      </c>
      <c r="H1595" s="15" t="n">
        <v>1</v>
      </c>
      <c r="I1595" s="28" t="inlineStr">
        <is>
          <t>NÃO</t>
        </is>
      </c>
      <c r="J1595" s="29" t="n">
        <v>441.5</v>
      </c>
      <c r="K1595" s="14" t="str">
        <f>IF(J1595="","7. Acima de 2 km",IF(J1595&lt;=50,"1. Até 50 m",IF(J1595&lt;=100,"2. De 50 a 100 m",IF(J1595&lt;=200,"3. De 100 a 200 m",IF(J1595&lt;=300,"4. De 200 a 300 m",IF(J1595&lt;=500,"5. De 300 a 500 m","6. De 500 m a 2 km"))))))</f>
        <v>5. De 300 a 500 m</v>
      </c>
      <c r="L1595" s="26" t="n">
        <v>0</v>
      </c>
      <c r="M1595" s="26" t="n">
        <v>0</v>
      </c>
      <c r="N1595" s="26" t="n">
        <v>0</v>
      </c>
      <c r="O1595" s="26" t="n">
        <v>0</v>
      </c>
      <c r="P1595" s="30" t="n">
        <v>-12.7808393</v>
      </c>
      <c r="Q1595" s="30" t="n">
        <v>-38.9245339</v>
      </c>
      <c r="R1595" s="14" t="inlineStr">
        <is>
          <t>PRAÇA BARÃO DO RIO BRANCO, S/N, CENTRO, CACHOEIRA/BA</t>
        </is>
      </c>
      <c r="S1595" s="26">
        <f>IF(A1595=A1594,0,1)</f>
        <v>0</v>
      </c>
      <c r="T1595" s="26">
        <f>IF(COUNTIF($B$4:B1595,B1595)=1,1,0)</f>
        <v>0</v>
      </c>
    </row>
    <row r="1596">
      <c r="A1596" s="14" t="inlineStr">
        <is>
          <t>MARAGOGIPE</t>
        </is>
      </c>
      <c r="B1596" s="26" t="n">
        <v>118</v>
      </c>
      <c r="C1596" s="26" t="n">
        <v>1538</v>
      </c>
      <c r="D1596" s="14" t="inlineStr">
        <is>
          <t>PREDIO MUNICIPAL SÃO ROQUE</t>
        </is>
      </c>
      <c r="E1596" s="14" t="inlineStr">
        <is>
          <t>DISTRITO DE GUAPIRA</t>
        </is>
      </c>
      <c r="F1596" s="14" t="inlineStr">
        <is>
          <t>POVOADO CUMBE - ZONA RURAL</t>
        </is>
      </c>
      <c r="G1596" s="27" t="inlineStr">
        <is>
          <t>44420-000</t>
        </is>
      </c>
      <c r="H1596" s="15" t="n">
        <v>1</v>
      </c>
      <c r="I1596" s="28" t="inlineStr">
        <is>
          <t>NÃO</t>
        </is>
      </c>
      <c r="J1596" s="29" t="n"/>
      <c r="K1596" s="14" t="str">
        <f>IF(J1596="","7. Acima de 2 km",IF(J1596&lt;=50,"1. Até 50 m",IF(J1596&lt;=100,"2. De 50 a 100 m",IF(J1596&lt;=200,"3. De 100 a 200 m",IF(J1596&lt;=300,"4. De 200 a 300 m",IF(J1596&lt;=500,"5. De 300 a 500 m","6. De 500 m a 2 km"))))))</f>
        <v>7. Acima de 2 km</v>
      </c>
      <c r="L1596" s="26" t="n">
        <v>0</v>
      </c>
      <c r="M1596" s="26" t="n">
        <v>0</v>
      </c>
      <c r="N1596" s="26" t="n">
        <v>0</v>
      </c>
      <c r="O1596" s="26" t="n">
        <v>0</v>
      </c>
      <c r="P1596" s="30" t="n">
        <v>-12.8008205</v>
      </c>
      <c r="Q1596" s="30" t="n">
        <v>-39.0186376</v>
      </c>
      <c r="R1596" s="14" t="inlineStr">
        <is>
          <t>PRAÇA BARÃO DO RIO BRANCO, S/N, CENTRO, CACHOEIRA/BA</t>
        </is>
      </c>
      <c r="S1596" s="26">
        <f>IF(A1596=A1595,0,1)</f>
        <v>0</v>
      </c>
      <c r="T1596" s="26">
        <f>IF(COUNTIF($B$4:B1596,B1596)=1,1,0)</f>
        <v>0</v>
      </c>
    </row>
    <row r="1597">
      <c r="A1597" s="14" t="inlineStr">
        <is>
          <t>MARAGOGIPE</t>
        </is>
      </c>
      <c r="B1597" s="26" t="n">
        <v>118</v>
      </c>
      <c r="C1597" s="26" t="n">
        <v>1554</v>
      </c>
      <c r="D1597" s="14" t="inlineStr">
        <is>
          <t>PRÉDIO MUNICIPAL SENHOR DO BONFIM</t>
        </is>
      </c>
      <c r="E1597" s="14" t="inlineStr">
        <is>
          <t>DISTRITO DE NAJÉ</t>
        </is>
      </c>
      <c r="F1597" s="14" t="inlineStr">
        <is>
          <t>POVOADO DO BRINCO - ZONA RURAL</t>
        </is>
      </c>
      <c r="G1597" s="27" t="inlineStr">
        <is>
          <t>44420-000</t>
        </is>
      </c>
      <c r="H1597" s="15" t="n">
        <v>1</v>
      </c>
      <c r="I1597" s="28" t="inlineStr">
        <is>
          <t>NÃO</t>
        </is>
      </c>
      <c r="J1597" s="29" t="n"/>
      <c r="K1597" s="14" t="str">
        <f>IF(J1597="","7. Acima de 2 km",IF(J1597&lt;=50,"1. Até 50 m",IF(J1597&lt;=100,"2. De 50 a 100 m",IF(J1597&lt;=200,"3. De 100 a 200 m",IF(J1597&lt;=300,"4. De 200 a 300 m",IF(J1597&lt;=500,"5. De 300 a 500 m","6. De 500 m a 2 km"))))))</f>
        <v>7. Acima de 2 km</v>
      </c>
      <c r="L1597" s="26" t="n">
        <v>0</v>
      </c>
      <c r="M1597" s="26" t="n">
        <v>0</v>
      </c>
      <c r="N1597" s="26" t="n">
        <v>0</v>
      </c>
      <c r="O1597" s="26" t="n">
        <v>0</v>
      </c>
      <c r="P1597" s="30" t="n">
        <v>-12.762488</v>
      </c>
      <c r="Q1597" s="30" t="n">
        <v>-38.9654688</v>
      </c>
      <c r="R1597" s="14" t="inlineStr">
        <is>
          <t>PRAÇA BARÃO DO RIO BRANCO, S/N, CENTRO, CACHOEIRA/BA</t>
        </is>
      </c>
      <c r="S1597" s="26">
        <f>IF(A1597=A1596,0,1)</f>
        <v>0</v>
      </c>
      <c r="T1597" s="26">
        <f>IF(COUNTIF($B$4:B1597,B1597)=1,1,0)</f>
        <v>0</v>
      </c>
    </row>
    <row r="1598">
      <c r="A1598" s="14" t="inlineStr">
        <is>
          <t>MARAGOGIPE</t>
        </is>
      </c>
      <c r="B1598" s="26" t="n">
        <v>118</v>
      </c>
      <c r="C1598" s="26" t="n">
        <v>1570</v>
      </c>
      <c r="D1598" s="14" t="inlineStr">
        <is>
          <t>PRÉDIO ESCOLAR MUNICIPAL SANTA RITA</t>
        </is>
      </c>
      <c r="E1598" s="14" t="inlineStr">
        <is>
          <t>DISTRITO DE COQUEIROS</t>
        </is>
      </c>
      <c r="F1598" s="14" t="inlineStr">
        <is>
          <t>PRAÇA DA CONCEIÇÃO - ZONA RURAL</t>
        </is>
      </c>
      <c r="G1598" s="27" t="inlineStr">
        <is>
          <t>44420-000</t>
        </is>
      </c>
      <c r="H1598" s="15" t="n">
        <v>8</v>
      </c>
      <c r="I1598" s="28" t="inlineStr">
        <is>
          <t>NÃO</t>
        </is>
      </c>
      <c r="J1598" s="29" t="n"/>
      <c r="K1598" s="14" t="str">
        <f>IF(J1598="","7. Acima de 2 km",IF(J1598&lt;=50,"1. Até 50 m",IF(J1598&lt;=100,"2. De 50 a 100 m",IF(J1598&lt;=200,"3. De 100 a 200 m",IF(J1598&lt;=300,"4. De 200 a 300 m",IF(J1598&lt;=500,"5. De 300 a 500 m","6. De 500 m a 2 km"))))))</f>
        <v>7. Acima de 2 km</v>
      </c>
      <c r="L1598" s="26" t="n">
        <v>0</v>
      </c>
      <c r="M1598" s="26" t="n">
        <v>0</v>
      </c>
      <c r="N1598" s="26" t="n">
        <v>0</v>
      </c>
      <c r="O1598" s="26" t="n">
        <v>0</v>
      </c>
      <c r="P1598" s="30" t="n">
        <v>-12.7154874</v>
      </c>
      <c r="Q1598" s="30" t="n">
        <v>-38.9355518</v>
      </c>
      <c r="R1598" s="14" t="inlineStr">
        <is>
          <t>PRAÇA BARÃO DO RIO BRANCO, S/N, CENTRO, CACHOEIRA/BA</t>
        </is>
      </c>
      <c r="S1598" s="26">
        <f>IF(A1598=A1597,0,1)</f>
        <v>0</v>
      </c>
      <c r="T1598" s="26">
        <f>IF(COUNTIF($B$4:B1598,B1598)=1,1,0)</f>
        <v>0</v>
      </c>
    </row>
    <row r="1599">
      <c r="A1599" s="14" t="inlineStr">
        <is>
          <t>MARAGOGIPE</t>
        </is>
      </c>
      <c r="B1599" s="26" t="n">
        <v>118</v>
      </c>
      <c r="C1599" s="26" t="n">
        <v>1619</v>
      </c>
      <c r="D1599" s="14" t="inlineStr">
        <is>
          <t>ASSOCIAÇÃO RURAL NOVA ESPERANÇA</t>
        </is>
      </c>
      <c r="E1599" s="14" t="inlineStr">
        <is>
          <t>DISTRITO DE COQUEIROS</t>
        </is>
      </c>
      <c r="F1599" s="14" t="inlineStr">
        <is>
          <t>POVOADO DE SERRARIA - ZONA RURAL</t>
        </is>
      </c>
      <c r="G1599" s="27" t="inlineStr">
        <is>
          <t>44420-000</t>
        </is>
      </c>
      <c r="H1599" s="15" t="n">
        <v>1</v>
      </c>
      <c r="I1599" s="28" t="inlineStr">
        <is>
          <t>NÃO</t>
        </is>
      </c>
      <c r="J1599" s="29" t="n"/>
      <c r="K1599" s="14" t="str">
        <f>IF(J1599="","7. Acima de 2 km",IF(J1599&lt;=50,"1. Até 50 m",IF(J1599&lt;=100,"2. De 50 a 100 m",IF(J1599&lt;=200,"3. De 100 a 200 m",IF(J1599&lt;=300,"4. De 200 a 300 m",IF(J1599&lt;=500,"5. De 300 a 500 m","6. De 500 m a 2 km"))))))</f>
        <v>7. Acima de 2 km</v>
      </c>
      <c r="L1599" s="26" t="n">
        <v>0</v>
      </c>
      <c r="M1599" s="26" t="n">
        <v>0</v>
      </c>
      <c r="N1599" s="26" t="n">
        <v>0</v>
      </c>
      <c r="O1599" s="26" t="n">
        <v>0</v>
      </c>
      <c r="P1599" s="30" t="n">
        <v>-12.7449313</v>
      </c>
      <c r="Q1599" s="30" t="n">
        <v>-39.0075455</v>
      </c>
      <c r="R1599" s="14" t="inlineStr">
        <is>
          <t>PRAÇA BARÃO DO RIO BRANCO, S/N, CENTRO, CACHOEIRA/BA</t>
        </is>
      </c>
      <c r="S1599" s="26">
        <f>IF(A1599=A1598,0,1)</f>
        <v>0</v>
      </c>
      <c r="T1599" s="26">
        <f>IF(COUNTIF($B$4:B1599,B1599)=1,1,0)</f>
        <v>0</v>
      </c>
    </row>
    <row r="1600">
      <c r="A1600" s="14" t="inlineStr">
        <is>
          <t>MARAGOGIPE</t>
        </is>
      </c>
      <c r="B1600" s="26" t="n">
        <v>118</v>
      </c>
      <c r="C1600" s="26" t="n">
        <v>1627</v>
      </c>
      <c r="D1600" s="14" t="inlineStr">
        <is>
          <t>ESCOLA MUNICIPAL GETÚLIO VARGAS</t>
        </is>
      </c>
      <c r="E1600" s="14" t="inlineStr">
        <is>
          <t>DISTRITO DE GUAPIRA</t>
        </is>
      </c>
      <c r="F1600" s="14" t="inlineStr">
        <is>
          <t>POVOADO CACHOEIRINHA - ZONA RURAL</t>
        </is>
      </c>
      <c r="G1600" s="27" t="inlineStr">
        <is>
          <t>44420-000</t>
        </is>
      </c>
      <c r="H1600" s="15" t="n">
        <v>2</v>
      </c>
      <c r="I1600" s="28" t="inlineStr">
        <is>
          <t>NÃO</t>
        </is>
      </c>
      <c r="J1600" s="29" t="n"/>
      <c r="K1600" s="14" t="str">
        <f>IF(J1600="","7. Acima de 2 km",IF(J1600&lt;=50,"1. Até 50 m",IF(J1600&lt;=100,"2. De 50 a 100 m",IF(J1600&lt;=200,"3. De 100 a 200 m",IF(J1600&lt;=300,"4. De 200 a 300 m",IF(J1600&lt;=500,"5. De 300 a 500 m","6. De 500 m a 2 km"))))))</f>
        <v>7. Acima de 2 km</v>
      </c>
      <c r="L1600" s="26" t="n">
        <v>0</v>
      </c>
      <c r="M1600" s="26" t="n">
        <v>0</v>
      </c>
      <c r="N1600" s="26" t="n">
        <v>0</v>
      </c>
      <c r="O1600" s="26" t="n">
        <v>0</v>
      </c>
      <c r="P1600" s="30" t="n">
        <v>-12.7765259</v>
      </c>
      <c r="Q1600" s="30" t="n">
        <v>-38.9743178</v>
      </c>
      <c r="R1600" s="14" t="inlineStr">
        <is>
          <t>PRAÇA BARÃO DO RIO BRANCO, S/N, CENTRO, CACHOEIRA/BA</t>
        </is>
      </c>
      <c r="S1600" s="26">
        <f>IF(A1600=A1599,0,1)</f>
        <v>0</v>
      </c>
      <c r="T1600" s="26">
        <f>IF(COUNTIF($B$4:B1600,B1600)=1,1,0)</f>
        <v>0</v>
      </c>
    </row>
    <row r="1601">
      <c r="A1601" s="14" t="inlineStr">
        <is>
          <t>MARAGOGIPE</t>
        </is>
      </c>
      <c r="B1601" s="26" t="n">
        <v>118</v>
      </c>
      <c r="C1601" s="26" t="n">
        <v>1686</v>
      </c>
      <c r="D1601" s="14" t="inlineStr">
        <is>
          <t>ESCOLA MUNICIPAL SANTO ANTÔNIO</t>
        </is>
      </c>
      <c r="E1601" s="14" t="inlineStr">
        <is>
          <t>DISTRITO DE GUAPIRA</t>
        </is>
      </c>
      <c r="F1601" s="14" t="inlineStr">
        <is>
          <t>POVOADO DE RIO DOS PAUS - ZONA RURAL</t>
        </is>
      </c>
      <c r="G1601" s="27" t="inlineStr">
        <is>
          <t>44420-000</t>
        </is>
      </c>
      <c r="H1601" s="15" t="n">
        <v>1</v>
      </c>
      <c r="I1601" s="28" t="inlineStr">
        <is>
          <t>NÃO</t>
        </is>
      </c>
      <c r="J1601" s="29" t="n"/>
      <c r="K1601" s="14" t="str">
        <f>IF(J1601="","7. Acima de 2 km",IF(J1601&lt;=50,"1. Até 50 m",IF(J1601&lt;=100,"2. De 50 a 100 m",IF(J1601&lt;=200,"3. De 100 a 200 m",IF(J1601&lt;=300,"4. De 200 a 300 m",IF(J1601&lt;=500,"5. De 300 a 500 m","6. De 500 m a 2 km"))))))</f>
        <v>7. Acima de 2 km</v>
      </c>
      <c r="L1601" s="26" t="n">
        <v>0</v>
      </c>
      <c r="M1601" s="26" t="n">
        <v>0</v>
      </c>
      <c r="N1601" s="26" t="n">
        <v>0</v>
      </c>
      <c r="O1601" s="26" t="n">
        <v>0</v>
      </c>
      <c r="P1601" s="30" t="n">
        <v>-12.7548568</v>
      </c>
      <c r="Q1601" s="30" t="n">
        <v>-39.0172863</v>
      </c>
      <c r="R1601" s="14" t="inlineStr">
        <is>
          <t>PRAÇA BARÃO DO RIO BRANCO, S/N, CENTRO, CACHOEIRA/BA</t>
        </is>
      </c>
      <c r="S1601" s="26">
        <f>IF(A1601=A1600,0,1)</f>
        <v>0</v>
      </c>
      <c r="T1601" s="26">
        <f>IF(COUNTIF($B$4:B1601,B1601)=1,1,0)</f>
        <v>0</v>
      </c>
    </row>
    <row r="1602">
      <c r="A1602" s="14" t="inlineStr">
        <is>
          <t>MARAGOGIPE</t>
        </is>
      </c>
      <c r="B1602" s="26" t="n">
        <v>118</v>
      </c>
      <c r="C1602" s="26" t="n">
        <v>1694</v>
      </c>
      <c r="D1602" s="14" t="inlineStr">
        <is>
          <t>ESCOLA MUNICIPAL RUBEN GUERRA ARMEDE</t>
        </is>
      </c>
      <c r="E1602" s="14" t="inlineStr">
        <is>
          <t>DISTRITO DE GUAPIRA</t>
        </is>
      </c>
      <c r="F1602" s="14" t="inlineStr">
        <is>
          <t>POVOADO MARIQUITA - ZONA RURAL</t>
        </is>
      </c>
      <c r="G1602" s="27" t="inlineStr">
        <is>
          <t>44420-000</t>
        </is>
      </c>
      <c r="H1602" s="15" t="n">
        <v>1</v>
      </c>
      <c r="I1602" s="28" t="inlineStr">
        <is>
          <t>NÃO</t>
        </is>
      </c>
      <c r="J1602" s="29" t="n"/>
      <c r="K1602" s="14" t="str">
        <f>IF(J1602="","7. Acima de 2 km",IF(J1602&lt;=50,"1. Até 50 m",IF(J1602&lt;=100,"2. De 50 a 100 m",IF(J1602&lt;=200,"3. De 100 a 200 m",IF(J1602&lt;=300,"4. De 200 a 300 m",IF(J1602&lt;=500,"5. De 300 a 500 m","6. De 500 m a 2 km"))))))</f>
        <v>7. Acima de 2 km</v>
      </c>
      <c r="L1602" s="26" t="n">
        <v>0</v>
      </c>
      <c r="M1602" s="26" t="n">
        <v>0</v>
      </c>
      <c r="N1602" s="26" t="n">
        <v>0</v>
      </c>
      <c r="O1602" s="26" t="n">
        <v>0</v>
      </c>
      <c r="P1602" s="30" t="n">
        <v>-12.7910438</v>
      </c>
      <c r="Q1602" s="30" t="n">
        <v>-39.0009041</v>
      </c>
      <c r="R1602" s="14" t="inlineStr">
        <is>
          <t>PRAÇA BARÃO DO RIO BRANCO, S/N, CENTRO, CACHOEIRA/BA</t>
        </is>
      </c>
      <c r="S1602" s="26">
        <f>IF(A1602=A1601,0,1)</f>
        <v>0</v>
      </c>
      <c r="T1602" s="26">
        <f>IF(COUNTIF($B$4:B1602,B1602)=1,1,0)</f>
        <v>0</v>
      </c>
    </row>
    <row r="1603">
      <c r="A1603" s="14" t="inlineStr">
        <is>
          <t>MARAGOGIPE</t>
        </is>
      </c>
      <c r="B1603" s="26" t="n">
        <v>118</v>
      </c>
      <c r="C1603" s="26" t="n">
        <v>1708</v>
      </c>
      <c r="D1603" s="14" t="inlineStr">
        <is>
          <t>ESCOLA MUNICIPAL O BOM PASTOR</t>
        </is>
      </c>
      <c r="E1603" s="14" t="inlineStr">
        <is>
          <t>DISTRITO DE NAJÉ</t>
        </is>
      </c>
      <c r="F1603" s="14" t="inlineStr">
        <is>
          <t>POVOADO DE ENCRUZILHADA - ZONA RURAL</t>
        </is>
      </c>
      <c r="G1603" s="27" t="inlineStr">
        <is>
          <t>44420-000</t>
        </is>
      </c>
      <c r="H1603" s="15" t="n">
        <v>1</v>
      </c>
      <c r="I1603" s="28" t="inlineStr">
        <is>
          <t>NÃO</t>
        </is>
      </c>
      <c r="J1603" s="29" t="n"/>
      <c r="K1603" s="14" t="str">
        <f>IF(J1603="","7. Acima de 2 km",IF(J1603&lt;=50,"1. Até 50 m",IF(J1603&lt;=100,"2. De 50 a 100 m",IF(J1603&lt;=200,"3. De 100 a 200 m",IF(J1603&lt;=300,"4. De 200 a 300 m",IF(J1603&lt;=500,"5. De 300 a 500 m","6. De 500 m a 2 km"))))))</f>
        <v>7. Acima de 2 km</v>
      </c>
      <c r="L1603" s="26" t="n">
        <v>0</v>
      </c>
      <c r="M1603" s="26" t="n">
        <v>0</v>
      </c>
      <c r="N1603" s="26" t="n">
        <v>0</v>
      </c>
      <c r="O1603" s="26" t="n">
        <v>0</v>
      </c>
      <c r="P1603" s="30" t="n">
        <v>-12.7418278</v>
      </c>
      <c r="Q1603" s="30" t="n">
        <v>-38.9795232</v>
      </c>
      <c r="R1603" s="14" t="inlineStr">
        <is>
          <t>PRAÇA BARÃO DO RIO BRANCO, S/N, CENTRO, CACHOEIRA/BA</t>
        </is>
      </c>
      <c r="S1603" s="26">
        <f>IF(A1603=A1602,0,1)</f>
        <v>0</v>
      </c>
      <c r="T1603" s="26">
        <f>IF(COUNTIF($B$4:B1603,B1603)=1,1,0)</f>
        <v>0</v>
      </c>
    </row>
    <row r="1604">
      <c r="A1604" s="14" t="inlineStr">
        <is>
          <t>MATA DE SÃO JOÃO</t>
        </is>
      </c>
      <c r="B1604" s="26" t="n">
        <v>185</v>
      </c>
      <c r="C1604" s="26" t="n">
        <v>1015</v>
      </c>
      <c r="D1604" s="14" t="inlineStr">
        <is>
          <t>ESCOLA MUNICIPAL MONSENHOR BARBOSA - C. M. M. B.</t>
        </is>
      </c>
      <c r="E1604" s="14" t="inlineStr">
        <is>
          <t>CENTRO</t>
        </is>
      </c>
      <c r="F1604" s="14" t="inlineStr">
        <is>
          <t>RUA LAURINDO DE OLIVEIRA RÉGIS, S/N - ZONA URBANA</t>
        </is>
      </c>
      <c r="G1604" s="27" t="inlineStr">
        <is>
          <t>48280-000</t>
        </is>
      </c>
      <c r="H1604" s="15" t="n">
        <v>24</v>
      </c>
      <c r="I1604" s="28" t="inlineStr">
        <is>
          <t>NÃO</t>
        </is>
      </c>
      <c r="J1604" s="29" t="n">
        <v>301.1</v>
      </c>
      <c r="K1604" s="14" t="str">
        <f>IF(J1604="","7. Acima de 2 km",IF(J1604&lt;=50,"1. Até 50 m",IF(J1604&lt;=100,"2. De 50 a 100 m",IF(J1604&lt;=200,"3. De 100 a 200 m",IF(J1604&lt;=300,"4. De 200 a 300 m",IF(J1604&lt;=500,"5. De 300 a 500 m","6. De 500 m a 2 km"))))))</f>
        <v>5. De 300 a 500 m</v>
      </c>
      <c r="L1604" s="26" t="n">
        <v>0</v>
      </c>
      <c r="M1604" s="26" t="n">
        <v>0</v>
      </c>
      <c r="N1604" s="26" t="n">
        <v>0</v>
      </c>
      <c r="O1604" s="26" t="n">
        <v>0</v>
      </c>
      <c r="P1604" s="30" t="n">
        <v>-12.534039</v>
      </c>
      <c r="Q1604" s="30" t="n">
        <v>-38.2962339</v>
      </c>
      <c r="R1604" s="14" t="inlineStr">
        <is>
          <t>RUA QUINTINO BOCAIÚVA, 110, CENTRO, MATA DE SÃO JOÃO/BA</t>
        </is>
      </c>
      <c r="S1604" s="26">
        <f>IF(A1604=A1603,0,1)</f>
        <v>1</v>
      </c>
      <c r="T1604" s="26">
        <f>IF(COUNTIF($B$4:B1604,B1604)=1,1,0)</f>
        <v>1</v>
      </c>
    </row>
    <row r="1605">
      <c r="A1605" s="14" t="inlineStr">
        <is>
          <t>MATA DE SÃO JOÃO</t>
        </is>
      </c>
      <c r="B1605" s="26" t="n">
        <v>185</v>
      </c>
      <c r="C1605" s="26" t="n">
        <v>1082</v>
      </c>
      <c r="D1605" s="14" t="inlineStr">
        <is>
          <t>ESCOLA MUNICIPAL ENGENHEIRO LUÍS S. FONTES</t>
        </is>
      </c>
      <c r="E1605" s="14" t="inlineStr">
        <is>
          <t>LOCALIDADE PITANGA</t>
        </is>
      </c>
      <c r="F1605" s="14" t="inlineStr">
        <is>
          <t>COMUNIDADE DE PITANGA  - ZONA RURAL</t>
        </is>
      </c>
      <c r="G1605" s="27" t="inlineStr">
        <is>
          <t>48280-000</t>
        </is>
      </c>
      <c r="H1605" s="15" t="n">
        <v>1</v>
      </c>
      <c r="I1605" s="28" t="inlineStr">
        <is>
          <t>NÃO</t>
        </is>
      </c>
      <c r="J1605" s="29" t="n"/>
      <c r="K1605" s="14" t="str">
        <f>IF(J1605="","7. Acima de 2 km",IF(J1605&lt;=50,"1. Até 50 m",IF(J1605&lt;=100,"2. De 50 a 100 m",IF(J1605&lt;=200,"3. De 100 a 200 m",IF(J1605&lt;=300,"4. De 200 a 300 m",IF(J1605&lt;=500,"5. De 300 a 500 m","6. De 500 m a 2 km"))))))</f>
        <v>7. Acima de 2 km</v>
      </c>
      <c r="L1605" s="26" t="n">
        <v>0</v>
      </c>
      <c r="M1605" s="26" t="n">
        <v>0</v>
      </c>
      <c r="N1605" s="26" t="n">
        <v>0</v>
      </c>
      <c r="O1605" s="26" t="n">
        <v>0</v>
      </c>
      <c r="P1605" s="30" t="n">
        <v>-12.4868345</v>
      </c>
      <c r="Q1605" s="30" t="n">
        <v>-38.3293299</v>
      </c>
      <c r="R1605" s="14" t="inlineStr">
        <is>
          <t>RUA QUINTINO BOCAIÚVA, 110, CENTRO, MATA DE SÃO JOÃO/BA</t>
        </is>
      </c>
      <c r="S1605" s="26">
        <f>IF(A1605=A1604,0,1)</f>
        <v>0</v>
      </c>
      <c r="T1605" s="26">
        <f>IF(COUNTIF($B$4:B1605,B1605)=1,1,0)</f>
        <v>0</v>
      </c>
    </row>
    <row r="1606">
      <c r="A1606" s="14" t="inlineStr">
        <is>
          <t>MATA DE SÃO JOÃO</t>
        </is>
      </c>
      <c r="B1606" s="26" t="n">
        <v>185</v>
      </c>
      <c r="C1606" s="26" t="n">
        <v>1090</v>
      </c>
      <c r="D1606" s="14" t="inlineStr">
        <is>
          <t>ESCOLA MUNICIPAL EZILDA PINTO DO CARMO</t>
        </is>
      </c>
      <c r="E1606" s="14" t="inlineStr">
        <is>
          <t>SEMPRE VERDE</t>
        </is>
      </c>
      <c r="F1606" s="14" t="inlineStr">
        <is>
          <t>RUA SÃO CRISTÓVÃO, S/N - ZONA RURAL</t>
        </is>
      </c>
      <c r="G1606" s="27" t="inlineStr">
        <is>
          <t>48280-000</t>
        </is>
      </c>
      <c r="H1606" s="15" t="n">
        <v>8</v>
      </c>
      <c r="I1606" s="28" t="inlineStr">
        <is>
          <t>NÃO</t>
        </is>
      </c>
      <c r="J1606" s="29" t="n">
        <v>1615.4</v>
      </c>
      <c r="K1606" s="14" t="str">
        <f>IF(J1606="","7. Acima de 2 km",IF(J1606&lt;=50,"1. Até 50 m",IF(J1606&lt;=100,"2. De 50 a 100 m",IF(J1606&lt;=200,"3. De 100 a 200 m",IF(J1606&lt;=300,"4. De 200 a 300 m",IF(J1606&lt;=500,"5. De 300 a 500 m","6. De 500 m a 2 km"))))))</f>
        <v>6. De 500 m a 2 km</v>
      </c>
      <c r="L1606" s="26" t="n">
        <v>0</v>
      </c>
      <c r="M1606" s="26" t="n">
        <v>0</v>
      </c>
      <c r="N1606" s="26" t="n">
        <v>0</v>
      </c>
      <c r="O1606" s="26" t="n">
        <v>0</v>
      </c>
      <c r="P1606" s="30" t="n">
        <v>-12.5781261</v>
      </c>
      <c r="Q1606" s="30" t="n">
        <v>-38.2888375</v>
      </c>
      <c r="R1606" s="14" t="inlineStr">
        <is>
          <t>RUA QUINTINO BOCAIÚVA, 110, CENTRO, MATA DE SÃO JOÃO/BA</t>
        </is>
      </c>
      <c r="S1606" s="26">
        <f>IF(A1606=A1605,0,1)</f>
        <v>0</v>
      </c>
      <c r="T1606" s="26">
        <f>IF(COUNTIF($B$4:B1606,B1606)=1,1,0)</f>
        <v>0</v>
      </c>
    </row>
    <row r="1607">
      <c r="A1607" s="14" t="inlineStr">
        <is>
          <t>MATA DE SÃO JOÃO</t>
        </is>
      </c>
      <c r="B1607" s="26" t="n">
        <v>185</v>
      </c>
      <c r="C1607" s="26" t="n">
        <v>1104</v>
      </c>
      <c r="D1607" s="14" t="inlineStr">
        <is>
          <t>ESCOLA MUNICIPAL ARNALDO SOUZA PRADO</t>
        </is>
      </c>
      <c r="E1607" s="14" t="inlineStr">
        <is>
          <t>LOCALIDADE JK</t>
        </is>
      </c>
      <c r="F1607" s="14" t="inlineStr">
        <is>
          <t>PORTÃO DO LUNDA, S/N - ZONA RURAL</t>
        </is>
      </c>
      <c r="G1607" s="27" t="inlineStr">
        <is>
          <t>48280-000</t>
        </is>
      </c>
      <c r="H1607" s="15" t="n">
        <v>6</v>
      </c>
      <c r="I1607" s="28" t="inlineStr">
        <is>
          <t>NÃO</t>
        </is>
      </c>
      <c r="J1607" s="29" t="n"/>
      <c r="K1607" s="14" t="str">
        <f>IF(J1607="","7. Acima de 2 km",IF(J1607&lt;=50,"1. Até 50 m",IF(J1607&lt;=100,"2. De 50 a 100 m",IF(J1607&lt;=200,"3. De 100 a 200 m",IF(J1607&lt;=300,"4. De 200 a 300 m",IF(J1607&lt;=500,"5. De 300 a 500 m","6. De 500 m a 2 km"))))))</f>
        <v>7. Acima de 2 km</v>
      </c>
      <c r="L1607" s="26" t="n">
        <v>0</v>
      </c>
      <c r="M1607" s="26" t="n">
        <v>0</v>
      </c>
      <c r="N1607" s="26" t="n">
        <v>0</v>
      </c>
      <c r="O1607" s="26" t="n">
        <v>0</v>
      </c>
      <c r="P1607" s="30" t="n">
        <v>-12.4965967</v>
      </c>
      <c r="Q1607" s="30" t="n">
        <v>-38.2495799</v>
      </c>
      <c r="R1607" s="14" t="inlineStr">
        <is>
          <t>RUA QUINTINO BOCAIÚVA, 110, CENTRO, MATA DE SÃO JOÃO/BA</t>
        </is>
      </c>
      <c r="S1607" s="26">
        <f>IF(A1607=A1606,0,1)</f>
        <v>0</v>
      </c>
      <c r="T1607" s="26">
        <f>IF(COUNTIF($B$4:B1607,B1607)=1,1,0)</f>
        <v>0</v>
      </c>
    </row>
    <row r="1608">
      <c r="A1608" s="14" t="inlineStr">
        <is>
          <t>MATA DE SÃO JOÃO</t>
        </is>
      </c>
      <c r="B1608" s="26" t="n">
        <v>185</v>
      </c>
      <c r="C1608" s="26" t="n">
        <v>1120</v>
      </c>
      <c r="D1608" s="14" t="inlineStr">
        <is>
          <t>ESCOLA MUNICIPAL ANTONIO PAIVA TOLENTINO</t>
        </is>
      </c>
      <c r="E1608" s="14" t="inlineStr">
        <is>
          <t>LOCALIDADE SAUÍPE</t>
        </is>
      </c>
      <c r="F1608" s="14" t="inlineStr">
        <is>
          <t>LOCALIDADE SAUÍPE - ZONA RURAL</t>
        </is>
      </c>
      <c r="G1608" s="27" t="inlineStr">
        <is>
          <t>41820-000</t>
        </is>
      </c>
      <c r="H1608" s="15" t="n">
        <v>6</v>
      </c>
      <c r="I1608" s="28" t="inlineStr">
        <is>
          <t>NÃO</t>
        </is>
      </c>
      <c r="J1608" s="29" t="n"/>
      <c r="K1608" s="14" t="str">
        <f>IF(J1608="","7. Acima de 2 km",IF(J1608&lt;=50,"1. Até 50 m",IF(J1608&lt;=100,"2. De 50 a 100 m",IF(J1608&lt;=200,"3. De 100 a 200 m",IF(J1608&lt;=300,"4. De 200 a 300 m",IF(J1608&lt;=500,"5. De 300 a 500 m","6. De 500 m a 2 km"))))))</f>
        <v>7. Acima de 2 km</v>
      </c>
      <c r="L1608" s="26" t="n">
        <v>0</v>
      </c>
      <c r="M1608" s="26" t="n">
        <v>0</v>
      </c>
      <c r="N1608" s="26" t="n">
        <v>0</v>
      </c>
      <c r="O1608" s="26" t="n">
        <v>0</v>
      </c>
      <c r="P1608" s="30" t="n">
        <v>-12.3911051</v>
      </c>
      <c r="Q1608" s="30" t="n">
        <v>-37.9154245</v>
      </c>
      <c r="R1608" s="14" t="inlineStr">
        <is>
          <t>RUA QUINTINO BOCAIÚVA, 110, CENTRO, MATA DE SÃO JOÃO/BA</t>
        </is>
      </c>
      <c r="S1608" s="26">
        <f>IF(A1608=A1607,0,1)</f>
        <v>0</v>
      </c>
      <c r="T1608" s="26">
        <f>IF(COUNTIF($B$4:B1608,B1608)=1,1,0)</f>
        <v>0</v>
      </c>
    </row>
    <row r="1609">
      <c r="A1609" s="14" t="inlineStr">
        <is>
          <t>MATA DE SÃO JOÃO</t>
        </is>
      </c>
      <c r="B1609" s="26" t="n">
        <v>185</v>
      </c>
      <c r="C1609" s="26" t="n">
        <v>1139</v>
      </c>
      <c r="D1609" s="14" t="inlineStr">
        <is>
          <t>ESCOLA MUNICIPAL WILHELM HERMANN KLAUS PETERS</t>
        </is>
      </c>
      <c r="E1609" s="14" t="inlineStr">
        <is>
          <t>DISTRITO AÇU DA TORRE</t>
        </is>
      </c>
      <c r="F1609" s="14" t="inlineStr">
        <is>
          <t>RUA DO CAMPO, S/N - ZONA RURAL</t>
        </is>
      </c>
      <c r="G1609" s="27" t="inlineStr">
        <is>
          <t>48280-000</t>
        </is>
      </c>
      <c r="H1609" s="15" t="n">
        <v>6</v>
      </c>
      <c r="I1609" s="28" t="inlineStr">
        <is>
          <t>NÃO</t>
        </is>
      </c>
      <c r="J1609" s="29" t="n">
        <v>238.7</v>
      </c>
      <c r="K1609" s="14" t="str">
        <f>IF(J1609="","7. Acima de 2 km",IF(J1609&lt;=50,"1. Até 50 m",IF(J1609&lt;=100,"2. De 50 a 100 m",IF(J1609&lt;=200,"3. De 100 a 200 m",IF(J1609&lt;=300,"4. De 200 a 300 m",IF(J1609&lt;=500,"5. De 300 a 500 m","6. De 500 m a 2 km"))))))</f>
        <v>4. De 200 a 300 m</v>
      </c>
      <c r="L1609" s="26" t="n">
        <v>0</v>
      </c>
      <c r="M1609" s="26" t="n">
        <v>0</v>
      </c>
      <c r="N1609" s="26" t="n">
        <v>0</v>
      </c>
      <c r="O1609" s="26" t="n">
        <v>1</v>
      </c>
      <c r="P1609" s="30" t="n">
        <v>-12.5420135</v>
      </c>
      <c r="Q1609" s="30" t="n">
        <v>-38.0068375</v>
      </c>
      <c r="R1609" s="14" t="inlineStr">
        <is>
          <t>RUA QUINTINO BOCAIÚVA, 110, CENTRO, MATA DE SÃO JOÃO/BA</t>
        </is>
      </c>
      <c r="S1609" s="26">
        <f>IF(A1609=A1608,0,1)</f>
        <v>0</v>
      </c>
      <c r="T1609" s="26">
        <f>IF(COUNTIF($B$4:B1609,B1609)=1,1,0)</f>
        <v>0</v>
      </c>
    </row>
    <row r="1610">
      <c r="A1610" s="14" t="inlineStr">
        <is>
          <t>MATA DE SÃO JOÃO</t>
        </is>
      </c>
      <c r="B1610" s="26" t="n">
        <v>185</v>
      </c>
      <c r="C1610" s="26" t="n">
        <v>1147</v>
      </c>
      <c r="D1610" s="14" t="inlineStr">
        <is>
          <t>ESCOLA MUNICIPAL SÃO FRANCISCO</t>
        </is>
      </c>
      <c r="E1610" s="14" t="inlineStr">
        <is>
          <t>LOCALIDADE PRAIA DO FORTE</t>
        </is>
      </c>
      <c r="F1610" s="14" t="inlineStr">
        <is>
          <t>AV ACM, S/N - ZONA RURAL</t>
        </is>
      </c>
      <c r="G1610" s="27" t="inlineStr">
        <is>
          <t>48280-000</t>
        </is>
      </c>
      <c r="H1610" s="15" t="n">
        <v>4</v>
      </c>
      <c r="I1610" s="28" t="inlineStr">
        <is>
          <t>SIM</t>
        </is>
      </c>
      <c r="J1610" s="29" t="n">
        <v>42.6</v>
      </c>
      <c r="K1610" s="14" t="str">
        <f>IF(J1610="","7. Acima de 2 km",IF(J1610&lt;=50,"1. Até 50 m",IF(J1610&lt;=100,"2. De 50 a 100 m",IF(J1610&lt;=200,"3. De 100 a 200 m",IF(J1610&lt;=300,"4. De 200 a 300 m",IF(J1610&lt;=500,"5. De 300 a 500 m","6. De 500 m a 2 km"))))))</f>
        <v>1. Até 50 m</v>
      </c>
      <c r="L1610" s="26" t="n">
        <v>2</v>
      </c>
      <c r="M1610" s="26" t="n">
        <v>3</v>
      </c>
      <c r="N1610" s="26" t="n">
        <v>4</v>
      </c>
      <c r="O1610" s="26" t="n">
        <v>6</v>
      </c>
      <c r="P1610" s="30" t="n">
        <v>-12.5776055</v>
      </c>
      <c r="Q1610" s="30" t="n">
        <v>-38.0045373</v>
      </c>
      <c r="R1610" s="14" t="inlineStr">
        <is>
          <t>RUA QUINTINO BOCAIÚVA, 110, CENTRO, MATA DE SÃO JOÃO/BA</t>
        </is>
      </c>
      <c r="S1610" s="26">
        <f>IF(A1610=A1609,0,1)</f>
        <v>0</v>
      </c>
      <c r="T1610" s="26">
        <f>IF(COUNTIF($B$4:B1610,B1610)=1,1,0)</f>
        <v>0</v>
      </c>
    </row>
    <row r="1611">
      <c r="A1611" s="14" t="inlineStr">
        <is>
          <t>MATA DE SÃO JOÃO</t>
        </is>
      </c>
      <c r="B1611" s="26" t="n">
        <v>185</v>
      </c>
      <c r="C1611" s="26" t="n">
        <v>1155</v>
      </c>
      <c r="D1611" s="14" t="inlineStr">
        <is>
          <t>ESCOLA MUNICIPAL ANTONIO FRANCISCO ALVES</t>
        </is>
      </c>
      <c r="E1611" s="14" t="inlineStr">
        <is>
          <t>LOCALIDADE PEDRA DO SALGADO</t>
        </is>
      </c>
      <c r="F1611" s="14" t="inlineStr">
        <is>
          <t>POVOADO DE PEDRA DO SALGADO - ZONA RURAL</t>
        </is>
      </c>
      <c r="G1611" s="27" t="inlineStr">
        <is>
          <t>48280-000</t>
        </is>
      </c>
      <c r="H1611" s="15" t="n">
        <v>2</v>
      </c>
      <c r="I1611" s="28" t="inlineStr">
        <is>
          <t>NÃO</t>
        </is>
      </c>
      <c r="J1611" s="29" t="n"/>
      <c r="K1611" s="14" t="str">
        <f>IF(J1611="","7. Acima de 2 km",IF(J1611&lt;=50,"1. Até 50 m",IF(J1611&lt;=100,"2. De 50 a 100 m",IF(J1611&lt;=200,"3. De 100 a 200 m",IF(J1611&lt;=300,"4. De 200 a 300 m",IF(J1611&lt;=500,"5. De 300 a 500 m","6. De 500 m a 2 km"))))))</f>
        <v>7. Acima de 2 km</v>
      </c>
      <c r="L1611" s="26" t="n">
        <v>0</v>
      </c>
      <c r="M1611" s="26" t="n">
        <v>0</v>
      </c>
      <c r="N1611" s="26" t="n">
        <v>0</v>
      </c>
      <c r="O1611" s="26" t="n">
        <v>0</v>
      </c>
      <c r="P1611" s="30" t="n">
        <v>-12.3848285</v>
      </c>
      <c r="Q1611" s="30" t="n">
        <v>-38.131221</v>
      </c>
      <c r="R1611" s="14" t="inlineStr">
        <is>
          <t>RUA QUINTINO BOCAIÚVA, 110, CENTRO, MATA DE SÃO JOÃO/BA</t>
        </is>
      </c>
      <c r="S1611" s="26">
        <f>IF(A1611=A1610,0,1)</f>
        <v>0</v>
      </c>
      <c r="T1611" s="26">
        <f>IF(COUNTIF($B$4:B1611,B1611)=1,1,0)</f>
        <v>0</v>
      </c>
    </row>
    <row r="1612">
      <c r="A1612" s="14" t="inlineStr">
        <is>
          <t>MATA DE SÃO JOÃO</t>
        </is>
      </c>
      <c r="B1612" s="26" t="n">
        <v>185</v>
      </c>
      <c r="C1612" s="26" t="n">
        <v>1163</v>
      </c>
      <c r="D1612" s="14" t="inlineStr">
        <is>
          <t>ESCOLA MUNICIPAL ELIAS JOSÉ DOS SANTOS</t>
        </is>
      </c>
      <c r="E1612" s="14" t="inlineStr">
        <is>
          <t>CABORÉ</t>
        </is>
      </c>
      <c r="F1612" s="14" t="inlineStr">
        <is>
          <t>RUA CARLOS GOMES, S/N - ZONA URBANA</t>
        </is>
      </c>
      <c r="G1612" s="27" t="inlineStr">
        <is>
          <t>48280-000</t>
        </is>
      </c>
      <c r="H1612" s="15" t="n">
        <v>4</v>
      </c>
      <c r="I1612" s="28" t="inlineStr">
        <is>
          <t>NÃO</t>
        </is>
      </c>
      <c r="J1612" s="29" t="n">
        <v>1143.9</v>
      </c>
      <c r="K1612" s="14" t="str">
        <f>IF(J1612="","7. Acima de 2 km",IF(J1612&lt;=50,"1. Até 50 m",IF(J1612&lt;=100,"2. De 50 a 100 m",IF(J1612&lt;=200,"3. De 100 a 200 m",IF(J1612&lt;=300,"4. De 200 a 300 m",IF(J1612&lt;=500,"5. De 300 a 500 m","6. De 500 m a 2 km"))))))</f>
        <v>6. De 500 m a 2 km</v>
      </c>
      <c r="L1612" s="26" t="n">
        <v>0</v>
      </c>
      <c r="M1612" s="26" t="n">
        <v>0</v>
      </c>
      <c r="N1612" s="26" t="n">
        <v>0</v>
      </c>
      <c r="O1612" s="26" t="n">
        <v>0</v>
      </c>
      <c r="P1612" s="30" t="n">
        <v>-12.5424711</v>
      </c>
      <c r="Q1612" s="30" t="n">
        <v>-38.3039204</v>
      </c>
      <c r="R1612" s="14" t="inlineStr">
        <is>
          <t>RUA QUINTINO BOCAIÚVA, 110, CENTRO, MATA DE SÃO JOÃO/BA</t>
        </is>
      </c>
      <c r="S1612" s="26">
        <f>IF(A1612=A1611,0,1)</f>
        <v>0</v>
      </c>
      <c r="T1612" s="26">
        <f>IF(COUNTIF($B$4:B1612,B1612)=1,1,0)</f>
        <v>0</v>
      </c>
    </row>
    <row r="1613">
      <c r="A1613" s="14" t="inlineStr">
        <is>
          <t>MATA DE SÃO JOÃO</t>
        </is>
      </c>
      <c r="B1613" s="26" t="n">
        <v>185</v>
      </c>
      <c r="C1613" s="26" t="n">
        <v>1171</v>
      </c>
      <c r="D1613" s="14" t="inlineStr">
        <is>
          <t>ESCOLA MUNICIPAL SÃO VICENTE</t>
        </is>
      </c>
      <c r="E1613" s="14" t="inlineStr">
        <is>
          <t>LOCALIDADE DIOGO</t>
        </is>
      </c>
      <c r="F1613" s="14" t="inlineStr">
        <is>
          <t>RUA DO TELEFONE, S/N - ZONA RURAL</t>
        </is>
      </c>
      <c r="G1613" s="27" t="inlineStr">
        <is>
          <t>41820-000</t>
        </is>
      </c>
      <c r="H1613" s="15" t="n">
        <v>3</v>
      </c>
      <c r="I1613" s="28" t="inlineStr">
        <is>
          <t>NÃO</t>
        </is>
      </c>
      <c r="J1613" s="29" t="n"/>
      <c r="K1613" s="14" t="str">
        <f>IF(J1613="","7. Acima de 2 km",IF(J1613&lt;=50,"1. Até 50 m",IF(J1613&lt;=100,"2. De 50 a 100 m",IF(J1613&lt;=200,"3. De 100 a 200 m",IF(J1613&lt;=300,"4. De 200 a 300 m",IF(J1613&lt;=500,"5. De 300 a 500 m","6. De 500 m a 2 km"))))))</f>
        <v>7. Acima de 2 km</v>
      </c>
      <c r="L1613" s="26" t="n">
        <v>0</v>
      </c>
      <c r="M1613" s="26" t="n">
        <v>0</v>
      </c>
      <c r="N1613" s="26" t="n">
        <v>0</v>
      </c>
      <c r="O1613" s="26" t="n">
        <v>0</v>
      </c>
      <c r="P1613" s="30" t="n">
        <v>-12.4541071</v>
      </c>
      <c r="Q1613" s="30" t="n">
        <v>-37.9441347</v>
      </c>
      <c r="R1613" s="14" t="inlineStr">
        <is>
          <t>RUA QUINTINO BOCAIÚVA, 110, CENTRO, MATA DE SÃO JOÃO/BA</t>
        </is>
      </c>
      <c r="S1613" s="26">
        <f>IF(A1613=A1612,0,1)</f>
        <v>0</v>
      </c>
      <c r="T1613" s="26">
        <f>IF(COUNTIF($B$4:B1613,B1613)=1,1,0)</f>
        <v>0</v>
      </c>
    </row>
    <row r="1614">
      <c r="A1614" s="14" t="inlineStr">
        <is>
          <t>MATA DE SÃO JOÃO</t>
        </is>
      </c>
      <c r="B1614" s="26" t="n">
        <v>185</v>
      </c>
      <c r="C1614" s="26" t="n">
        <v>1198</v>
      </c>
      <c r="D1614" s="14" t="inlineStr">
        <is>
          <t>ESCOLA MUNICIPAL DOUTOR JOSÉ SEIXAS FILHO</t>
        </is>
      </c>
      <c r="E1614" s="14" t="inlineStr">
        <is>
          <t>LOCALIDADE PRAIA DE IMBASSAÍ</t>
        </is>
      </c>
      <c r="F1614" s="14" t="inlineStr">
        <is>
          <t>RUA DIRETA, S/N - ZONA RURAL</t>
        </is>
      </c>
      <c r="G1614" s="27" t="inlineStr">
        <is>
          <t>48280-000</t>
        </is>
      </c>
      <c r="H1614" s="15" t="n">
        <v>8</v>
      </c>
      <c r="I1614" s="28" t="inlineStr">
        <is>
          <t>NÃO</t>
        </is>
      </c>
      <c r="J1614" s="29" t="n">
        <v>129.6</v>
      </c>
      <c r="K1614" s="14" t="str">
        <f>IF(J1614="","7. Acima de 2 km",IF(J1614&lt;=50,"1. Até 50 m",IF(J1614&lt;=100,"2. De 50 a 100 m",IF(J1614&lt;=200,"3. De 100 a 200 m",IF(J1614&lt;=300,"4. De 200 a 300 m",IF(J1614&lt;=500,"5. De 300 a 500 m","6. De 500 m a 2 km"))))))</f>
        <v>3. De 100 a 200 m</v>
      </c>
      <c r="L1614" s="26" t="n">
        <v>0</v>
      </c>
      <c r="M1614" s="26" t="n">
        <v>0</v>
      </c>
      <c r="N1614" s="26" t="n">
        <v>1</v>
      </c>
      <c r="O1614" s="26" t="n">
        <v>1</v>
      </c>
      <c r="P1614" s="30" t="n">
        <v>-12.4937124</v>
      </c>
      <c r="Q1614" s="30" t="n">
        <v>-37.9693833</v>
      </c>
      <c r="R1614" s="14" t="inlineStr">
        <is>
          <t>RUA QUINTINO BOCAIÚVA, 110, CENTRO, MATA DE SÃO JOÃO/BA</t>
        </is>
      </c>
      <c r="S1614" s="26">
        <f>IF(A1614=A1613,0,1)</f>
        <v>0</v>
      </c>
      <c r="T1614" s="26">
        <f>IF(COUNTIF($B$4:B1614,B1614)=1,1,0)</f>
        <v>0</v>
      </c>
    </row>
    <row r="1615">
      <c r="A1615" s="14" t="inlineStr">
        <is>
          <t>MATA DE SÃO JOÃO</t>
        </is>
      </c>
      <c r="B1615" s="26" t="n">
        <v>185</v>
      </c>
      <c r="C1615" s="26" t="n">
        <v>1201</v>
      </c>
      <c r="D1615" s="14" t="inlineStr">
        <is>
          <t>ESCOLA MUNICIPAL AMELIO BATISTA FILHO</t>
        </is>
      </c>
      <c r="E1615" s="14" t="inlineStr">
        <is>
          <t>ENTRONCAMENTO</t>
        </is>
      </c>
      <c r="F1615" s="14" t="inlineStr">
        <is>
          <t>ENTRONCAMENTO VELHO, S/N - ZONA URBANA</t>
        </is>
      </c>
      <c r="G1615" s="27" t="inlineStr">
        <is>
          <t>48280-000</t>
        </is>
      </c>
      <c r="H1615" s="15" t="n">
        <v>4</v>
      </c>
      <c r="I1615" s="28" t="inlineStr">
        <is>
          <t>NÃO</t>
        </is>
      </c>
      <c r="J1615" s="29" t="n">
        <v>127.7</v>
      </c>
      <c r="K1615" s="14" t="str">
        <f>IF(J1615="","7. Acima de 2 km",IF(J1615&lt;=50,"1. Até 50 m",IF(J1615&lt;=100,"2. De 50 a 100 m",IF(J1615&lt;=200,"3. De 100 a 200 m",IF(J1615&lt;=300,"4. De 200 a 300 m",IF(J1615&lt;=500,"5. De 300 a 500 m","6. De 500 m a 2 km"))))))</f>
        <v>3. De 100 a 200 m</v>
      </c>
      <c r="L1615" s="26" t="n">
        <v>0</v>
      </c>
      <c r="M1615" s="26" t="n">
        <v>0</v>
      </c>
      <c r="N1615" s="26" t="n">
        <v>1</v>
      </c>
      <c r="O1615" s="26" t="n">
        <v>1</v>
      </c>
      <c r="P1615" s="30" t="n">
        <v>-12.5280232</v>
      </c>
      <c r="Q1615" s="30" t="n">
        <v>-38.3070932</v>
      </c>
      <c r="R1615" s="14" t="inlineStr">
        <is>
          <t>RUA QUINTINO BOCAIÚVA, 110, CENTRO, MATA DE SÃO JOÃO/BA</t>
        </is>
      </c>
      <c r="S1615" s="26">
        <f>IF(A1615=A1614,0,1)</f>
        <v>0</v>
      </c>
      <c r="T1615" s="26">
        <f>IF(COUNTIF($B$4:B1615,B1615)=1,1,0)</f>
        <v>0</v>
      </c>
    </row>
    <row r="1616">
      <c r="A1616" s="14" t="inlineStr">
        <is>
          <t>MATA DE SÃO JOÃO</t>
        </is>
      </c>
      <c r="B1616" s="26" t="n">
        <v>185</v>
      </c>
      <c r="C1616" s="26" t="n">
        <v>1228</v>
      </c>
      <c r="D1616" s="14" t="inlineStr">
        <is>
          <t>ESCOLA MUNICIPAL MARIA ODILIA VASCONCELOS</t>
        </is>
      </c>
      <c r="E1616" s="14" t="inlineStr">
        <is>
          <t>CENTRO</t>
        </is>
      </c>
      <c r="F1616" s="14" t="inlineStr">
        <is>
          <t>ANTONIO LUIZ GARCEZ, S/N - ZONA URBANA</t>
        </is>
      </c>
      <c r="G1616" s="27" t="inlineStr">
        <is>
          <t>48280-000</t>
        </is>
      </c>
      <c r="H1616" s="15" t="n">
        <v>15</v>
      </c>
      <c r="I1616" s="28" t="inlineStr">
        <is>
          <t>NÃO</t>
        </is>
      </c>
      <c r="J1616" s="29" t="n">
        <v>176.2</v>
      </c>
      <c r="K1616" s="14" t="str">
        <f>IF(J1616="","7. Acima de 2 km",IF(J1616&lt;=50,"1. Até 50 m",IF(J1616&lt;=100,"2. De 50 a 100 m",IF(J1616&lt;=200,"3. De 100 a 200 m",IF(J1616&lt;=300,"4. De 200 a 300 m",IF(J1616&lt;=500,"5. De 300 a 500 m","6. De 500 m a 2 km"))))))</f>
        <v>3. De 100 a 200 m</v>
      </c>
      <c r="L1616" s="26" t="n">
        <v>0</v>
      </c>
      <c r="M1616" s="26" t="n">
        <v>0</v>
      </c>
      <c r="N1616" s="26" t="n">
        <v>1</v>
      </c>
      <c r="O1616" s="26" t="n">
        <v>1</v>
      </c>
      <c r="P1616" s="30" t="n">
        <v>-12.5313847</v>
      </c>
      <c r="Q1616" s="30" t="n">
        <v>-38.2987195</v>
      </c>
      <c r="R1616" s="14" t="inlineStr">
        <is>
          <t>RUA QUINTINO BOCAIÚVA, 110, CENTRO, MATA DE SÃO JOÃO/BA</t>
        </is>
      </c>
      <c r="S1616" s="26">
        <f>IF(A1616=A1615,0,1)</f>
        <v>0</v>
      </c>
      <c r="T1616" s="26">
        <f>IF(COUNTIF($B$4:B1616,B1616)=1,1,0)</f>
        <v>0</v>
      </c>
    </row>
    <row r="1617">
      <c r="A1617" s="14" t="inlineStr">
        <is>
          <t>MATA DE SÃO JOÃO</t>
        </is>
      </c>
      <c r="B1617" s="26" t="n">
        <v>185</v>
      </c>
      <c r="C1617" s="26" t="n">
        <v>1236</v>
      </c>
      <c r="D1617" s="14" t="inlineStr">
        <is>
          <t>ESCOLA MUNICIPAL EMANOEL FONTES</t>
        </is>
      </c>
      <c r="E1617" s="14" t="inlineStr">
        <is>
          <t>MONTE LÍBANO</t>
        </is>
      </c>
      <c r="F1617" s="14" t="inlineStr">
        <is>
          <t>RUA SANTA CATARINA,S/N - ZONA URBANA</t>
        </is>
      </c>
      <c r="G1617" s="27" t="inlineStr">
        <is>
          <t>48280-000</t>
        </is>
      </c>
      <c r="H1617" s="15" t="n">
        <v>4</v>
      </c>
      <c r="I1617" s="28" t="inlineStr">
        <is>
          <t>NÃO</t>
        </is>
      </c>
      <c r="J1617" s="29" t="n">
        <v>1468.6</v>
      </c>
      <c r="K1617" s="14" t="str">
        <f>IF(J1617="","7. Acima de 2 km",IF(J1617&lt;=50,"1. Até 50 m",IF(J1617&lt;=100,"2. De 50 a 100 m",IF(J1617&lt;=200,"3. De 100 a 200 m",IF(J1617&lt;=300,"4. De 200 a 300 m",IF(J1617&lt;=500,"5. De 300 a 500 m","6. De 500 m a 2 km"))))))</f>
        <v>6. De 500 m a 2 km</v>
      </c>
      <c r="L1617" s="26" t="n">
        <v>0</v>
      </c>
      <c r="M1617" s="26" t="n">
        <v>0</v>
      </c>
      <c r="N1617" s="26" t="n">
        <v>0</v>
      </c>
      <c r="O1617" s="26" t="n">
        <v>0</v>
      </c>
      <c r="P1617" s="30" t="n">
        <v>-12.5170841</v>
      </c>
      <c r="Q1617" s="30" t="n">
        <v>-38.3155007</v>
      </c>
      <c r="R1617" s="14" t="inlineStr">
        <is>
          <t>RUA QUINTINO BOCAIÚVA, 110, CENTRO, MATA DE SÃO JOÃO/BA</t>
        </is>
      </c>
      <c r="S1617" s="26">
        <f>IF(A1617=A1616,0,1)</f>
        <v>0</v>
      </c>
      <c r="T1617" s="26">
        <f>IF(COUNTIF($B$4:B1617,B1617)=1,1,0)</f>
        <v>0</v>
      </c>
    </row>
    <row r="1618">
      <c r="A1618" s="14" t="inlineStr">
        <is>
          <t>MATA DE SÃO JOÃO</t>
        </is>
      </c>
      <c r="B1618" s="26" t="n">
        <v>185</v>
      </c>
      <c r="C1618" s="26" t="n">
        <v>1244</v>
      </c>
      <c r="D1618" s="14" t="inlineStr">
        <is>
          <t>ESCOLA MUNICIPAL ÁUREO DE OLIVEIRA FILHO</t>
        </is>
      </c>
      <c r="E1618" s="14" t="inlineStr">
        <is>
          <t>LOCALIDADE MALHADAS</t>
        </is>
      </c>
      <c r="F1618" s="14" t="inlineStr">
        <is>
          <t>RUA DIRETA DE MALHADAS, S/N - ZONA URBANA</t>
        </is>
      </c>
      <c r="G1618" s="27" t="inlineStr">
        <is>
          <t>48280-000</t>
        </is>
      </c>
      <c r="H1618" s="15" t="n">
        <v>6</v>
      </c>
      <c r="I1618" s="28" t="inlineStr">
        <is>
          <t>NÃO</t>
        </is>
      </c>
      <c r="J1618" s="29" t="n">
        <v>178.7</v>
      </c>
      <c r="K1618" s="14" t="str">
        <f>IF(J1618="","7. Acima de 2 km",IF(J1618&lt;=50,"1. Até 50 m",IF(J1618&lt;=100,"2. De 50 a 100 m",IF(J1618&lt;=200,"3. De 100 a 200 m",IF(J1618&lt;=300,"4. De 200 a 300 m",IF(J1618&lt;=500,"5. De 300 a 500 m","6. De 500 m a 2 km"))))))</f>
        <v>3. De 100 a 200 m</v>
      </c>
      <c r="L1618" s="26" t="n">
        <v>0</v>
      </c>
      <c r="M1618" s="26" t="n">
        <v>0</v>
      </c>
      <c r="N1618" s="26" t="n">
        <v>1</v>
      </c>
      <c r="O1618" s="26" t="n">
        <v>1</v>
      </c>
      <c r="P1618" s="30" t="n">
        <v>-12.52387</v>
      </c>
      <c r="Q1618" s="30" t="n">
        <v>-38.0103898</v>
      </c>
      <c r="R1618" s="14" t="inlineStr">
        <is>
          <t>RUA QUINTINO BOCAIÚVA, 110, CENTRO, MATA DE SÃO JOÃO/BA</t>
        </is>
      </c>
      <c r="S1618" s="26">
        <f>IF(A1618=A1617,0,1)</f>
        <v>0</v>
      </c>
      <c r="T1618" s="26">
        <f>IF(COUNTIF($B$4:B1618,B1618)=1,1,0)</f>
        <v>0</v>
      </c>
    </row>
    <row r="1619">
      <c r="A1619" s="14" t="inlineStr">
        <is>
          <t>MATA DE SÃO JOÃO</t>
        </is>
      </c>
      <c r="B1619" s="26" t="n">
        <v>185</v>
      </c>
      <c r="C1619" s="26" t="n">
        <v>1252</v>
      </c>
      <c r="D1619" s="14" t="inlineStr">
        <is>
          <t>ESCOLA MUNICIPAL IDALBA TOLENTINO</t>
        </is>
      </c>
      <c r="E1619" s="14" t="inlineStr">
        <is>
          <t>LOCALIDADE AREAL</t>
        </is>
      </c>
      <c r="F1619" s="14" t="inlineStr">
        <is>
          <t>RUA DIRETA DO AREAL, S/N - ZONA RURAL</t>
        </is>
      </c>
      <c r="G1619" s="27" t="inlineStr">
        <is>
          <t>48280-000</t>
        </is>
      </c>
      <c r="H1619" s="15" t="n">
        <v>2</v>
      </c>
      <c r="I1619" s="28" t="inlineStr">
        <is>
          <t>NÃO</t>
        </is>
      </c>
      <c r="J1619" s="29" t="n"/>
      <c r="K1619" s="14" t="str">
        <f>IF(J1619="","7. Acima de 2 km",IF(J1619&lt;=50,"1. Até 50 m",IF(J1619&lt;=100,"2. De 50 a 100 m",IF(J1619&lt;=200,"3. De 100 a 200 m",IF(J1619&lt;=300,"4. De 200 a 300 m",IF(J1619&lt;=500,"5. De 300 a 500 m","6. De 500 m a 2 km"))))))</f>
        <v>7. Acima de 2 km</v>
      </c>
      <c r="L1619" s="26" t="n">
        <v>0</v>
      </c>
      <c r="M1619" s="26" t="n">
        <v>0</v>
      </c>
      <c r="N1619" s="26" t="n">
        <v>0</v>
      </c>
      <c r="O1619" s="26" t="n">
        <v>0</v>
      </c>
      <c r="P1619" s="30" t="n">
        <v>-12.4404932</v>
      </c>
      <c r="Q1619" s="30" t="n">
        <v>-37.956597</v>
      </c>
      <c r="R1619" s="14" t="inlineStr">
        <is>
          <t>RUA QUINTINO BOCAIÚVA, 110, CENTRO, MATA DE SÃO JOÃO/BA</t>
        </is>
      </c>
      <c r="S1619" s="26">
        <f>IF(A1619=A1618,0,1)</f>
        <v>0</v>
      </c>
      <c r="T1619" s="26">
        <f>IF(COUNTIF($B$4:B1619,B1619)=1,1,0)</f>
        <v>0</v>
      </c>
    </row>
    <row r="1620">
      <c r="A1620" s="14" t="inlineStr">
        <is>
          <t>MATA DE SÃO JOÃO</t>
        </is>
      </c>
      <c r="B1620" s="26" t="n">
        <v>185</v>
      </c>
      <c r="C1620" s="26" t="n">
        <v>1260</v>
      </c>
      <c r="D1620" s="14" t="inlineStr">
        <is>
          <t>ESCOLA MUNICIPAL ISAAC MARAMBAIA</t>
        </is>
      </c>
      <c r="E1620" s="14" t="inlineStr">
        <is>
          <t>LOCALIDADE BARRO BRANCO</t>
        </is>
      </c>
      <c r="F1620" s="14" t="inlineStr">
        <is>
          <t>DIRETA DE BARRO BRANCO, S/N - ZONA RURAL</t>
        </is>
      </c>
      <c r="G1620" s="27" t="inlineStr">
        <is>
          <t>48280-000</t>
        </is>
      </c>
      <c r="H1620" s="15" t="n">
        <v>2</v>
      </c>
      <c r="I1620" s="28" t="inlineStr">
        <is>
          <t>NÃO</t>
        </is>
      </c>
      <c r="J1620" s="29" t="n"/>
      <c r="K1620" s="14" t="str">
        <f>IF(J1620="","7. Acima de 2 km",IF(J1620&lt;=50,"1. Até 50 m",IF(J1620&lt;=100,"2. De 50 a 100 m",IF(J1620&lt;=200,"3. De 100 a 200 m",IF(J1620&lt;=300,"4. De 200 a 300 m",IF(J1620&lt;=500,"5. De 300 a 500 m","6. De 500 m a 2 km"))))))</f>
        <v>7. Acima de 2 km</v>
      </c>
      <c r="L1620" s="26" t="n">
        <v>0</v>
      </c>
      <c r="M1620" s="26" t="n">
        <v>0</v>
      </c>
      <c r="N1620" s="26" t="n">
        <v>0</v>
      </c>
      <c r="O1620" s="26" t="n">
        <v>0</v>
      </c>
      <c r="P1620" s="30" t="n">
        <v>-12.4846118</v>
      </c>
      <c r="Q1620" s="30" t="n">
        <v>-37.9873108</v>
      </c>
      <c r="R1620" s="14" t="inlineStr">
        <is>
          <t>RUA QUINTINO BOCAIÚVA, 110, CENTRO, MATA DE SÃO JOÃO/BA</t>
        </is>
      </c>
      <c r="S1620" s="26">
        <f>IF(A1620=A1619,0,1)</f>
        <v>0</v>
      </c>
      <c r="T1620" s="26">
        <f>IF(COUNTIF($B$4:B1620,B1620)=1,1,0)</f>
        <v>0</v>
      </c>
    </row>
    <row r="1621">
      <c r="A1621" s="14" t="inlineStr">
        <is>
          <t>MATA DE SÃO JOÃO</t>
        </is>
      </c>
      <c r="B1621" s="26" t="n">
        <v>185</v>
      </c>
      <c r="C1621" s="26" t="n">
        <v>1279</v>
      </c>
      <c r="D1621" s="14" t="inlineStr">
        <is>
          <t>ESCOLA MUNICIPAL CATARINA RIBEIRO DA SILVA</t>
        </is>
      </c>
      <c r="E1621" s="14" t="inlineStr">
        <is>
          <t>LOCALIDADE ITAPECIRICA</t>
        </is>
      </c>
      <c r="F1621" s="14" t="inlineStr">
        <is>
          <t>VILA DE ITAPECIRICA, S/N - ZONA RURAL</t>
        </is>
      </c>
      <c r="G1621" s="27" t="inlineStr">
        <is>
          <t>48280-000</t>
        </is>
      </c>
      <c r="H1621" s="15" t="n">
        <v>2</v>
      </c>
      <c r="I1621" s="28" t="inlineStr">
        <is>
          <t>NÃO</t>
        </is>
      </c>
      <c r="J1621" s="29" t="n"/>
      <c r="K1621" s="14" t="str">
        <f>IF(J1621="","7. Acima de 2 km",IF(J1621&lt;=50,"1. Até 50 m",IF(J1621&lt;=100,"2. De 50 a 100 m",IF(J1621&lt;=200,"3. De 100 a 200 m",IF(J1621&lt;=300,"4. De 200 a 300 m",IF(J1621&lt;=500,"5. De 300 a 500 m","6. De 500 m a 2 km"))))))</f>
        <v>7. Acima de 2 km</v>
      </c>
      <c r="L1621" s="26" t="n">
        <v>0</v>
      </c>
      <c r="M1621" s="26" t="n">
        <v>0</v>
      </c>
      <c r="N1621" s="26" t="n">
        <v>0</v>
      </c>
      <c r="O1621" s="26" t="n">
        <v>0</v>
      </c>
      <c r="P1621" s="30" t="n">
        <v>-12.4717423</v>
      </c>
      <c r="Q1621" s="30" t="n">
        <v>-38.1935621</v>
      </c>
      <c r="R1621" s="14" t="inlineStr">
        <is>
          <t>RUA QUINTINO BOCAIÚVA, 110, CENTRO, MATA DE SÃO JOÃO/BA</t>
        </is>
      </c>
      <c r="S1621" s="26">
        <f>IF(A1621=A1620,0,1)</f>
        <v>0</v>
      </c>
      <c r="T1621" s="26">
        <f>IF(COUNTIF($B$4:B1621,B1621)=1,1,0)</f>
        <v>0</v>
      </c>
    </row>
    <row r="1622">
      <c r="A1622" s="14" t="inlineStr">
        <is>
          <t>MATA DE SÃO JOÃO</t>
        </is>
      </c>
      <c r="B1622" s="26" t="n">
        <v>185</v>
      </c>
      <c r="C1622" s="26" t="n">
        <v>1287</v>
      </c>
      <c r="D1622" s="14" t="inlineStr">
        <is>
          <t>ESCOLA MUNICIPAL JOÃO PEREIRA VASCONCELOS</t>
        </is>
      </c>
      <c r="E1622" s="14" t="inlineStr">
        <is>
          <t>LOCALIDADE AÇUZINHO</t>
        </is>
      </c>
      <c r="F1622" s="14" t="inlineStr">
        <is>
          <t>PRAÇA DE AÇUZINHO, S/N - ZONA RURAL</t>
        </is>
      </c>
      <c r="G1622" s="27" t="inlineStr">
        <is>
          <t>48280-000</t>
        </is>
      </c>
      <c r="H1622" s="15" t="n">
        <v>5</v>
      </c>
      <c r="I1622" s="28" t="inlineStr">
        <is>
          <t>NÃO</t>
        </is>
      </c>
      <c r="J1622" s="29" t="n">
        <v>468.8</v>
      </c>
      <c r="K1622" s="14" t="str">
        <f>IF(J1622="","7. Acima de 2 km",IF(J1622&lt;=50,"1. Até 50 m",IF(J1622&lt;=100,"2. De 50 a 100 m",IF(J1622&lt;=200,"3. De 100 a 200 m",IF(J1622&lt;=300,"4. De 200 a 300 m",IF(J1622&lt;=500,"5. De 300 a 500 m","6. De 500 m a 2 km"))))))</f>
        <v>5. De 300 a 500 m</v>
      </c>
      <c r="L1622" s="26" t="n">
        <v>0</v>
      </c>
      <c r="M1622" s="26" t="n">
        <v>0</v>
      </c>
      <c r="N1622" s="26" t="n">
        <v>0</v>
      </c>
      <c r="O1622" s="26" t="n">
        <v>0</v>
      </c>
      <c r="P1622" s="30" t="n">
        <v>-12.5589367</v>
      </c>
      <c r="Q1622" s="30" t="n">
        <v>-38.0163194</v>
      </c>
      <c r="R1622" s="14" t="inlineStr">
        <is>
          <t>RUA QUINTINO BOCAIÚVA, 110, CENTRO, MATA DE SÃO JOÃO/BA</t>
        </is>
      </c>
      <c r="S1622" s="26">
        <f>IF(A1622=A1621,0,1)</f>
        <v>0</v>
      </c>
      <c r="T1622" s="26">
        <f>IF(COUNTIF($B$4:B1622,B1622)=1,1,0)</f>
        <v>0</v>
      </c>
    </row>
    <row r="1623">
      <c r="A1623" s="14" t="inlineStr">
        <is>
          <t>MATA DE SÃO JOÃO</t>
        </is>
      </c>
      <c r="B1623" s="26" t="n">
        <v>185</v>
      </c>
      <c r="C1623" s="26" t="n">
        <v>1295</v>
      </c>
      <c r="D1623" s="14" t="inlineStr">
        <is>
          <t>ESCOLA MUNICIPAL PEDRO JOAQUIM DE SOUZA</t>
        </is>
      </c>
      <c r="E1623" s="14" t="inlineStr">
        <is>
          <t>LOCALIDADE PAU GRANDE</t>
        </is>
      </c>
      <c r="F1623" s="14" t="inlineStr">
        <is>
          <t>DIRETA DO PAU GRANDE, S/N - ZONA RURAL</t>
        </is>
      </c>
      <c r="G1623" s="27" t="inlineStr">
        <is>
          <t>48280-000</t>
        </is>
      </c>
      <c r="H1623" s="15" t="n">
        <v>2</v>
      </c>
      <c r="I1623" s="28" t="inlineStr">
        <is>
          <t>NÃO</t>
        </is>
      </c>
      <c r="J1623" s="29" t="n"/>
      <c r="K1623" s="14" t="str">
        <f>IF(J1623="","7. Acima de 2 km",IF(J1623&lt;=50,"1. Até 50 m",IF(J1623&lt;=100,"2. De 50 a 100 m",IF(J1623&lt;=200,"3. De 100 a 200 m",IF(J1623&lt;=300,"4. De 200 a 300 m",IF(J1623&lt;=500,"5. De 300 a 500 m","6. De 500 m a 2 km"))))))</f>
        <v>7. Acima de 2 km</v>
      </c>
      <c r="L1623" s="26" t="n">
        <v>0</v>
      </c>
      <c r="M1623" s="26" t="n">
        <v>0</v>
      </c>
      <c r="N1623" s="26" t="n">
        <v>0</v>
      </c>
      <c r="O1623" s="26" t="n">
        <v>0</v>
      </c>
      <c r="P1623" s="30" t="n">
        <v>-12.5512836</v>
      </c>
      <c r="Q1623" s="30" t="n">
        <v>-38.0468495</v>
      </c>
      <c r="R1623" s="14" t="inlineStr">
        <is>
          <t>RUA QUINTINO BOCAIÚVA, 110, CENTRO, MATA DE SÃO JOÃO/BA</t>
        </is>
      </c>
      <c r="S1623" s="26">
        <f>IF(A1623=A1622,0,1)</f>
        <v>0</v>
      </c>
      <c r="T1623" s="26">
        <f>IF(COUNTIF($B$4:B1623,B1623)=1,1,0)</f>
        <v>0</v>
      </c>
    </row>
    <row r="1624">
      <c r="A1624" s="14" t="inlineStr">
        <is>
          <t>MATA DE SÃO JOÃO</t>
        </is>
      </c>
      <c r="B1624" s="26" t="n">
        <v>185</v>
      </c>
      <c r="C1624" s="26" t="n">
        <v>1309</v>
      </c>
      <c r="D1624" s="14" t="inlineStr">
        <is>
          <t>ESCOLA MUNICIPAL MARIA DE LOURDES SEIXAS</t>
        </is>
      </c>
      <c r="E1624" s="14" t="inlineStr">
        <is>
          <t>VILA DE CAMAÇARI</t>
        </is>
      </c>
      <c r="F1624" s="14" t="inlineStr">
        <is>
          <t>LOCALIDADE DE VILA DE CAMAÇARI, S/N - ZONA RURAL</t>
        </is>
      </c>
      <c r="G1624" s="27" t="inlineStr">
        <is>
          <t>41820-000</t>
        </is>
      </c>
      <c r="H1624" s="15" t="n">
        <v>2</v>
      </c>
      <c r="I1624" s="28" t="inlineStr">
        <is>
          <t>NÃO</t>
        </is>
      </c>
      <c r="J1624" s="29" t="n"/>
      <c r="K1624" s="14" t="str">
        <f>IF(J1624="","7. Acima de 2 km",IF(J1624&lt;=50,"1. Até 50 m",IF(J1624&lt;=100,"2. De 50 a 100 m",IF(J1624&lt;=200,"3. De 100 a 200 m",IF(J1624&lt;=300,"4. De 200 a 300 m",IF(J1624&lt;=500,"5. De 300 a 500 m","6. De 500 m a 2 km"))))))</f>
        <v>7. Acima de 2 km</v>
      </c>
      <c r="L1624" s="26" t="n">
        <v>0</v>
      </c>
      <c r="M1624" s="26" t="n">
        <v>0</v>
      </c>
      <c r="N1624" s="26" t="n">
        <v>0</v>
      </c>
      <c r="O1624" s="26" t="n">
        <v>0</v>
      </c>
      <c r="P1624" s="30" t="n">
        <v>-12.5214912</v>
      </c>
      <c r="Q1624" s="30" t="n">
        <v>-38.2169451</v>
      </c>
      <c r="R1624" s="14" t="inlineStr">
        <is>
          <t>RUA QUINTINO BOCAIÚVA, 110, CENTRO, MATA DE SÃO JOÃO/BA</t>
        </is>
      </c>
      <c r="S1624" s="26">
        <f>IF(A1624=A1623,0,1)</f>
        <v>0</v>
      </c>
      <c r="T1624" s="26">
        <f>IF(COUNTIF($B$4:B1624,B1624)=1,1,0)</f>
        <v>0</v>
      </c>
    </row>
    <row r="1625">
      <c r="A1625" s="14" t="inlineStr">
        <is>
          <t>MATA DE SÃO JOÃO</t>
        </is>
      </c>
      <c r="B1625" s="26" t="n">
        <v>185</v>
      </c>
      <c r="C1625" s="26" t="n">
        <v>1325</v>
      </c>
      <c r="D1625" s="14" t="inlineStr">
        <is>
          <t>ESCOLA MUNICIPAL CÉLIA GOULART DE FREITAS</t>
        </is>
      </c>
      <c r="E1625" s="14" t="inlineStr">
        <is>
          <t>CENTRO</t>
        </is>
      </c>
      <c r="F1625" s="14" t="inlineStr">
        <is>
          <t>RUA LAURINDO REGIS S/N - ZONA URBANA</t>
        </is>
      </c>
      <c r="G1625" s="27" t="inlineStr">
        <is>
          <t>48280-000</t>
        </is>
      </c>
      <c r="H1625" s="15" t="n">
        <v>8</v>
      </c>
      <c r="I1625" s="28" t="inlineStr">
        <is>
          <t>NÃO</t>
        </is>
      </c>
      <c r="J1625" s="29" t="n">
        <v>679.3</v>
      </c>
      <c r="K1625" s="14" t="str">
        <f>IF(J1625="","7. Acima de 2 km",IF(J1625&lt;=50,"1. Até 50 m",IF(J1625&lt;=100,"2. De 50 a 100 m",IF(J1625&lt;=200,"3. De 100 a 200 m",IF(J1625&lt;=300,"4. De 200 a 300 m",IF(J1625&lt;=500,"5. De 300 a 500 m","6. De 500 m a 2 km"))))))</f>
        <v>6. De 500 m a 2 km</v>
      </c>
      <c r="L1625" s="26" t="n">
        <v>0</v>
      </c>
      <c r="M1625" s="26" t="n">
        <v>0</v>
      </c>
      <c r="N1625" s="26" t="n">
        <v>0</v>
      </c>
      <c r="O1625" s="26" t="n">
        <v>0</v>
      </c>
      <c r="P1625" s="30" t="n">
        <v>-12.5376142</v>
      </c>
      <c r="Q1625" s="30" t="n">
        <v>-38.2953448</v>
      </c>
      <c r="R1625" s="14" t="inlineStr">
        <is>
          <t>RUA QUINTINO BOCAIÚVA, 110, CENTRO, MATA DE SÃO JOÃO/BA</t>
        </is>
      </c>
      <c r="S1625" s="26">
        <f>IF(A1625=A1624,0,1)</f>
        <v>0</v>
      </c>
      <c r="T1625" s="26">
        <f>IF(COUNTIF($B$4:B1625,B1625)=1,1,0)</f>
        <v>0</v>
      </c>
    </row>
    <row r="1626">
      <c r="A1626" s="14" t="inlineStr">
        <is>
          <t>MATA DE SÃO JOÃO</t>
        </is>
      </c>
      <c r="B1626" s="26" t="n">
        <v>185</v>
      </c>
      <c r="C1626" s="26" t="n">
        <v>1333</v>
      </c>
      <c r="D1626" s="14" t="inlineStr">
        <is>
          <t>ESCOLA MUNICIPAL PROF. ANGELINA RODRIGUES DO NASCIMENTO</t>
        </is>
      </c>
      <c r="E1626" s="14" t="inlineStr">
        <is>
          <t>LOCALIDADE PRAIA DO FORTE</t>
        </is>
      </c>
      <c r="F1626" s="14" t="inlineStr">
        <is>
          <t>AVENIDA LITORAL S/N - ZONA RURAL</t>
        </is>
      </c>
      <c r="G1626" s="27" t="inlineStr">
        <is>
          <t>48280-000</t>
        </is>
      </c>
      <c r="H1626" s="15" t="n">
        <v>4</v>
      </c>
      <c r="I1626" s="28" t="inlineStr">
        <is>
          <t>SIM</t>
        </is>
      </c>
      <c r="J1626" s="29" t="n">
        <v>69</v>
      </c>
      <c r="K1626" s="14" t="str">
        <f>IF(J1626="","7. Acima de 2 km",IF(J1626&lt;=50,"1. Até 50 m",IF(J1626&lt;=100,"2. De 50 a 100 m",IF(J1626&lt;=200,"3. De 100 a 200 m",IF(J1626&lt;=300,"4. De 200 a 300 m",IF(J1626&lt;=500,"5. De 300 a 500 m","6. De 500 m a 2 km"))))))</f>
        <v>2. De 50 a 100 m</v>
      </c>
      <c r="L1626" s="26" t="n">
        <v>0</v>
      </c>
      <c r="M1626" s="26" t="n">
        <v>1</v>
      </c>
      <c r="N1626" s="26" t="n">
        <v>2</v>
      </c>
      <c r="O1626" s="26" t="n">
        <v>2</v>
      </c>
      <c r="P1626" s="30" t="n">
        <v>-12.5665974</v>
      </c>
      <c r="Q1626" s="30" t="n">
        <v>-38.0169863</v>
      </c>
      <c r="R1626" s="14" t="inlineStr">
        <is>
          <t>RUA QUINTINO BOCAIÚVA, 110, CENTRO, MATA DE SÃO JOÃO/BA</t>
        </is>
      </c>
      <c r="S1626" s="26">
        <f>IF(A1626=A1625,0,1)</f>
        <v>0</v>
      </c>
      <c r="T1626" s="26">
        <f>IF(COUNTIF($B$4:B1626,B1626)=1,1,0)</f>
        <v>0</v>
      </c>
    </row>
    <row r="1627">
      <c r="A1627" s="14" t="inlineStr">
        <is>
          <t>MATA DE SÃO JOÃO</t>
        </is>
      </c>
      <c r="B1627" s="26" t="n">
        <v>185</v>
      </c>
      <c r="C1627" s="26" t="n">
        <v>1350</v>
      </c>
      <c r="D1627" s="14" t="inlineStr">
        <is>
          <t>ESCOLA MUNICIPAL PROFESSOR ROBERT LIMA COSTA</t>
        </is>
      </c>
      <c r="E1627" s="14" t="inlineStr">
        <is>
          <t>DISTRITO AMADO BAHIA</t>
        </is>
      </c>
      <c r="F1627" s="14" t="inlineStr">
        <is>
          <t>RUA QUEIROZ MONTEIRO</t>
        </is>
      </c>
      <c r="G1627" s="27" t="inlineStr">
        <is>
          <t>48280-000</t>
        </is>
      </c>
      <c r="H1627" s="15" t="n">
        <v>1</v>
      </c>
      <c r="I1627" s="28" t="inlineStr">
        <is>
          <t>NÃO</t>
        </is>
      </c>
      <c r="J1627" s="29" t="n">
        <v>112.6</v>
      </c>
      <c r="K1627" s="14" t="str">
        <f>IF(J1627="","7. Acima de 2 km",IF(J1627&lt;=50,"1. Até 50 m",IF(J1627&lt;=100,"2. De 50 a 100 m",IF(J1627&lt;=200,"3. De 100 a 200 m",IF(J1627&lt;=300,"4. De 200 a 300 m",IF(J1627&lt;=500,"5. De 300 a 500 m","6. De 500 m a 2 km"))))))</f>
        <v>3. De 100 a 200 m</v>
      </c>
      <c r="L1627" s="26" t="n">
        <v>0</v>
      </c>
      <c r="M1627" s="26" t="n">
        <v>0</v>
      </c>
      <c r="N1627" s="26" t="n">
        <v>1</v>
      </c>
      <c r="O1627" s="26" t="n">
        <v>1</v>
      </c>
      <c r="P1627" s="30" t="n">
        <v>-12.5683284</v>
      </c>
      <c r="Q1627" s="30" t="n">
        <v>-38.2984754</v>
      </c>
      <c r="R1627" s="14" t="inlineStr">
        <is>
          <t>RUA QUINTINO BOCAIÚVA, 110, CENTRO, MATA DE SÃO JOÃO/BA</t>
        </is>
      </c>
      <c r="S1627" s="26">
        <f>IF(A1627=A1626,0,1)</f>
        <v>0</v>
      </c>
      <c r="T1627" s="26">
        <f>IF(COUNTIF($B$4:B1627,B1627)=1,1,0)</f>
        <v>0</v>
      </c>
    </row>
    <row r="1628">
      <c r="A1628" s="14" t="inlineStr">
        <is>
          <t>MATA DE SÃO JOÃO</t>
        </is>
      </c>
      <c r="B1628" s="26" t="n">
        <v>185</v>
      </c>
      <c r="C1628" s="26" t="n">
        <v>1368</v>
      </c>
      <c r="D1628" s="14" t="inlineStr">
        <is>
          <t>ESCOLA MUNICIPAL JOÃO FRANCISCO DOS SANTOS</t>
        </is>
      </c>
      <c r="E1628" s="14" t="inlineStr">
        <is>
          <t>LOCALIDADE MALHADAS</t>
        </is>
      </c>
      <c r="F1628" s="14" t="inlineStr">
        <is>
          <t>RUA DIRETA DE CAMPINAS, S/N - ZONA RURAL</t>
        </is>
      </c>
      <c r="G1628" s="27" t="inlineStr">
        <is>
          <t>48280-000</t>
        </is>
      </c>
      <c r="H1628" s="15" t="n">
        <v>1</v>
      </c>
      <c r="I1628" s="28" t="inlineStr">
        <is>
          <t>NÃO</t>
        </is>
      </c>
      <c r="J1628" s="29" t="n">
        <v>1168.3</v>
      </c>
      <c r="K1628" s="14" t="str">
        <f>IF(J1628="","7. Acima de 2 km",IF(J1628&lt;=50,"1. Até 50 m",IF(J1628&lt;=100,"2. De 50 a 100 m",IF(J1628&lt;=200,"3. De 100 a 200 m",IF(J1628&lt;=300,"4. De 200 a 300 m",IF(J1628&lt;=500,"5. De 300 a 500 m","6. De 500 m a 2 km"))))))</f>
        <v>6. De 500 m a 2 km</v>
      </c>
      <c r="L1628" s="26" t="n">
        <v>0</v>
      </c>
      <c r="M1628" s="26" t="n">
        <v>0</v>
      </c>
      <c r="N1628" s="26" t="n">
        <v>0</v>
      </c>
      <c r="O1628" s="26" t="n">
        <v>0</v>
      </c>
      <c r="P1628" s="30" t="n">
        <v>-12.5285333</v>
      </c>
      <c r="Q1628" s="30" t="n">
        <v>-38.0015134</v>
      </c>
      <c r="R1628" s="14" t="inlineStr">
        <is>
          <t>RUA QUINTINO BOCAIÚVA, 110, CENTRO, MATA DE SÃO JOÃO/BA</t>
        </is>
      </c>
      <c r="S1628" s="26">
        <f>IF(A1628=A1627,0,1)</f>
        <v>0</v>
      </c>
      <c r="T1628" s="26">
        <f>IF(COUNTIF($B$4:B1628,B1628)=1,1,0)</f>
        <v>0</v>
      </c>
    </row>
    <row r="1629">
      <c r="A1629" s="14" t="inlineStr">
        <is>
          <t>MUCUGÊ</t>
        </is>
      </c>
      <c r="B1629" s="26" t="n">
        <v>119</v>
      </c>
      <c r="C1629" s="26" t="n">
        <v>1015</v>
      </c>
      <c r="D1629" s="14" t="inlineStr">
        <is>
          <t>GRUPO ESCOLAR ANATALINO PINA MEDRADO</t>
        </is>
      </c>
      <c r="E1629" s="14" t="inlineStr">
        <is>
          <t>CIDADE MONUMENTO</t>
        </is>
      </c>
      <c r="F1629" s="14" t="inlineStr">
        <is>
          <t>RUA SANTA ISABEL, S/N - ZONA URBANA</t>
        </is>
      </c>
      <c r="G1629" s="27" t="inlineStr">
        <is>
          <t>46750-000</t>
        </is>
      </c>
      <c r="H1629" s="15" t="n">
        <v>3</v>
      </c>
      <c r="I1629" s="28" t="inlineStr">
        <is>
          <t>NÃO</t>
        </is>
      </c>
      <c r="J1629" s="29" t="n">
        <v>299.8</v>
      </c>
      <c r="K1629" s="14" t="str">
        <f>IF(J1629="","7. Acima de 2 km",IF(J1629&lt;=50,"1. Até 50 m",IF(J1629&lt;=100,"2. De 50 a 100 m",IF(J1629&lt;=200,"3. De 100 a 200 m",IF(J1629&lt;=300,"4. De 200 a 300 m",IF(J1629&lt;=500,"5. De 300 a 500 m","6. De 500 m a 2 km"))))))</f>
        <v>4. De 200 a 300 m</v>
      </c>
      <c r="L1629" s="26" t="n">
        <v>0</v>
      </c>
      <c r="M1629" s="26" t="n">
        <v>0</v>
      </c>
      <c r="N1629" s="26" t="n">
        <v>0</v>
      </c>
      <c r="O1629" s="26" t="n">
        <v>1</v>
      </c>
      <c r="P1629" s="30" t="n">
        <v>-13.0057531</v>
      </c>
      <c r="Q1629" s="30" t="n">
        <v>-41.3747804</v>
      </c>
      <c r="R1629" s="14" t="inlineStr">
        <is>
          <t>FÓRUM DA COMARCA DE ANDARAÍ, PRAÇA SÃO FRANCISCO DE ASSIS, S/N, ALTO DO IBIRAPITANGA -ANDARAÍ/BA</t>
        </is>
      </c>
      <c r="S1629" s="26">
        <f>IF(A1629=A1628,0,1)</f>
        <v>1</v>
      </c>
      <c r="T1629" s="26">
        <f>IF(COUNTIF($B$4:B1629,B1629)=1,1,0)</f>
        <v>0</v>
      </c>
    </row>
    <row r="1630">
      <c r="A1630" s="14" t="inlineStr">
        <is>
          <t>MUCUGÊ</t>
        </is>
      </c>
      <c r="B1630" s="26" t="n">
        <v>119</v>
      </c>
      <c r="C1630" s="26" t="n">
        <v>1023</v>
      </c>
      <c r="D1630" s="14" t="inlineStr">
        <is>
          <t>ESCOLAS REUNIDAS DR. RODRIGUES LIMA</t>
        </is>
      </c>
      <c r="E1630" s="14" t="inlineStr">
        <is>
          <t>CIDADE MONUMENTO</t>
        </is>
      </c>
      <c r="F1630" s="14" t="inlineStr">
        <is>
          <t>PRACA SANTA ISABEL, S/N - ZONA URBANA</t>
        </is>
      </c>
      <c r="G1630" s="27" t="inlineStr">
        <is>
          <t>46750-000</t>
        </is>
      </c>
      <c r="H1630" s="15" t="n">
        <v>4</v>
      </c>
      <c r="I1630" s="28" t="inlineStr">
        <is>
          <t>NÃO</t>
        </is>
      </c>
      <c r="J1630" s="29" t="n">
        <v>370</v>
      </c>
      <c r="K1630" s="14" t="str">
        <f>IF(J1630="","7. Acima de 2 km",IF(J1630&lt;=50,"1. Até 50 m",IF(J1630&lt;=100,"2. De 50 a 100 m",IF(J1630&lt;=200,"3. De 100 a 200 m",IF(J1630&lt;=300,"4. De 200 a 300 m",IF(J1630&lt;=500,"5. De 300 a 500 m","6. De 500 m a 2 km"))))))</f>
        <v>5. De 300 a 500 m</v>
      </c>
      <c r="L1630" s="26" t="n">
        <v>0</v>
      </c>
      <c r="M1630" s="26" t="n">
        <v>0</v>
      </c>
      <c r="N1630" s="26" t="n">
        <v>0</v>
      </c>
      <c r="O1630" s="26" t="n">
        <v>0</v>
      </c>
      <c r="P1630" s="30" t="n">
        <v>-13.005025</v>
      </c>
      <c r="Q1630" s="30" t="n">
        <v>-41.3746493</v>
      </c>
      <c r="R1630" s="14" t="inlineStr">
        <is>
          <t>FÓRUM DA COMARCA DE ANDARAÍ, PRAÇA SÃO FRANCISCO DE ASSIS, S/N, ALTO DO IBIRAPITANGA -ANDARAÍ/BA</t>
        </is>
      </c>
      <c r="S1630" s="26">
        <f>IF(A1630=A1629,0,1)</f>
        <v>0</v>
      </c>
      <c r="T1630" s="26">
        <f>IF(COUNTIF($B$4:B1630,B1630)=1,1,0)</f>
        <v>0</v>
      </c>
    </row>
    <row r="1631">
      <c r="A1631" s="14" t="inlineStr">
        <is>
          <t>MUCUGÊ</t>
        </is>
      </c>
      <c r="B1631" s="26" t="n">
        <v>119</v>
      </c>
      <c r="C1631" s="26" t="n">
        <v>1031</v>
      </c>
      <c r="D1631" s="14" t="inlineStr">
        <is>
          <t>COLEGIO ESTADUAL DE TEMPO INTEGRAL DE MUCUGE - CETI</t>
        </is>
      </c>
      <c r="E1631" s="14" t="inlineStr">
        <is>
          <t>CIDADE MONUMENTO</t>
        </is>
      </c>
      <c r="F1631" s="14" t="inlineStr">
        <is>
          <t>RUA SANTA ISABEL, S/N - ZONA URBANA</t>
        </is>
      </c>
      <c r="G1631" s="27" t="inlineStr">
        <is>
          <t>46750-000</t>
        </is>
      </c>
      <c r="H1631" s="15" t="n">
        <v>6</v>
      </c>
      <c r="I1631" s="28" t="inlineStr">
        <is>
          <t>NÃO</t>
        </is>
      </c>
      <c r="J1631" s="29" t="n">
        <v>323.5</v>
      </c>
      <c r="K1631" s="14" t="str">
        <f>IF(J1631="","7. Acima de 2 km",IF(J1631&lt;=50,"1. Até 50 m",IF(J1631&lt;=100,"2. De 50 a 100 m",IF(J1631&lt;=200,"3. De 100 a 200 m",IF(J1631&lt;=300,"4. De 200 a 300 m",IF(J1631&lt;=500,"5. De 300 a 500 m","6. De 500 m a 2 km"))))))</f>
        <v>5. De 300 a 500 m</v>
      </c>
      <c r="L1631" s="26" t="n">
        <v>0</v>
      </c>
      <c r="M1631" s="26" t="n">
        <v>0</v>
      </c>
      <c r="N1631" s="26" t="n">
        <v>0</v>
      </c>
      <c r="O1631" s="26" t="n">
        <v>0</v>
      </c>
      <c r="P1631" s="30" t="n">
        <v>-13.0061791</v>
      </c>
      <c r="Q1631" s="30" t="n">
        <v>-41.3757557</v>
      </c>
      <c r="R1631" s="14" t="inlineStr">
        <is>
          <t>FÓRUM DA COMARCA DE ANDARAÍ, PRAÇA SÃO FRANCISCO DE ASSIS, S/N, ALTO DO IBIRAPITANGA -ANDARAÍ/BA</t>
        </is>
      </c>
      <c r="S1631" s="26">
        <f>IF(A1631=A1630,0,1)</f>
        <v>0</v>
      </c>
      <c r="T1631" s="26">
        <f>IF(COUNTIF($B$4:B1631,B1631)=1,1,0)</f>
        <v>0</v>
      </c>
    </row>
    <row r="1632">
      <c r="A1632" s="14" t="inlineStr">
        <is>
          <t>MUCUGÊ</t>
        </is>
      </c>
      <c r="B1632" s="26" t="n">
        <v>119</v>
      </c>
      <c r="C1632" s="26" t="n">
        <v>1066</v>
      </c>
      <c r="D1632" s="14" t="inlineStr">
        <is>
          <t>ESCOLA MUNICIPAL DE PRIMEIRO E SEGUNDO GRAUS EURICO BELO</t>
        </is>
      </c>
      <c r="E1632" s="14" t="inlineStr">
        <is>
          <t>DISTRITO DE GUINE</t>
        </is>
      </c>
      <c r="F1632" s="14" t="inlineStr">
        <is>
          <t>RUA EURICO BELO, S/N - ZONA RURAL</t>
        </is>
      </c>
      <c r="G1632" s="27" t="inlineStr">
        <is>
          <t>46750-000</t>
        </is>
      </c>
      <c r="H1632" s="15" t="n">
        <v>5</v>
      </c>
      <c r="I1632" s="28" t="inlineStr">
        <is>
          <t>NÃO</t>
        </is>
      </c>
      <c r="J1632" s="29" t="n"/>
      <c r="K1632" s="14" t="str">
        <f>IF(J1632="","7. Acima de 2 km",IF(J1632&lt;=50,"1. Até 50 m",IF(J1632&lt;=100,"2. De 50 a 100 m",IF(J1632&lt;=200,"3. De 100 a 200 m",IF(J1632&lt;=300,"4. De 200 a 300 m",IF(J1632&lt;=500,"5. De 300 a 500 m","6. De 500 m a 2 km"))))))</f>
        <v>7. Acima de 2 km</v>
      </c>
      <c r="L1632" s="26" t="n">
        <v>0</v>
      </c>
      <c r="M1632" s="26" t="n">
        <v>0</v>
      </c>
      <c r="N1632" s="26" t="n">
        <v>0</v>
      </c>
      <c r="O1632" s="26" t="n">
        <v>0</v>
      </c>
      <c r="P1632" s="30" t="n">
        <v>-12.770623</v>
      </c>
      <c r="Q1632" s="30" t="n">
        <v>-41.5385729</v>
      </c>
      <c r="R1632" s="14" t="inlineStr">
        <is>
          <t>FÓRUM DA COMARCA DE ANDARAÍ, PRAÇA SÃO FRANCISCO DE ASSIS, S/N, ALTO DO IBIRAPITANGA -ANDARAÍ/BA</t>
        </is>
      </c>
      <c r="S1632" s="26">
        <f>IF(A1632=A1631,0,1)</f>
        <v>0</v>
      </c>
      <c r="T1632" s="26">
        <f>IF(COUNTIF($B$4:B1632,B1632)=1,1,0)</f>
        <v>0</v>
      </c>
    </row>
    <row r="1633">
      <c r="A1633" s="14" t="inlineStr">
        <is>
          <t>MUCUGÊ</t>
        </is>
      </c>
      <c r="B1633" s="26" t="n">
        <v>119</v>
      </c>
      <c r="C1633" s="26" t="n">
        <v>1074</v>
      </c>
      <c r="D1633" s="14" t="inlineStr">
        <is>
          <t>ESCOLA MUNICIPAL DÁRIO JOSÉ DE NOVAES</t>
        </is>
      </c>
      <c r="E1633" s="14" t="inlineStr">
        <is>
          <t>DISTRITO JOAO CORREIA</t>
        </is>
      </c>
      <c r="F1633" s="14" t="inlineStr">
        <is>
          <t>RUA AIRTON SENNA, S/N - ZONA RURAL</t>
        </is>
      </c>
      <c r="G1633" s="27" t="inlineStr">
        <is>
          <t>46750-000</t>
        </is>
      </c>
      <c r="H1633" s="15" t="n">
        <v>3</v>
      </c>
      <c r="I1633" s="28" t="inlineStr">
        <is>
          <t>NÃO</t>
        </is>
      </c>
      <c r="J1633" s="29" t="n"/>
      <c r="K1633" s="14" t="str">
        <f>IF(J1633="","7. Acima de 2 km",IF(J1633&lt;=50,"1. Até 50 m",IF(J1633&lt;=100,"2. De 50 a 100 m",IF(J1633&lt;=200,"3. De 100 a 200 m",IF(J1633&lt;=300,"4. De 200 a 300 m",IF(J1633&lt;=500,"5. De 300 a 500 m","6. De 500 m a 2 km"))))))</f>
        <v>7. Acima de 2 km</v>
      </c>
      <c r="L1633" s="26" t="n">
        <v>0</v>
      </c>
      <c r="M1633" s="26" t="n">
        <v>0</v>
      </c>
      <c r="N1633" s="26" t="n">
        <v>0</v>
      </c>
      <c r="O1633" s="26" t="n">
        <v>0</v>
      </c>
      <c r="P1633" s="30" t="n">
        <v>-13.2720099</v>
      </c>
      <c r="Q1633" s="30" t="n">
        <v>-41.5970068</v>
      </c>
      <c r="R1633" s="14" t="inlineStr">
        <is>
          <t>FÓRUM DA COMARCA DE ANDARAÍ, PRAÇA SÃO FRANCISCO DE ASSIS, S/N, ALTO DO IBIRAPITANGA -ANDARAÍ/BA</t>
        </is>
      </c>
      <c r="S1633" s="26">
        <f>IF(A1633=A1632,0,1)</f>
        <v>0</v>
      </c>
      <c r="T1633" s="26">
        <f>IF(COUNTIF($B$4:B1633,B1633)=1,1,0)</f>
        <v>0</v>
      </c>
    </row>
    <row r="1634">
      <c r="A1634" s="14" t="inlineStr">
        <is>
          <t>MUCUGÊ</t>
        </is>
      </c>
      <c r="B1634" s="26" t="n">
        <v>119</v>
      </c>
      <c r="C1634" s="26" t="n">
        <v>1082</v>
      </c>
      <c r="D1634" s="14" t="inlineStr">
        <is>
          <t>ESCOLA BENJAMIN ALENCAR</t>
        </is>
      </c>
      <c r="E1634" s="14" t="inlineStr">
        <is>
          <t>POVOADO BREJO DE CIMA</t>
        </is>
      </c>
      <c r="F1634" s="14" t="inlineStr">
        <is>
          <t>AVENIDA GREGORIO PEREIRA, S/N - ZONA RURAL</t>
        </is>
      </c>
      <c r="G1634" s="27" t="inlineStr">
        <is>
          <t>46750-000</t>
        </is>
      </c>
      <c r="H1634" s="15" t="n">
        <v>2</v>
      </c>
      <c r="I1634" s="28" t="inlineStr">
        <is>
          <t>NÃO</t>
        </is>
      </c>
      <c r="J1634" s="29" t="n"/>
      <c r="K1634" s="14" t="str">
        <f>IF(J1634="","7. Acima de 2 km",IF(J1634&lt;=50,"1. Até 50 m",IF(J1634&lt;=100,"2. De 50 a 100 m",IF(J1634&lt;=200,"3. De 100 a 200 m",IF(J1634&lt;=300,"4. De 200 a 300 m",IF(J1634&lt;=500,"5. De 300 a 500 m","6. De 500 m a 2 km"))))))</f>
        <v>7. Acima de 2 km</v>
      </c>
      <c r="L1634" s="26" t="n">
        <v>0</v>
      </c>
      <c r="M1634" s="26" t="n">
        <v>0</v>
      </c>
      <c r="N1634" s="26" t="n">
        <v>0</v>
      </c>
      <c r="O1634" s="26" t="n">
        <v>0</v>
      </c>
      <c r="P1634" s="30" t="n">
        <v>-13.3127967</v>
      </c>
      <c r="Q1634" s="30" t="n">
        <v>-41.5719488</v>
      </c>
      <c r="R1634" s="14" t="inlineStr">
        <is>
          <t>FÓRUM DA COMARCA DE ANDARAÍ, PRAÇA SÃO FRANCISCO DE ASSIS, S/N, ALTO DO IBIRAPITANGA -ANDARAÍ/BA</t>
        </is>
      </c>
      <c r="S1634" s="26">
        <f>IF(A1634=A1633,0,1)</f>
        <v>0</v>
      </c>
      <c r="T1634" s="26">
        <f>IF(COUNTIF($B$4:B1634,B1634)=1,1,0)</f>
        <v>0</v>
      </c>
    </row>
    <row r="1635">
      <c r="A1635" s="14" t="inlineStr">
        <is>
          <t>MUCUGÊ</t>
        </is>
      </c>
      <c r="B1635" s="26" t="n">
        <v>119</v>
      </c>
      <c r="C1635" s="26" t="n">
        <v>1090</v>
      </c>
      <c r="D1635" s="14" t="inlineStr">
        <is>
          <t>ESCOLA CEL. DOUCA MEDRADO</t>
        </is>
      </c>
      <c r="E1635" s="14" t="inlineStr">
        <is>
          <t>POVOADO SAO JOAO</t>
        </is>
      </c>
      <c r="F1635" s="14" t="inlineStr">
        <is>
          <t>POVOADO SAO JOAO - ZONA RURAL</t>
        </is>
      </c>
      <c r="G1635" s="27" t="inlineStr">
        <is>
          <t>46750-000</t>
        </is>
      </c>
      <c r="H1635" s="15" t="n">
        <v>1</v>
      </c>
      <c r="I1635" s="28" t="inlineStr">
        <is>
          <t>NÃO</t>
        </is>
      </c>
      <c r="J1635" s="29" t="n"/>
      <c r="K1635" s="14" t="str">
        <f>IF(J1635="","7. Acima de 2 km",IF(J1635&lt;=50,"1. Até 50 m",IF(J1635&lt;=100,"2. De 50 a 100 m",IF(J1635&lt;=200,"3. De 100 a 200 m",IF(J1635&lt;=300,"4. De 200 a 300 m",IF(J1635&lt;=500,"5. De 300 a 500 m","6. De 500 m a 2 km"))))))</f>
        <v>7. Acima de 2 km</v>
      </c>
      <c r="L1635" s="26" t="n">
        <v>0</v>
      </c>
      <c r="M1635" s="26" t="n">
        <v>0</v>
      </c>
      <c r="N1635" s="26" t="n">
        <v>0</v>
      </c>
      <c r="O1635" s="26" t="n">
        <v>0</v>
      </c>
      <c r="P1635" s="30" t="n">
        <v>-13.1977295</v>
      </c>
      <c r="Q1635" s="30" t="n">
        <v>-41.5872709</v>
      </c>
      <c r="R1635" s="14" t="inlineStr">
        <is>
          <t>FÓRUM DA COMARCA DE ANDARAÍ, PRAÇA SÃO FRANCISCO DE ASSIS, S/N, ALTO DO IBIRAPITANGA -ANDARAÍ/BA</t>
        </is>
      </c>
      <c r="S1635" s="26">
        <f>IF(A1635=A1634,0,1)</f>
        <v>0</v>
      </c>
      <c r="T1635" s="26">
        <f>IF(COUNTIF($B$4:B1635,B1635)=1,1,0)</f>
        <v>0</v>
      </c>
    </row>
    <row r="1636">
      <c r="A1636" s="14" t="inlineStr">
        <is>
          <t>MUCUGÊ</t>
        </is>
      </c>
      <c r="B1636" s="26" t="n">
        <v>119</v>
      </c>
      <c r="C1636" s="26" t="n">
        <v>1147</v>
      </c>
      <c r="D1636" s="14" t="inlineStr">
        <is>
          <t>ESCOLA JOAO ALVES DE OLIVEIRA</t>
        </is>
      </c>
      <c r="E1636" s="14" t="inlineStr">
        <is>
          <t>POVOADO BARRIGUDA</t>
        </is>
      </c>
      <c r="F1636" s="14" t="inlineStr">
        <is>
          <t>POVOADO BARRIGUDA - ZONA RURAL</t>
        </is>
      </c>
      <c r="G1636" s="27" t="inlineStr">
        <is>
          <t>46750-000</t>
        </is>
      </c>
      <c r="H1636" s="15" t="n">
        <v>1</v>
      </c>
      <c r="I1636" s="28" t="inlineStr">
        <is>
          <t>NÃO</t>
        </is>
      </c>
      <c r="J1636" s="29" t="n"/>
      <c r="K1636" s="14" t="str">
        <f>IF(J1636="","7. Acima de 2 km",IF(J1636&lt;=50,"1. Até 50 m",IF(J1636&lt;=100,"2. De 50 a 100 m",IF(J1636&lt;=200,"3. De 100 a 200 m",IF(J1636&lt;=300,"4. De 200 a 300 m",IF(J1636&lt;=500,"5. De 300 a 500 m","6. De 500 m a 2 km"))))))</f>
        <v>7. Acima de 2 km</v>
      </c>
      <c r="L1636" s="26" t="n">
        <v>0</v>
      </c>
      <c r="M1636" s="26" t="n">
        <v>0</v>
      </c>
      <c r="N1636" s="26" t="n">
        <v>0</v>
      </c>
      <c r="O1636" s="26" t="n">
        <v>0</v>
      </c>
      <c r="P1636" s="30" t="n">
        <v>-12.7216701</v>
      </c>
      <c r="Q1636" s="30" t="n">
        <v>-41.5702303</v>
      </c>
      <c r="R1636" s="14" t="inlineStr">
        <is>
          <t>FÓRUM DA COMARCA DE ANDARAÍ, PRAÇA SÃO FRANCISCO DE ASSIS, S/N, ALTO DO IBIRAPITANGA -ANDARAÍ/BA</t>
        </is>
      </c>
      <c r="S1636" s="26">
        <f>IF(A1636=A1635,0,1)</f>
        <v>0</v>
      </c>
      <c r="T1636" s="26">
        <f>IF(COUNTIF($B$4:B1636,B1636)=1,1,0)</f>
        <v>0</v>
      </c>
    </row>
    <row r="1637">
      <c r="A1637" s="14" t="inlineStr">
        <is>
          <t>MUCUGÊ</t>
        </is>
      </c>
      <c r="B1637" s="26" t="n">
        <v>119</v>
      </c>
      <c r="C1637" s="26" t="n">
        <v>1155</v>
      </c>
      <c r="D1637" s="14" t="inlineStr">
        <is>
          <t>ESCOLA MUNICIPAL JOSE PAULO DE LIMA</t>
        </is>
      </c>
      <c r="E1637" s="14" t="inlineStr">
        <is>
          <t>POVOADO PAIOL</t>
        </is>
      </c>
      <c r="F1637" s="14" t="inlineStr">
        <is>
          <t>POVOADO PAIOL - ZONA RURAL</t>
        </is>
      </c>
      <c r="G1637" s="27" t="inlineStr">
        <is>
          <t>46750-000</t>
        </is>
      </c>
      <c r="H1637" s="15" t="n">
        <v>2</v>
      </c>
      <c r="I1637" s="28" t="inlineStr">
        <is>
          <t>NÃO</t>
        </is>
      </c>
      <c r="J1637" s="29" t="n"/>
      <c r="K1637" s="14" t="str">
        <f>IF(J1637="","7. Acima de 2 km",IF(J1637&lt;=50,"1. Até 50 m",IF(J1637&lt;=100,"2. De 50 a 100 m",IF(J1637&lt;=200,"3. De 100 a 200 m",IF(J1637&lt;=300,"4. De 200 a 300 m",IF(J1637&lt;=500,"5. De 300 a 500 m","6. De 500 m a 2 km"))))))</f>
        <v>7. Acima de 2 km</v>
      </c>
      <c r="L1637" s="26" t="n">
        <v>0</v>
      </c>
      <c r="M1637" s="26" t="n">
        <v>0</v>
      </c>
      <c r="N1637" s="26" t="n">
        <v>0</v>
      </c>
      <c r="O1637" s="26" t="n">
        <v>0</v>
      </c>
      <c r="P1637" s="30" t="n">
        <v>-13.2529452</v>
      </c>
      <c r="Q1637" s="30" t="n">
        <v>-41.5123004</v>
      </c>
      <c r="R1637" s="14" t="inlineStr">
        <is>
          <t>FÓRUM DA COMARCA DE ANDARAÍ, PRAÇA SÃO FRANCISCO DE ASSIS, S/N, ALTO DO IBIRAPITANGA -ANDARAÍ/BA</t>
        </is>
      </c>
      <c r="S1637" s="26">
        <f>IF(A1637=A1636,0,1)</f>
        <v>0</v>
      </c>
      <c r="T1637" s="26">
        <f>IF(COUNTIF($B$4:B1637,B1637)=1,1,0)</f>
        <v>0</v>
      </c>
    </row>
    <row r="1638">
      <c r="A1638" s="14" t="inlineStr">
        <is>
          <t>MUCUGÊ</t>
        </is>
      </c>
      <c r="B1638" s="26" t="n">
        <v>119</v>
      </c>
      <c r="C1638" s="26" t="n">
        <v>1163</v>
      </c>
      <c r="D1638" s="14" t="inlineStr">
        <is>
          <t>ESCOLA MUNICIPAL AUGUSTO LANDULFO MEDRADO</t>
        </is>
      </c>
      <c r="E1638" s="14" t="inlineStr">
        <is>
          <t>POVOADO IBIQUARA</t>
        </is>
      </c>
      <c r="F1638" s="14" t="inlineStr">
        <is>
          <t>POVOADO IBIQUARA - ZONA RURAL</t>
        </is>
      </c>
      <c r="G1638" s="27" t="inlineStr">
        <is>
          <t>46750-000</t>
        </is>
      </c>
      <c r="H1638" s="15" t="n">
        <v>2</v>
      </c>
      <c r="I1638" s="28" t="inlineStr">
        <is>
          <t>NÃO</t>
        </is>
      </c>
      <c r="J1638" s="29" t="n"/>
      <c r="K1638" s="14" t="str">
        <f>IF(J1638="","7. Acima de 2 km",IF(J1638&lt;=50,"1. Até 50 m",IF(J1638&lt;=100,"2. De 50 a 100 m",IF(J1638&lt;=200,"3. De 100 a 200 m",IF(J1638&lt;=300,"4. De 200 a 300 m",IF(J1638&lt;=500,"5. De 300 a 500 m","6. De 500 m a 2 km"))))))</f>
        <v>7. Acima de 2 km</v>
      </c>
      <c r="L1638" s="26" t="n">
        <v>0</v>
      </c>
      <c r="M1638" s="26" t="n">
        <v>0</v>
      </c>
      <c r="N1638" s="26" t="n">
        <v>0</v>
      </c>
      <c r="O1638" s="26" t="n">
        <v>0</v>
      </c>
      <c r="P1638" s="30" t="n">
        <v>-13.2241703</v>
      </c>
      <c r="Q1638" s="30" t="n">
        <v>-41.3449091</v>
      </c>
      <c r="R1638" s="14" t="inlineStr">
        <is>
          <t>FÓRUM DA COMARCA DE ANDARAÍ, PRAÇA SÃO FRANCISCO DE ASSIS, S/N, ALTO DO IBIRAPITANGA -ANDARAÍ/BA</t>
        </is>
      </c>
      <c r="S1638" s="26">
        <f>IF(A1638=A1637,0,1)</f>
        <v>0</v>
      </c>
      <c r="T1638" s="26">
        <f>IF(COUNTIF($B$4:B1638,B1638)=1,1,0)</f>
        <v>0</v>
      </c>
    </row>
    <row r="1639">
      <c r="A1639" s="14" t="inlineStr">
        <is>
          <t>MUCUGÊ</t>
        </is>
      </c>
      <c r="B1639" s="26" t="n">
        <v>119</v>
      </c>
      <c r="C1639" s="26" t="n">
        <v>1171</v>
      </c>
      <c r="D1639" s="14" t="inlineStr">
        <is>
          <t>ESCOLA ANA NERY</t>
        </is>
      </c>
      <c r="E1639" s="14" t="inlineStr">
        <is>
          <t>POVOADO QUEBRA CANGALHA</t>
        </is>
      </c>
      <c r="F1639" s="14" t="inlineStr">
        <is>
          <t>POVOADO QUEBRA CANGALHA - ZONA RURAL</t>
        </is>
      </c>
      <c r="G1639" s="27" t="inlineStr">
        <is>
          <t>46750-000</t>
        </is>
      </c>
      <c r="H1639" s="15" t="n">
        <v>2</v>
      </c>
      <c r="I1639" s="28" t="inlineStr">
        <is>
          <t>NÃO</t>
        </is>
      </c>
      <c r="J1639" s="29" t="n"/>
      <c r="K1639" s="14" t="str">
        <f>IF(J1639="","7. Acima de 2 km",IF(J1639&lt;=50,"1. Até 50 m",IF(J1639&lt;=100,"2. De 50 a 100 m",IF(J1639&lt;=200,"3. De 100 a 200 m",IF(J1639&lt;=300,"4. De 200 a 300 m",IF(J1639&lt;=500,"5. De 300 a 500 m","6. De 500 m a 2 km"))))))</f>
        <v>7. Acima de 2 km</v>
      </c>
      <c r="L1639" s="26" t="n">
        <v>0</v>
      </c>
      <c r="M1639" s="26" t="n">
        <v>0</v>
      </c>
      <c r="N1639" s="26" t="n">
        <v>0</v>
      </c>
      <c r="O1639" s="26" t="n">
        <v>0</v>
      </c>
      <c r="P1639" s="30" t="n">
        <v>-13.1114094</v>
      </c>
      <c r="Q1639" s="30" t="n">
        <v>-41.6066354</v>
      </c>
      <c r="R1639" s="14" t="inlineStr">
        <is>
          <t>FÓRUM DA COMARCA DE ANDARAÍ, PRAÇA SÃO FRANCISCO DE ASSIS, S/N, ALTO DO IBIRAPITANGA -ANDARAÍ/BA</t>
        </is>
      </c>
      <c r="S1639" s="26">
        <f>IF(A1639=A1638,0,1)</f>
        <v>0</v>
      </c>
      <c r="T1639" s="26">
        <f>IF(COUNTIF($B$4:B1639,B1639)=1,1,0)</f>
        <v>0</v>
      </c>
    </row>
    <row r="1640">
      <c r="A1640" s="14" t="inlineStr">
        <is>
          <t>MUCUGÊ</t>
        </is>
      </c>
      <c r="B1640" s="26" t="n">
        <v>119</v>
      </c>
      <c r="C1640" s="26" t="n">
        <v>1180</v>
      </c>
      <c r="D1640" s="14" t="inlineStr">
        <is>
          <t>ESCOLA OLAVO BILAC</t>
        </is>
      </c>
      <c r="E1640" s="14" t="inlineStr">
        <is>
          <t>POVOADO CAMPINHO</t>
        </is>
      </c>
      <c r="F1640" s="14" t="inlineStr">
        <is>
          <t>POVOADO CAMPINHO - ZONA RURAL</t>
        </is>
      </c>
      <c r="G1640" s="27" t="inlineStr">
        <is>
          <t>46750-000</t>
        </is>
      </c>
      <c r="H1640" s="15" t="n">
        <v>1</v>
      </c>
      <c r="I1640" s="28" t="inlineStr">
        <is>
          <t>NÃO</t>
        </is>
      </c>
      <c r="J1640" s="29" t="n"/>
      <c r="K1640" s="14" t="str">
        <f>IF(J1640="","7. Acima de 2 km",IF(J1640&lt;=50,"1. Até 50 m",IF(J1640&lt;=100,"2. De 50 a 100 m",IF(J1640&lt;=200,"3. De 100 a 200 m",IF(J1640&lt;=300,"4. De 200 a 300 m",IF(J1640&lt;=500,"5. De 300 a 500 m","6. De 500 m a 2 km"))))))</f>
        <v>7. Acima de 2 km</v>
      </c>
      <c r="L1640" s="26" t="n">
        <v>0</v>
      </c>
      <c r="M1640" s="26" t="n">
        <v>0</v>
      </c>
      <c r="N1640" s="26" t="n">
        <v>0</v>
      </c>
      <c r="O1640" s="26" t="n">
        <v>0</v>
      </c>
      <c r="P1640" s="30" t="n">
        <v>-13.3620389</v>
      </c>
      <c r="Q1640" s="30" t="n">
        <v>-41.6065883</v>
      </c>
      <c r="R1640" s="14" t="inlineStr">
        <is>
          <t>FÓRUM DA COMARCA DE ANDARAÍ, PRAÇA SÃO FRANCISCO DE ASSIS, S/N, ALTO DO IBIRAPITANGA -ANDARAÍ/BA</t>
        </is>
      </c>
      <c r="S1640" s="26">
        <f>IF(A1640=A1639,0,1)</f>
        <v>0</v>
      </c>
      <c r="T1640" s="26">
        <f>IF(COUNTIF($B$4:B1640,B1640)=1,1,0)</f>
        <v>0</v>
      </c>
    </row>
    <row r="1641">
      <c r="A1641" s="14" t="inlineStr">
        <is>
          <t>MUCUGÊ</t>
        </is>
      </c>
      <c r="B1641" s="26" t="n">
        <v>119</v>
      </c>
      <c r="C1641" s="26" t="n">
        <v>1201</v>
      </c>
      <c r="D1641" s="14" t="inlineStr">
        <is>
          <t>PREDIO ESCOLAR MUNICIPAL RUY BARBOSA</t>
        </is>
      </c>
      <c r="E1641" s="14" t="inlineStr">
        <is>
          <t>DISTRITO DE GUINE</t>
        </is>
      </c>
      <c r="F1641" s="14" t="inlineStr">
        <is>
          <t>POVOADO CAPAOZINHO - ZONA RURAL</t>
        </is>
      </c>
      <c r="G1641" s="27" t="inlineStr">
        <is>
          <t>46750-000</t>
        </is>
      </c>
      <c r="H1641" s="15" t="n">
        <v>1</v>
      </c>
      <c r="I1641" s="28" t="inlineStr">
        <is>
          <t>NÃO</t>
        </is>
      </c>
      <c r="J1641" s="29" t="n"/>
      <c r="K1641" s="14" t="str">
        <f>IF(J1641="","7. Acima de 2 km",IF(J1641&lt;=50,"1. Até 50 m",IF(J1641&lt;=100,"2. De 50 a 100 m",IF(J1641&lt;=200,"3. De 100 a 200 m",IF(J1641&lt;=300,"4. De 200 a 300 m",IF(J1641&lt;=500,"5. De 300 a 500 m","6. De 500 m a 2 km"))))))</f>
        <v>7. Acima de 2 km</v>
      </c>
      <c r="L1641" s="26" t="n">
        <v>0</v>
      </c>
      <c r="M1641" s="26" t="n">
        <v>0</v>
      </c>
      <c r="N1641" s="26" t="n">
        <v>0</v>
      </c>
      <c r="O1641" s="26" t="n">
        <v>0</v>
      </c>
      <c r="P1641" s="30" t="n">
        <v>-12.8401292</v>
      </c>
      <c r="Q1641" s="30" t="n">
        <v>-41.5300085</v>
      </c>
      <c r="R1641" s="14" t="inlineStr">
        <is>
          <t>FÓRUM DA COMARCA DE ANDARAÍ, PRAÇA SÃO FRANCISCO DE ASSIS, S/N, ALTO DO IBIRAPITANGA -ANDARAÍ/BA</t>
        </is>
      </c>
      <c r="S1641" s="26">
        <f>IF(A1641=A1640,0,1)</f>
        <v>0</v>
      </c>
      <c r="T1641" s="26">
        <f>IF(COUNTIF($B$4:B1641,B1641)=1,1,0)</f>
        <v>0</v>
      </c>
    </row>
    <row r="1642">
      <c r="A1642" s="14" t="inlineStr">
        <is>
          <t>MUCUGÊ</t>
        </is>
      </c>
      <c r="B1642" s="26" t="n">
        <v>119</v>
      </c>
      <c r="C1642" s="26" t="n">
        <v>1228</v>
      </c>
      <c r="D1642" s="14" t="inlineStr">
        <is>
          <t>ESCOLA MUNICIPAL AUGUSTA MEDRADO</t>
        </is>
      </c>
      <c r="E1642" s="14" t="inlineStr">
        <is>
          <t>POVOADO CARAIBAS</t>
        </is>
      </c>
      <c r="F1642" s="14" t="inlineStr">
        <is>
          <t>POVOADO CARAIBAS, S/N - ZONA RURAL</t>
        </is>
      </c>
      <c r="G1642" s="27" t="inlineStr">
        <is>
          <t>46750-000</t>
        </is>
      </c>
      <c r="H1642" s="15" t="n">
        <v>1</v>
      </c>
      <c r="I1642" s="28" t="inlineStr">
        <is>
          <t>NÃO</t>
        </is>
      </c>
      <c r="J1642" s="29" t="n"/>
      <c r="K1642" s="14" t="str">
        <f>IF(J1642="","7. Acima de 2 km",IF(J1642&lt;=50,"1. Até 50 m",IF(J1642&lt;=100,"2. De 50 a 100 m",IF(J1642&lt;=200,"3. De 100 a 200 m",IF(J1642&lt;=300,"4. De 200 a 300 m",IF(J1642&lt;=500,"5. De 300 a 500 m","6. De 500 m a 2 km"))))))</f>
        <v>7. Acima de 2 km</v>
      </c>
      <c r="L1642" s="26" t="n">
        <v>0</v>
      </c>
      <c r="M1642" s="26" t="n">
        <v>0</v>
      </c>
      <c r="N1642" s="26" t="n">
        <v>0</v>
      </c>
      <c r="O1642" s="26" t="n">
        <v>0</v>
      </c>
      <c r="P1642" s="30" t="n">
        <v>-13.1374171</v>
      </c>
      <c r="Q1642" s="30" t="n">
        <v>-41.3905771</v>
      </c>
      <c r="R1642" s="14" t="inlineStr">
        <is>
          <t>FÓRUM DA COMARCA DE ANDARAÍ, PRAÇA SÃO FRANCISCO DE ASSIS, S/N, ALTO DO IBIRAPITANGA -ANDARAÍ/BA</t>
        </is>
      </c>
      <c r="S1642" s="26">
        <f>IF(A1642=A1641,0,1)</f>
        <v>0</v>
      </c>
      <c r="T1642" s="26">
        <f>IF(COUNTIF($B$4:B1642,B1642)=1,1,0)</f>
        <v>0</v>
      </c>
    </row>
    <row r="1643">
      <c r="A1643" s="14" t="inlineStr">
        <is>
          <t>MUCUGÊ</t>
        </is>
      </c>
      <c r="B1643" s="26" t="n">
        <v>119</v>
      </c>
      <c r="C1643" s="26" t="n">
        <v>1236</v>
      </c>
      <c r="D1643" s="14" t="inlineStr">
        <is>
          <t>ESCOLA MUNICIPAL JOANA ANGÉLICA</t>
        </is>
      </c>
      <c r="E1643" s="14" t="inlineStr">
        <is>
          <t>POVOADO RONCADOR</t>
        </is>
      </c>
      <c r="F1643" s="14" t="inlineStr">
        <is>
          <t>POVOADO RONCADOR, S/N - ZONA RURAL</t>
        </is>
      </c>
      <c r="G1643" s="27" t="inlineStr">
        <is>
          <t>46750-000</t>
        </is>
      </c>
      <c r="H1643" s="15" t="n">
        <v>1</v>
      </c>
      <c r="I1643" s="28" t="inlineStr">
        <is>
          <t>NÃO</t>
        </is>
      </c>
      <c r="J1643" s="29" t="n"/>
      <c r="K1643" s="14" t="str">
        <f>IF(J1643="","7. Acima de 2 km",IF(J1643&lt;=50,"1. Até 50 m",IF(J1643&lt;=100,"2. De 50 a 100 m",IF(J1643&lt;=200,"3. De 100 a 200 m",IF(J1643&lt;=300,"4. De 200 a 300 m",IF(J1643&lt;=500,"5. De 300 a 500 m","6. De 500 m a 2 km"))))))</f>
        <v>7. Acima de 2 km</v>
      </c>
      <c r="L1643" s="26" t="n">
        <v>0</v>
      </c>
      <c r="M1643" s="26" t="n">
        <v>0</v>
      </c>
      <c r="N1643" s="26" t="n">
        <v>0</v>
      </c>
      <c r="O1643" s="26" t="n">
        <v>0</v>
      </c>
      <c r="P1643" s="30" t="n">
        <v>-13.1356545</v>
      </c>
      <c r="Q1643" s="30" t="n">
        <v>-41.4917424</v>
      </c>
      <c r="R1643" s="14" t="inlineStr">
        <is>
          <t>FÓRUM DA COMARCA DE ANDARAÍ, PRAÇA SÃO FRANCISCO DE ASSIS, S/N, ALTO DO IBIRAPITANGA -ANDARAÍ/BA</t>
        </is>
      </c>
      <c r="S1643" s="26">
        <f>IF(A1643=A1642,0,1)</f>
        <v>0</v>
      </c>
      <c r="T1643" s="26">
        <f>IF(COUNTIF($B$4:B1643,B1643)=1,1,0)</f>
        <v>0</v>
      </c>
    </row>
    <row r="1644">
      <c r="A1644" s="14" t="inlineStr">
        <is>
          <t>MUCUGÊ</t>
        </is>
      </c>
      <c r="B1644" s="26" t="n">
        <v>119</v>
      </c>
      <c r="C1644" s="26" t="n">
        <v>1244</v>
      </c>
      <c r="D1644" s="14" t="inlineStr">
        <is>
          <t>ESCOLA MUNICIPAL ALMIRO MEDRADO</t>
        </is>
      </c>
      <c r="E1644" s="14" t="inlineStr">
        <is>
          <t>POVOADO CAMPO ALEGRE</t>
        </is>
      </c>
      <c r="F1644" s="14" t="inlineStr">
        <is>
          <t>POVOADO CAMPO ALEGRE, S/N - ZONA RURAL</t>
        </is>
      </c>
      <c r="G1644" s="27" t="inlineStr">
        <is>
          <t>46750-000</t>
        </is>
      </c>
      <c r="H1644" s="15" t="n">
        <v>1</v>
      </c>
      <c r="I1644" s="28" t="inlineStr">
        <is>
          <t>NÃO</t>
        </is>
      </c>
      <c r="J1644" s="29" t="n"/>
      <c r="K1644" s="14" t="str">
        <f>IF(J1644="","7. Acima de 2 km",IF(J1644&lt;=50,"1. Até 50 m",IF(J1644&lt;=100,"2. De 50 a 100 m",IF(J1644&lt;=200,"3. De 100 a 200 m",IF(J1644&lt;=300,"4. De 200 a 300 m",IF(J1644&lt;=500,"5. De 300 a 500 m","6. De 500 m a 2 km"))))))</f>
        <v>7. Acima de 2 km</v>
      </c>
      <c r="L1644" s="26" t="n">
        <v>0</v>
      </c>
      <c r="M1644" s="26" t="n">
        <v>0</v>
      </c>
      <c r="N1644" s="26" t="n">
        <v>0</v>
      </c>
      <c r="O1644" s="26" t="n">
        <v>0</v>
      </c>
      <c r="P1644" s="30" t="n">
        <v>-13.2827391</v>
      </c>
      <c r="Q1644" s="30" t="n">
        <v>-41.3257934</v>
      </c>
      <c r="R1644" s="14" t="inlineStr">
        <is>
          <t>FÓRUM DA COMARCA DE ANDARAÍ, PRAÇA SÃO FRANCISCO DE ASSIS, S/N, ALTO DO IBIRAPITANGA -ANDARAÍ/BA</t>
        </is>
      </c>
      <c r="S1644" s="26">
        <f>IF(A1644=A1643,0,1)</f>
        <v>0</v>
      </c>
      <c r="T1644" s="26">
        <f>IF(COUNTIF($B$4:B1644,B1644)=1,1,0)</f>
        <v>0</v>
      </c>
    </row>
    <row r="1645">
      <c r="A1645" s="14" t="inlineStr">
        <is>
          <t>MUCUGÊ</t>
        </is>
      </c>
      <c r="B1645" s="26" t="n">
        <v>119</v>
      </c>
      <c r="C1645" s="26" t="n">
        <v>1252</v>
      </c>
      <c r="D1645" s="14" t="inlineStr">
        <is>
          <t>ESCOLA MUNICIPAL CLÉRISTON ANDRADE</t>
        </is>
      </c>
      <c r="E1645" s="14" t="inlineStr">
        <is>
          <t>POVOADO CAPÃO COMPRIDO</t>
        </is>
      </c>
      <c r="F1645" s="14" t="inlineStr">
        <is>
          <t>POVOADO CAPÃO CUMPRIDO, S/N - ZONA RURAL</t>
        </is>
      </c>
      <c r="G1645" s="27" t="inlineStr">
        <is>
          <t>46750-000</t>
        </is>
      </c>
      <c r="H1645" s="15" t="n">
        <v>1</v>
      </c>
      <c r="I1645" s="28" t="inlineStr">
        <is>
          <t>NÃO</t>
        </is>
      </c>
      <c r="J1645" s="29" t="n"/>
      <c r="K1645" s="14" t="str">
        <f>IF(J1645="","7. Acima de 2 km",IF(J1645&lt;=50,"1. Até 50 m",IF(J1645&lt;=100,"2. De 50 a 100 m",IF(J1645&lt;=200,"3. De 100 a 200 m",IF(J1645&lt;=300,"4. De 200 a 300 m",IF(J1645&lt;=500,"5. De 300 a 500 m","6. De 500 m a 2 km"))))))</f>
        <v>7. Acima de 2 km</v>
      </c>
      <c r="L1645" s="26" t="n">
        <v>0</v>
      </c>
      <c r="M1645" s="26" t="n">
        <v>0</v>
      </c>
      <c r="N1645" s="26" t="n">
        <v>0</v>
      </c>
      <c r="O1645" s="26" t="n">
        <v>0</v>
      </c>
      <c r="P1645" s="30" t="n">
        <v>-12.9976749</v>
      </c>
      <c r="Q1645" s="30" t="n">
        <v>-41.644345</v>
      </c>
      <c r="R1645" s="14" t="inlineStr">
        <is>
          <t>FÓRUM DA COMARCA DE ANDARAÍ, PRAÇA SÃO FRANCISCO DE ASSIS, S/N, ALTO DO IBIRAPITANGA -ANDARAÍ/BA</t>
        </is>
      </c>
      <c r="S1645" s="26">
        <f>IF(A1645=A1644,0,1)</f>
        <v>0</v>
      </c>
      <c r="T1645" s="26">
        <f>IF(COUNTIF($B$4:B1645,B1645)=1,1,0)</f>
        <v>0</v>
      </c>
    </row>
    <row r="1646">
      <c r="A1646" s="14" t="inlineStr">
        <is>
          <t>MUCUGÊ</t>
        </is>
      </c>
      <c r="B1646" s="26" t="n">
        <v>119</v>
      </c>
      <c r="C1646" s="26" t="n">
        <v>1260</v>
      </c>
      <c r="D1646" s="14" t="inlineStr">
        <is>
          <t>ESCOLA MUNICIPAL PROFESSORA CLÉA DE PAULA CAMANDAROBA</t>
        </is>
      </c>
      <c r="E1646" s="14" t="inlineStr">
        <is>
          <t>DISTRITO SEDE</t>
        </is>
      </c>
      <c r="F1646" s="14" t="inlineStr">
        <is>
          <t>VILA AGRÍCOLA, S/N, ZONA RURAL</t>
        </is>
      </c>
      <c r="G1646" s="27" t="inlineStr">
        <is>
          <t>46750-000</t>
        </is>
      </c>
      <c r="H1646" s="15" t="n">
        <v>2</v>
      </c>
      <c r="I1646" s="28" t="inlineStr">
        <is>
          <t>NÃO</t>
        </is>
      </c>
      <c r="J1646" s="29" t="n"/>
      <c r="K1646" s="14" t="str">
        <f>IF(J1646="","7. Acima de 2 km",IF(J1646&lt;=50,"1. Até 50 m",IF(J1646&lt;=100,"2. De 50 a 100 m",IF(J1646&lt;=200,"3. De 100 a 200 m",IF(J1646&lt;=300,"4. De 200 a 300 m",IF(J1646&lt;=500,"5. De 300 a 500 m","6. De 500 m a 2 km"))))))</f>
        <v>7. Acima de 2 km</v>
      </c>
      <c r="L1646" s="26" t="n">
        <v>0</v>
      </c>
      <c r="M1646" s="26" t="n">
        <v>0</v>
      </c>
      <c r="N1646" s="26" t="n">
        <v>0</v>
      </c>
      <c r="O1646" s="26" t="n">
        <v>0</v>
      </c>
      <c r="P1646" s="30" t="n">
        <v>-13.0223708</v>
      </c>
      <c r="Q1646" s="30" t="n">
        <v>-41.4422987</v>
      </c>
      <c r="R1646" s="14" t="inlineStr">
        <is>
          <t>FÓRUM DA COMARCA DE ANDARAÍ, PRAÇA SÃO FRANCISCO DE ASSIS, S/N, ALTO DO IBIRAPITANGA -ANDARAÍ/BA</t>
        </is>
      </c>
      <c r="S1646" s="26">
        <f>IF(A1646=A1645,0,1)</f>
        <v>0</v>
      </c>
      <c r="T1646" s="26">
        <f>IF(COUNTIF($B$4:B1646,B1646)=1,1,0)</f>
        <v>0</v>
      </c>
    </row>
    <row r="1647">
      <c r="A1647" s="14" t="inlineStr">
        <is>
          <t>NOVA FÁTIMA</t>
        </is>
      </c>
      <c r="B1647" s="26" t="n">
        <v>196</v>
      </c>
      <c r="C1647" s="26" t="n">
        <v>1015</v>
      </c>
      <c r="D1647" s="14" t="inlineStr">
        <is>
          <t>ESCOLA MUNICIPAL JOÃO CAMPOS</t>
        </is>
      </c>
      <c r="E1647" s="14" t="inlineStr">
        <is>
          <t>CENTRO</t>
        </is>
      </c>
      <c r="F1647" s="14" t="inlineStr">
        <is>
          <t>RUA JOÃO CAMPOS, 187 - ZONA URBANA</t>
        </is>
      </c>
      <c r="G1647" s="27" t="inlineStr">
        <is>
          <t>44642-000</t>
        </is>
      </c>
      <c r="H1647" s="15" t="n">
        <v>5</v>
      </c>
      <c r="I1647" s="28" t="inlineStr">
        <is>
          <t>SIM</t>
        </is>
      </c>
      <c r="J1647" s="29" t="n">
        <v>51.2</v>
      </c>
      <c r="K1647" s="14" t="str">
        <f>IF(J1647="","7. Acima de 2 km",IF(J1647&lt;=50,"1. Até 50 m",IF(J1647&lt;=100,"2. De 50 a 100 m",IF(J1647&lt;=200,"3. De 100 a 200 m",IF(J1647&lt;=300,"4. De 200 a 300 m",IF(J1647&lt;=500,"5. De 300 a 500 m","6. De 500 m a 2 km"))))))</f>
        <v>2. De 50 a 100 m</v>
      </c>
      <c r="L1647" s="26" t="n">
        <v>0</v>
      </c>
      <c r="M1647" s="26" t="n">
        <v>1</v>
      </c>
      <c r="N1647" s="26" t="n">
        <v>1</v>
      </c>
      <c r="O1647" s="26" t="n">
        <v>4</v>
      </c>
      <c r="P1647" s="30" t="n">
        <v>-11.6058785</v>
      </c>
      <c r="Q1647" s="30" t="n">
        <v>-39.6332336</v>
      </c>
      <c r="R1647" s="14" t="inlineStr">
        <is>
          <t>FÓRUM DR. JOSÉ DIAS TEIXEIRA, RUA JOANA ANGÉLICA, 112, CENTRO, RETIROLÂNDIA/BA</t>
        </is>
      </c>
      <c r="S1647" s="26">
        <f>IF(A1647=A1646,0,1)</f>
        <v>1</v>
      </c>
      <c r="T1647" s="26">
        <f>IF(COUNTIF($B$4:B1647,B1647)=1,1,0)</f>
        <v>1</v>
      </c>
    </row>
    <row r="1648">
      <c r="A1648" s="14" t="inlineStr">
        <is>
          <t>NOVA FÁTIMA</t>
        </is>
      </c>
      <c r="B1648" s="26" t="n">
        <v>196</v>
      </c>
      <c r="C1648" s="26" t="n">
        <v>1023</v>
      </c>
      <c r="D1648" s="14" t="inlineStr">
        <is>
          <t>CENTRO EDUCACIONAL NOSSA SENHORA DE FÁTIMA</t>
        </is>
      </c>
      <c r="E1648" s="14" t="inlineStr">
        <is>
          <t>CENTRO</t>
        </is>
      </c>
      <c r="F1648" s="14" t="inlineStr">
        <is>
          <t>RUA GEROLINA MOREIRA DE OLIVEIRA, 256 - ZONA URBANA</t>
        </is>
      </c>
      <c r="G1648" s="27" t="inlineStr">
        <is>
          <t>44642-000</t>
        </is>
      </c>
      <c r="H1648" s="15" t="n">
        <v>4</v>
      </c>
      <c r="I1648" s="28" t="inlineStr">
        <is>
          <t>NÃO</t>
        </is>
      </c>
      <c r="J1648" s="29" t="n">
        <v>182.9</v>
      </c>
      <c r="K1648" s="14" t="str">
        <f>IF(J1648="","7. Acima de 2 km",IF(J1648&lt;=50,"1. Até 50 m",IF(J1648&lt;=100,"2. De 50 a 100 m",IF(J1648&lt;=200,"3. De 100 a 200 m",IF(J1648&lt;=300,"4. De 200 a 300 m",IF(J1648&lt;=500,"5. De 300 a 500 m","6. De 500 m a 2 km"))))))</f>
        <v>3. De 100 a 200 m</v>
      </c>
      <c r="L1648" s="26" t="n">
        <v>0</v>
      </c>
      <c r="M1648" s="26" t="n">
        <v>0</v>
      </c>
      <c r="N1648" s="26" t="n">
        <v>1</v>
      </c>
      <c r="O1648" s="26" t="n">
        <v>1</v>
      </c>
      <c r="P1648" s="30" t="n">
        <v>-11.6068218</v>
      </c>
      <c r="Q1648" s="30" t="n">
        <v>-39.6346842</v>
      </c>
      <c r="R1648" s="14" t="inlineStr">
        <is>
          <t>FÓRUM DR. JOSÉ DIAS TEIXEIRA, RUA JOANA ANGÉLICA, 112, CENTRO, RETIROLÂNDIA/BA</t>
        </is>
      </c>
      <c r="S1648" s="26">
        <f>IF(A1648=A1647,0,1)</f>
        <v>0</v>
      </c>
      <c r="T1648" s="26">
        <f>IF(COUNTIF($B$4:B1648,B1648)=1,1,0)</f>
        <v>0</v>
      </c>
    </row>
    <row r="1649">
      <c r="A1649" s="14" t="inlineStr">
        <is>
          <t>NOVA FÁTIMA</t>
        </is>
      </c>
      <c r="B1649" s="26" t="n">
        <v>196</v>
      </c>
      <c r="C1649" s="26" t="n">
        <v>1040</v>
      </c>
      <c r="D1649" s="14" t="inlineStr">
        <is>
          <t>ESCOLA MUNICIPAL FRANCISCA MENDES GUIMARÃES</t>
        </is>
      </c>
      <c r="E1649" s="14" t="inlineStr">
        <is>
          <t>CENTRO</t>
        </is>
      </c>
      <c r="F1649" s="14" t="inlineStr">
        <is>
          <t>RUA HAMILTON FERREIRA LOPES, 56 - ZONA URBANA</t>
        </is>
      </c>
      <c r="G1649" s="27" t="inlineStr">
        <is>
          <t>44642-000</t>
        </is>
      </c>
      <c r="H1649" s="15" t="n">
        <v>4</v>
      </c>
      <c r="I1649" s="28" t="inlineStr">
        <is>
          <t>NÃO</t>
        </is>
      </c>
      <c r="J1649" s="29" t="n">
        <v>202.3</v>
      </c>
      <c r="K1649" s="14" t="str">
        <f>IF(J1649="","7. Acima de 2 km",IF(J1649&lt;=50,"1. Até 50 m",IF(J1649&lt;=100,"2. De 50 a 100 m",IF(J1649&lt;=200,"3. De 100 a 200 m",IF(J1649&lt;=300,"4. De 200 a 300 m",IF(J1649&lt;=500,"5. De 300 a 500 m","6. De 500 m a 2 km"))))))</f>
        <v>4. De 200 a 300 m</v>
      </c>
      <c r="L1649" s="26" t="n">
        <v>0</v>
      </c>
      <c r="M1649" s="26" t="n">
        <v>0</v>
      </c>
      <c r="N1649" s="26" t="n">
        <v>0</v>
      </c>
      <c r="O1649" s="26" t="n">
        <v>1</v>
      </c>
      <c r="P1649" s="30" t="n">
        <v>-11.60717</v>
      </c>
      <c r="Q1649" s="30" t="n">
        <v>-39.634727</v>
      </c>
      <c r="R1649" s="14" t="inlineStr">
        <is>
          <t>FÓRUM DR. JOSÉ DIAS TEIXEIRA, RUA JOANA ANGÉLICA, 112, CENTRO, RETIROLÂNDIA/BA</t>
        </is>
      </c>
      <c r="S1649" s="26">
        <f>IF(A1649=A1648,0,1)</f>
        <v>0</v>
      </c>
      <c r="T1649" s="26">
        <f>IF(COUNTIF($B$4:B1649,B1649)=1,1,0)</f>
        <v>0</v>
      </c>
    </row>
    <row r="1650">
      <c r="A1650" s="14" t="inlineStr">
        <is>
          <t>NOVA FÁTIMA</t>
        </is>
      </c>
      <c r="B1650" s="26" t="n">
        <v>196</v>
      </c>
      <c r="C1650" s="26" t="n">
        <v>1058</v>
      </c>
      <c r="D1650" s="14" t="inlineStr">
        <is>
          <t>COLÉGIO ESTADUAL VIRGÍLIO FRANCISCO PEREIRA</t>
        </is>
      </c>
      <c r="E1650" s="14" t="inlineStr">
        <is>
          <t>CENTRO</t>
        </is>
      </c>
      <c r="F1650" s="14" t="inlineStr">
        <is>
          <t>RUA PEDRO MAIA DE MATOS, 93 - ZONA URBANA</t>
        </is>
      </c>
      <c r="G1650" s="27" t="inlineStr">
        <is>
          <t>44642-000</t>
        </is>
      </c>
      <c r="H1650" s="15" t="n">
        <v>8</v>
      </c>
      <c r="I1650" s="28" t="inlineStr">
        <is>
          <t>NÃO</t>
        </is>
      </c>
      <c r="J1650" s="29" t="n">
        <v>395.5</v>
      </c>
      <c r="K1650" s="14" t="str">
        <f>IF(J1650="","7. Acima de 2 km",IF(J1650&lt;=50,"1. Até 50 m",IF(J1650&lt;=100,"2. De 50 a 100 m",IF(J1650&lt;=200,"3. De 100 a 200 m",IF(J1650&lt;=300,"4. De 200 a 300 m",IF(J1650&lt;=500,"5. De 300 a 500 m","6. De 500 m a 2 km"))))))</f>
        <v>5. De 300 a 500 m</v>
      </c>
      <c r="L1650" s="26" t="n">
        <v>0</v>
      </c>
      <c r="M1650" s="26" t="n">
        <v>0</v>
      </c>
      <c r="N1650" s="26" t="n">
        <v>0</v>
      </c>
      <c r="O1650" s="26" t="n">
        <v>0</v>
      </c>
      <c r="P1650" s="30" t="n">
        <v>-11.6109586</v>
      </c>
      <c r="Q1650" s="30" t="n">
        <v>-39.6319755</v>
      </c>
      <c r="R1650" s="14" t="inlineStr">
        <is>
          <t>FÓRUM DR. JOSÉ DIAS TEIXEIRA, RUA JOANA ANGÉLICA, 112, CENTRO, RETIROLÂNDIA/BA</t>
        </is>
      </c>
      <c r="S1650" s="26">
        <f>IF(A1650=A1649,0,1)</f>
        <v>0</v>
      </c>
      <c r="T1650" s="26">
        <f>IF(COUNTIF($B$4:B1650,B1650)=1,1,0)</f>
        <v>0</v>
      </c>
    </row>
    <row r="1651">
      <c r="A1651" s="14" t="inlineStr">
        <is>
          <t>NOVA FÁTIMA</t>
        </is>
      </c>
      <c r="B1651" s="26" t="n">
        <v>196</v>
      </c>
      <c r="C1651" s="26" t="n">
        <v>1082</v>
      </c>
      <c r="D1651" s="14" t="inlineStr">
        <is>
          <t>ESCOLA MUNICIPAL FILADELFO ANTONINO DE ARAÚJO</t>
        </is>
      </c>
      <c r="E1651" s="14" t="inlineStr">
        <is>
          <t>POVOADO SÃO FRANCISCO</t>
        </is>
      </c>
      <c r="F1651" s="14" t="inlineStr">
        <is>
          <t>POVOADO SÃO FRANCISCO - ZONA RURAL</t>
        </is>
      </c>
      <c r="G1651" s="27" t="inlineStr">
        <is>
          <t>44642-000</t>
        </is>
      </c>
      <c r="H1651" s="15" t="n">
        <v>1</v>
      </c>
      <c r="I1651" s="28" t="inlineStr">
        <is>
          <t>NÃO</t>
        </is>
      </c>
      <c r="J1651" s="29" t="n"/>
      <c r="K1651" s="14" t="str">
        <f>IF(J1651="","7. Acima de 2 km",IF(J1651&lt;=50,"1. Até 50 m",IF(J1651&lt;=100,"2. De 50 a 100 m",IF(J1651&lt;=200,"3. De 100 a 200 m",IF(J1651&lt;=300,"4. De 200 a 300 m",IF(J1651&lt;=500,"5. De 300 a 500 m","6. De 500 m a 2 km"))))))</f>
        <v>7. Acima de 2 km</v>
      </c>
      <c r="L1651" s="26" t="n">
        <v>0</v>
      </c>
      <c r="M1651" s="26" t="n">
        <v>0</v>
      </c>
      <c r="N1651" s="26" t="n">
        <v>0</v>
      </c>
      <c r="O1651" s="26" t="n">
        <v>0</v>
      </c>
      <c r="P1651" s="30" t="n">
        <v>-11.6322408</v>
      </c>
      <c r="Q1651" s="30" t="n">
        <v>-39.7087815</v>
      </c>
      <c r="R1651" s="14" t="inlineStr">
        <is>
          <t>FÓRUM DR. JOSÉ DIAS TEIXEIRA, RUA JOANA ANGÉLICA, 112, CENTRO, RETIROLÂNDIA/BA</t>
        </is>
      </c>
      <c r="S1651" s="26">
        <f>IF(A1651=A1650,0,1)</f>
        <v>0</v>
      </c>
      <c r="T1651" s="26">
        <f>IF(COUNTIF($B$4:B1651,B1651)=1,1,0)</f>
        <v>0</v>
      </c>
    </row>
    <row r="1652">
      <c r="A1652" s="14" t="inlineStr">
        <is>
          <t>NOVA FÁTIMA</t>
        </is>
      </c>
      <c r="B1652" s="26" t="n">
        <v>196</v>
      </c>
      <c r="C1652" s="26" t="n">
        <v>1090</v>
      </c>
      <c r="D1652" s="14" t="inlineStr">
        <is>
          <t>ESCOLA MUNICIPAL ANTONIO FERREIRA DE ALMEIDA</t>
        </is>
      </c>
      <c r="E1652" s="14" t="inlineStr">
        <is>
          <t>POVOADO ALTO DO SERENO</t>
        </is>
      </c>
      <c r="F1652" s="14" t="inlineStr">
        <is>
          <t>POVOADO ALTO DO SERENO - ZONA RURAL</t>
        </is>
      </c>
      <c r="G1652" s="27" t="inlineStr">
        <is>
          <t>44642-000</t>
        </is>
      </c>
      <c r="H1652" s="15" t="n">
        <v>1</v>
      </c>
      <c r="I1652" s="28" t="inlineStr">
        <is>
          <t>NÃO</t>
        </is>
      </c>
      <c r="J1652" s="29" t="n"/>
      <c r="K1652" s="14" t="str">
        <f>IF(J1652="","7. Acima de 2 km",IF(J1652&lt;=50,"1. Até 50 m",IF(J1652&lt;=100,"2. De 50 a 100 m",IF(J1652&lt;=200,"3. De 100 a 200 m",IF(J1652&lt;=300,"4. De 200 a 300 m",IF(J1652&lt;=500,"5. De 300 a 500 m","6. De 500 m a 2 km"))))))</f>
        <v>7. Acima de 2 km</v>
      </c>
      <c r="L1652" s="26" t="n">
        <v>0</v>
      </c>
      <c r="M1652" s="26" t="n">
        <v>0</v>
      </c>
      <c r="N1652" s="26" t="n">
        <v>0</v>
      </c>
      <c r="O1652" s="26" t="n">
        <v>0</v>
      </c>
      <c r="P1652" s="30" t="n">
        <v>-11.6444436</v>
      </c>
      <c r="Q1652" s="30" t="n">
        <v>-39.5892529</v>
      </c>
      <c r="R1652" s="14" t="inlineStr">
        <is>
          <t>FÓRUM DR. JOSÉ DIAS TEIXEIRA, RUA JOANA ANGÉLICA, 112, CENTRO, RETIROLÂNDIA/BA</t>
        </is>
      </c>
      <c r="S1652" s="26">
        <f>IF(A1652=A1651,0,1)</f>
        <v>0</v>
      </c>
      <c r="T1652" s="26">
        <f>IF(COUNTIF($B$4:B1652,B1652)=1,1,0)</f>
        <v>0</v>
      </c>
    </row>
    <row r="1653">
      <c r="A1653" s="14" t="inlineStr">
        <is>
          <t>NOVA FÁTIMA</t>
        </is>
      </c>
      <c r="B1653" s="26" t="n">
        <v>196</v>
      </c>
      <c r="C1653" s="26" t="n">
        <v>1104</v>
      </c>
      <c r="D1653" s="14" t="inlineStr">
        <is>
          <t>ESCOLA MUNICIPAL ROQUE DIAS DA SILVA</t>
        </is>
      </c>
      <c r="E1653" s="14" t="inlineStr">
        <is>
          <t>POVOADO SANTO ANTÔNIO</t>
        </is>
      </c>
      <c r="F1653" s="14" t="inlineStr">
        <is>
          <t>POVOADO SANTO ANTÔNIO - ZONA RURAL</t>
        </is>
      </c>
      <c r="G1653" s="27" t="inlineStr">
        <is>
          <t>44642-000</t>
        </is>
      </c>
      <c r="H1653" s="15" t="n">
        <v>2</v>
      </c>
      <c r="I1653" s="28" t="inlineStr">
        <is>
          <t>NÃO</t>
        </is>
      </c>
      <c r="J1653" s="29" t="n"/>
      <c r="K1653" s="14" t="str">
        <f>IF(J1653="","7. Acima de 2 km",IF(J1653&lt;=50,"1. Até 50 m",IF(J1653&lt;=100,"2. De 50 a 100 m",IF(J1653&lt;=200,"3. De 100 a 200 m",IF(J1653&lt;=300,"4. De 200 a 300 m",IF(J1653&lt;=500,"5. De 300 a 500 m","6. De 500 m a 2 km"))))))</f>
        <v>7. Acima de 2 km</v>
      </c>
      <c r="L1653" s="26" t="n">
        <v>0</v>
      </c>
      <c r="M1653" s="26" t="n">
        <v>0</v>
      </c>
      <c r="N1653" s="26" t="n">
        <v>0</v>
      </c>
      <c r="O1653" s="26" t="n">
        <v>0</v>
      </c>
      <c r="P1653" s="30" t="n">
        <v>-11.6724528</v>
      </c>
      <c r="Q1653" s="30" t="n">
        <v>-39.670493</v>
      </c>
      <c r="R1653" s="14" t="inlineStr">
        <is>
          <t>FÓRUM DR. JOSÉ DIAS TEIXEIRA, RUA JOANA ANGÉLICA, 112, CENTRO, RETIROLÂNDIA/BA</t>
        </is>
      </c>
      <c r="S1653" s="26">
        <f>IF(A1653=A1652,0,1)</f>
        <v>0</v>
      </c>
      <c r="T1653" s="26">
        <f>IF(COUNTIF($B$4:B1653,B1653)=1,1,0)</f>
        <v>0</v>
      </c>
    </row>
    <row r="1654">
      <c r="A1654" s="14" t="inlineStr">
        <is>
          <t>NOVA FÁTIMA</t>
        </is>
      </c>
      <c r="B1654" s="26" t="n">
        <v>196</v>
      </c>
      <c r="C1654" s="26" t="n">
        <v>1120</v>
      </c>
      <c r="D1654" s="14" t="inlineStr">
        <is>
          <t>ESCOLA MUNICIPAL RUI BARBOSA</t>
        </is>
      </c>
      <c r="E1654" s="14" t="inlineStr">
        <is>
          <t>POVOADO PITUBA</t>
        </is>
      </c>
      <c r="F1654" s="14" t="inlineStr">
        <is>
          <t>POVOADO PITUBA -  ZONA RURAL</t>
        </is>
      </c>
      <c r="G1654" s="27" t="inlineStr">
        <is>
          <t>44642-000</t>
        </is>
      </c>
      <c r="H1654" s="15" t="n">
        <v>1</v>
      </c>
      <c r="I1654" s="28" t="inlineStr">
        <is>
          <t>NÃO</t>
        </is>
      </c>
      <c r="J1654" s="29" t="n"/>
      <c r="K1654" s="14" t="str">
        <f>IF(J1654="","7. Acima de 2 km",IF(J1654&lt;=50,"1. Até 50 m",IF(J1654&lt;=100,"2. De 50 a 100 m",IF(J1654&lt;=200,"3. De 100 a 200 m",IF(J1654&lt;=300,"4. De 200 a 300 m",IF(J1654&lt;=500,"5. De 300 a 500 m","6. De 500 m a 2 km"))))))</f>
        <v>7. Acima de 2 km</v>
      </c>
      <c r="L1654" s="26" t="n">
        <v>0</v>
      </c>
      <c r="M1654" s="26" t="n">
        <v>0</v>
      </c>
      <c r="N1654" s="26" t="n">
        <v>0</v>
      </c>
      <c r="O1654" s="26" t="n">
        <v>0</v>
      </c>
      <c r="P1654" s="30" t="n">
        <v>-11.7097198</v>
      </c>
      <c r="Q1654" s="30" t="n">
        <v>-39.658129</v>
      </c>
      <c r="R1654" s="14" t="inlineStr">
        <is>
          <t>FÓRUM DR. JOSÉ DIAS TEIXEIRA, RUA JOANA ANGÉLICA, 112, CENTRO, RETIROLÂNDIA/BA</t>
        </is>
      </c>
      <c r="S1654" s="26">
        <f>IF(A1654=A1653,0,1)</f>
        <v>0</v>
      </c>
      <c r="T1654" s="26">
        <f>IF(COUNTIF($B$4:B1654,B1654)=1,1,0)</f>
        <v>0</v>
      </c>
    </row>
    <row r="1655">
      <c r="A1655" s="14" t="inlineStr">
        <is>
          <t>NOVA FÁTIMA</t>
        </is>
      </c>
      <c r="B1655" s="26" t="n">
        <v>196</v>
      </c>
      <c r="C1655" s="26" t="n">
        <v>1139</v>
      </c>
      <c r="D1655" s="14" t="inlineStr">
        <is>
          <t>ESCOLA MUNICIPAL ISIDÓRIO FRANCISCO PEIXOTO</t>
        </is>
      </c>
      <c r="E1655" s="14" t="inlineStr">
        <is>
          <t>POVOADO SINUQUE</t>
        </is>
      </c>
      <c r="F1655" s="14" t="inlineStr">
        <is>
          <t>POVOADO SINUQUE - ZONA RURAL</t>
        </is>
      </c>
      <c r="G1655" s="27" t="inlineStr">
        <is>
          <t>44642-000</t>
        </is>
      </c>
      <c r="H1655" s="15" t="n">
        <v>1</v>
      </c>
      <c r="I1655" s="28" t="inlineStr">
        <is>
          <t>NÃO</t>
        </is>
      </c>
      <c r="J1655" s="29" t="n"/>
      <c r="K1655" s="14" t="str">
        <f>IF(J1655="","7. Acima de 2 km",IF(J1655&lt;=50,"1. Até 50 m",IF(J1655&lt;=100,"2. De 50 a 100 m",IF(J1655&lt;=200,"3. De 100 a 200 m",IF(J1655&lt;=300,"4. De 200 a 300 m",IF(J1655&lt;=500,"5. De 300 a 500 m","6. De 500 m a 2 km"))))))</f>
        <v>7. Acima de 2 km</v>
      </c>
      <c r="L1655" s="26" t="n">
        <v>0</v>
      </c>
      <c r="M1655" s="26" t="n">
        <v>0</v>
      </c>
      <c r="N1655" s="26" t="n">
        <v>0</v>
      </c>
      <c r="O1655" s="26" t="n">
        <v>0</v>
      </c>
      <c r="P1655" s="30" t="n">
        <v>-11.6976255</v>
      </c>
      <c r="Q1655" s="30" t="n">
        <v>-39.6297966</v>
      </c>
      <c r="R1655" s="14" t="inlineStr">
        <is>
          <t>FÓRUM DR. JOSÉ DIAS TEIXEIRA, RUA JOANA ANGÉLICA, 112, CENTRO, RETIROLÂNDIA/BA</t>
        </is>
      </c>
      <c r="S1655" s="26">
        <f>IF(A1655=A1654,0,1)</f>
        <v>0</v>
      </c>
      <c r="T1655" s="26">
        <f>IF(COUNTIF($B$4:B1655,B1655)=1,1,0)</f>
        <v>0</v>
      </c>
    </row>
    <row r="1656">
      <c r="A1656" s="14" t="inlineStr">
        <is>
          <t>NOVA FÁTIMA</t>
        </is>
      </c>
      <c r="B1656" s="26" t="n">
        <v>196</v>
      </c>
      <c r="C1656" s="26" t="n">
        <v>1147</v>
      </c>
      <c r="D1656" s="14" t="inlineStr">
        <is>
          <t>ESCOLA MUNICIPAL BENIGNO SANTOS RIOS</t>
        </is>
      </c>
      <c r="E1656" s="14" t="inlineStr">
        <is>
          <t>POVOADO SÃO JOAQUIM</t>
        </is>
      </c>
      <c r="F1656" s="14" t="inlineStr">
        <is>
          <t>POVOADO SÃO JOAQUIM - ZONA RURAL</t>
        </is>
      </c>
      <c r="G1656" s="27" t="inlineStr">
        <is>
          <t>44642-000</t>
        </is>
      </c>
      <c r="H1656" s="15" t="n">
        <v>1</v>
      </c>
      <c r="I1656" s="28" t="inlineStr">
        <is>
          <t>NÃO</t>
        </is>
      </c>
      <c r="J1656" s="29" t="n"/>
      <c r="K1656" s="14" t="str">
        <f>IF(J1656="","7. Acima de 2 km",IF(J1656&lt;=50,"1. Até 50 m",IF(J1656&lt;=100,"2. De 50 a 100 m",IF(J1656&lt;=200,"3. De 100 a 200 m",IF(J1656&lt;=300,"4. De 200 a 300 m",IF(J1656&lt;=500,"5. De 300 a 500 m","6. De 500 m a 2 km"))))))</f>
        <v>7. Acima de 2 km</v>
      </c>
      <c r="L1656" s="26" t="n">
        <v>0</v>
      </c>
      <c r="M1656" s="26" t="n">
        <v>0</v>
      </c>
      <c r="N1656" s="26" t="n">
        <v>0</v>
      </c>
      <c r="O1656" s="26" t="n">
        <v>0</v>
      </c>
      <c r="P1656" s="30" t="n">
        <v>-11.7008319</v>
      </c>
      <c r="Q1656" s="30" t="n">
        <v>-39.6876417</v>
      </c>
      <c r="R1656" s="14" t="inlineStr">
        <is>
          <t>FÓRUM DR. JOSÉ DIAS TEIXEIRA, RUA JOANA ANGÉLICA, 112, CENTRO, RETIROLÂNDIA/BA</t>
        </is>
      </c>
      <c r="S1656" s="26">
        <f>IF(A1656=A1655,0,1)</f>
        <v>0</v>
      </c>
      <c r="T1656" s="26">
        <f>IF(COUNTIF($B$4:B1656,B1656)=1,1,0)</f>
        <v>0</v>
      </c>
    </row>
    <row r="1657">
      <c r="A1657" s="14" t="inlineStr">
        <is>
          <t>NOVA FÁTIMA</t>
        </is>
      </c>
      <c r="B1657" s="26" t="n">
        <v>196</v>
      </c>
      <c r="C1657" s="26" t="n">
        <v>1180</v>
      </c>
      <c r="D1657" s="14" t="inlineStr">
        <is>
          <t>CENTRO MUNICIPAL DE EDUCAÇÃO IGNÊS NUNES DA SILVA</t>
        </is>
      </c>
      <c r="E1657" s="14" t="inlineStr">
        <is>
          <t>CENTRO</t>
        </is>
      </c>
      <c r="F1657" s="14" t="inlineStr">
        <is>
          <t>RUA 13 DE MAIO, S/N - ZONA URBANA</t>
        </is>
      </c>
      <c r="G1657" s="27" t="inlineStr">
        <is>
          <t>44642-000</t>
        </is>
      </c>
      <c r="H1657" s="15" t="n">
        <v>5</v>
      </c>
      <c r="I1657" s="28" t="inlineStr">
        <is>
          <t>NÃO</t>
        </is>
      </c>
      <c r="J1657" s="29" t="n">
        <v>481.7</v>
      </c>
      <c r="K1657" s="14" t="str">
        <f>IF(J1657="","7. Acima de 2 km",IF(J1657&lt;=50,"1. Até 50 m",IF(J1657&lt;=100,"2. De 50 a 100 m",IF(J1657&lt;=200,"3. De 100 a 200 m",IF(J1657&lt;=300,"4. De 200 a 300 m",IF(J1657&lt;=500,"5. De 300 a 500 m","6. De 500 m a 2 km"))))))</f>
        <v>5. De 300 a 500 m</v>
      </c>
      <c r="L1657" s="26" t="n">
        <v>0</v>
      </c>
      <c r="M1657" s="26" t="n">
        <v>0</v>
      </c>
      <c r="N1657" s="26" t="n">
        <v>0</v>
      </c>
      <c r="O1657" s="26" t="n">
        <v>0</v>
      </c>
      <c r="P1657" s="30" t="n">
        <v>-11.6047027</v>
      </c>
      <c r="Q1657" s="30" t="n">
        <v>-39.6371912</v>
      </c>
      <c r="R1657" s="14" t="inlineStr">
        <is>
          <t>FÓRUM DR. JOSÉ DIAS TEIXEIRA, RUA JOANA ANGÉLICA, 112, CENTRO, RETIROLÂNDIA/BA</t>
        </is>
      </c>
      <c r="S1657" s="26">
        <f>IF(A1657=A1656,0,1)</f>
        <v>0</v>
      </c>
      <c r="T1657" s="26">
        <f>IF(COUNTIF($B$4:B1657,B1657)=1,1,0)</f>
        <v>0</v>
      </c>
    </row>
    <row r="1658">
      <c r="A1658" s="14" t="inlineStr">
        <is>
          <t>NOVO TRIUNFO</t>
        </is>
      </c>
      <c r="B1658" s="26" t="n">
        <v>82</v>
      </c>
      <c r="C1658" s="26" t="n">
        <v>1015</v>
      </c>
      <c r="D1658" s="14" t="inlineStr">
        <is>
          <t>ESCOLA MUNICIPAL ANGELO BADICO</t>
        </is>
      </c>
      <c r="E1658" s="14" t="inlineStr">
        <is>
          <t>POVOADO LAGOA DO BADICO</t>
        </is>
      </c>
      <c r="F1658" s="14" t="inlineStr">
        <is>
          <t>POVOADO LAGOA DO BADICO - ZONA RURAL</t>
        </is>
      </c>
      <c r="G1658" s="27" t="inlineStr">
        <is>
          <t>48455-000</t>
        </is>
      </c>
      <c r="H1658" s="15" t="n">
        <v>3</v>
      </c>
      <c r="I1658" s="28" t="inlineStr">
        <is>
          <t>NÃO</t>
        </is>
      </c>
      <c r="J1658" s="29" t="n"/>
      <c r="K1658" s="14" t="str">
        <f>IF(J1658="","7. Acima de 2 km",IF(J1658&lt;=50,"1. Até 50 m",IF(J1658&lt;=100,"2. De 50 a 100 m",IF(J1658&lt;=200,"3. De 100 a 200 m",IF(J1658&lt;=300,"4. De 200 a 300 m",IF(J1658&lt;=500,"5. De 300 a 500 m","6. De 500 m a 2 km"))))))</f>
        <v>7. Acima de 2 km</v>
      </c>
      <c r="L1658" s="26" t="n">
        <v>0</v>
      </c>
      <c r="M1658" s="26" t="n">
        <v>0</v>
      </c>
      <c r="N1658" s="26" t="n">
        <v>0</v>
      </c>
      <c r="O1658" s="26" t="n">
        <v>0</v>
      </c>
      <c r="P1658" s="30" t="n">
        <v>-10.33323268</v>
      </c>
      <c r="Q1658" s="30" t="n">
        <v>-38.3631398</v>
      </c>
      <c r="R1658" s="14" t="inlineStr">
        <is>
          <t>CARTÓRIO ELEITORAL, RUA JOVELINO PEREIRA DOS SANTOS, S/N, CENTRO, CÍCERO DANTAS/BA</t>
        </is>
      </c>
      <c r="S1658" s="26">
        <f>IF(A1658=A1657,0,1)</f>
        <v>1</v>
      </c>
      <c r="T1658" s="26">
        <f>IF(COUNTIF($B$4:B1658,B1658)=1,1,0)</f>
        <v>1</v>
      </c>
    </row>
    <row r="1659">
      <c r="A1659" s="14" t="inlineStr">
        <is>
          <t>NOVO TRIUNFO</t>
        </is>
      </c>
      <c r="B1659" s="26" t="n">
        <v>82</v>
      </c>
      <c r="C1659" s="26" t="n">
        <v>1031</v>
      </c>
      <c r="D1659" s="14" t="inlineStr">
        <is>
          <t>ESCOLA MUNICIPAL MARIA HELENA DA SILVA MOREIRA</t>
        </is>
      </c>
      <c r="E1659" s="14" t="inlineStr">
        <is>
          <t>POVOADO CASA NOVA</t>
        </is>
      </c>
      <c r="F1659" s="14" t="inlineStr">
        <is>
          <t>POVOADO CASA NOVA - ZONA RURAL</t>
        </is>
      </c>
      <c r="G1659" s="27" t="inlineStr">
        <is>
          <t>48455-000</t>
        </is>
      </c>
      <c r="H1659" s="15" t="n">
        <v>1</v>
      </c>
      <c r="I1659" s="28" t="inlineStr">
        <is>
          <t>NÃO</t>
        </is>
      </c>
      <c r="J1659" s="29" t="n"/>
      <c r="K1659" s="14" t="str">
        <f>IF(J1659="","7. Acima de 2 km",IF(J1659&lt;=50,"1. Até 50 m",IF(J1659&lt;=100,"2. De 50 a 100 m",IF(J1659&lt;=200,"3. De 100 a 200 m",IF(J1659&lt;=300,"4. De 200 a 300 m",IF(J1659&lt;=500,"5. De 300 a 500 m","6. De 500 m a 2 km"))))))</f>
        <v>7. Acima de 2 km</v>
      </c>
      <c r="L1659" s="26" t="n">
        <v>0</v>
      </c>
      <c r="M1659" s="26" t="n">
        <v>0</v>
      </c>
      <c r="N1659" s="26" t="n">
        <v>0</v>
      </c>
      <c r="O1659" s="26" t="n">
        <v>0</v>
      </c>
      <c r="P1659" s="30" t="n">
        <v>-10.34627869</v>
      </c>
      <c r="Q1659" s="30" t="n">
        <v>-38.44986473</v>
      </c>
      <c r="R1659" s="14" t="inlineStr">
        <is>
          <t>CARTÓRIO ELEITORAL, RUA JOVELINO PEREIRA DOS SANTOS, S/N, CENTRO, CÍCERO DANTAS/BA</t>
        </is>
      </c>
      <c r="S1659" s="26">
        <f>IF(A1659=A1658,0,1)</f>
        <v>0</v>
      </c>
      <c r="T1659" s="26">
        <f>IF(COUNTIF($B$4:B1659,B1659)=1,1,0)</f>
        <v>0</v>
      </c>
    </row>
    <row r="1660">
      <c r="A1660" s="14" t="inlineStr">
        <is>
          <t>NOVO TRIUNFO</t>
        </is>
      </c>
      <c r="B1660" s="26" t="n">
        <v>82</v>
      </c>
      <c r="C1660" s="26" t="n">
        <v>1058</v>
      </c>
      <c r="D1660" s="14" t="inlineStr">
        <is>
          <t>ESCOLA MARIA SIMÕES</t>
        </is>
      </c>
      <c r="E1660" s="14" t="inlineStr">
        <is>
          <t>SÃO PEDRO</t>
        </is>
      </c>
      <c r="F1660" s="14" t="inlineStr">
        <is>
          <t>PRAÇA SÃO PEDRO - ZONA URBANA</t>
        </is>
      </c>
      <c r="G1660" s="27" t="inlineStr">
        <is>
          <t>48455-000</t>
        </is>
      </c>
      <c r="H1660" s="15" t="n">
        <v>5</v>
      </c>
      <c r="I1660" s="28" t="inlineStr">
        <is>
          <t>SIM</t>
        </is>
      </c>
      <c r="J1660" s="29" t="n">
        <v>76.2</v>
      </c>
      <c r="K1660" s="14" t="str">
        <f>IF(J1660="","7. Acima de 2 km",IF(J1660&lt;=50,"1. Até 50 m",IF(J1660&lt;=100,"2. De 50 a 100 m",IF(J1660&lt;=200,"3. De 100 a 200 m",IF(J1660&lt;=300,"4. De 200 a 300 m",IF(J1660&lt;=500,"5. De 300 a 500 m","6. De 500 m a 2 km"))))))</f>
        <v>2. De 50 a 100 m</v>
      </c>
      <c r="L1660" s="26" t="n">
        <v>0</v>
      </c>
      <c r="M1660" s="26" t="n">
        <v>1</v>
      </c>
      <c r="N1660" s="26" t="n">
        <v>1</v>
      </c>
      <c r="O1660" s="26" t="n">
        <v>2</v>
      </c>
      <c r="P1660" s="30" t="n">
        <v>-10.33771671</v>
      </c>
      <c r="Q1660" s="30" t="n">
        <v>-38.41968315</v>
      </c>
      <c r="R1660" s="14" t="inlineStr">
        <is>
          <t>CARTÓRIO ELEITORAL, RUA JOVELINO PEREIRA DOS SANTOS, S/N, CENTRO, CÍCERO DANTAS/BA</t>
        </is>
      </c>
      <c r="S1660" s="26">
        <f>IF(A1660=A1659,0,1)</f>
        <v>0</v>
      </c>
      <c r="T1660" s="26">
        <f>IF(COUNTIF($B$4:B1660,B1660)=1,1,0)</f>
        <v>0</v>
      </c>
    </row>
    <row r="1661">
      <c r="A1661" s="14" t="inlineStr">
        <is>
          <t>NOVO TRIUNFO</t>
        </is>
      </c>
      <c r="B1661" s="26" t="n">
        <v>82</v>
      </c>
      <c r="C1661" s="26" t="n">
        <v>1074</v>
      </c>
      <c r="D1661" s="14" t="inlineStr">
        <is>
          <t>ESCOLA MUNICIPAL DE TEMPO INTEGRAL TIA ARCANJA</t>
        </is>
      </c>
      <c r="E1661" s="14" t="inlineStr">
        <is>
          <t>CENTRO</t>
        </is>
      </c>
      <c r="F1661" s="14" t="inlineStr">
        <is>
          <t>RUA CARLOS SANTANA - ZONA URBANA</t>
        </is>
      </c>
      <c r="G1661" s="27" t="inlineStr">
        <is>
          <t>48455-000</t>
        </is>
      </c>
      <c r="H1661" s="15" t="n">
        <v>5</v>
      </c>
      <c r="I1661" s="28" t="inlineStr">
        <is>
          <t>NÃO</t>
        </is>
      </c>
      <c r="J1661" s="29" t="n">
        <v>155.5</v>
      </c>
      <c r="K1661" s="14" t="str">
        <f>IF(J1661="","7. Acima de 2 km",IF(J1661&lt;=50,"1. Até 50 m",IF(J1661&lt;=100,"2. De 50 a 100 m",IF(J1661&lt;=200,"3. De 100 a 200 m",IF(J1661&lt;=300,"4. De 200 a 300 m",IF(J1661&lt;=500,"5. De 300 a 500 m","6. De 500 m a 2 km"))))))</f>
        <v>3. De 100 a 200 m</v>
      </c>
      <c r="L1661" s="26" t="n">
        <v>0</v>
      </c>
      <c r="M1661" s="26" t="n">
        <v>0</v>
      </c>
      <c r="N1661" s="26" t="n">
        <v>2</v>
      </c>
      <c r="O1661" s="26" t="n">
        <v>4</v>
      </c>
      <c r="P1661" s="30" t="n">
        <v>-10.33282317</v>
      </c>
      <c r="Q1661" s="30" t="n">
        <v>-38.42142505</v>
      </c>
      <c r="R1661" s="14" t="inlineStr">
        <is>
          <t>CARTÓRIO ELEITORAL, RUA JOVELINO PEREIRA DOS SANTOS, S/N, CENTRO, CÍCERO DANTAS/BA</t>
        </is>
      </c>
      <c r="S1661" s="26">
        <f>IF(A1661=A1660,0,1)</f>
        <v>0</v>
      </c>
      <c r="T1661" s="26">
        <f>IF(COUNTIF($B$4:B1661,B1661)=1,1,0)</f>
        <v>0</v>
      </c>
    </row>
    <row r="1662">
      <c r="A1662" s="14" t="inlineStr">
        <is>
          <t>NOVO TRIUNFO</t>
        </is>
      </c>
      <c r="B1662" s="26" t="n">
        <v>82</v>
      </c>
      <c r="C1662" s="26" t="n">
        <v>1082</v>
      </c>
      <c r="D1662" s="14" t="inlineStr">
        <is>
          <t>COLÉGIO MUNICIPAL DE NOVO TRIUNFO</t>
        </is>
      </c>
      <c r="E1662" s="14" t="inlineStr">
        <is>
          <t>LUÍS EDUARDO MAGALHÃES</t>
        </is>
      </c>
      <c r="F1662" s="14" t="inlineStr">
        <is>
          <t>AV. LUÍS EDUARDO MAGALHÃES - ZONA URBANA</t>
        </is>
      </c>
      <c r="G1662" s="27" t="inlineStr">
        <is>
          <t>48455-000</t>
        </is>
      </c>
      <c r="H1662" s="15" t="n">
        <v>9</v>
      </c>
      <c r="I1662" s="28" t="inlineStr">
        <is>
          <t>SIM</t>
        </is>
      </c>
      <c r="J1662" s="29" t="n">
        <v>57</v>
      </c>
      <c r="K1662" s="14" t="str">
        <f>IF(J1662="","7. Acima de 2 km",IF(J1662&lt;=50,"1. Até 50 m",IF(J1662&lt;=100,"2. De 50 a 100 m",IF(J1662&lt;=200,"3. De 100 a 200 m",IF(J1662&lt;=300,"4. De 200 a 300 m",IF(J1662&lt;=500,"5. De 300 a 500 m","6. De 500 m a 2 km"))))))</f>
        <v>2. De 50 a 100 m</v>
      </c>
      <c r="L1662" s="26" t="n">
        <v>0</v>
      </c>
      <c r="M1662" s="26" t="n">
        <v>1</v>
      </c>
      <c r="N1662" s="26" t="n">
        <v>1</v>
      </c>
      <c r="O1662" s="26" t="n">
        <v>1</v>
      </c>
      <c r="P1662" s="30" t="n">
        <v>-10.33086911</v>
      </c>
      <c r="Q1662" s="30" t="n">
        <v>-38.42117926</v>
      </c>
      <c r="R1662" s="14" t="inlineStr">
        <is>
          <t>CARTÓRIO ELEITORAL, RUA JOVELINO PEREIRA DOS SANTOS, S/N, CENTRO, CÍCERO DANTAS/BA</t>
        </is>
      </c>
      <c r="S1662" s="26">
        <f>IF(A1662=A1661,0,1)</f>
        <v>0</v>
      </c>
      <c r="T1662" s="26">
        <f>IF(COUNTIF($B$4:B1662,B1662)=1,1,0)</f>
        <v>0</v>
      </c>
    </row>
    <row r="1663">
      <c r="A1663" s="14" t="inlineStr">
        <is>
          <t>NOVO TRIUNFO</t>
        </is>
      </c>
      <c r="B1663" s="26" t="n">
        <v>82</v>
      </c>
      <c r="C1663" s="26" t="n">
        <v>1090</v>
      </c>
      <c r="D1663" s="14" t="inlineStr">
        <is>
          <t>ESCOLA MUNICIPAL EM TEMPO INTEGRAL JOÃO CLEMENTINO</t>
        </is>
      </c>
      <c r="E1663" s="14" t="inlineStr">
        <is>
          <t>POVOADO LAGOA DO BARRO</t>
        </is>
      </c>
      <c r="F1663" s="14" t="inlineStr">
        <is>
          <t>POVOADO LAGOA DO BARRO - ZONA RURAL</t>
        </is>
      </c>
      <c r="G1663" s="27" t="inlineStr">
        <is>
          <t>48455-000</t>
        </is>
      </c>
      <c r="H1663" s="15" t="n">
        <v>2</v>
      </c>
      <c r="I1663" s="28" t="inlineStr">
        <is>
          <t>NÃO</t>
        </is>
      </c>
      <c r="J1663" s="29" t="n"/>
      <c r="K1663" s="14" t="str">
        <f>IF(J1663="","7. Acima de 2 km",IF(J1663&lt;=50,"1. Até 50 m",IF(J1663&lt;=100,"2. De 50 a 100 m",IF(J1663&lt;=200,"3. De 100 a 200 m",IF(J1663&lt;=300,"4. De 200 a 300 m",IF(J1663&lt;=500,"5. De 300 a 500 m","6. De 500 m a 2 km"))))))</f>
        <v>7. Acima de 2 km</v>
      </c>
      <c r="L1663" s="26" t="n">
        <v>0</v>
      </c>
      <c r="M1663" s="26" t="n">
        <v>0</v>
      </c>
      <c r="N1663" s="26" t="n">
        <v>0</v>
      </c>
      <c r="O1663" s="26" t="n">
        <v>0</v>
      </c>
      <c r="P1663" s="30" t="n">
        <v>-10.36855142</v>
      </c>
      <c r="Q1663" s="30" t="n">
        <v>-38.38777609</v>
      </c>
      <c r="R1663" s="14" t="inlineStr">
        <is>
          <t>CARTÓRIO ELEITORAL, RUA JOVELINO PEREIRA DOS SANTOS, S/N, CENTRO, CÍCERO DANTAS/BA</t>
        </is>
      </c>
      <c r="S1663" s="26">
        <f>IF(A1663=A1662,0,1)</f>
        <v>0</v>
      </c>
      <c r="T1663" s="26">
        <f>IF(COUNTIF($B$4:B1663,B1663)=1,1,0)</f>
        <v>0</v>
      </c>
    </row>
    <row r="1664">
      <c r="A1664" s="14" t="inlineStr">
        <is>
          <t>OLINDINA</t>
        </is>
      </c>
      <c r="B1664" s="26" t="n">
        <v>81</v>
      </c>
      <c r="C1664" s="26" t="n">
        <v>1015</v>
      </c>
      <c r="D1664" s="14" t="inlineStr">
        <is>
          <t>ESCOLA PROFESSORA EUNICE SOUZA DE OLIVEIRA</t>
        </is>
      </c>
      <c r="E1664" s="14" t="inlineStr">
        <is>
          <t>POVOADO NOVA MINACAO</t>
        </is>
      </c>
      <c r="F1664" s="14" t="inlineStr">
        <is>
          <t>POVOADO NOVA MINACAO - ZONA RURAL</t>
        </is>
      </c>
      <c r="G1664" s="27" t="inlineStr">
        <is>
          <t>48470-000</t>
        </is>
      </c>
      <c r="H1664" s="15" t="n">
        <v>4</v>
      </c>
      <c r="I1664" s="28" t="inlineStr">
        <is>
          <t>NÃO</t>
        </is>
      </c>
      <c r="J1664" s="29" t="n"/>
      <c r="K1664" s="14" t="str">
        <f>IF(J1664="","7. Acima de 2 km",IF(J1664&lt;=50,"1. Até 50 m",IF(J1664&lt;=100,"2. De 50 a 100 m",IF(J1664&lt;=200,"3. De 100 a 200 m",IF(J1664&lt;=300,"4. De 200 a 300 m",IF(J1664&lt;=500,"5. De 300 a 500 m","6. De 500 m a 2 km"))))))</f>
        <v>7. Acima de 2 km</v>
      </c>
      <c r="L1664" s="26" t="n">
        <v>0</v>
      </c>
      <c r="M1664" s="26" t="n">
        <v>0</v>
      </c>
      <c r="N1664" s="26" t="n">
        <v>0</v>
      </c>
      <c r="O1664" s="26" t="n">
        <v>0</v>
      </c>
      <c r="P1664" s="30" t="n">
        <v>-11.5624799</v>
      </c>
      <c r="Q1664" s="30" t="n">
        <v>-38.2954098</v>
      </c>
      <c r="R1664" s="14" t="inlineStr">
        <is>
          <t>CARTÓRIO ELEITORAL, PRAÇA 14 DE AGOSTO, S/N, FÓRUM DESEMBARGADOR WALTER BRANDÃO, CENTRO, OLINDINA BA</t>
        </is>
      </c>
      <c r="S1664" s="26">
        <f>IF(A1664=A1663,0,1)</f>
        <v>1</v>
      </c>
      <c r="T1664" s="26">
        <f>IF(COUNTIF($B$4:B1664,B1664)=1,1,0)</f>
        <v>1</v>
      </c>
    </row>
    <row r="1665">
      <c r="A1665" s="14" t="inlineStr">
        <is>
          <t>OLINDINA</t>
        </is>
      </c>
      <c r="B1665" s="26" t="n">
        <v>81</v>
      </c>
      <c r="C1665" s="26" t="n">
        <v>1023</v>
      </c>
      <c r="D1665" s="14" t="inlineStr">
        <is>
          <t>ESCOLA MUNICIPAL TEOBALDO FERREIRA DE MENEZES</t>
        </is>
      </c>
      <c r="E1665" s="14" t="inlineStr">
        <is>
          <t>CIDADE NOVA</t>
        </is>
      </c>
      <c r="F1665" s="14" t="inlineStr">
        <is>
          <t>RUA BELO HORIZONTE - ZONA URBANA</t>
        </is>
      </c>
      <c r="G1665" s="27" t="inlineStr">
        <is>
          <t>48470-000</t>
        </is>
      </c>
      <c r="H1665" s="15" t="n">
        <v>4</v>
      </c>
      <c r="I1665" s="28" t="inlineStr">
        <is>
          <t>NÃO</t>
        </is>
      </c>
      <c r="J1665" s="29" t="n">
        <v>690.8</v>
      </c>
      <c r="K1665" s="14" t="str">
        <f>IF(J1665="","7. Acima de 2 km",IF(J1665&lt;=50,"1. Até 50 m",IF(J1665&lt;=100,"2. De 50 a 100 m",IF(J1665&lt;=200,"3. De 100 a 200 m",IF(J1665&lt;=300,"4. De 200 a 300 m",IF(J1665&lt;=500,"5. De 300 a 500 m","6. De 500 m a 2 km"))))))</f>
        <v>6. De 500 m a 2 km</v>
      </c>
      <c r="L1665" s="26" t="n">
        <v>0</v>
      </c>
      <c r="M1665" s="26" t="n">
        <v>0</v>
      </c>
      <c r="N1665" s="26" t="n">
        <v>0</v>
      </c>
      <c r="O1665" s="26" t="n">
        <v>0</v>
      </c>
      <c r="P1665" s="30" t="n">
        <v>-11.3652625</v>
      </c>
      <c r="Q1665" s="30" t="n">
        <v>-38.3325333</v>
      </c>
      <c r="R1665" s="14" t="inlineStr">
        <is>
          <t>CARTÓRIO ELEITORAL, PRAÇA 14 DE AGOSTO, S/N, FÓRUM DESEMBARGADOR WALTER BRANDÃO, CENTRO, OLINDINA BA</t>
        </is>
      </c>
      <c r="S1665" s="26">
        <f>IF(A1665=A1664,0,1)</f>
        <v>0</v>
      </c>
      <c r="T1665" s="26">
        <f>IF(COUNTIF($B$4:B1665,B1665)=1,1,0)</f>
        <v>0</v>
      </c>
    </row>
    <row r="1666">
      <c r="A1666" s="14" t="inlineStr">
        <is>
          <t>OLINDINA</t>
        </is>
      </c>
      <c r="B1666" s="26" t="n">
        <v>81</v>
      </c>
      <c r="C1666" s="26" t="n">
        <v>1040</v>
      </c>
      <c r="D1666" s="14" t="inlineStr">
        <is>
          <t>ESCOLA PROFESSOR ROBERTO SANTOS</t>
        </is>
      </c>
      <c r="E1666" s="14" t="inlineStr">
        <is>
          <t>CENTRO</t>
        </is>
      </c>
      <c r="F1666" s="14" t="inlineStr">
        <is>
          <t>RUA CÂNDIDO DE FARIAS, 388 - ZONA URBANA</t>
        </is>
      </c>
      <c r="G1666" s="27" t="inlineStr">
        <is>
          <t>48470-000</t>
        </is>
      </c>
      <c r="H1666" s="15" t="n">
        <v>8</v>
      </c>
      <c r="I1666" s="28" t="inlineStr">
        <is>
          <t>SIM</t>
        </is>
      </c>
      <c r="J1666" s="29" t="n">
        <v>68.40000000000001</v>
      </c>
      <c r="K1666" s="14" t="str">
        <f>IF(J1666="","7. Acima de 2 km",IF(J1666&lt;=50,"1. Até 50 m",IF(J1666&lt;=100,"2. De 50 a 100 m",IF(J1666&lt;=200,"3. De 100 a 200 m",IF(J1666&lt;=300,"4. De 200 a 300 m",IF(J1666&lt;=500,"5. De 300 a 500 m","6. De 500 m a 2 km"))))))</f>
        <v>2. De 50 a 100 m</v>
      </c>
      <c r="L1666" s="26" t="n">
        <v>0</v>
      </c>
      <c r="M1666" s="26" t="n">
        <v>2</v>
      </c>
      <c r="N1666" s="26" t="n">
        <v>4</v>
      </c>
      <c r="O1666" s="26" t="n">
        <v>5</v>
      </c>
      <c r="P1666" s="30" t="n">
        <v>-11.3602903</v>
      </c>
      <c r="Q1666" s="30" t="n">
        <v>-38.3273622</v>
      </c>
      <c r="R1666" s="14" t="inlineStr">
        <is>
          <t>CARTÓRIO ELEITORAL, PRAÇA 14 DE AGOSTO, S/N, FÓRUM DESEMBARGADOR WALTER BRANDÃO, CENTRO, OLINDINA BA</t>
        </is>
      </c>
      <c r="S1666" s="26">
        <f>IF(A1666=A1665,0,1)</f>
        <v>0</v>
      </c>
      <c r="T1666" s="26">
        <f>IF(COUNTIF($B$4:B1666,B1666)=1,1,0)</f>
        <v>0</v>
      </c>
    </row>
    <row r="1667">
      <c r="A1667" s="14" t="inlineStr">
        <is>
          <t>OLINDINA</t>
        </is>
      </c>
      <c r="B1667" s="26" t="n">
        <v>81</v>
      </c>
      <c r="C1667" s="26" t="n">
        <v>1066</v>
      </c>
      <c r="D1667" s="14" t="inlineStr">
        <is>
          <t>ESCOLA JOAQUIM PRIMO DA FONSECA</t>
        </is>
      </c>
      <c r="E1667" s="14" t="inlineStr">
        <is>
          <t>DISTRITO UMBUZEIRO</t>
        </is>
      </c>
      <c r="F1667" s="14" t="inlineStr">
        <is>
          <t>DISTRITO UMBUZEIRO - ZONA RURAL</t>
        </is>
      </c>
      <c r="G1667" s="27" t="inlineStr">
        <is>
          <t>48470-000</t>
        </is>
      </c>
      <c r="H1667" s="15" t="n">
        <v>4</v>
      </c>
      <c r="I1667" s="28" t="inlineStr">
        <is>
          <t>NÃO</t>
        </is>
      </c>
      <c r="J1667" s="29" t="n"/>
      <c r="K1667" s="14" t="str">
        <f>IF(J1667="","7. Acima de 2 km",IF(J1667&lt;=50,"1. Até 50 m",IF(J1667&lt;=100,"2. De 50 a 100 m",IF(J1667&lt;=200,"3. De 100 a 200 m",IF(J1667&lt;=300,"4. De 200 a 300 m",IF(J1667&lt;=500,"5. De 300 a 500 m","6. De 500 m a 2 km"))))))</f>
        <v>7. Acima de 2 km</v>
      </c>
      <c r="L1667" s="26" t="n">
        <v>0</v>
      </c>
      <c r="M1667" s="26" t="n">
        <v>0</v>
      </c>
      <c r="N1667" s="26" t="n">
        <v>0</v>
      </c>
      <c r="O1667" s="26" t="n">
        <v>0</v>
      </c>
      <c r="P1667" s="30" t="n">
        <v>-11.4555844</v>
      </c>
      <c r="Q1667" s="30" t="n">
        <v>-38.4542148</v>
      </c>
      <c r="R1667" s="14" t="inlineStr">
        <is>
          <t>CARTÓRIO ELEITORAL, PRAÇA 14 DE AGOSTO, S/N, FÓRUM DESEMBARGADOR WALTER BRANDÃO, CENTRO, OLINDINA BA</t>
        </is>
      </c>
      <c r="S1667" s="26">
        <f>IF(A1667=A1666,0,1)</f>
        <v>0</v>
      </c>
      <c r="T1667" s="26">
        <f>IF(COUNTIF($B$4:B1667,B1667)=1,1,0)</f>
        <v>0</v>
      </c>
    </row>
    <row r="1668">
      <c r="A1668" s="14" t="inlineStr">
        <is>
          <t>OLINDINA</t>
        </is>
      </c>
      <c r="B1668" s="26" t="n">
        <v>81</v>
      </c>
      <c r="C1668" s="26" t="n">
        <v>1074</v>
      </c>
      <c r="D1668" s="14" t="inlineStr">
        <is>
          <t>COLÉGIO ESTADUAL ACELINA DANTAS DA SILVA</t>
        </is>
      </c>
      <c r="E1668" s="14" t="inlineStr">
        <is>
          <t>DISTRITO DONA MARIA</t>
        </is>
      </c>
      <c r="F1668" s="14" t="inlineStr">
        <is>
          <t>DISTRITO DONA MARIA - ZONA RURAL</t>
        </is>
      </c>
      <c r="G1668" s="27" t="inlineStr">
        <is>
          <t>48470-000</t>
        </is>
      </c>
      <c r="H1668" s="15" t="n">
        <v>6</v>
      </c>
      <c r="I1668" s="28" t="inlineStr">
        <is>
          <t>NÃO</t>
        </is>
      </c>
      <c r="J1668" s="29" t="n"/>
      <c r="K1668" s="14" t="str">
        <f>IF(J1668="","7. Acima de 2 km",IF(J1668&lt;=50,"1. Até 50 m",IF(J1668&lt;=100,"2. De 50 a 100 m",IF(J1668&lt;=200,"3. De 100 a 200 m",IF(J1668&lt;=300,"4. De 200 a 300 m",IF(J1668&lt;=500,"5. De 300 a 500 m","6. De 500 m a 2 km"))))))</f>
        <v>7. Acima de 2 km</v>
      </c>
      <c r="L1668" s="26" t="n">
        <v>0</v>
      </c>
      <c r="M1668" s="26" t="n">
        <v>0</v>
      </c>
      <c r="N1668" s="26" t="n">
        <v>0</v>
      </c>
      <c r="O1668" s="26" t="n">
        <v>0</v>
      </c>
      <c r="P1668" s="30" t="n">
        <v>-11.5072822</v>
      </c>
      <c r="Q1668" s="30" t="n">
        <v>-38.2973483</v>
      </c>
      <c r="R1668" s="14" t="inlineStr">
        <is>
          <t>CARTÓRIO ELEITORAL, PRAÇA 14 DE AGOSTO, S/N, FÓRUM DESEMBARGADOR WALTER BRANDÃO, CENTRO, OLINDINA BA</t>
        </is>
      </c>
      <c r="S1668" s="26">
        <f>IF(A1668=A1667,0,1)</f>
        <v>0</v>
      </c>
      <c r="T1668" s="26">
        <f>IF(COUNTIF($B$4:B1668,B1668)=1,1,0)</f>
        <v>0</v>
      </c>
    </row>
    <row r="1669">
      <c r="A1669" s="14" t="inlineStr">
        <is>
          <t>OLINDINA</t>
        </is>
      </c>
      <c r="B1669" s="26" t="n">
        <v>81</v>
      </c>
      <c r="C1669" s="26" t="n">
        <v>1082</v>
      </c>
      <c r="D1669" s="14" t="inlineStr">
        <is>
          <t>ESCOLA JOAO BARRETO DE VASCONCELOS</t>
        </is>
      </c>
      <c r="E1669" s="14" t="inlineStr">
        <is>
          <t>POVOADO DE CARRAPATINHO</t>
        </is>
      </c>
      <c r="F1669" s="14" t="inlineStr">
        <is>
          <t>POVOADO CARRAPATINHO - ZONA RURAL</t>
        </is>
      </c>
      <c r="G1669" s="27" t="inlineStr">
        <is>
          <t>48470-000</t>
        </is>
      </c>
      <c r="H1669" s="15" t="n">
        <v>2</v>
      </c>
      <c r="I1669" s="28" t="inlineStr">
        <is>
          <t>NÃO</t>
        </is>
      </c>
      <c r="J1669" s="29" t="n"/>
      <c r="K1669" s="14" t="str">
        <f>IF(J1669="","7. Acima de 2 km",IF(J1669&lt;=50,"1. Até 50 m",IF(J1669&lt;=100,"2. De 50 a 100 m",IF(J1669&lt;=200,"3. De 100 a 200 m",IF(J1669&lt;=300,"4. De 200 a 300 m",IF(J1669&lt;=500,"5. De 300 a 500 m","6. De 500 m a 2 km"))))))</f>
        <v>7. Acima de 2 km</v>
      </c>
      <c r="L1669" s="26" t="n">
        <v>0</v>
      </c>
      <c r="M1669" s="26" t="n">
        <v>0</v>
      </c>
      <c r="N1669" s="26" t="n">
        <v>0</v>
      </c>
      <c r="O1669" s="26" t="n">
        <v>0</v>
      </c>
      <c r="P1669" s="30" t="n">
        <v>-11.2772596</v>
      </c>
      <c r="Q1669" s="30" t="n">
        <v>-38.370861</v>
      </c>
      <c r="R1669" s="14" t="inlineStr">
        <is>
          <t>CARTÓRIO ELEITORAL, PRAÇA 14 DE AGOSTO, S/N, FÓRUM DESEMBARGADOR WALTER BRANDÃO, CENTRO, OLINDINA BA</t>
        </is>
      </c>
      <c r="S1669" s="26">
        <f>IF(A1669=A1668,0,1)</f>
        <v>0</v>
      </c>
      <c r="T1669" s="26">
        <f>IF(COUNTIF($B$4:B1669,B1669)=1,1,0)</f>
        <v>0</v>
      </c>
    </row>
    <row r="1670">
      <c r="A1670" s="14" t="inlineStr">
        <is>
          <t>OLINDINA</t>
        </is>
      </c>
      <c r="B1670" s="26" t="n">
        <v>81</v>
      </c>
      <c r="C1670" s="26" t="n">
        <v>1090</v>
      </c>
      <c r="D1670" s="14" t="inlineStr">
        <is>
          <t>ESCOLA MUNICIPAL JOSÉ AMÂNCIO DE SOUZA</t>
        </is>
      </c>
      <c r="E1670" s="14" t="inlineStr">
        <is>
          <t>POVOADO KM 82</t>
        </is>
      </c>
      <c r="F1670" s="14" t="inlineStr">
        <is>
          <t>POVOADO DO KM 82 - ZONA RURAL</t>
        </is>
      </c>
      <c r="G1670" s="27" t="inlineStr">
        <is>
          <t>48470-000</t>
        </is>
      </c>
      <c r="H1670" s="15" t="n">
        <v>3</v>
      </c>
      <c r="I1670" s="28" t="inlineStr">
        <is>
          <t>NÃO</t>
        </is>
      </c>
      <c r="J1670" s="29" t="n"/>
      <c r="K1670" s="14" t="str">
        <f>IF(J1670="","7. Acima de 2 km",IF(J1670&lt;=50,"1. Até 50 m",IF(J1670&lt;=100,"2. De 50 a 100 m",IF(J1670&lt;=200,"3. De 100 a 200 m",IF(J1670&lt;=300,"4. De 200 a 300 m",IF(J1670&lt;=500,"5. De 300 a 500 m","6. De 500 m a 2 km"))))))</f>
        <v>7. Acima de 2 km</v>
      </c>
      <c r="L1670" s="26" t="n">
        <v>0</v>
      </c>
      <c r="M1670" s="26" t="n">
        <v>0</v>
      </c>
      <c r="N1670" s="26" t="n">
        <v>0</v>
      </c>
      <c r="O1670" s="26" t="n">
        <v>0</v>
      </c>
      <c r="P1670" s="30" t="n">
        <v>-11.4580715</v>
      </c>
      <c r="Q1670" s="30" t="n">
        <v>-38.294763</v>
      </c>
      <c r="R1670" s="14" t="inlineStr">
        <is>
          <t>CARTÓRIO ELEITORAL, PRAÇA 14 DE AGOSTO, S/N, FÓRUM DESEMBARGADOR WALTER BRANDÃO, CENTRO, OLINDINA BA</t>
        </is>
      </c>
      <c r="S1670" s="26">
        <f>IF(A1670=A1669,0,1)</f>
        <v>0</v>
      </c>
      <c r="T1670" s="26">
        <f>IF(COUNTIF($B$4:B1670,B1670)=1,1,0)</f>
        <v>0</v>
      </c>
    </row>
    <row r="1671">
      <c r="A1671" s="14" t="inlineStr">
        <is>
          <t>OLINDINA</t>
        </is>
      </c>
      <c r="B1671" s="26" t="n">
        <v>81</v>
      </c>
      <c r="C1671" s="26" t="n">
        <v>1120</v>
      </c>
      <c r="D1671" s="14" t="inlineStr">
        <is>
          <t>ESCOLA TOMAZ DE SOUZA</t>
        </is>
      </c>
      <c r="E1671" s="14" t="inlineStr">
        <is>
          <t>POVOADO DE LAGOA DOCE</t>
        </is>
      </c>
      <c r="F1671" s="14" t="inlineStr">
        <is>
          <t>POVOADO LAGOA DOCE - ZONA RURAL</t>
        </is>
      </c>
      <c r="G1671" s="27" t="inlineStr">
        <is>
          <t>48470-000</t>
        </is>
      </c>
      <c r="H1671" s="15" t="n">
        <v>3</v>
      </c>
      <c r="I1671" s="28" t="inlineStr">
        <is>
          <t>NÃO</t>
        </is>
      </c>
      <c r="J1671" s="29" t="n"/>
      <c r="K1671" s="14" t="str">
        <f>IF(J1671="","7. Acima de 2 km",IF(J1671&lt;=50,"1. Até 50 m",IF(J1671&lt;=100,"2. De 50 a 100 m",IF(J1671&lt;=200,"3. De 100 a 200 m",IF(J1671&lt;=300,"4. De 200 a 300 m",IF(J1671&lt;=500,"5. De 300 a 500 m","6. De 500 m a 2 km"))))))</f>
        <v>7. Acima de 2 km</v>
      </c>
      <c r="L1671" s="26" t="n">
        <v>0</v>
      </c>
      <c r="M1671" s="26" t="n">
        <v>0</v>
      </c>
      <c r="N1671" s="26" t="n">
        <v>0</v>
      </c>
      <c r="O1671" s="26" t="n">
        <v>0</v>
      </c>
      <c r="P1671" s="30" t="n">
        <v>-11.4811932</v>
      </c>
      <c r="Q1671" s="30" t="n">
        <v>-38.3975208</v>
      </c>
      <c r="R1671" s="14" t="inlineStr">
        <is>
          <t>CARTÓRIO ELEITORAL, PRAÇA 14 DE AGOSTO, S/N, FÓRUM DESEMBARGADOR WALTER BRANDÃO, CENTRO, OLINDINA BA</t>
        </is>
      </c>
      <c r="S1671" s="26">
        <f>IF(A1671=A1670,0,1)</f>
        <v>0</v>
      </c>
      <c r="T1671" s="26">
        <f>IF(COUNTIF($B$4:B1671,B1671)=1,1,0)</f>
        <v>0</v>
      </c>
    </row>
    <row r="1672">
      <c r="A1672" s="14" t="inlineStr">
        <is>
          <t>OLINDINA</t>
        </is>
      </c>
      <c r="B1672" s="26" t="n">
        <v>81</v>
      </c>
      <c r="C1672" s="26" t="n">
        <v>1139</v>
      </c>
      <c r="D1672" s="14" t="inlineStr">
        <is>
          <t>ESCOLA ANTONIO FONSECA DE MACEDO</t>
        </is>
      </c>
      <c r="E1672" s="14" t="inlineStr">
        <is>
          <t>POVOADO FAZENDA BEBEDOURO</t>
        </is>
      </c>
      <c r="F1672" s="14" t="inlineStr">
        <is>
          <t>FAZENDA BEBEDOURO - ZONA RURAL</t>
        </is>
      </c>
      <c r="G1672" s="27" t="inlineStr">
        <is>
          <t>48470-000</t>
        </is>
      </c>
      <c r="H1672" s="15" t="n">
        <v>1</v>
      </c>
      <c r="I1672" s="28" t="inlineStr">
        <is>
          <t>NÃO</t>
        </is>
      </c>
      <c r="J1672" s="29" t="n"/>
      <c r="K1672" s="14" t="str">
        <f>IF(J1672="","7. Acima de 2 km",IF(J1672&lt;=50,"1. Até 50 m",IF(J1672&lt;=100,"2. De 50 a 100 m",IF(J1672&lt;=200,"3. De 100 a 200 m",IF(J1672&lt;=300,"4. De 200 a 300 m",IF(J1672&lt;=500,"5. De 300 a 500 m","6. De 500 m a 2 km"))))))</f>
        <v>7. Acima de 2 km</v>
      </c>
      <c r="L1672" s="26" t="n">
        <v>0</v>
      </c>
      <c r="M1672" s="26" t="n">
        <v>0</v>
      </c>
      <c r="N1672" s="26" t="n">
        <v>0</v>
      </c>
      <c r="O1672" s="26" t="n">
        <v>0</v>
      </c>
      <c r="P1672" s="30" t="n">
        <v>-11.3102965</v>
      </c>
      <c r="Q1672" s="30" t="n">
        <v>-38.3913691</v>
      </c>
      <c r="R1672" s="14" t="inlineStr">
        <is>
          <t>CARTÓRIO ELEITORAL, PRAÇA 14 DE AGOSTO, S/N, FÓRUM DESEMBARGADOR WALTER BRANDÃO, CENTRO, OLINDINA BA</t>
        </is>
      </c>
      <c r="S1672" s="26">
        <f>IF(A1672=A1671,0,1)</f>
        <v>0</v>
      </c>
      <c r="T1672" s="26">
        <f>IF(COUNTIF($B$4:B1672,B1672)=1,1,0)</f>
        <v>0</v>
      </c>
    </row>
    <row r="1673">
      <c r="A1673" s="14" t="inlineStr">
        <is>
          <t>OLINDINA</t>
        </is>
      </c>
      <c r="B1673" s="26" t="n">
        <v>81</v>
      </c>
      <c r="C1673" s="26" t="n">
        <v>1147</v>
      </c>
      <c r="D1673" s="14" t="inlineStr">
        <is>
          <t>ESCOLA MUNICIPAL JOAQUIM BARRETO BORGES</t>
        </is>
      </c>
      <c r="E1673" s="14" t="inlineStr">
        <is>
          <t>POVOADO FAZENDA ANGICO</t>
        </is>
      </c>
      <c r="F1673" s="14" t="inlineStr">
        <is>
          <t>POVOADO FAZENDA ANGICO - ZONA RURAL</t>
        </is>
      </c>
      <c r="G1673" s="27" t="inlineStr">
        <is>
          <t>48470-000</t>
        </is>
      </c>
      <c r="H1673" s="15" t="n">
        <v>2</v>
      </c>
      <c r="I1673" s="28" t="inlineStr">
        <is>
          <t>NÃO</t>
        </is>
      </c>
      <c r="J1673" s="29" t="n"/>
      <c r="K1673" s="14" t="str">
        <f>IF(J1673="","7. Acima de 2 km",IF(J1673&lt;=50,"1. Até 50 m",IF(J1673&lt;=100,"2. De 50 a 100 m",IF(J1673&lt;=200,"3. De 100 a 200 m",IF(J1673&lt;=300,"4. De 200 a 300 m",IF(J1673&lt;=500,"5. De 300 a 500 m","6. De 500 m a 2 km"))))))</f>
        <v>7. Acima de 2 km</v>
      </c>
      <c r="L1673" s="26" t="n">
        <v>0</v>
      </c>
      <c r="M1673" s="26" t="n">
        <v>0</v>
      </c>
      <c r="N1673" s="26" t="n">
        <v>0</v>
      </c>
      <c r="O1673" s="26" t="n">
        <v>0</v>
      </c>
      <c r="P1673" s="30" t="n">
        <v>-11.342692</v>
      </c>
      <c r="Q1673" s="30" t="n">
        <v>-38.2457332</v>
      </c>
      <c r="R1673" s="14" t="inlineStr">
        <is>
          <t>CARTÓRIO ELEITORAL, PRAÇA 14 DE AGOSTO, S/N, FÓRUM DESEMBARGADOR WALTER BRANDÃO, CENTRO, OLINDINA BA</t>
        </is>
      </c>
      <c r="S1673" s="26">
        <f>IF(A1673=A1672,0,1)</f>
        <v>0</v>
      </c>
      <c r="T1673" s="26">
        <f>IF(COUNTIF($B$4:B1673,B1673)=1,1,0)</f>
        <v>0</v>
      </c>
    </row>
    <row r="1674">
      <c r="A1674" s="14" t="inlineStr">
        <is>
          <t>OLINDINA</t>
        </is>
      </c>
      <c r="B1674" s="26" t="n">
        <v>81</v>
      </c>
      <c r="C1674" s="26" t="n">
        <v>1180</v>
      </c>
      <c r="D1674" s="14" t="inlineStr">
        <is>
          <t>COLÉGIO MUNICIPAL ANTONIO CARLOS MAGALHÃES</t>
        </is>
      </c>
      <c r="E1674" s="14" t="inlineStr">
        <is>
          <t>CENTRO</t>
        </is>
      </c>
      <c r="F1674" s="14" t="inlineStr">
        <is>
          <t>RUA TANCREDO NEVES, S/N - ZONA URBANA</t>
        </is>
      </c>
      <c r="G1674" s="27" t="inlineStr">
        <is>
          <t>48470-000</t>
        </is>
      </c>
      <c r="H1674" s="15" t="n">
        <v>12</v>
      </c>
      <c r="I1674" s="28" t="inlineStr">
        <is>
          <t>NÃO</t>
        </is>
      </c>
      <c r="J1674" s="29" t="n">
        <v>255.5</v>
      </c>
      <c r="K1674" s="14" t="str">
        <f>IF(J1674="","7. Acima de 2 km",IF(J1674&lt;=50,"1. Até 50 m",IF(J1674&lt;=100,"2. De 50 a 100 m",IF(J1674&lt;=200,"3. De 100 a 200 m",IF(J1674&lt;=300,"4. De 200 a 300 m",IF(J1674&lt;=500,"5. De 300 a 500 m","6. De 500 m a 2 km"))))))</f>
        <v>4. De 200 a 300 m</v>
      </c>
      <c r="L1674" s="26" t="n">
        <v>0</v>
      </c>
      <c r="M1674" s="26" t="n">
        <v>0</v>
      </c>
      <c r="N1674" s="26" t="n">
        <v>0</v>
      </c>
      <c r="O1674" s="26" t="n">
        <v>1</v>
      </c>
      <c r="P1674" s="30" t="n">
        <v>-11.3622794</v>
      </c>
      <c r="Q1674" s="30" t="n">
        <v>-38.3239045</v>
      </c>
      <c r="R1674" s="14" t="inlineStr">
        <is>
          <t>CARTÓRIO ELEITORAL, PRAÇA 14 DE AGOSTO, S/N, FÓRUM DESEMBARGADOR WALTER BRANDÃO, CENTRO, OLINDINA BA</t>
        </is>
      </c>
      <c r="S1674" s="26">
        <f>IF(A1674=A1673,0,1)</f>
        <v>0</v>
      </c>
      <c r="T1674" s="26">
        <f>IF(COUNTIF($B$4:B1674,B1674)=1,1,0)</f>
        <v>0</v>
      </c>
    </row>
    <row r="1675">
      <c r="A1675" s="14" t="inlineStr">
        <is>
          <t>OLINDINA</t>
        </is>
      </c>
      <c r="B1675" s="26" t="n">
        <v>81</v>
      </c>
      <c r="C1675" s="26" t="n">
        <v>1228</v>
      </c>
      <c r="D1675" s="14" t="inlineStr">
        <is>
          <t>ESCOLA NAPOLEAO CALDAS</t>
        </is>
      </c>
      <c r="E1675" s="14" t="inlineStr">
        <is>
          <t>POVOADO GAMELEIRA</t>
        </is>
      </c>
      <c r="F1675" s="14" t="inlineStr">
        <is>
          <t>POVOADO POCO DE GAMELEIRA - ZONA RURAL</t>
        </is>
      </c>
      <c r="G1675" s="27" t="inlineStr">
        <is>
          <t>48470-000</t>
        </is>
      </c>
      <c r="H1675" s="15" t="n">
        <v>2</v>
      </c>
      <c r="I1675" s="28" t="inlineStr">
        <is>
          <t>NÃO</t>
        </is>
      </c>
      <c r="J1675" s="29" t="n"/>
      <c r="K1675" s="14" t="str">
        <f>IF(J1675="","7. Acima de 2 km",IF(J1675&lt;=50,"1. Até 50 m",IF(J1675&lt;=100,"2. De 50 a 100 m",IF(J1675&lt;=200,"3. De 100 a 200 m",IF(J1675&lt;=300,"4. De 200 a 300 m",IF(J1675&lt;=500,"5. De 300 a 500 m","6. De 500 m a 2 km"))))))</f>
        <v>7. Acima de 2 km</v>
      </c>
      <c r="L1675" s="26" t="n">
        <v>0</v>
      </c>
      <c r="M1675" s="26" t="n">
        <v>0</v>
      </c>
      <c r="N1675" s="26" t="n">
        <v>0</v>
      </c>
      <c r="O1675" s="26" t="n">
        <v>0</v>
      </c>
      <c r="P1675" s="30" t="n">
        <v>-11.5416595</v>
      </c>
      <c r="Q1675" s="30" t="n">
        <v>-38.3658519</v>
      </c>
      <c r="R1675" s="14" t="inlineStr">
        <is>
          <t>CARTÓRIO ELEITORAL, PRAÇA 14 DE AGOSTO, S/N, FÓRUM DESEMBARGADOR WALTER BRANDÃO, CENTRO, OLINDINA BA</t>
        </is>
      </c>
      <c r="S1675" s="26">
        <f>IF(A1675=A1674,0,1)</f>
        <v>0</v>
      </c>
      <c r="T1675" s="26">
        <f>IF(COUNTIF($B$4:B1675,B1675)=1,1,0)</f>
        <v>0</v>
      </c>
    </row>
    <row r="1676">
      <c r="A1676" s="14" t="inlineStr">
        <is>
          <t>OLINDINA</t>
        </is>
      </c>
      <c r="B1676" s="26" t="n">
        <v>81</v>
      </c>
      <c r="C1676" s="26" t="n">
        <v>1260</v>
      </c>
      <c r="D1676" s="14" t="inlineStr">
        <is>
          <t>ESCOLA CASTRO ALVES</t>
        </is>
      </c>
      <c r="E1676" s="14" t="inlineStr">
        <is>
          <t>POVOADO FUNIL</t>
        </is>
      </c>
      <c r="F1676" s="14" t="inlineStr">
        <is>
          <t>POVOADO FUNIL - ZONA RURAL</t>
        </is>
      </c>
      <c r="G1676" s="27" t="inlineStr">
        <is>
          <t>48470-000</t>
        </is>
      </c>
      <c r="H1676" s="15" t="n">
        <v>2</v>
      </c>
      <c r="I1676" s="28" t="inlineStr">
        <is>
          <t>NÃO</t>
        </is>
      </c>
      <c r="J1676" s="29" t="n"/>
      <c r="K1676" s="14" t="str">
        <f>IF(J1676="","7. Acima de 2 km",IF(J1676&lt;=50,"1. Até 50 m",IF(J1676&lt;=100,"2. De 50 a 100 m",IF(J1676&lt;=200,"3. De 100 a 200 m",IF(J1676&lt;=300,"4. De 200 a 300 m",IF(J1676&lt;=500,"5. De 300 a 500 m","6. De 500 m a 2 km"))))))</f>
        <v>7. Acima de 2 km</v>
      </c>
      <c r="L1676" s="26" t="n">
        <v>0</v>
      </c>
      <c r="M1676" s="26" t="n">
        <v>0</v>
      </c>
      <c r="N1676" s="26" t="n">
        <v>0</v>
      </c>
      <c r="O1676" s="26" t="n">
        <v>0</v>
      </c>
      <c r="P1676" s="30" t="n">
        <v>-11.4130547</v>
      </c>
      <c r="Q1676" s="30" t="n">
        <v>-38.4250455</v>
      </c>
      <c r="R1676" s="14" t="inlineStr">
        <is>
          <t>CARTÓRIO ELEITORAL, PRAÇA 14 DE AGOSTO, S/N, FÓRUM DESEMBARGADOR WALTER BRANDÃO, CENTRO, OLINDINA BA</t>
        </is>
      </c>
      <c r="S1676" s="26">
        <f>IF(A1676=A1675,0,1)</f>
        <v>0</v>
      </c>
      <c r="T1676" s="26">
        <f>IF(COUNTIF($B$4:B1676,B1676)=1,1,0)</f>
        <v>0</v>
      </c>
    </row>
    <row r="1677">
      <c r="A1677" s="14" t="inlineStr">
        <is>
          <t>OLINDINA</t>
        </is>
      </c>
      <c r="B1677" s="26" t="n">
        <v>81</v>
      </c>
      <c r="C1677" s="26" t="n">
        <v>1279</v>
      </c>
      <c r="D1677" s="14" t="inlineStr">
        <is>
          <t>ESCOLA MUNICIPAL PROF. MARIA JOSÉ DE SOUZA SANTANA</t>
        </is>
      </c>
      <c r="E1677" s="14" t="inlineStr">
        <is>
          <t>CIDADE NOVA</t>
        </is>
      </c>
      <c r="F1677" s="14" t="inlineStr">
        <is>
          <t>RUA DESEMBARGADOR MANOEL PEREIRA DOS SANTOS, S/N - ZONA URBANA</t>
        </is>
      </c>
      <c r="G1677" s="27" t="inlineStr">
        <is>
          <t>48470-000</t>
        </is>
      </c>
      <c r="H1677" s="15" t="n">
        <v>5</v>
      </c>
      <c r="I1677" s="28" t="inlineStr">
        <is>
          <t>NÃO</t>
        </is>
      </c>
      <c r="J1677" s="29" t="n">
        <v>390.1</v>
      </c>
      <c r="K1677" s="14" t="str">
        <f>IF(J1677="","7. Acima de 2 km",IF(J1677&lt;=50,"1. Até 50 m",IF(J1677&lt;=100,"2. De 50 a 100 m",IF(J1677&lt;=200,"3. De 100 a 200 m",IF(J1677&lt;=300,"4. De 200 a 300 m",IF(J1677&lt;=500,"5. De 300 a 500 m","6. De 500 m a 2 km"))))))</f>
        <v>5. De 300 a 500 m</v>
      </c>
      <c r="L1677" s="26" t="n">
        <v>0</v>
      </c>
      <c r="M1677" s="26" t="n">
        <v>0</v>
      </c>
      <c r="N1677" s="26" t="n">
        <v>0</v>
      </c>
      <c r="O1677" s="26" t="n">
        <v>0</v>
      </c>
      <c r="P1677" s="30" t="n">
        <v>-11.3633128</v>
      </c>
      <c r="Q1677" s="30" t="n">
        <v>-38.3306164</v>
      </c>
      <c r="R1677" s="14" t="inlineStr">
        <is>
          <t>CARTÓRIO ELEITORAL, PRAÇA 14 DE AGOSTO, S/N, FÓRUM DESEMBARGADOR WALTER BRANDÃO, CENTRO, OLINDINA BA</t>
        </is>
      </c>
      <c r="S1677" s="26">
        <f>IF(A1677=A1676,0,1)</f>
        <v>0</v>
      </c>
      <c r="T1677" s="26">
        <f>IF(COUNTIF($B$4:B1677,B1677)=1,1,0)</f>
        <v>0</v>
      </c>
    </row>
    <row r="1678">
      <c r="A1678" s="14" t="inlineStr">
        <is>
          <t>OLINDINA</t>
        </is>
      </c>
      <c r="B1678" s="26" t="n">
        <v>81</v>
      </c>
      <c r="C1678" s="26" t="n">
        <v>1287</v>
      </c>
      <c r="D1678" s="14" t="inlineStr">
        <is>
          <t>ESCOLA TIRADENTES</t>
        </is>
      </c>
      <c r="E1678" s="14" t="inlineStr">
        <is>
          <t>POVOADO ENTRONCAMENTO DE CRISOPOLIS</t>
        </is>
      </c>
      <c r="F1678" s="14" t="inlineStr">
        <is>
          <t>POVOADO ENTRONCAMENTO DE CRISOPOLIS - ZONA RURAL</t>
        </is>
      </c>
      <c r="G1678" s="27" t="inlineStr">
        <is>
          <t>48470-000</t>
        </is>
      </c>
      <c r="H1678" s="15" t="n">
        <v>1</v>
      </c>
      <c r="I1678" s="28" t="inlineStr">
        <is>
          <t>NÃO</t>
        </is>
      </c>
      <c r="J1678" s="29" t="n"/>
      <c r="K1678" s="14" t="str">
        <f>IF(J1678="","7. Acima de 2 km",IF(J1678&lt;=50,"1. Até 50 m",IF(J1678&lt;=100,"2. De 50 a 100 m",IF(J1678&lt;=200,"3. De 100 a 200 m",IF(J1678&lt;=300,"4. De 200 a 300 m",IF(J1678&lt;=500,"5. De 300 a 500 m","6. De 500 m a 2 km"))))))</f>
        <v>7. Acima de 2 km</v>
      </c>
      <c r="L1678" s="26" t="n">
        <v>0</v>
      </c>
      <c r="M1678" s="26" t="n">
        <v>0</v>
      </c>
      <c r="N1678" s="26" t="n">
        <v>0</v>
      </c>
      <c r="O1678" s="26" t="n">
        <v>0</v>
      </c>
      <c r="P1678" s="30" t="n">
        <v>-11.4161843</v>
      </c>
      <c r="Q1678" s="30" t="n">
        <v>-38.2935532</v>
      </c>
      <c r="R1678" s="14" t="inlineStr">
        <is>
          <t>CARTÓRIO ELEITORAL, PRAÇA 14 DE AGOSTO, S/N, FÓRUM DESEMBARGADOR WALTER BRANDÃO, CENTRO, OLINDINA BA</t>
        </is>
      </c>
      <c r="S1678" s="26">
        <f>IF(A1678=A1677,0,1)</f>
        <v>0</v>
      </c>
      <c r="T1678" s="26">
        <f>IF(COUNTIF($B$4:B1678,B1678)=1,1,0)</f>
        <v>0</v>
      </c>
    </row>
    <row r="1679">
      <c r="A1679" s="14" t="inlineStr">
        <is>
          <t>OLINDINA</t>
        </is>
      </c>
      <c r="B1679" s="26" t="n">
        <v>81</v>
      </c>
      <c r="C1679" s="26" t="n">
        <v>1295</v>
      </c>
      <c r="D1679" s="14" t="inlineStr">
        <is>
          <t>COLÉGIO ESTADUAL PROFESSORA NINALVA MARIA PARAIZO SILVA</t>
        </is>
      </c>
      <c r="E1679" s="14" t="inlineStr">
        <is>
          <t>CENTRO</t>
        </is>
      </c>
      <c r="F1679" s="14" t="inlineStr">
        <is>
          <t>R. OTÁVIO MANGABEIRA, 1120-1178 - ZONA URBANA</t>
        </is>
      </c>
      <c r="G1679" s="27" t="inlineStr">
        <is>
          <t>48470-000</t>
        </is>
      </c>
      <c r="H1679" s="15" t="n">
        <v>14</v>
      </c>
      <c r="I1679" s="28" t="inlineStr">
        <is>
          <t>NÃO</t>
        </is>
      </c>
      <c r="J1679" s="29" t="n">
        <v>274.5</v>
      </c>
      <c r="K1679" s="14" t="str">
        <f>IF(J1679="","7. Acima de 2 km",IF(J1679&lt;=50,"1. Até 50 m",IF(J1679&lt;=100,"2. De 50 a 100 m",IF(J1679&lt;=200,"3. De 100 a 200 m",IF(J1679&lt;=300,"4. De 200 a 300 m",IF(J1679&lt;=500,"5. De 300 a 500 m","6. De 500 m a 2 km"))))))</f>
        <v>4. De 200 a 300 m</v>
      </c>
      <c r="L1679" s="26" t="n">
        <v>0</v>
      </c>
      <c r="M1679" s="26" t="n">
        <v>0</v>
      </c>
      <c r="N1679" s="26" t="n">
        <v>0</v>
      </c>
      <c r="O1679" s="26" t="n">
        <v>1</v>
      </c>
      <c r="P1679" s="30" t="n">
        <v>-11.3672474</v>
      </c>
      <c r="Q1679" s="30" t="n">
        <v>-38.321971</v>
      </c>
      <c r="R1679" s="14" t="inlineStr">
        <is>
          <t>CARTÓRIO ELEITORAL, PRAÇA 14 DE AGOSTO, S/N, FÓRUM DESEMBARGADOR WALTER BRANDÃO, CENTRO, OLINDINA BA</t>
        </is>
      </c>
      <c r="S1679" s="26">
        <f>IF(A1679=A1678,0,1)</f>
        <v>0</v>
      </c>
      <c r="T1679" s="26">
        <f>IF(COUNTIF($B$4:B1679,B1679)=1,1,0)</f>
        <v>0</v>
      </c>
    </row>
    <row r="1680">
      <c r="A1680" s="14" t="inlineStr">
        <is>
          <t>PALMEIRAS</t>
        </is>
      </c>
      <c r="B1680" s="26" t="n">
        <v>89</v>
      </c>
      <c r="C1680" s="26" t="n">
        <v>1023</v>
      </c>
      <c r="D1680" s="14" t="inlineStr">
        <is>
          <t>ESCOLA MUNICIPAL MANOEL AFONSO</t>
        </is>
      </c>
      <c r="E1680" s="14" t="inlineStr">
        <is>
          <t>CENTRO</t>
        </is>
      </c>
      <c r="F1680" s="14" t="inlineStr">
        <is>
          <t>RUA QUINZE DE JANEIRO, S/N - ZONA URBANA</t>
        </is>
      </c>
      <c r="G1680" s="27" t="inlineStr">
        <is>
          <t>46930-000</t>
        </is>
      </c>
      <c r="H1680" s="15" t="n">
        <v>9</v>
      </c>
      <c r="I1680" s="28" t="inlineStr">
        <is>
          <t>NÃO</t>
        </is>
      </c>
      <c r="J1680" s="29" t="n">
        <v>189.2</v>
      </c>
      <c r="K1680" s="14" t="str">
        <f>IF(J1680="","7. Acima de 2 km",IF(J1680&lt;=50,"1. Até 50 m",IF(J1680&lt;=100,"2. De 50 a 100 m",IF(J1680&lt;=200,"3. De 100 a 200 m",IF(J1680&lt;=300,"4. De 200 a 300 m",IF(J1680&lt;=500,"5. De 300 a 500 m","6. De 500 m a 2 km"))))))</f>
        <v>3. De 100 a 200 m</v>
      </c>
      <c r="L1680" s="26" t="n">
        <v>0</v>
      </c>
      <c r="M1680" s="26" t="n">
        <v>0</v>
      </c>
      <c r="N1680" s="26" t="n">
        <v>1</v>
      </c>
      <c r="O1680" s="26" t="n">
        <v>1</v>
      </c>
      <c r="P1680" s="30" t="n">
        <v>-12.51465807</v>
      </c>
      <c r="Q1680" s="30" t="n">
        <v>-41.57902462</v>
      </c>
      <c r="R1680" s="14" t="inlineStr">
        <is>
          <t>CARTORIO ELEITORAL ZONA 089 - RODOVIA BA 144, AVENIDA CORONEL FELISBERTO SÁ, Nº 113 - CENTRO, LENÇÓIS/BA</t>
        </is>
      </c>
      <c r="S1680" s="26">
        <f>IF(A1680=A1679,0,1)</f>
        <v>1</v>
      </c>
      <c r="T1680" s="26">
        <f>IF(COUNTIF($B$4:B1680,B1680)=1,1,0)</f>
        <v>0</v>
      </c>
    </row>
    <row r="1681">
      <c r="A1681" s="14" t="inlineStr">
        <is>
          <t>PALMEIRAS</t>
        </is>
      </c>
      <c r="B1681" s="26" t="n">
        <v>89</v>
      </c>
      <c r="C1681" s="26" t="n">
        <v>1058</v>
      </c>
      <c r="D1681" s="14" t="inlineStr">
        <is>
          <t>GRUPO ESCOLAR SOUTO SOARES</t>
        </is>
      </c>
      <c r="E1681" s="14" t="inlineStr">
        <is>
          <t>CENTRO</t>
        </is>
      </c>
      <c r="F1681" s="14" t="inlineStr">
        <is>
          <t>ALTO DA PETECA, SN - ZONA URBANA</t>
        </is>
      </c>
      <c r="G1681" s="27" t="inlineStr">
        <is>
          <t>46930-000</t>
        </is>
      </c>
      <c r="H1681" s="15" t="n">
        <v>6</v>
      </c>
      <c r="I1681" s="28" t="inlineStr">
        <is>
          <t>NÃO</t>
        </is>
      </c>
      <c r="J1681" s="29" t="n">
        <v>176.7</v>
      </c>
      <c r="K1681" s="14" t="str">
        <f>IF(J1681="","7. Acima de 2 km",IF(J1681&lt;=50,"1. Até 50 m",IF(J1681&lt;=100,"2. De 50 a 100 m",IF(J1681&lt;=200,"3. De 100 a 200 m",IF(J1681&lt;=300,"4. De 200 a 300 m",IF(J1681&lt;=500,"5. De 300 a 500 m","6. De 500 m a 2 km"))))))</f>
        <v>3. De 100 a 200 m</v>
      </c>
      <c r="L1681" s="26" t="n">
        <v>0</v>
      </c>
      <c r="M1681" s="26" t="n">
        <v>0</v>
      </c>
      <c r="N1681" s="26" t="n">
        <v>1</v>
      </c>
      <c r="O1681" s="26" t="n">
        <v>1</v>
      </c>
      <c r="P1681" s="30" t="n">
        <v>-12.516688</v>
      </c>
      <c r="Q1681" s="30" t="n">
        <v>-41.5773583</v>
      </c>
      <c r="R1681" s="14" t="inlineStr">
        <is>
          <t>CARTORIO ELEITORAL ZONA 089 - RODOVIA BA 144, AVENIDA CORONEL FELISBERTO SÁ, Nº 113 - CENTRO, LENÇÓIS/BA</t>
        </is>
      </c>
      <c r="S1681" s="26">
        <f>IF(A1681=A1680,0,1)</f>
        <v>0</v>
      </c>
      <c r="T1681" s="26">
        <f>IF(COUNTIF($B$4:B1681,B1681)=1,1,0)</f>
        <v>0</v>
      </c>
    </row>
    <row r="1682">
      <c r="A1682" s="14" t="inlineStr">
        <is>
          <t>PALMEIRAS</t>
        </is>
      </c>
      <c r="B1682" s="26" t="n">
        <v>89</v>
      </c>
      <c r="C1682" s="26" t="n">
        <v>1066</v>
      </c>
      <c r="D1682" s="14" t="inlineStr">
        <is>
          <t>PRÉDIO ESCOLAR DE CAMPOS DE SÃO JOÃO</t>
        </is>
      </c>
      <c r="E1682" s="14" t="inlineStr">
        <is>
          <t>POVOADO CAMPOS DE SÃO JOÃO</t>
        </is>
      </c>
      <c r="F1682" s="14" t="inlineStr">
        <is>
          <t>POVOADO CAMPOS DE SÃO JOÃO - ZONA RURAL</t>
        </is>
      </c>
      <c r="G1682" s="27" t="inlineStr">
        <is>
          <t>46930-000</t>
        </is>
      </c>
      <c r="H1682" s="15" t="n">
        <v>2</v>
      </c>
      <c r="I1682" s="28" t="inlineStr">
        <is>
          <t>NÃO</t>
        </is>
      </c>
      <c r="J1682" s="29" t="n"/>
      <c r="K1682" s="14" t="str">
        <f>IF(J1682="","7. Acima de 2 km",IF(J1682&lt;=50,"1. Até 50 m",IF(J1682&lt;=100,"2. De 50 a 100 m",IF(J1682&lt;=200,"3. De 100 a 200 m",IF(J1682&lt;=300,"4. De 200 a 300 m",IF(J1682&lt;=500,"5. De 300 a 500 m","6. De 500 m a 2 km"))))))</f>
        <v>7. Acima de 2 km</v>
      </c>
      <c r="L1682" s="26" t="n">
        <v>0</v>
      </c>
      <c r="M1682" s="26" t="n">
        <v>0</v>
      </c>
      <c r="N1682" s="26" t="n">
        <v>0</v>
      </c>
      <c r="O1682" s="26" t="n">
        <v>0</v>
      </c>
      <c r="P1682" s="30" t="n">
        <v>-12.4512411</v>
      </c>
      <c r="Q1682" s="30" t="n">
        <v>-41.4954573</v>
      </c>
      <c r="R1682" s="14" t="inlineStr">
        <is>
          <t>CARTORIO ELEITORAL ZONA 089 - RODOVIA BA 144, AVENIDA CORONEL FELISBERTO SÁ, Nº 113 - CENTRO, LENÇÓIS/BA</t>
        </is>
      </c>
      <c r="S1682" s="26">
        <f>IF(A1682=A1681,0,1)</f>
        <v>0</v>
      </c>
      <c r="T1682" s="26">
        <f>IF(COUNTIF($B$4:B1682,B1682)=1,1,0)</f>
        <v>0</v>
      </c>
    </row>
    <row r="1683">
      <c r="A1683" s="14" t="inlineStr">
        <is>
          <t>PALMEIRAS</t>
        </is>
      </c>
      <c r="B1683" s="26" t="n">
        <v>89</v>
      </c>
      <c r="C1683" s="26" t="n">
        <v>1074</v>
      </c>
      <c r="D1683" s="14" t="inlineStr">
        <is>
          <t>PRÉDIO RURAL DE CAETÉ-AÇU</t>
        </is>
      </c>
      <c r="E1683" s="14" t="inlineStr">
        <is>
          <t>DISTRITO DE CAETÉ-AÇU VALE DO CAPÃO</t>
        </is>
      </c>
      <c r="F1683" s="14" t="inlineStr">
        <is>
          <t>DISTRITO DE CAETÉ-AÇU - ZONA RURAL</t>
        </is>
      </c>
      <c r="G1683" s="27" t="inlineStr">
        <is>
          <t>46930-000</t>
        </is>
      </c>
      <c r="H1683" s="15" t="n">
        <v>5</v>
      </c>
      <c r="I1683" s="28" t="inlineStr">
        <is>
          <t>NÃO</t>
        </is>
      </c>
      <c r="J1683" s="29" t="n"/>
      <c r="K1683" s="14" t="str">
        <f>IF(J1683="","7. Acima de 2 km",IF(J1683&lt;=50,"1. Até 50 m",IF(J1683&lt;=100,"2. De 50 a 100 m",IF(J1683&lt;=200,"3. De 100 a 200 m",IF(J1683&lt;=300,"4. De 200 a 300 m",IF(J1683&lt;=500,"5. De 300 a 500 m","6. De 500 m a 2 km"))))))</f>
        <v>7. Acima de 2 km</v>
      </c>
      <c r="L1683" s="26" t="n">
        <v>0</v>
      </c>
      <c r="M1683" s="26" t="n">
        <v>0</v>
      </c>
      <c r="N1683" s="26" t="n">
        <v>0</v>
      </c>
      <c r="O1683" s="26" t="n">
        <v>0</v>
      </c>
      <c r="P1683" s="30" t="n">
        <v>-12.6105563</v>
      </c>
      <c r="Q1683" s="30" t="n">
        <v>-41.4996744</v>
      </c>
      <c r="R1683" s="14" t="inlineStr">
        <is>
          <t>CARTORIO ELEITORAL ZONA 089 - RODOVIA BA 144, AVENIDA CORONEL FELISBERTO SÁ, Nº 113 - CENTRO, LENÇÓIS/BA</t>
        </is>
      </c>
      <c r="S1683" s="26">
        <f>IF(A1683=A1682,0,1)</f>
        <v>0</v>
      </c>
      <c r="T1683" s="26">
        <f>IF(COUNTIF($B$4:B1683,B1683)=1,1,0)</f>
        <v>0</v>
      </c>
    </row>
    <row r="1684">
      <c r="A1684" s="14" t="inlineStr">
        <is>
          <t>PALMEIRAS</t>
        </is>
      </c>
      <c r="B1684" s="26" t="n">
        <v>89</v>
      </c>
      <c r="C1684" s="26" t="n">
        <v>1090</v>
      </c>
      <c r="D1684" s="14" t="inlineStr">
        <is>
          <t>PRÉDIO RURAL DA CRUZ</t>
        </is>
      </c>
      <c r="E1684" s="14" t="inlineStr">
        <is>
          <t>POVOADO CRUZ</t>
        </is>
      </c>
      <c r="F1684" s="14" t="inlineStr">
        <is>
          <t>POVOADO CRUZ - ZONA RURAL</t>
        </is>
      </c>
      <c r="G1684" s="27" t="inlineStr">
        <is>
          <t>46930-000</t>
        </is>
      </c>
      <c r="H1684" s="15" t="n">
        <v>1</v>
      </c>
      <c r="I1684" s="28" t="inlineStr">
        <is>
          <t>NÃO</t>
        </is>
      </c>
      <c r="J1684" s="29" t="n"/>
      <c r="K1684" s="14" t="str">
        <f>IF(J1684="","7. Acima de 2 km",IF(J1684&lt;=50,"1. Até 50 m",IF(J1684&lt;=100,"2. De 50 a 100 m",IF(J1684&lt;=200,"3. De 100 a 200 m",IF(J1684&lt;=300,"4. De 200 a 300 m",IF(J1684&lt;=500,"5. De 300 a 500 m","6. De 500 m a 2 km"))))))</f>
        <v>7. Acima de 2 km</v>
      </c>
      <c r="L1684" s="26" t="n">
        <v>0</v>
      </c>
      <c r="M1684" s="26" t="n">
        <v>0</v>
      </c>
      <c r="N1684" s="26" t="n">
        <v>0</v>
      </c>
      <c r="O1684" s="26" t="n">
        <v>0</v>
      </c>
      <c r="P1684" s="30" t="n">
        <v>-12.6491268</v>
      </c>
      <c r="Q1684" s="30" t="n">
        <v>-41.6039576</v>
      </c>
      <c r="R1684" s="14" t="inlineStr">
        <is>
          <t>CARTORIO ELEITORAL ZONA 089 - RODOVIA BA 144, AVENIDA CORONEL FELISBERTO SÁ, Nº 113 - CENTRO, LENÇÓIS/BA</t>
        </is>
      </c>
      <c r="S1684" s="26">
        <f>IF(A1684=A1683,0,1)</f>
        <v>0</v>
      </c>
      <c r="T1684" s="26">
        <f>IF(COUNTIF($B$4:B1684,B1684)=1,1,0)</f>
        <v>0</v>
      </c>
    </row>
    <row r="1685">
      <c r="A1685" s="14" t="inlineStr">
        <is>
          <t>PALMEIRAS</t>
        </is>
      </c>
      <c r="B1685" s="26" t="n">
        <v>89</v>
      </c>
      <c r="C1685" s="26" t="n">
        <v>1104</v>
      </c>
      <c r="D1685" s="14" t="inlineStr">
        <is>
          <t>PRÉDIO RURAL DO TEJUCO</t>
        </is>
      </c>
      <c r="E1685" s="14" t="inlineStr">
        <is>
          <t>POVOADO TEJUCO</t>
        </is>
      </c>
      <c r="F1685" s="14" t="inlineStr">
        <is>
          <t>POVOADO TEJUCO - ZONA RURAL</t>
        </is>
      </c>
      <c r="G1685" s="27" t="inlineStr">
        <is>
          <t>46930-000</t>
        </is>
      </c>
      <c r="H1685" s="15" t="n">
        <v>1</v>
      </c>
      <c r="I1685" s="28" t="inlineStr">
        <is>
          <t>NÃO</t>
        </is>
      </c>
      <c r="J1685" s="29" t="n"/>
      <c r="K1685" s="14" t="str">
        <f>IF(J1685="","7. Acima de 2 km",IF(J1685&lt;=50,"1. Até 50 m",IF(J1685&lt;=100,"2. De 50 a 100 m",IF(J1685&lt;=200,"3. De 100 a 200 m",IF(J1685&lt;=300,"4. De 200 a 300 m",IF(J1685&lt;=500,"5. De 300 a 500 m","6. De 500 m a 2 km"))))))</f>
        <v>7. Acima de 2 km</v>
      </c>
      <c r="L1685" s="26" t="n">
        <v>0</v>
      </c>
      <c r="M1685" s="26" t="n">
        <v>0</v>
      </c>
      <c r="N1685" s="26" t="n">
        <v>0</v>
      </c>
      <c r="O1685" s="26" t="n">
        <v>0</v>
      </c>
      <c r="P1685" s="30" t="n">
        <v>-12.70990318</v>
      </c>
      <c r="Q1685" s="30" t="n">
        <v>-41.57474039</v>
      </c>
      <c r="R1685" s="14" t="inlineStr">
        <is>
          <t>CARTORIO ELEITORAL ZONA 089 - RODOVIA BA 144, AVENIDA CORONEL FELISBERTO SÁ, Nº 113 - CENTRO, LENÇÓIS/BA</t>
        </is>
      </c>
      <c r="S1685" s="26">
        <f>IF(A1685=A1684,0,1)</f>
        <v>0</v>
      </c>
      <c r="T1685" s="26">
        <f>IF(COUNTIF($B$4:B1685,B1685)=1,1,0)</f>
        <v>0</v>
      </c>
    </row>
    <row r="1686">
      <c r="A1686" s="14" t="inlineStr">
        <is>
          <t>PALMEIRAS</t>
        </is>
      </c>
      <c r="B1686" s="26" t="n">
        <v>89</v>
      </c>
      <c r="C1686" s="26" t="n">
        <v>1112</v>
      </c>
      <c r="D1686" s="14" t="inlineStr">
        <is>
          <t>PRÉDIO ESCOLAR DA LAGOA DOS PATOS</t>
        </is>
      </c>
      <c r="E1686" s="14" t="inlineStr">
        <is>
          <t>POVOADO LAGOA DOS PATOS</t>
        </is>
      </c>
      <c r="F1686" s="14" t="inlineStr">
        <is>
          <t>POVOADO LAGOA DOS PATOS - ZONA RURAL</t>
        </is>
      </c>
      <c r="G1686" s="27" t="inlineStr">
        <is>
          <t>46930-000</t>
        </is>
      </c>
      <c r="H1686" s="15" t="n">
        <v>1</v>
      </c>
      <c r="I1686" s="28" t="inlineStr">
        <is>
          <t>NÃO</t>
        </is>
      </c>
      <c r="J1686" s="29" t="n"/>
      <c r="K1686" s="14" t="str">
        <f>IF(J1686="","7. Acima de 2 km",IF(J1686&lt;=50,"1. Até 50 m",IF(J1686&lt;=100,"2. De 50 a 100 m",IF(J1686&lt;=200,"3. De 100 a 200 m",IF(J1686&lt;=300,"4. De 200 a 300 m",IF(J1686&lt;=500,"5. De 300 a 500 m","6. De 500 m a 2 km"))))))</f>
        <v>7. Acima de 2 km</v>
      </c>
      <c r="L1686" s="26" t="n">
        <v>0</v>
      </c>
      <c r="M1686" s="26" t="n">
        <v>0</v>
      </c>
      <c r="N1686" s="26" t="n">
        <v>0</v>
      </c>
      <c r="O1686" s="26" t="n">
        <v>0</v>
      </c>
      <c r="P1686" s="30" t="n">
        <v>-12.37805494</v>
      </c>
      <c r="Q1686" s="30" t="n">
        <v>-41.55907109</v>
      </c>
      <c r="R1686" s="14" t="inlineStr">
        <is>
          <t>CARTORIO ELEITORAL ZONA 089 - RODOVIA BA 144, AVENIDA CORONEL FELISBERTO SÁ, Nº 113 - CENTRO, LENÇÓIS/BA</t>
        </is>
      </c>
      <c r="S1686" s="26">
        <f>IF(A1686=A1685,0,1)</f>
        <v>0</v>
      </c>
      <c r="T1686" s="26">
        <f>IF(COUNTIF($B$4:B1686,B1686)=1,1,0)</f>
        <v>0</v>
      </c>
    </row>
    <row r="1687">
      <c r="A1687" s="14" t="inlineStr">
        <is>
          <t>PAULO AFONSO</t>
        </is>
      </c>
      <c r="B1687" s="26" t="n">
        <v>84</v>
      </c>
      <c r="C1687" s="26" t="n">
        <v>1147</v>
      </c>
      <c r="D1687" s="14" t="inlineStr">
        <is>
          <t>CASA DA CRIANÇA - 3</t>
        </is>
      </c>
      <c r="E1687" s="14" t="inlineStr">
        <is>
          <t>TANCREDO NEVES II</t>
        </is>
      </c>
      <c r="F1687" s="14" t="inlineStr">
        <is>
          <t>RUA DELMIRO GOUVEIA, 1381 - ZONA URBANA</t>
        </is>
      </c>
      <c r="G1687" s="27" t="inlineStr">
        <is>
          <t>48609-000</t>
        </is>
      </c>
      <c r="H1687" s="15" t="n">
        <v>6</v>
      </c>
      <c r="I1687" s="28" t="inlineStr">
        <is>
          <t>NÃO</t>
        </is>
      </c>
      <c r="J1687" s="29" t="n">
        <v>573.5</v>
      </c>
      <c r="K1687" s="14" t="str">
        <f>IF(J1687="","7. Acima de 2 km",IF(J1687&lt;=50,"1. Até 50 m",IF(J1687&lt;=100,"2. De 50 a 100 m",IF(J1687&lt;=200,"3. De 100 a 200 m",IF(J1687&lt;=300,"4. De 200 a 300 m",IF(J1687&lt;=500,"5. De 300 a 500 m","6. De 500 m a 2 km"))))))</f>
        <v>6. De 500 m a 2 km</v>
      </c>
      <c r="L1687" s="26" t="n">
        <v>0</v>
      </c>
      <c r="M1687" s="26" t="n">
        <v>0</v>
      </c>
      <c r="N1687" s="26" t="n">
        <v>0</v>
      </c>
      <c r="O1687" s="26" t="n">
        <v>0</v>
      </c>
      <c r="P1687" s="30" t="n">
        <v>-9.4380626</v>
      </c>
      <c r="Q1687" s="30" t="n">
        <v>-38.2123925</v>
      </c>
      <c r="R1687" s="14" t="inlineStr">
        <is>
          <t>FÓRUM ELEITORAL DE PAULO AFONSO, RUA MARECHAL FLORIANO PEIXOTO, 656, CENTRO, PAULO AFONSO/BA</t>
        </is>
      </c>
      <c r="S1687" s="26">
        <f>IF(A1687=A1686,0,1)</f>
        <v>1</v>
      </c>
      <c r="T1687" s="26">
        <f>IF(COUNTIF($B$4:B1687,B1687)=1,1,0)</f>
        <v>1</v>
      </c>
    </row>
    <row r="1688">
      <c r="A1688" s="14" t="inlineStr">
        <is>
          <t>PAULO AFONSO</t>
        </is>
      </c>
      <c r="B1688" s="26" t="n">
        <v>84</v>
      </c>
      <c r="C1688" s="26" t="n">
        <v>1171</v>
      </c>
      <c r="D1688" s="14" t="inlineStr">
        <is>
          <t>SESC - SERVIÇO SOCIAL DO COMÉRCIO</t>
        </is>
      </c>
      <c r="E1688" s="14" t="inlineStr">
        <is>
          <t>TANCREDO NEVES II</t>
        </is>
      </c>
      <c r="F1688" s="14" t="inlineStr">
        <is>
          <t>RUA SÃO MATEUS, S/N - ZONA URBANA</t>
        </is>
      </c>
      <c r="G1688" s="27" t="inlineStr">
        <is>
          <t>48600-000</t>
        </is>
      </c>
      <c r="H1688" s="15" t="n">
        <v>6</v>
      </c>
      <c r="I1688" s="28" t="inlineStr">
        <is>
          <t>NÃO</t>
        </is>
      </c>
      <c r="J1688" s="29" t="n">
        <v>289.3</v>
      </c>
      <c r="K1688" s="14" t="str">
        <f>IF(J1688="","7. Acima de 2 km",IF(J1688&lt;=50,"1. Até 50 m",IF(J1688&lt;=100,"2. De 50 a 100 m",IF(J1688&lt;=200,"3. De 100 a 200 m",IF(J1688&lt;=300,"4. De 200 a 300 m",IF(J1688&lt;=500,"5. De 300 a 500 m","6. De 500 m a 2 km"))))))</f>
        <v>4. De 200 a 300 m</v>
      </c>
      <c r="L1688" s="26" t="n">
        <v>0</v>
      </c>
      <c r="M1688" s="26" t="n">
        <v>0</v>
      </c>
      <c r="N1688" s="26" t="n">
        <v>0</v>
      </c>
      <c r="O1688" s="26" t="n">
        <v>1</v>
      </c>
      <c r="P1688" s="30" t="n">
        <v>-9.447657700000001</v>
      </c>
      <c r="Q1688" s="30" t="n">
        <v>-38.2195482</v>
      </c>
      <c r="R1688" s="14" t="inlineStr">
        <is>
          <t>FÓRUM ELEITORAL DE PAULO AFONSO, RUA MARECHAL FLORIANO PEIXOTO, 656, CENTRO, PAULO AFONSO/BA</t>
        </is>
      </c>
      <c r="S1688" s="26">
        <f>IF(A1688=A1687,0,1)</f>
        <v>0</v>
      </c>
      <c r="T1688" s="26">
        <f>IF(COUNTIF($B$4:B1688,B1688)=1,1,0)</f>
        <v>0</v>
      </c>
    </row>
    <row r="1689">
      <c r="A1689" s="14" t="inlineStr">
        <is>
          <t>PAULO AFONSO</t>
        </is>
      </c>
      <c r="B1689" s="26" t="n">
        <v>84</v>
      </c>
      <c r="C1689" s="26" t="n">
        <v>1228</v>
      </c>
      <c r="D1689" s="14" t="inlineStr">
        <is>
          <t>ESCOLA MUNICIPAL MANOEL NASCIMENTO NETO</t>
        </is>
      </c>
      <c r="E1689" s="14" t="inlineStr">
        <is>
          <t>TANCREDO NEVES III</t>
        </is>
      </c>
      <c r="F1689" s="14" t="inlineStr">
        <is>
          <t>RUA BENONE RESENDE, 105 - ZONA URBANA</t>
        </is>
      </c>
      <c r="G1689" s="27" t="inlineStr">
        <is>
          <t>48610-240</t>
        </is>
      </c>
      <c r="H1689" s="15" t="n">
        <v>11</v>
      </c>
      <c r="I1689" s="28" t="inlineStr">
        <is>
          <t>NÃO</t>
        </is>
      </c>
      <c r="J1689" s="29" t="n">
        <v>439.8</v>
      </c>
      <c r="K1689" s="14" t="str">
        <f>IF(J1689="","7. Acima de 2 km",IF(J1689&lt;=50,"1. Até 50 m",IF(J1689&lt;=100,"2. De 50 a 100 m",IF(J1689&lt;=200,"3. De 100 a 200 m",IF(J1689&lt;=300,"4. De 200 a 300 m",IF(J1689&lt;=500,"5. De 300 a 500 m","6. De 500 m a 2 km"))))))</f>
        <v>5. De 300 a 500 m</v>
      </c>
      <c r="L1689" s="26" t="n">
        <v>0</v>
      </c>
      <c r="M1689" s="26" t="n">
        <v>0</v>
      </c>
      <c r="N1689" s="26" t="n">
        <v>0</v>
      </c>
      <c r="O1689" s="26" t="n">
        <v>0</v>
      </c>
      <c r="P1689" s="30" t="n">
        <v>-9.4434193</v>
      </c>
      <c r="Q1689" s="30" t="n">
        <v>-38.224293</v>
      </c>
      <c r="R1689" s="14" t="inlineStr">
        <is>
          <t>FÓRUM ELEITORAL DE PAULO AFONSO, RUA MARECHAL FLORIANO PEIXOTO, 656, CENTRO, PAULO AFONSO/BA</t>
        </is>
      </c>
      <c r="S1689" s="26">
        <f>IF(A1689=A1688,0,1)</f>
        <v>0</v>
      </c>
      <c r="T1689" s="26">
        <f>IF(COUNTIF($B$4:B1689,B1689)=1,1,0)</f>
        <v>0</v>
      </c>
    </row>
    <row r="1690">
      <c r="A1690" s="14" t="inlineStr">
        <is>
          <t>PAULO AFONSO</t>
        </is>
      </c>
      <c r="B1690" s="26" t="n">
        <v>84</v>
      </c>
      <c r="C1690" s="26" t="n">
        <v>1279</v>
      </c>
      <c r="D1690" s="14" t="inlineStr">
        <is>
          <t>ESCOLA MUNICIPAL RAIMUNDO TOLEDO</t>
        </is>
      </c>
      <c r="E1690" s="14" t="inlineStr">
        <is>
          <t>RODOVIÁRIOS</t>
        </is>
      </c>
      <c r="F1690" s="14" t="inlineStr">
        <is>
          <t>RUA SÃO PAULO, 293 - ZONA URBANA</t>
        </is>
      </c>
      <c r="G1690" s="27" t="inlineStr">
        <is>
          <t>48609-508</t>
        </is>
      </c>
      <c r="H1690" s="15" t="n">
        <v>7</v>
      </c>
      <c r="I1690" s="28" t="inlineStr">
        <is>
          <t>NÃO</t>
        </is>
      </c>
      <c r="J1690" s="29" t="n">
        <v>1098.6</v>
      </c>
      <c r="K1690" s="14" t="str">
        <f>IF(J1690="","7. Acima de 2 km",IF(J1690&lt;=50,"1. Até 50 m",IF(J1690&lt;=100,"2. De 50 a 100 m",IF(J1690&lt;=200,"3. De 100 a 200 m",IF(J1690&lt;=300,"4. De 200 a 300 m",IF(J1690&lt;=500,"5. De 300 a 500 m","6. De 500 m a 2 km"))))))</f>
        <v>6. De 500 m a 2 km</v>
      </c>
      <c r="L1690" s="26" t="n">
        <v>0</v>
      </c>
      <c r="M1690" s="26" t="n">
        <v>0</v>
      </c>
      <c r="N1690" s="26" t="n">
        <v>0</v>
      </c>
      <c r="O1690" s="26" t="n">
        <v>0</v>
      </c>
      <c r="P1690" s="30" t="n">
        <v>-9.4348315</v>
      </c>
      <c r="Q1690" s="30" t="n">
        <v>-38.1996789</v>
      </c>
      <c r="R1690" s="14" t="inlineStr">
        <is>
          <t>FÓRUM ELEITORAL DE PAULO AFONSO, RUA MARECHAL FLORIANO PEIXOTO, 656, CENTRO, PAULO AFONSO/BA</t>
        </is>
      </c>
      <c r="S1690" s="26">
        <f>IF(A1690=A1689,0,1)</f>
        <v>0</v>
      </c>
      <c r="T1690" s="26">
        <f>IF(COUNTIF($B$4:B1690,B1690)=1,1,0)</f>
        <v>0</v>
      </c>
    </row>
    <row r="1691">
      <c r="A1691" s="14" t="inlineStr">
        <is>
          <t>PAULO AFONSO</t>
        </is>
      </c>
      <c r="B1691" s="26" t="n">
        <v>84</v>
      </c>
      <c r="C1691" s="26" t="n">
        <v>1309</v>
      </c>
      <c r="D1691" s="14" t="inlineStr">
        <is>
          <t>ESCOLA MUNICIPAL RIVADALVA DE CARVALHO</t>
        </is>
      </c>
      <c r="E1691" s="14" t="inlineStr">
        <is>
          <t>TANCREDO NEVES II</t>
        </is>
      </c>
      <c r="F1691" s="14" t="inlineStr">
        <is>
          <t>RUA OLAVO BILAC, 510 - ZONA URBANA</t>
        </is>
      </c>
      <c r="G1691" s="27" t="inlineStr">
        <is>
          <t>48609-180</t>
        </is>
      </c>
      <c r="H1691" s="15" t="n">
        <v>13</v>
      </c>
      <c r="I1691" s="28" t="inlineStr">
        <is>
          <t>NÃO</t>
        </is>
      </c>
      <c r="J1691" s="29" t="n">
        <v>301.7</v>
      </c>
      <c r="K1691" s="14" t="str">
        <f>IF(J1691="","7. Acima de 2 km",IF(J1691&lt;=50,"1. Até 50 m",IF(J1691&lt;=100,"2. De 50 a 100 m",IF(J1691&lt;=200,"3. De 100 a 200 m",IF(J1691&lt;=300,"4. De 200 a 300 m",IF(J1691&lt;=500,"5. De 300 a 500 m","6. De 500 m a 2 km"))))))</f>
        <v>5. De 300 a 500 m</v>
      </c>
      <c r="L1691" s="26" t="n">
        <v>0</v>
      </c>
      <c r="M1691" s="26" t="n">
        <v>0</v>
      </c>
      <c r="N1691" s="26" t="n">
        <v>0</v>
      </c>
      <c r="O1691" s="26" t="n">
        <v>0</v>
      </c>
      <c r="P1691" s="30" t="n">
        <v>-9.4456197</v>
      </c>
      <c r="Q1691" s="30" t="n">
        <v>-38.2146156</v>
      </c>
      <c r="R1691" s="14" t="inlineStr">
        <is>
          <t>FÓRUM ELEITORAL DE PAULO AFONSO, RUA MARECHAL FLORIANO PEIXOTO, 656, CENTRO, PAULO AFONSO/BA</t>
        </is>
      </c>
      <c r="S1691" s="26">
        <f>IF(A1691=A1690,0,1)</f>
        <v>0</v>
      </c>
      <c r="T1691" s="26">
        <f>IF(COUNTIF($B$4:B1691,B1691)=1,1,0)</f>
        <v>0</v>
      </c>
    </row>
    <row r="1692">
      <c r="A1692" s="14" t="inlineStr">
        <is>
          <t>PAULO AFONSO</t>
        </is>
      </c>
      <c r="B1692" s="26" t="n">
        <v>84</v>
      </c>
      <c r="C1692" s="26" t="n">
        <v>1325</v>
      </c>
      <c r="D1692" s="14" t="inlineStr">
        <is>
          <t>ESCOLA MUNICIPAL GENERAL ARGUS LIMA</t>
        </is>
      </c>
      <c r="E1692" s="14" t="inlineStr">
        <is>
          <t>POVOADO JUÁ</t>
        </is>
      </c>
      <c r="F1692" s="14" t="inlineStr">
        <is>
          <t>POVOADO JUÁ - ZONA RURAL</t>
        </is>
      </c>
      <c r="G1692" s="27" t="inlineStr">
        <is>
          <t>48600-970</t>
        </is>
      </c>
      <c r="H1692" s="15" t="n">
        <v>3</v>
      </c>
      <c r="I1692" s="28" t="inlineStr">
        <is>
          <t>NÃO</t>
        </is>
      </c>
      <c r="J1692" s="29" t="n"/>
      <c r="K1692" s="14" t="str">
        <f>IF(J1692="","7. Acima de 2 km",IF(J1692&lt;=50,"1. Até 50 m",IF(J1692&lt;=100,"2. De 50 a 100 m",IF(J1692&lt;=200,"3. De 100 a 200 m",IF(J1692&lt;=300,"4. De 200 a 300 m",IF(J1692&lt;=500,"5. De 300 a 500 m","6. De 500 m a 2 km"))))))</f>
        <v>7. Acima de 2 km</v>
      </c>
      <c r="L1692" s="26" t="n">
        <v>0</v>
      </c>
      <c r="M1692" s="26" t="n">
        <v>0</v>
      </c>
      <c r="N1692" s="26" t="n">
        <v>0</v>
      </c>
      <c r="O1692" s="26" t="n">
        <v>0</v>
      </c>
      <c r="P1692" s="30" t="n">
        <v>-9.4375166</v>
      </c>
      <c r="Q1692" s="30" t="n">
        <v>-38.4200238</v>
      </c>
      <c r="R1692" s="14" t="inlineStr">
        <is>
          <t>FÓRUM ELEITORAL DE PAULO AFONSO, RUA MARECHAL FLORIANO PEIXOTO, 656, CENTRO, PAULO AFONSO/BA</t>
        </is>
      </c>
      <c r="S1692" s="26">
        <f>IF(A1692=A1691,0,1)</f>
        <v>0</v>
      </c>
      <c r="T1692" s="26">
        <f>IF(COUNTIF($B$4:B1692,B1692)=1,1,0)</f>
        <v>0</v>
      </c>
    </row>
    <row r="1693">
      <c r="A1693" s="14" t="inlineStr">
        <is>
          <t>PAULO AFONSO</t>
        </is>
      </c>
      <c r="B1693" s="26" t="n">
        <v>84</v>
      </c>
      <c r="C1693" s="26" t="n">
        <v>1333</v>
      </c>
      <c r="D1693" s="14" t="inlineStr">
        <is>
          <t>ESCOLA MUNICIPAL PADRE LORENZO TORI</t>
        </is>
      </c>
      <c r="E1693" s="14" t="inlineStr">
        <is>
          <t>POVOADO VÁRZEA</t>
        </is>
      </c>
      <c r="F1693" s="14" t="inlineStr">
        <is>
          <t>POVOADO VÁRZEA - ZONA RURAL</t>
        </is>
      </c>
      <c r="G1693" s="27" t="inlineStr">
        <is>
          <t>48600-970</t>
        </is>
      </c>
      <c r="H1693" s="15" t="n">
        <v>3</v>
      </c>
      <c r="I1693" s="28" t="inlineStr">
        <is>
          <t>NÃO</t>
        </is>
      </c>
      <c r="J1693" s="29" t="n"/>
      <c r="K1693" s="14" t="str">
        <f>IF(J1693="","7. Acima de 2 km",IF(J1693&lt;=50,"1. Até 50 m",IF(J1693&lt;=100,"2. De 50 a 100 m",IF(J1693&lt;=200,"3. De 100 a 200 m",IF(J1693&lt;=300,"4. De 200 a 300 m",IF(J1693&lt;=500,"5. De 300 a 500 m","6. De 500 m a 2 km"))))))</f>
        <v>7. Acima de 2 km</v>
      </c>
      <c r="L1693" s="26" t="n">
        <v>0</v>
      </c>
      <c r="M1693" s="26" t="n">
        <v>0</v>
      </c>
      <c r="N1693" s="26" t="n">
        <v>0</v>
      </c>
      <c r="O1693" s="26" t="n">
        <v>0</v>
      </c>
      <c r="P1693" s="30" t="n">
        <v>-9.5476435</v>
      </c>
      <c r="Q1693" s="30" t="n">
        <v>-38.4356398</v>
      </c>
      <c r="R1693" s="14" t="inlineStr">
        <is>
          <t>FÓRUM ELEITORAL DE PAULO AFONSO, RUA MARECHAL FLORIANO PEIXOTO, 656, CENTRO, PAULO AFONSO/BA</t>
        </is>
      </c>
      <c r="S1693" s="26">
        <f>IF(A1693=A1692,0,1)</f>
        <v>0</v>
      </c>
      <c r="T1693" s="26">
        <f>IF(COUNTIF($B$4:B1693,B1693)=1,1,0)</f>
        <v>0</v>
      </c>
    </row>
    <row r="1694">
      <c r="A1694" s="14" t="inlineStr">
        <is>
          <t>PAULO AFONSO</t>
        </is>
      </c>
      <c r="B1694" s="26" t="n">
        <v>84</v>
      </c>
      <c r="C1694" s="26" t="n">
        <v>1368</v>
      </c>
      <c r="D1694" s="14" t="inlineStr">
        <is>
          <t>ESCOLA MUNICIPAL CASTRO ALVES</t>
        </is>
      </c>
      <c r="E1694" s="14" t="inlineStr">
        <is>
          <t>POVOADO SÃO JOSÉ</t>
        </is>
      </c>
      <c r="F1694" s="14" t="inlineStr">
        <is>
          <t>POVOADO SÃO JOSÉ - ZONA RURAL</t>
        </is>
      </c>
      <c r="G1694" s="27" t="inlineStr">
        <is>
          <t>48600-970</t>
        </is>
      </c>
      <c r="H1694" s="15" t="n">
        <v>3</v>
      </c>
      <c r="I1694" s="28" t="inlineStr">
        <is>
          <t>NÃO</t>
        </is>
      </c>
      <c r="J1694" s="29" t="n"/>
      <c r="K1694" s="14" t="str">
        <f>IF(J1694="","7. Acima de 2 km",IF(J1694&lt;=50,"1. Até 50 m",IF(J1694&lt;=100,"2. De 50 a 100 m",IF(J1694&lt;=200,"3. De 100 a 200 m",IF(J1694&lt;=300,"4. De 200 a 300 m",IF(J1694&lt;=500,"5. De 300 a 500 m","6. De 500 m a 2 km"))))))</f>
        <v>7. Acima de 2 km</v>
      </c>
      <c r="L1694" s="26" t="n">
        <v>0</v>
      </c>
      <c r="M1694" s="26" t="n">
        <v>0</v>
      </c>
      <c r="N1694" s="26" t="n">
        <v>0</v>
      </c>
      <c r="O1694" s="26" t="n">
        <v>0</v>
      </c>
      <c r="P1694" s="30" t="n">
        <v>-9.6451011</v>
      </c>
      <c r="Q1694" s="30" t="n">
        <v>-38.3614991</v>
      </c>
      <c r="R1694" s="14" t="inlineStr">
        <is>
          <t>FÓRUM ELEITORAL DE PAULO AFONSO, RUA MARECHAL FLORIANO PEIXOTO, 656, CENTRO, PAULO AFONSO/BA</t>
        </is>
      </c>
      <c r="S1694" s="26">
        <f>IF(A1694=A1693,0,1)</f>
        <v>0</v>
      </c>
      <c r="T1694" s="26">
        <f>IF(COUNTIF($B$4:B1694,B1694)=1,1,0)</f>
        <v>0</v>
      </c>
    </row>
    <row r="1695">
      <c r="A1695" s="14" t="inlineStr">
        <is>
          <t>PAULO AFONSO</t>
        </is>
      </c>
      <c r="B1695" s="26" t="n">
        <v>84</v>
      </c>
      <c r="C1695" s="26" t="n">
        <v>1384</v>
      </c>
      <c r="D1695" s="14" t="inlineStr">
        <is>
          <t>ESCOLA MUNICIPAL MANOEL PEREIRA</t>
        </is>
      </c>
      <c r="E1695" s="14" t="inlineStr">
        <is>
          <t>POVOADO SALGADINHO</t>
        </is>
      </c>
      <c r="F1695" s="14" t="inlineStr">
        <is>
          <t>POVOADO SALGADINHO - ZONA RURAL</t>
        </is>
      </c>
      <c r="G1695" s="27" t="inlineStr">
        <is>
          <t>48600-970</t>
        </is>
      </c>
      <c r="H1695" s="15" t="n">
        <v>2</v>
      </c>
      <c r="I1695" s="28" t="inlineStr">
        <is>
          <t>NÃO</t>
        </is>
      </c>
      <c r="J1695" s="29" t="n"/>
      <c r="K1695" s="14" t="str">
        <f>IF(J1695="","7. Acima de 2 km",IF(J1695&lt;=50,"1. Até 50 m",IF(J1695&lt;=100,"2. De 50 a 100 m",IF(J1695&lt;=200,"3. De 100 a 200 m",IF(J1695&lt;=300,"4. De 200 a 300 m",IF(J1695&lt;=500,"5. De 300 a 500 m","6. De 500 m a 2 km"))))))</f>
        <v>7. Acima de 2 km</v>
      </c>
      <c r="L1695" s="26" t="n">
        <v>0</v>
      </c>
      <c r="M1695" s="26" t="n">
        <v>0</v>
      </c>
      <c r="N1695" s="26" t="n">
        <v>0</v>
      </c>
      <c r="O1695" s="26" t="n">
        <v>0</v>
      </c>
      <c r="P1695" s="30" t="n">
        <v>-9.386946</v>
      </c>
      <c r="Q1695" s="30" t="n">
        <v>-38.3351116</v>
      </c>
      <c r="R1695" s="14" t="inlineStr">
        <is>
          <t>FÓRUM ELEITORAL DE PAULO AFONSO, RUA MARECHAL FLORIANO PEIXOTO, 656, CENTRO, PAULO AFONSO/BA</t>
        </is>
      </c>
      <c r="S1695" s="26">
        <f>IF(A1695=A1694,0,1)</f>
        <v>0</v>
      </c>
      <c r="T1695" s="26">
        <f>IF(COUNTIF($B$4:B1695,B1695)=1,1,0)</f>
        <v>0</v>
      </c>
    </row>
    <row r="1696">
      <c r="A1696" s="14" t="inlineStr">
        <is>
          <t>PAULO AFONSO</t>
        </is>
      </c>
      <c r="B1696" s="26" t="n">
        <v>84</v>
      </c>
      <c r="C1696" s="26" t="n">
        <v>1406</v>
      </c>
      <c r="D1696" s="14" t="inlineStr">
        <is>
          <t>ESCOLA MUNICIPAL ANTONIO RAMALHO</t>
        </is>
      </c>
      <c r="E1696" s="14" t="inlineStr">
        <is>
          <t>POVOADO ARRASTA-PÉ</t>
        </is>
      </c>
      <c r="F1696" s="14" t="inlineStr">
        <is>
          <t>POVOADO ARRASTA-PÉ - ZONA RURAL</t>
        </is>
      </c>
      <c r="G1696" s="27" t="inlineStr">
        <is>
          <t>48600-970</t>
        </is>
      </c>
      <c r="H1696" s="15" t="n">
        <v>2</v>
      </c>
      <c r="I1696" s="28" t="inlineStr">
        <is>
          <t>NÃO</t>
        </is>
      </c>
      <c r="J1696" s="29" t="n"/>
      <c r="K1696" s="14" t="str">
        <f>IF(J1696="","7. Acima de 2 km",IF(J1696&lt;=50,"1. Até 50 m",IF(J1696&lt;=100,"2. De 50 a 100 m",IF(J1696&lt;=200,"3. De 100 a 200 m",IF(J1696&lt;=300,"4. De 200 a 300 m",IF(J1696&lt;=500,"5. De 300 a 500 m","6. De 500 m a 2 km"))))))</f>
        <v>7. Acima de 2 km</v>
      </c>
      <c r="L1696" s="26" t="n">
        <v>0</v>
      </c>
      <c r="M1696" s="26" t="n">
        <v>0</v>
      </c>
      <c r="N1696" s="26" t="n">
        <v>0</v>
      </c>
      <c r="O1696" s="26" t="n">
        <v>0</v>
      </c>
      <c r="P1696" s="30" t="n">
        <v>-9.531807499999999</v>
      </c>
      <c r="Q1696" s="30" t="n">
        <v>-38.3025373</v>
      </c>
      <c r="R1696" s="14" t="inlineStr">
        <is>
          <t>FÓRUM ELEITORAL DE PAULO AFONSO, RUA MARECHAL FLORIANO PEIXOTO, 656, CENTRO, PAULO AFONSO/BA</t>
        </is>
      </c>
      <c r="S1696" s="26">
        <f>IF(A1696=A1695,0,1)</f>
        <v>0</v>
      </c>
      <c r="T1696" s="26">
        <f>IF(COUNTIF($B$4:B1696,B1696)=1,1,0)</f>
        <v>0</v>
      </c>
    </row>
    <row r="1697">
      <c r="A1697" s="14" t="inlineStr">
        <is>
          <t>PAULO AFONSO</t>
        </is>
      </c>
      <c r="B1697" s="26" t="n">
        <v>84</v>
      </c>
      <c r="C1697" s="26" t="n">
        <v>1422</v>
      </c>
      <c r="D1697" s="14" t="inlineStr">
        <is>
          <t>ESCOLA MUNICIPAL GUIOMAR PEREIRA</t>
        </is>
      </c>
      <c r="E1697" s="14" t="inlineStr">
        <is>
          <t>OLIVEIRA BRITO</t>
        </is>
      </c>
      <c r="F1697" s="14" t="inlineStr">
        <is>
          <t>RUA ANÁPOLIS, S/N - ZONA URBANA</t>
        </is>
      </c>
      <c r="G1697" s="27" t="inlineStr">
        <is>
          <t>48604-530</t>
        </is>
      </c>
      <c r="H1697" s="15" t="n">
        <v>11</v>
      </c>
      <c r="I1697" s="28" t="inlineStr">
        <is>
          <t>NÃO</t>
        </is>
      </c>
      <c r="J1697" s="29" t="n"/>
      <c r="K1697" s="14" t="str">
        <f>IF(J1697="","7. Acima de 2 km",IF(J1697&lt;=50,"1. Até 50 m",IF(J1697&lt;=100,"2. De 50 a 100 m",IF(J1697&lt;=200,"3. De 100 a 200 m",IF(J1697&lt;=300,"4. De 200 a 300 m",IF(J1697&lt;=500,"5. De 300 a 500 m","6. De 500 m a 2 km"))))))</f>
        <v>7. Acima de 2 km</v>
      </c>
      <c r="L1697" s="26" t="n">
        <v>0</v>
      </c>
      <c r="M1697" s="26" t="n">
        <v>0</v>
      </c>
      <c r="N1697" s="26" t="n">
        <v>0</v>
      </c>
      <c r="O1697" s="26" t="n">
        <v>0</v>
      </c>
      <c r="P1697" s="30" t="n">
        <v>-9.3751301</v>
      </c>
      <c r="Q1697" s="30" t="n">
        <v>-38.2435524</v>
      </c>
      <c r="R1697" s="14" t="inlineStr">
        <is>
          <t>FÓRUM ELEITORAL DE PAULO AFONSO, RUA MARECHAL FLORIANO PEIXOTO, 656, CENTRO, PAULO AFONSO/BA</t>
        </is>
      </c>
      <c r="S1697" s="26">
        <f>IF(A1697=A1696,0,1)</f>
        <v>0</v>
      </c>
      <c r="T1697" s="26">
        <f>IF(COUNTIF($B$4:B1697,B1697)=1,1,0)</f>
        <v>0</v>
      </c>
    </row>
    <row r="1698">
      <c r="A1698" s="14" t="inlineStr">
        <is>
          <t>PAULO AFONSO</t>
        </is>
      </c>
      <c r="B1698" s="26" t="n">
        <v>84</v>
      </c>
      <c r="C1698" s="26" t="n">
        <v>1430</v>
      </c>
      <c r="D1698" s="14" t="inlineStr">
        <is>
          <t>ESCOLA MUNICIPAL VINÍCIUS DE MORAES</t>
        </is>
      </c>
      <c r="E1698" s="14" t="inlineStr">
        <is>
          <t>JARDIM BAHIA</t>
        </is>
      </c>
      <c r="F1698" s="14" t="inlineStr">
        <is>
          <t>RUA VINÍCIUS DE MORAES, S/N - ZONA URBANA</t>
        </is>
      </c>
      <c r="G1698" s="27" t="inlineStr">
        <is>
          <t>48604-020</t>
        </is>
      </c>
      <c r="H1698" s="15" t="n">
        <v>11</v>
      </c>
      <c r="I1698" s="28" t="inlineStr">
        <is>
          <t>NÃO</t>
        </is>
      </c>
      <c r="J1698" s="29" t="n">
        <v>166.9</v>
      </c>
      <c r="K1698" s="14" t="str">
        <f>IF(J1698="","7. Acima de 2 km",IF(J1698&lt;=50,"1. Até 50 m",IF(J1698&lt;=100,"2. De 50 a 100 m",IF(J1698&lt;=200,"3. De 100 a 200 m",IF(J1698&lt;=300,"4. De 200 a 300 m",IF(J1698&lt;=500,"5. De 300 a 500 m","6. De 500 m a 2 km"))))))</f>
        <v>3. De 100 a 200 m</v>
      </c>
      <c r="L1698" s="26" t="n">
        <v>0</v>
      </c>
      <c r="M1698" s="26" t="n">
        <v>0</v>
      </c>
      <c r="N1698" s="26" t="n">
        <v>1</v>
      </c>
      <c r="O1698" s="26" t="n">
        <v>1</v>
      </c>
      <c r="P1698" s="30" t="n">
        <v>-9.396381099999999</v>
      </c>
      <c r="Q1698" s="30" t="n">
        <v>-38.244818</v>
      </c>
      <c r="R1698" s="14" t="inlineStr">
        <is>
          <t>FÓRUM ELEITORAL DE PAULO AFONSO, RUA MARECHAL FLORIANO PEIXOTO, 656, CENTRO, PAULO AFONSO/BA</t>
        </is>
      </c>
      <c r="S1698" s="26">
        <f>IF(A1698=A1697,0,1)</f>
        <v>0</v>
      </c>
      <c r="T1698" s="26">
        <f>IF(COUNTIF($B$4:B1698,B1698)=1,1,0)</f>
        <v>0</v>
      </c>
    </row>
    <row r="1699">
      <c r="A1699" s="14" t="inlineStr">
        <is>
          <t>PAULO AFONSO</t>
        </is>
      </c>
      <c r="B1699" s="26" t="n">
        <v>84</v>
      </c>
      <c r="C1699" s="26" t="n">
        <v>1457</v>
      </c>
      <c r="D1699" s="14" t="inlineStr">
        <is>
          <t>ESCOLA MUNICIPAL GEORGINA ALVES DA SILVA</t>
        </is>
      </c>
      <c r="E1699" s="14" t="inlineStr">
        <is>
          <t>CARDEAL BRANDÃO VILELA</t>
        </is>
      </c>
      <c r="F1699" s="14" t="inlineStr">
        <is>
          <t>RUA SANTA BÁRBARA, 299 - ZONA URBANA</t>
        </is>
      </c>
      <c r="G1699" s="27" t="inlineStr">
        <is>
          <t>48604-130</t>
        </is>
      </c>
      <c r="H1699" s="15" t="n">
        <v>12</v>
      </c>
      <c r="I1699" s="28" t="inlineStr">
        <is>
          <t>NÃO</t>
        </is>
      </c>
      <c r="J1699" s="29" t="n">
        <v>865</v>
      </c>
      <c r="K1699" s="14" t="str">
        <f>IF(J1699="","7. Acima de 2 km",IF(J1699&lt;=50,"1. Até 50 m",IF(J1699&lt;=100,"2. De 50 a 100 m",IF(J1699&lt;=200,"3. De 100 a 200 m",IF(J1699&lt;=300,"4. De 200 a 300 m",IF(J1699&lt;=500,"5. De 300 a 500 m","6. De 500 m a 2 km"))))))</f>
        <v>6. De 500 m a 2 km</v>
      </c>
      <c r="L1699" s="26" t="n">
        <v>0</v>
      </c>
      <c r="M1699" s="26" t="n">
        <v>0</v>
      </c>
      <c r="N1699" s="26" t="n">
        <v>0</v>
      </c>
      <c r="O1699" s="26" t="n">
        <v>0</v>
      </c>
      <c r="P1699" s="30" t="n">
        <v>-9.451753200000001</v>
      </c>
      <c r="Q1699" s="30" t="n">
        <v>-38.2160277</v>
      </c>
      <c r="R1699" s="14" t="inlineStr">
        <is>
          <t>FÓRUM ELEITORAL DE PAULO AFONSO, RUA MARECHAL FLORIANO PEIXOTO, 656, CENTRO, PAULO AFONSO/BA</t>
        </is>
      </c>
      <c r="S1699" s="26">
        <f>IF(A1699=A1698,0,1)</f>
        <v>0</v>
      </c>
      <c r="T1699" s="26">
        <f>IF(COUNTIF($B$4:B1699,B1699)=1,1,0)</f>
        <v>0</v>
      </c>
    </row>
    <row r="1700">
      <c r="A1700" s="14" t="inlineStr">
        <is>
          <t>PAULO AFONSO</t>
        </is>
      </c>
      <c r="B1700" s="26" t="n">
        <v>84</v>
      </c>
      <c r="C1700" s="26" t="n">
        <v>1597</v>
      </c>
      <c r="D1700" s="14" t="inlineStr">
        <is>
          <t>ESCOLA MUNICIPAL GERVÁSIO TEIXEIRA LIMA</t>
        </is>
      </c>
      <c r="E1700" s="14" t="inlineStr">
        <is>
          <t>POVOADO NAMBEBÉ</t>
        </is>
      </c>
      <c r="F1700" s="14" t="inlineStr">
        <is>
          <t>POVOADO NAMBEBÉ - ZONA RURAL</t>
        </is>
      </c>
      <c r="G1700" s="27" t="inlineStr">
        <is>
          <t>48600-970</t>
        </is>
      </c>
      <c r="H1700" s="15" t="n">
        <v>1</v>
      </c>
      <c r="I1700" s="28" t="inlineStr">
        <is>
          <t>NÃO</t>
        </is>
      </c>
      <c r="J1700" s="29" t="n"/>
      <c r="K1700" s="14" t="str">
        <f>IF(J1700="","7. Acima de 2 km",IF(J1700&lt;=50,"1. Até 50 m",IF(J1700&lt;=100,"2. De 50 a 100 m",IF(J1700&lt;=200,"3. De 100 a 200 m",IF(J1700&lt;=300,"4. De 200 a 300 m",IF(J1700&lt;=500,"5. De 300 a 500 m","6. De 500 m a 2 km"))))))</f>
        <v>7. Acima de 2 km</v>
      </c>
      <c r="L1700" s="26" t="n">
        <v>0</v>
      </c>
      <c r="M1700" s="26" t="n">
        <v>0</v>
      </c>
      <c r="N1700" s="26" t="n">
        <v>0</v>
      </c>
      <c r="O1700" s="26" t="n">
        <v>0</v>
      </c>
      <c r="P1700" s="30" t="n">
        <v>-9.4789286</v>
      </c>
      <c r="Q1700" s="30" t="n">
        <v>-38.3654384</v>
      </c>
      <c r="R1700" s="14" t="inlineStr">
        <is>
          <t>FÓRUM ELEITORAL DE PAULO AFONSO, RUA MARECHAL FLORIANO PEIXOTO, 656, CENTRO, PAULO AFONSO/BA</t>
        </is>
      </c>
      <c r="S1700" s="26">
        <f>IF(A1700=A1699,0,1)</f>
        <v>0</v>
      </c>
      <c r="T1700" s="26">
        <f>IF(COUNTIF($B$4:B1700,B1700)=1,1,0)</f>
        <v>0</v>
      </c>
    </row>
    <row r="1701">
      <c r="A1701" s="14" t="inlineStr">
        <is>
          <t>PAULO AFONSO</t>
        </is>
      </c>
      <c r="B1701" s="26" t="n">
        <v>84</v>
      </c>
      <c r="C1701" s="26" t="n">
        <v>1600</v>
      </c>
      <c r="D1701" s="14" t="inlineStr">
        <is>
          <t>ESCOLA MUNICIPAL AMÂNCIO PEREIRA</t>
        </is>
      </c>
      <c r="E1701" s="14" t="inlineStr">
        <is>
          <t>POVOADO TIGRE</t>
        </is>
      </c>
      <c r="F1701" s="14" t="inlineStr">
        <is>
          <t>POVOADO TIGRE - ZONA RURAL</t>
        </is>
      </c>
      <c r="G1701" s="27" t="inlineStr">
        <is>
          <t>48600-970</t>
        </is>
      </c>
      <c r="H1701" s="15" t="n">
        <v>2</v>
      </c>
      <c r="I1701" s="28" t="inlineStr">
        <is>
          <t>NÃO</t>
        </is>
      </c>
      <c r="J1701" s="29" t="n"/>
      <c r="K1701" s="14" t="str">
        <f>IF(J1701="","7. Acima de 2 km",IF(J1701&lt;=50,"1. Até 50 m",IF(J1701&lt;=100,"2. De 50 a 100 m",IF(J1701&lt;=200,"3. De 100 a 200 m",IF(J1701&lt;=300,"4. De 200 a 300 m",IF(J1701&lt;=500,"5. De 300 a 500 m","6. De 500 m a 2 km"))))))</f>
        <v>7. Acima de 2 km</v>
      </c>
      <c r="L1701" s="26" t="n">
        <v>0</v>
      </c>
      <c r="M1701" s="26" t="n">
        <v>0</v>
      </c>
      <c r="N1701" s="26" t="n">
        <v>0</v>
      </c>
      <c r="O1701" s="26" t="n">
        <v>0</v>
      </c>
      <c r="P1701" s="30" t="n">
        <v>-9.4846617</v>
      </c>
      <c r="Q1701" s="30" t="n">
        <v>-38.2504027</v>
      </c>
      <c r="R1701" s="14" t="inlineStr">
        <is>
          <t>FÓRUM ELEITORAL DE PAULO AFONSO, RUA MARECHAL FLORIANO PEIXOTO, 656, CENTRO, PAULO AFONSO/BA</t>
        </is>
      </c>
      <c r="S1701" s="26">
        <f>IF(A1701=A1700,0,1)</f>
        <v>0</v>
      </c>
      <c r="T1701" s="26">
        <f>IF(COUNTIF($B$4:B1701,B1701)=1,1,0)</f>
        <v>0</v>
      </c>
    </row>
    <row r="1702">
      <c r="A1702" s="14" t="inlineStr">
        <is>
          <t>PAULO AFONSO</t>
        </is>
      </c>
      <c r="B1702" s="26" t="n">
        <v>84</v>
      </c>
      <c r="C1702" s="26" t="n">
        <v>1627</v>
      </c>
      <c r="D1702" s="14" t="inlineStr">
        <is>
          <t>ESCOLA MUNICIPAL SILVESTRE TORRES</t>
        </is>
      </c>
      <c r="E1702" s="14" t="inlineStr">
        <is>
          <t>POVOADO LAGOA DO RANCHO</t>
        </is>
      </c>
      <c r="F1702" s="14" t="inlineStr">
        <is>
          <t>POVOADO LAGOA DO RANCHO - ZONA RURAL</t>
        </is>
      </c>
      <c r="G1702" s="27" t="inlineStr">
        <is>
          <t>48600-970</t>
        </is>
      </c>
      <c r="H1702" s="15" t="n">
        <v>1</v>
      </c>
      <c r="I1702" s="28" t="inlineStr">
        <is>
          <t>NÃO</t>
        </is>
      </c>
      <c r="J1702" s="29" t="n"/>
      <c r="K1702" s="14" t="str">
        <f>IF(J1702="","7. Acima de 2 km",IF(J1702&lt;=50,"1. Até 50 m",IF(J1702&lt;=100,"2. De 50 a 100 m",IF(J1702&lt;=200,"3. De 100 a 200 m",IF(J1702&lt;=300,"4. De 200 a 300 m",IF(J1702&lt;=500,"5. De 300 a 500 m","6. De 500 m a 2 km"))))))</f>
        <v>7. Acima de 2 km</v>
      </c>
      <c r="L1702" s="26" t="n">
        <v>0</v>
      </c>
      <c r="M1702" s="26" t="n">
        <v>0</v>
      </c>
      <c r="N1702" s="26" t="n">
        <v>0</v>
      </c>
      <c r="O1702" s="26" t="n">
        <v>0</v>
      </c>
      <c r="P1702" s="30" t="n">
        <v>-9.547708800000001</v>
      </c>
      <c r="Q1702" s="30" t="n">
        <v>-38.4081762</v>
      </c>
      <c r="R1702" s="14" t="inlineStr">
        <is>
          <t>FÓRUM ELEITORAL DE PAULO AFONSO, RUA MARECHAL FLORIANO PEIXOTO, 656, CENTRO, PAULO AFONSO/BA</t>
        </is>
      </c>
      <c r="S1702" s="26">
        <f>IF(A1702=A1701,0,1)</f>
        <v>0</v>
      </c>
      <c r="T1702" s="26">
        <f>IF(COUNTIF($B$4:B1702,B1702)=1,1,0)</f>
        <v>0</v>
      </c>
    </row>
    <row r="1703">
      <c r="A1703" s="14" t="inlineStr">
        <is>
          <t>PAULO AFONSO</t>
        </is>
      </c>
      <c r="B1703" s="26" t="n">
        <v>84</v>
      </c>
      <c r="C1703" s="26" t="n">
        <v>1635</v>
      </c>
      <c r="D1703" s="14" t="inlineStr">
        <is>
          <t>ESCOLA MUNICIPAL SÃO JOÃO BATISTA</t>
        </is>
      </c>
      <c r="E1703" s="14" t="inlineStr">
        <is>
          <t>POVOADO SERROTE</t>
        </is>
      </c>
      <c r="F1703" s="14" t="inlineStr">
        <is>
          <t>POVOADO SERROTE - ZONA RURAL</t>
        </is>
      </c>
      <c r="G1703" s="27" t="inlineStr">
        <is>
          <t>48600-970</t>
        </is>
      </c>
      <c r="H1703" s="15" t="n">
        <v>1</v>
      </c>
      <c r="I1703" s="28" t="inlineStr">
        <is>
          <t>NÃO</t>
        </is>
      </c>
      <c r="J1703" s="29" t="n"/>
      <c r="K1703" s="14" t="str">
        <f>IF(J1703="","7. Acima de 2 km",IF(J1703&lt;=50,"1. Até 50 m",IF(J1703&lt;=100,"2. De 50 a 100 m",IF(J1703&lt;=200,"3. De 100 a 200 m",IF(J1703&lt;=300,"4. De 200 a 300 m",IF(J1703&lt;=500,"5. De 300 a 500 m","6. De 500 m a 2 km"))))))</f>
        <v>7. Acima de 2 km</v>
      </c>
      <c r="L1703" s="26" t="n">
        <v>0</v>
      </c>
      <c r="M1703" s="26" t="n">
        <v>0</v>
      </c>
      <c r="N1703" s="26" t="n">
        <v>0</v>
      </c>
      <c r="O1703" s="26" t="n">
        <v>0</v>
      </c>
      <c r="P1703" s="30" t="n">
        <v>-9.555091300000001</v>
      </c>
      <c r="Q1703" s="30" t="n">
        <v>-38.386384</v>
      </c>
      <c r="R1703" s="14" t="inlineStr">
        <is>
          <t>FÓRUM ELEITORAL DE PAULO AFONSO, RUA MARECHAL FLORIANO PEIXOTO, 656, CENTRO, PAULO AFONSO/BA</t>
        </is>
      </c>
      <c r="S1703" s="26">
        <f>IF(A1703=A1702,0,1)</f>
        <v>0</v>
      </c>
      <c r="T1703" s="26">
        <f>IF(COUNTIF($B$4:B1703,B1703)=1,1,0)</f>
        <v>0</v>
      </c>
    </row>
    <row r="1704">
      <c r="A1704" s="14" t="inlineStr">
        <is>
          <t>PAULO AFONSO</t>
        </is>
      </c>
      <c r="B1704" s="26" t="n">
        <v>84</v>
      </c>
      <c r="C1704" s="26" t="n">
        <v>1643</v>
      </c>
      <c r="D1704" s="14" t="inlineStr">
        <is>
          <t>ESCOLA MUNICIPAL ANTONIO DOMINGOS TEIXEIRA</t>
        </is>
      </c>
      <c r="E1704" s="14" t="inlineStr">
        <is>
          <t>POVOADO CAMPOS NOVOS</t>
        </is>
      </c>
      <c r="F1704" s="14" t="inlineStr">
        <is>
          <t>POVOADO CAMPOS NOVOS - ZONA RURAL</t>
        </is>
      </c>
      <c r="G1704" s="27" t="inlineStr">
        <is>
          <t>48600-970</t>
        </is>
      </c>
      <c r="H1704" s="15" t="n">
        <v>1</v>
      </c>
      <c r="I1704" s="28" t="inlineStr">
        <is>
          <t>NÃO</t>
        </is>
      </c>
      <c r="J1704" s="29" t="n"/>
      <c r="K1704" s="14" t="str">
        <f>IF(J1704="","7. Acima de 2 km",IF(J1704&lt;=50,"1. Até 50 m",IF(J1704&lt;=100,"2. De 50 a 100 m",IF(J1704&lt;=200,"3. De 100 a 200 m",IF(J1704&lt;=300,"4. De 200 a 300 m",IF(J1704&lt;=500,"5. De 300 a 500 m","6. De 500 m a 2 km"))))))</f>
        <v>7. Acima de 2 km</v>
      </c>
      <c r="L1704" s="26" t="n">
        <v>0</v>
      </c>
      <c r="M1704" s="26" t="n">
        <v>0</v>
      </c>
      <c r="N1704" s="26" t="n">
        <v>0</v>
      </c>
      <c r="O1704" s="26" t="n">
        <v>0</v>
      </c>
      <c r="P1704" s="30" t="n">
        <v>-9.444281500000001</v>
      </c>
      <c r="Q1704" s="30" t="n">
        <v>-38.3200838</v>
      </c>
      <c r="R1704" s="14" t="inlineStr">
        <is>
          <t>FÓRUM ELEITORAL DE PAULO AFONSO, RUA MARECHAL FLORIANO PEIXOTO, 656, CENTRO, PAULO AFONSO/BA</t>
        </is>
      </c>
      <c r="S1704" s="26">
        <f>IF(A1704=A1703,0,1)</f>
        <v>0</v>
      </c>
      <c r="T1704" s="26">
        <f>IF(COUNTIF($B$4:B1704,B1704)=1,1,0)</f>
        <v>0</v>
      </c>
    </row>
    <row r="1705">
      <c r="A1705" s="14" t="inlineStr">
        <is>
          <t>PAULO AFONSO</t>
        </is>
      </c>
      <c r="B1705" s="26" t="n">
        <v>84</v>
      </c>
      <c r="C1705" s="26" t="n">
        <v>1651</v>
      </c>
      <c r="D1705" s="14" t="inlineStr">
        <is>
          <t>ESCOLA MUNICIPAL RUI BARBOSA</t>
        </is>
      </c>
      <c r="E1705" s="14" t="inlineStr">
        <is>
          <t>POVOADO CAIÇARA I</t>
        </is>
      </c>
      <c r="F1705" s="14" t="inlineStr">
        <is>
          <t>POVOADO CAIÇARA I - ZONA RURAL</t>
        </is>
      </c>
      <c r="G1705" s="27" t="inlineStr">
        <is>
          <t>48600-970</t>
        </is>
      </c>
      <c r="H1705" s="15" t="n">
        <v>2</v>
      </c>
      <c r="I1705" s="28" t="inlineStr">
        <is>
          <t>NÃO</t>
        </is>
      </c>
      <c r="J1705" s="29" t="n"/>
      <c r="K1705" s="14" t="str">
        <f>IF(J1705="","7. Acima de 2 km",IF(J1705&lt;=50,"1. Até 50 m",IF(J1705&lt;=100,"2. De 50 a 100 m",IF(J1705&lt;=200,"3. De 100 a 200 m",IF(J1705&lt;=300,"4. De 200 a 300 m",IF(J1705&lt;=500,"5. De 300 a 500 m","6. De 500 m a 2 km"))))))</f>
        <v>7. Acima de 2 km</v>
      </c>
      <c r="L1705" s="26" t="n">
        <v>0</v>
      </c>
      <c r="M1705" s="26" t="n">
        <v>0</v>
      </c>
      <c r="N1705" s="26" t="n">
        <v>0</v>
      </c>
      <c r="O1705" s="26" t="n">
        <v>0</v>
      </c>
      <c r="P1705" s="30" t="n">
        <v>-9.4383173</v>
      </c>
      <c r="Q1705" s="30" t="n">
        <v>-38.2829242</v>
      </c>
      <c r="R1705" s="14" t="inlineStr">
        <is>
          <t>FÓRUM ELEITORAL DE PAULO AFONSO, RUA MARECHAL FLORIANO PEIXOTO, 656, CENTRO, PAULO AFONSO/BA</t>
        </is>
      </c>
      <c r="S1705" s="26">
        <f>IF(A1705=A1704,0,1)</f>
        <v>0</v>
      </c>
      <c r="T1705" s="26">
        <f>IF(COUNTIF($B$4:B1705,B1705)=1,1,0)</f>
        <v>0</v>
      </c>
    </row>
    <row r="1706">
      <c r="A1706" s="14" t="inlineStr">
        <is>
          <t>PAULO AFONSO</t>
        </is>
      </c>
      <c r="B1706" s="26" t="n">
        <v>84</v>
      </c>
      <c r="C1706" s="26" t="n">
        <v>1686</v>
      </c>
      <c r="D1706" s="14" t="inlineStr">
        <is>
          <t>ESCOLA MUNICIPAL LUIZ VIANA FILHO</t>
        </is>
      </c>
      <c r="E1706" s="14" t="inlineStr">
        <is>
          <t>POVOADO ALAGADIÇO</t>
        </is>
      </c>
      <c r="F1706" s="14" t="inlineStr">
        <is>
          <t>POVOADO ALAGADIÇO - ZONA RURAL</t>
        </is>
      </c>
      <c r="G1706" s="27" t="inlineStr">
        <is>
          <t>48600-970</t>
        </is>
      </c>
      <c r="H1706" s="15" t="n">
        <v>1</v>
      </c>
      <c r="I1706" s="28" t="inlineStr">
        <is>
          <t>NÃO</t>
        </is>
      </c>
      <c r="J1706" s="29" t="n"/>
      <c r="K1706" s="14" t="str">
        <f>IF(J1706="","7. Acima de 2 km",IF(J1706&lt;=50,"1. Até 50 m",IF(J1706&lt;=100,"2. De 50 a 100 m",IF(J1706&lt;=200,"3. De 100 a 200 m",IF(J1706&lt;=300,"4. De 200 a 300 m",IF(J1706&lt;=500,"5. De 300 a 500 m","6. De 500 m a 2 km"))))))</f>
        <v>7. Acima de 2 km</v>
      </c>
      <c r="L1706" s="26" t="n">
        <v>0</v>
      </c>
      <c r="M1706" s="26" t="n">
        <v>0</v>
      </c>
      <c r="N1706" s="26" t="n">
        <v>0</v>
      </c>
      <c r="O1706" s="26" t="n">
        <v>0</v>
      </c>
      <c r="P1706" s="30" t="n">
        <v>-9.5303629</v>
      </c>
      <c r="Q1706" s="30" t="n">
        <v>-38.374885</v>
      </c>
      <c r="R1706" s="14" t="inlineStr">
        <is>
          <t>FÓRUM ELEITORAL DE PAULO AFONSO, RUA MARECHAL FLORIANO PEIXOTO, 656, CENTRO, PAULO AFONSO/BA</t>
        </is>
      </c>
      <c r="S1706" s="26">
        <f>IF(A1706=A1705,0,1)</f>
        <v>0</v>
      </c>
      <c r="T1706" s="26">
        <f>IF(COUNTIF($B$4:B1706,B1706)=1,1,0)</f>
        <v>0</v>
      </c>
    </row>
    <row r="1707">
      <c r="A1707" s="14" t="inlineStr">
        <is>
          <t>PAULO AFONSO</t>
        </is>
      </c>
      <c r="B1707" s="26" t="n">
        <v>84</v>
      </c>
      <c r="C1707" s="26" t="n">
        <v>1694</v>
      </c>
      <c r="D1707" s="14" t="inlineStr">
        <is>
          <t>ESCOLA MUNICIPAL JOSÉ APARECIDO LIMA DE SOUZA</t>
        </is>
      </c>
      <c r="E1707" s="14" t="inlineStr">
        <is>
          <t>POVOADO BARRINHA</t>
        </is>
      </c>
      <c r="F1707" s="14" t="inlineStr">
        <is>
          <t>POVOADO BARRINHA - ZONA RURAL</t>
        </is>
      </c>
      <c r="G1707" s="27" t="inlineStr">
        <is>
          <t>48600-970</t>
        </is>
      </c>
      <c r="H1707" s="15" t="n">
        <v>1</v>
      </c>
      <c r="I1707" s="28" t="inlineStr">
        <is>
          <t>NÃO</t>
        </is>
      </c>
      <c r="J1707" s="29" t="n"/>
      <c r="K1707" s="14" t="str">
        <f>IF(J1707="","7. Acima de 2 km",IF(J1707&lt;=50,"1. Até 50 m",IF(J1707&lt;=100,"2. De 50 a 100 m",IF(J1707&lt;=200,"3. De 100 a 200 m",IF(J1707&lt;=300,"4. De 200 a 300 m",IF(J1707&lt;=500,"5. De 300 a 500 m","6. De 500 m a 2 km"))))))</f>
        <v>7. Acima de 2 km</v>
      </c>
      <c r="L1707" s="26" t="n">
        <v>0</v>
      </c>
      <c r="M1707" s="26" t="n">
        <v>0</v>
      </c>
      <c r="N1707" s="26" t="n">
        <v>0</v>
      </c>
      <c r="O1707" s="26" t="n">
        <v>0</v>
      </c>
      <c r="P1707" s="30" t="n">
        <v>-9.570134100000001</v>
      </c>
      <c r="Q1707" s="30" t="n">
        <v>-38.3243179</v>
      </c>
      <c r="R1707" s="14" t="inlineStr">
        <is>
          <t>FÓRUM ELEITORAL DE PAULO AFONSO, RUA MARECHAL FLORIANO PEIXOTO, 656, CENTRO, PAULO AFONSO/BA</t>
        </is>
      </c>
      <c r="S1707" s="26">
        <f>IF(A1707=A1706,0,1)</f>
        <v>0</v>
      </c>
      <c r="T1707" s="26">
        <f>IF(COUNTIF($B$4:B1707,B1707)=1,1,0)</f>
        <v>0</v>
      </c>
    </row>
    <row r="1708">
      <c r="A1708" s="14" t="inlineStr">
        <is>
          <t>PAULO AFONSO</t>
        </is>
      </c>
      <c r="B1708" s="26" t="n">
        <v>84</v>
      </c>
      <c r="C1708" s="26" t="n">
        <v>1708</v>
      </c>
      <c r="D1708" s="14" t="inlineStr">
        <is>
          <t>ESCOLA MUNICIPAL DERNIVAL OLIVEIRA</t>
        </is>
      </c>
      <c r="E1708" s="14" t="inlineStr">
        <is>
          <t xml:space="preserve">DERNIVAL OLIVEIRA </t>
        </is>
      </c>
      <c r="F1708" s="14" t="inlineStr">
        <is>
          <t>RUA JOSÉ BEZERRA DA SILVA, S/N - ZONA URBANA</t>
        </is>
      </c>
      <c r="G1708" s="27" t="inlineStr">
        <is>
          <t>48603-970</t>
        </is>
      </c>
      <c r="H1708" s="15" t="n">
        <v>5</v>
      </c>
      <c r="I1708" s="28" t="inlineStr">
        <is>
          <t>NÃO</t>
        </is>
      </c>
      <c r="J1708" s="29" t="n">
        <v>764.5</v>
      </c>
      <c r="K1708" s="14" t="str">
        <f>IF(J1708="","7. Acima de 2 km",IF(J1708&lt;=50,"1. Até 50 m",IF(J1708&lt;=100,"2. De 50 a 100 m",IF(J1708&lt;=200,"3. De 100 a 200 m",IF(J1708&lt;=300,"4. De 200 a 300 m",IF(J1708&lt;=500,"5. De 300 a 500 m","6. De 500 m a 2 km"))))))</f>
        <v>6. De 500 m a 2 km</v>
      </c>
      <c r="L1708" s="26" t="n">
        <v>0</v>
      </c>
      <c r="M1708" s="26" t="n">
        <v>0</v>
      </c>
      <c r="N1708" s="26" t="n">
        <v>0</v>
      </c>
      <c r="O1708" s="26" t="n">
        <v>0</v>
      </c>
      <c r="P1708" s="30" t="n">
        <v>-9.3940094</v>
      </c>
      <c r="Q1708" s="30" t="n">
        <v>-38.2518928</v>
      </c>
      <c r="R1708" s="14" t="inlineStr">
        <is>
          <t>FÓRUM ELEITORAL DE PAULO AFONSO, RUA MARECHAL FLORIANO PEIXOTO, 656, CENTRO, PAULO AFONSO/BA</t>
        </is>
      </c>
      <c r="S1708" s="26">
        <f>IF(A1708=A1707,0,1)</f>
        <v>0</v>
      </c>
      <c r="T1708" s="26">
        <f>IF(COUNTIF($B$4:B1708,B1708)=1,1,0)</f>
        <v>0</v>
      </c>
    </row>
    <row r="1709">
      <c r="A1709" s="14" t="inlineStr">
        <is>
          <t>PAULO AFONSO</t>
        </is>
      </c>
      <c r="B1709" s="26" t="n">
        <v>84</v>
      </c>
      <c r="C1709" s="26" t="n">
        <v>1759</v>
      </c>
      <c r="D1709" s="14" t="inlineStr">
        <is>
          <t>PARQUE DE EXPOSIÇÕES DE PAULO AFONSO - ENTRADA PRINCIPAL</t>
        </is>
      </c>
      <c r="E1709" s="14" t="inlineStr">
        <is>
          <t>SÃO VICENTE</t>
        </is>
      </c>
      <c r="F1709" s="14" t="inlineStr">
        <is>
          <t>RODOVIA BA-210, KM-07, S/N - ZONA URBANA</t>
        </is>
      </c>
      <c r="G1709" s="27" t="inlineStr">
        <is>
          <t>48600-000</t>
        </is>
      </c>
      <c r="H1709" s="15" t="n">
        <v>4</v>
      </c>
      <c r="I1709" s="28" t="inlineStr">
        <is>
          <t>NÃO</t>
        </is>
      </c>
      <c r="J1709" s="29" t="n">
        <v>268.7</v>
      </c>
      <c r="K1709" s="14" t="str">
        <f>IF(J1709="","7. Acima de 2 km",IF(J1709&lt;=50,"1. Até 50 m",IF(J1709&lt;=100,"2. De 50 a 100 m",IF(J1709&lt;=200,"3. De 100 a 200 m",IF(J1709&lt;=300,"4. De 200 a 300 m",IF(J1709&lt;=500,"5. De 300 a 500 m","6. De 500 m a 2 km"))))))</f>
        <v>4. De 200 a 300 m</v>
      </c>
      <c r="L1709" s="26" t="n">
        <v>0</v>
      </c>
      <c r="M1709" s="26" t="n">
        <v>0</v>
      </c>
      <c r="N1709" s="26" t="n">
        <v>0</v>
      </c>
      <c r="O1709" s="26" t="n">
        <v>1</v>
      </c>
      <c r="P1709" s="30" t="n">
        <v>-9.409009299999999</v>
      </c>
      <c r="Q1709" s="30" t="n">
        <v>-38.2365299</v>
      </c>
      <c r="R1709" s="14" t="inlineStr">
        <is>
          <t>FÓRUM ELEITORAL DE PAULO AFONSO, RUA MARECHAL FLORIANO PEIXOTO, 656, CENTRO, PAULO AFONSO/BA</t>
        </is>
      </c>
      <c r="S1709" s="26">
        <f>IF(A1709=A1708,0,1)</f>
        <v>0</v>
      </c>
      <c r="T1709" s="26">
        <f>IF(COUNTIF($B$4:B1709,B1709)=1,1,0)</f>
        <v>0</v>
      </c>
    </row>
    <row r="1710">
      <c r="A1710" s="14" t="inlineStr">
        <is>
          <t>PAULO AFONSO</t>
        </is>
      </c>
      <c r="B1710" s="26" t="n">
        <v>84</v>
      </c>
      <c r="C1710" s="26" t="n">
        <v>1767</v>
      </c>
      <c r="D1710" s="14" t="inlineStr">
        <is>
          <t>PARQUE DE EXPOSIÇÕES DE PAULO AFONSO - ENTRADA LATERAL</t>
        </is>
      </c>
      <c r="E1710" s="14" t="inlineStr">
        <is>
          <t>JARDIM AEROPORTO</t>
        </is>
      </c>
      <c r="F1710" s="14" t="inlineStr">
        <is>
          <t>AVENIDA PROJETADA, S/N - ZONA URBANA</t>
        </is>
      </c>
      <c r="G1710" s="27" t="inlineStr">
        <is>
          <t>48600-000</t>
        </is>
      </c>
      <c r="H1710" s="15" t="n">
        <v>3</v>
      </c>
      <c r="I1710" s="28" t="inlineStr">
        <is>
          <t>NÃO</t>
        </is>
      </c>
      <c r="J1710" s="29" t="n">
        <v>421.5</v>
      </c>
      <c r="K1710" s="14" t="str">
        <f>IF(J1710="","7. Acima de 2 km",IF(J1710&lt;=50,"1. Até 50 m",IF(J1710&lt;=100,"2. De 50 a 100 m",IF(J1710&lt;=200,"3. De 100 a 200 m",IF(J1710&lt;=300,"4. De 200 a 300 m",IF(J1710&lt;=500,"5. De 300 a 500 m","6. De 500 m a 2 km"))))))</f>
        <v>5. De 300 a 500 m</v>
      </c>
      <c r="L1710" s="26" t="n">
        <v>0</v>
      </c>
      <c r="M1710" s="26" t="n">
        <v>0</v>
      </c>
      <c r="N1710" s="26" t="n">
        <v>0</v>
      </c>
      <c r="O1710" s="26" t="n">
        <v>0</v>
      </c>
      <c r="P1710" s="30" t="n">
        <v>-9.4084603</v>
      </c>
      <c r="Q1710" s="30" t="n">
        <v>-38.2381222</v>
      </c>
      <c r="R1710" s="14" t="inlineStr">
        <is>
          <t>FÓRUM ELEITORAL DE PAULO AFONSO, RUA MARECHAL FLORIANO PEIXOTO, 656, CENTRO, PAULO AFONSO/BA</t>
        </is>
      </c>
      <c r="S1710" s="26">
        <f>IF(A1710=A1709,0,1)</f>
        <v>0</v>
      </c>
      <c r="T1710" s="26">
        <f>IF(COUNTIF($B$4:B1710,B1710)=1,1,0)</f>
        <v>0</v>
      </c>
    </row>
    <row r="1711">
      <c r="A1711" s="14" t="inlineStr">
        <is>
          <t>PAULO AFONSO</t>
        </is>
      </c>
      <c r="B1711" s="26" t="n">
        <v>84</v>
      </c>
      <c r="C1711" s="26" t="n">
        <v>1805</v>
      </c>
      <c r="D1711" s="14" t="inlineStr">
        <is>
          <t>ESCOLA MUNICIPAL BONOMÃO</t>
        </is>
      </c>
      <c r="E1711" s="14" t="inlineStr">
        <is>
          <t>POVOADO BONoMÃO</t>
        </is>
      </c>
      <c r="F1711" s="14" t="inlineStr">
        <is>
          <t>POVOADO BONOMÃO - ZONA RURAL</t>
        </is>
      </c>
      <c r="G1711" s="27" t="inlineStr">
        <is>
          <t>48600-000</t>
        </is>
      </c>
      <c r="H1711" s="15" t="n">
        <v>1</v>
      </c>
      <c r="I1711" s="28" t="inlineStr">
        <is>
          <t>NÃO</t>
        </is>
      </c>
      <c r="J1711" s="29" t="n"/>
      <c r="K1711" s="14" t="str">
        <f>IF(J1711="","7. Acima de 2 km",IF(J1711&lt;=50,"1. Até 50 m",IF(J1711&lt;=100,"2. De 50 a 100 m",IF(J1711&lt;=200,"3. De 100 a 200 m",IF(J1711&lt;=300,"4. De 200 a 300 m",IF(J1711&lt;=500,"5. De 300 a 500 m","6. De 500 m a 2 km"))))))</f>
        <v>7. Acima de 2 km</v>
      </c>
      <c r="L1711" s="26" t="n">
        <v>0</v>
      </c>
      <c r="M1711" s="26" t="n">
        <v>0</v>
      </c>
      <c r="N1711" s="26" t="n">
        <v>0</v>
      </c>
      <c r="O1711" s="26" t="n">
        <v>0</v>
      </c>
      <c r="P1711" s="30" t="n">
        <v>-9.5136289</v>
      </c>
      <c r="Q1711" s="30" t="n">
        <v>-38.3611444</v>
      </c>
      <c r="R1711" s="14" t="inlineStr">
        <is>
          <t>FÓRUM ELEITORAL DE PAULO AFONSO, RUA MARECHAL FLORIANO PEIXOTO, 656, CENTRO, PAULO AFONSO/BA</t>
        </is>
      </c>
      <c r="S1711" s="26">
        <f>IF(A1711=A1710,0,1)</f>
        <v>0</v>
      </c>
      <c r="T1711" s="26">
        <f>IF(COUNTIF($B$4:B1711,B1711)=1,1,0)</f>
        <v>0</v>
      </c>
    </row>
    <row r="1712">
      <c r="A1712" s="14" t="inlineStr">
        <is>
          <t>PAULO AFONSO</t>
        </is>
      </c>
      <c r="B1712" s="26" t="n">
        <v>84</v>
      </c>
      <c r="C1712" s="26" t="n">
        <v>1821</v>
      </c>
      <c r="D1712" s="14" t="inlineStr">
        <is>
          <t>CETEPI 2 - WILSON PEREIRA</t>
        </is>
      </c>
      <c r="E1712" s="14" t="inlineStr">
        <is>
          <t>CARDEAL BRANDÃO VILELA</t>
        </is>
      </c>
      <c r="F1712" s="14" t="inlineStr">
        <is>
          <t>RUA WILSON PEREIRA, 255 - ZONA URBANA</t>
        </is>
      </c>
      <c r="G1712" s="27" t="inlineStr">
        <is>
          <t>48600-000</t>
        </is>
      </c>
      <c r="H1712" s="15" t="n">
        <v>8</v>
      </c>
      <c r="I1712" s="28" t="inlineStr">
        <is>
          <t>NÃO</t>
        </is>
      </c>
      <c r="J1712" s="29" t="n">
        <v>230.8</v>
      </c>
      <c r="K1712" s="14" t="str">
        <f>IF(J1712="","7. Acima de 2 km",IF(J1712&lt;=50,"1. Até 50 m",IF(J1712&lt;=100,"2. De 50 a 100 m",IF(J1712&lt;=200,"3. De 100 a 200 m",IF(J1712&lt;=300,"4. De 200 a 300 m",IF(J1712&lt;=500,"5. De 300 a 500 m","6. De 500 m a 2 km"))))))</f>
        <v>4. De 200 a 300 m</v>
      </c>
      <c r="L1712" s="26" t="n">
        <v>0</v>
      </c>
      <c r="M1712" s="26" t="n">
        <v>0</v>
      </c>
      <c r="N1712" s="26" t="n">
        <v>0</v>
      </c>
      <c r="O1712" s="26" t="n">
        <v>1</v>
      </c>
      <c r="P1712" s="30" t="n">
        <v>-9.448481299999999</v>
      </c>
      <c r="Q1712" s="30" t="n">
        <v>-38.2229704</v>
      </c>
      <c r="R1712" s="14" t="inlineStr">
        <is>
          <t>FÓRUM ELEITORAL DE PAULO AFONSO, RUA MARECHAL FLORIANO PEIXOTO, 656, CENTRO, PAULO AFONSO/BA</t>
        </is>
      </c>
      <c r="S1712" s="26">
        <f>IF(A1712=A1711,0,1)</f>
        <v>0</v>
      </c>
      <c r="T1712" s="26">
        <f>IF(COUNTIF($B$4:B1712,B1712)=1,1,0)</f>
        <v>0</v>
      </c>
    </row>
    <row r="1713">
      <c r="A1713" s="14" t="inlineStr">
        <is>
          <t>PAULO AFONSO</t>
        </is>
      </c>
      <c r="B1713" s="26" t="n">
        <v>84</v>
      </c>
      <c r="C1713" s="26" t="n">
        <v>1872</v>
      </c>
      <c r="D1713" s="14" t="inlineStr">
        <is>
          <t>PRISIONAL - CONJUNTO PENAL DE PAULO AFONSO</t>
        </is>
      </c>
      <c r="E1713" s="14" t="inlineStr">
        <is>
          <t>TANCREDO NEVES III</t>
        </is>
      </c>
      <c r="F1713" s="14" t="inlineStr">
        <is>
          <t>RUA GILBERTO LEAL, 321 - ZONA URBANA</t>
        </is>
      </c>
      <c r="G1713" s="27" t="inlineStr">
        <is>
          <t>48611-262</t>
        </is>
      </c>
      <c r="H1713" s="15" t="n">
        <v>1</v>
      </c>
      <c r="I1713" s="28" t="inlineStr">
        <is>
          <t>SIM</t>
        </is>
      </c>
      <c r="J1713" s="29" t="n">
        <v>14.1</v>
      </c>
      <c r="K1713" s="14" t="str">
        <f>IF(J1713="","7. Acima de 2 km",IF(J1713&lt;=50,"1. Até 50 m",IF(J1713&lt;=100,"2. De 50 a 100 m",IF(J1713&lt;=200,"3. De 100 a 200 m",IF(J1713&lt;=300,"4. De 200 a 300 m",IF(J1713&lt;=500,"5. De 300 a 500 m","6. De 500 m a 2 km"))))))</f>
        <v>1. Até 50 m</v>
      </c>
      <c r="L1713" s="26" t="n">
        <v>2</v>
      </c>
      <c r="M1713" s="26" t="n">
        <v>5</v>
      </c>
      <c r="N1713" s="26" t="n">
        <v>6</v>
      </c>
      <c r="O1713" s="26" t="n">
        <v>7</v>
      </c>
      <c r="P1713" s="30" t="n">
        <v>-9.4435413</v>
      </c>
      <c r="Q1713" s="30" t="n">
        <v>-38.2061086</v>
      </c>
      <c r="R1713" s="14" t="inlineStr">
        <is>
          <t>FÓRUM ELEITORAL DE PAULO AFONSO, RUA MARECHAL FLORIANO PEIXOTO, 656, CENTRO, PAULO AFONSO/BA</t>
        </is>
      </c>
      <c r="S1713" s="26">
        <f>IF(A1713=A1712,0,1)</f>
        <v>0</v>
      </c>
      <c r="T1713" s="26">
        <f>IF(COUNTIF($B$4:B1713,B1713)=1,1,0)</f>
        <v>0</v>
      </c>
    </row>
    <row r="1714">
      <c r="A1714" s="14" t="inlineStr">
        <is>
          <t>PAULO AFONSO</t>
        </is>
      </c>
      <c r="B1714" s="26" t="n">
        <v>84</v>
      </c>
      <c r="C1714" s="26" t="n">
        <v>1880</v>
      </c>
      <c r="D1714" s="14" t="inlineStr">
        <is>
          <t>ESCOLA MUNICIPAL SÃO JOSÉ</t>
        </is>
      </c>
      <c r="E1714" s="14" t="inlineStr">
        <is>
          <t>BOA ESPERANÇA</t>
        </is>
      </c>
      <c r="F1714" s="14" t="inlineStr">
        <is>
          <t>LOTEAMENTO BOA ESPERANÇA - ZONA RURAL</t>
        </is>
      </c>
      <c r="G1714" s="27" t="inlineStr">
        <is>
          <t>48619-899</t>
        </is>
      </c>
      <c r="H1714" s="15" t="n">
        <v>1</v>
      </c>
      <c r="I1714" s="28" t="inlineStr">
        <is>
          <t>NÃO</t>
        </is>
      </c>
      <c r="J1714" s="29" t="n"/>
      <c r="K1714" s="14" t="str">
        <f>IF(J1714="","7. Acima de 2 km",IF(J1714&lt;=50,"1. Até 50 m",IF(J1714&lt;=100,"2. De 50 a 100 m",IF(J1714&lt;=200,"3. De 100 a 200 m",IF(J1714&lt;=300,"4. De 200 a 300 m",IF(J1714&lt;=500,"5. De 300 a 500 m","6. De 500 m a 2 km"))))))</f>
        <v>7. Acima de 2 km</v>
      </c>
      <c r="L1714" s="26" t="n">
        <v>0</v>
      </c>
      <c r="M1714" s="26" t="n">
        <v>0</v>
      </c>
      <c r="N1714" s="26" t="n">
        <v>0</v>
      </c>
      <c r="O1714" s="26" t="n">
        <v>0</v>
      </c>
      <c r="P1714" s="30" t="n">
        <v>-9.4046751</v>
      </c>
      <c r="Q1714" s="30" t="n">
        <v>-38.268936</v>
      </c>
      <c r="R1714" s="14" t="inlineStr">
        <is>
          <t>FÓRUM ELEITORAL DE PAULO AFONSO, RUA MARECHAL FLORIANO PEIXOTO, 656, CENTRO, PAULO AFONSO/BA</t>
        </is>
      </c>
      <c r="S1714" s="26">
        <f>IF(A1714=A1713,0,1)</f>
        <v>0</v>
      </c>
      <c r="T1714" s="26">
        <f>IF(COUNTIF($B$4:B1714,B1714)=1,1,0)</f>
        <v>0</v>
      </c>
    </row>
    <row r="1715">
      <c r="A1715" s="14" t="inlineStr">
        <is>
          <t>PAULO AFONSO</t>
        </is>
      </c>
      <c r="B1715" s="26" t="n">
        <v>84</v>
      </c>
      <c r="C1715" s="26" t="n">
        <v>1899</v>
      </c>
      <c r="D1715" s="14" t="inlineStr">
        <is>
          <t>ESCOLA MUNICIPAL DA PRAINHA</t>
        </is>
      </c>
      <c r="E1715" s="14" t="inlineStr">
        <is>
          <t>SÃO VICENTE</t>
        </is>
      </c>
      <c r="F1715" s="14" t="inlineStr">
        <is>
          <t>RUA MADRE TEREZA DE CALCUTÁ, SN - ZONA URBANA</t>
        </is>
      </c>
      <c r="G1715" s="27" t="inlineStr">
        <is>
          <t>48603-596</t>
        </is>
      </c>
      <c r="H1715" s="15" t="n">
        <v>1</v>
      </c>
      <c r="I1715" s="28" t="inlineStr">
        <is>
          <t>NÃO</t>
        </is>
      </c>
      <c r="J1715" s="29" t="n">
        <v>223.9</v>
      </c>
      <c r="K1715" s="14" t="str">
        <f>IF(J1715="","7. Acima de 2 km",IF(J1715&lt;=50,"1. Até 50 m",IF(J1715&lt;=100,"2. De 50 a 100 m",IF(J1715&lt;=200,"3. De 100 a 200 m",IF(J1715&lt;=300,"4. De 200 a 300 m",IF(J1715&lt;=500,"5. De 300 a 500 m","6. De 500 m a 2 km"))))))</f>
        <v>4. De 200 a 300 m</v>
      </c>
      <c r="L1715" s="26" t="n">
        <v>0</v>
      </c>
      <c r="M1715" s="26" t="n">
        <v>0</v>
      </c>
      <c r="N1715" s="26" t="n">
        <v>0</v>
      </c>
      <c r="O1715" s="26" t="n">
        <v>1</v>
      </c>
      <c r="P1715" s="30" t="n">
        <v>-9.4091661</v>
      </c>
      <c r="Q1715" s="30" t="n">
        <v>-38.2352753</v>
      </c>
      <c r="R1715" s="14" t="inlineStr">
        <is>
          <t>FÓRUM ELEITORAL DE PAULO AFONSO, RUA MARECHAL FLORIANO PEIXOTO, 656, CENTRO, PAULO AFONSO/BA</t>
        </is>
      </c>
      <c r="S1715" s="26">
        <f>IF(A1715=A1714,0,1)</f>
        <v>0</v>
      </c>
      <c r="T1715" s="26">
        <f>IF(COUNTIF($B$4:B1715,B1715)=1,1,0)</f>
        <v>0</v>
      </c>
    </row>
    <row r="1716">
      <c r="A1716" s="14" t="inlineStr">
        <is>
          <t>PAULO AFONSO</t>
        </is>
      </c>
      <c r="B1716" s="26" t="n">
        <v>84</v>
      </c>
      <c r="C1716" s="26" t="n">
        <v>1910</v>
      </c>
      <c r="D1716" s="14" t="inlineStr">
        <is>
          <t>CRECHE MÁRIO LOURENÇO TORI - PRAINHA</t>
        </is>
      </c>
      <c r="E1716" s="14" t="inlineStr">
        <is>
          <t>SÃO VICENTE</t>
        </is>
      </c>
      <c r="F1716" s="14" t="inlineStr">
        <is>
          <t>RUA HERBERT DE SOUZA, S/N, ZONA URBANA</t>
        </is>
      </c>
      <c r="G1716" s="27" t="inlineStr">
        <is>
          <t>48603-524</t>
        </is>
      </c>
      <c r="H1716" s="15" t="n">
        <v>1</v>
      </c>
      <c r="I1716" s="28" t="inlineStr">
        <is>
          <t>NÃO</t>
        </is>
      </c>
      <c r="J1716" s="29" t="n">
        <v>504.3</v>
      </c>
      <c r="K1716" s="14" t="str">
        <f>IF(J1716="","7. Acima de 2 km",IF(J1716&lt;=50,"1. Até 50 m",IF(J1716&lt;=100,"2. De 50 a 100 m",IF(J1716&lt;=200,"3. De 100 a 200 m",IF(J1716&lt;=300,"4. De 200 a 300 m",IF(J1716&lt;=500,"5. De 300 a 500 m","6. De 500 m a 2 km"))))))</f>
        <v>6. De 500 m a 2 km</v>
      </c>
      <c r="L1716" s="26" t="n">
        <v>0</v>
      </c>
      <c r="M1716" s="26" t="n">
        <v>0</v>
      </c>
      <c r="N1716" s="26" t="n">
        <v>0</v>
      </c>
      <c r="O1716" s="26" t="n">
        <v>0</v>
      </c>
      <c r="P1716" s="30" t="n">
        <v>-9.4066641</v>
      </c>
      <c r="Q1716" s="30" t="n">
        <v>-38.2359319</v>
      </c>
      <c r="R1716" s="14" t="inlineStr">
        <is>
          <t>FÓRUM ELEITORAL DE PAULO AFONSO, RUA MARECHAL FLORIANO PEIXOTO, 656, CENTRO, PAULO AFONSO/BA</t>
        </is>
      </c>
      <c r="S1716" s="26">
        <f>IF(A1716=A1715,0,1)</f>
        <v>0</v>
      </c>
      <c r="T1716" s="26">
        <f>IF(COUNTIF($B$4:B1716,B1716)=1,1,0)</f>
        <v>0</v>
      </c>
    </row>
    <row r="1717">
      <c r="A1717" s="14" t="inlineStr">
        <is>
          <t>PAULO AFONSO</t>
        </is>
      </c>
      <c r="B1717" s="26" t="n">
        <v>84</v>
      </c>
      <c r="C1717" s="26" t="n">
        <v>1929</v>
      </c>
      <c r="D1717" s="14" t="inlineStr">
        <is>
          <t>COLÉGIO ESTADUAL QUITÉRIA MARIA DE JESUS</t>
        </is>
      </c>
      <c r="E1717" s="14" t="inlineStr">
        <is>
          <t>TANCREDO NEVES I</t>
        </is>
      </c>
      <c r="F1717" s="14" t="inlineStr">
        <is>
          <t>AVENIDA TREZE DE MAIO,152 - ZONA URBANA</t>
        </is>
      </c>
      <c r="G1717" s="27" t="inlineStr">
        <is>
          <t>48609-020</t>
        </is>
      </c>
      <c r="H1717" s="15" t="n">
        <v>2</v>
      </c>
      <c r="I1717" s="28" t="inlineStr">
        <is>
          <t>NÃO</t>
        </is>
      </c>
      <c r="J1717" s="29" t="n">
        <v>720.7</v>
      </c>
      <c r="K1717" s="14" t="str">
        <f>IF(J1717="","7. Acima de 2 km",IF(J1717&lt;=50,"1. Até 50 m",IF(J1717&lt;=100,"2. De 50 a 100 m",IF(J1717&lt;=200,"3. De 100 a 200 m",IF(J1717&lt;=300,"4. De 200 a 300 m",IF(J1717&lt;=500,"5. De 300 a 500 m","6. De 500 m a 2 km"))))))</f>
        <v>6. De 500 m a 2 km</v>
      </c>
      <c r="L1717" s="26" t="n">
        <v>0</v>
      </c>
      <c r="M1717" s="26" t="n">
        <v>0</v>
      </c>
      <c r="N1717" s="26" t="n">
        <v>0</v>
      </c>
      <c r="O1717" s="26" t="n">
        <v>0</v>
      </c>
      <c r="P1717" s="30" t="n">
        <v>-9.4401905</v>
      </c>
      <c r="Q1717" s="30" t="n">
        <v>-38.2214371</v>
      </c>
      <c r="R1717" s="14" t="inlineStr">
        <is>
          <t>FÓRUM ELEITORAL DE PAULO AFONSO, RUA MARECHAL FLORIANO PEIXOTO, 656, CENTRO, PAULO AFONSO/BA</t>
        </is>
      </c>
      <c r="S1717" s="26">
        <f>IF(A1717=A1716,0,1)</f>
        <v>0</v>
      </c>
      <c r="T1717" s="26">
        <f>IF(COUNTIF($B$4:B1717,B1717)=1,1,0)</f>
        <v>0</v>
      </c>
    </row>
    <row r="1718">
      <c r="A1718" s="14" t="inlineStr">
        <is>
          <t>PAULO AFONSO</t>
        </is>
      </c>
      <c r="B1718" s="26" t="n">
        <v>84</v>
      </c>
      <c r="C1718" s="26" t="n">
        <v>1945</v>
      </c>
      <c r="D1718" s="14" t="inlineStr">
        <is>
          <t>ESCOLA MUNICIPAL MARIA NOÊMIA DE BARROS</t>
        </is>
      </c>
      <c r="E1718" s="14" t="inlineStr">
        <is>
          <t>TANCREDO NEVES II</t>
        </is>
      </c>
      <c r="F1718" s="14" t="inlineStr">
        <is>
          <t>RUA CAXANGÁ, 206 - ZONA URBANA</t>
        </is>
      </c>
      <c r="G1718" s="27" t="inlineStr">
        <is>
          <t>48609-162</t>
        </is>
      </c>
      <c r="H1718" s="15" t="n">
        <v>1</v>
      </c>
      <c r="I1718" s="28" t="inlineStr">
        <is>
          <t>NÃO</t>
        </is>
      </c>
      <c r="J1718" s="29" t="n">
        <v>303.8</v>
      </c>
      <c r="K1718" s="14" t="str">
        <f>IF(J1718="","7. Acima de 2 km",IF(J1718&lt;=50,"1. Até 50 m",IF(J1718&lt;=100,"2. De 50 a 100 m",IF(J1718&lt;=200,"3. De 100 a 200 m",IF(J1718&lt;=300,"4. De 200 a 300 m",IF(J1718&lt;=500,"5. De 300 a 500 m","6. De 500 m a 2 km"))))))</f>
        <v>5. De 300 a 500 m</v>
      </c>
      <c r="L1718" s="26" t="n">
        <v>0</v>
      </c>
      <c r="M1718" s="26" t="n">
        <v>0</v>
      </c>
      <c r="N1718" s="26" t="n">
        <v>0</v>
      </c>
      <c r="O1718" s="26" t="n">
        <v>0</v>
      </c>
      <c r="P1718" s="30" t="n">
        <v>-9.442672</v>
      </c>
      <c r="Q1718" s="30" t="n">
        <v>-38.2166773</v>
      </c>
      <c r="R1718" s="14" t="inlineStr">
        <is>
          <t>FÓRUM ELEITORAL DE PAULO AFONSO, RUA MARECHAL FLORIANO PEIXOTO, 656, CENTRO, PAULO AFONSO/BA</t>
        </is>
      </c>
      <c r="S1718" s="26">
        <f>IF(A1718=A1717,0,1)</f>
        <v>0</v>
      </c>
      <c r="T1718" s="26">
        <f>IF(COUNTIF($B$4:B1718,B1718)=1,1,0)</f>
        <v>0</v>
      </c>
    </row>
    <row r="1719">
      <c r="A1719" s="14" t="inlineStr">
        <is>
          <t>PAULO AFONSO</t>
        </is>
      </c>
      <c r="B1719" s="26" t="n">
        <v>181</v>
      </c>
      <c r="C1719" s="26" t="n">
        <v>1023</v>
      </c>
      <c r="D1719" s="14" t="inlineStr">
        <is>
          <t>COLEGIO ESTADUAL DE TEMPO INTEGRAL DE PAULO AFONSO</t>
        </is>
      </c>
      <c r="E1719" s="14" t="inlineStr">
        <is>
          <t>CENTRO</t>
        </is>
      </c>
      <c r="F1719" s="14" t="inlineStr">
        <is>
          <t>AVENIDA CONTORNO - SN</t>
        </is>
      </c>
      <c r="G1719" s="27" t="inlineStr">
        <is>
          <t>48601-500</t>
        </is>
      </c>
      <c r="H1719" s="15" t="n">
        <v>9</v>
      </c>
      <c r="I1719" s="28" t="inlineStr">
        <is>
          <t>NÃO</t>
        </is>
      </c>
      <c r="J1719" s="29" t="n">
        <v>215</v>
      </c>
      <c r="K1719" s="14" t="str">
        <f>IF(J1719="","7. Acima de 2 km",IF(J1719&lt;=50,"1. Até 50 m",IF(J1719&lt;=100,"2. De 50 a 100 m",IF(J1719&lt;=200,"3. De 100 a 200 m",IF(J1719&lt;=300,"4. De 200 a 300 m",IF(J1719&lt;=500,"5. De 300 a 500 m","6. De 500 m a 2 km"))))))</f>
        <v>4. De 200 a 300 m</v>
      </c>
      <c r="L1719" s="26" t="n">
        <v>0</v>
      </c>
      <c r="M1719" s="26" t="n">
        <v>0</v>
      </c>
      <c r="N1719" s="26" t="n">
        <v>0</v>
      </c>
      <c r="O1719" s="26" t="n">
        <v>2</v>
      </c>
      <c r="P1719" s="30" t="n">
        <v>-9.401608299999999</v>
      </c>
      <c r="Q1719" s="30" t="n">
        <v>-38.2294495</v>
      </c>
      <c r="R1719" s="14" t="inlineStr">
        <is>
          <t>RUA MARECHAL FLORIANO PEIXOTO, Nº 656, CENTRO, PAULO AFONSO/BA</t>
        </is>
      </c>
      <c r="S1719" s="26">
        <f>IF(A1719=A1718,0,1)</f>
        <v>0</v>
      </c>
      <c r="T1719" s="26">
        <f>IF(COUNTIF($B$4:B1719,B1719)=1,1,0)</f>
        <v>1</v>
      </c>
    </row>
    <row r="1720">
      <c r="A1720" s="14" t="inlineStr">
        <is>
          <t>PAULO AFONSO</t>
        </is>
      </c>
      <c r="B1720" s="26" t="n">
        <v>181</v>
      </c>
      <c r="C1720" s="26" t="n">
        <v>1031</v>
      </c>
      <c r="D1720" s="14" t="inlineStr">
        <is>
          <t>COLÉGIO MODELO LUÍS EDUARDO MAGALHÃES</t>
        </is>
      </c>
      <c r="E1720" s="14" t="inlineStr">
        <is>
          <t>AMAURY ALVES DE MENEZES</t>
        </is>
      </c>
      <c r="F1720" s="14" t="inlineStr">
        <is>
          <t>AVENIDA DOS ESTUDANTES, S/N - ZONA URBANA</t>
        </is>
      </c>
      <c r="G1720" s="27" t="inlineStr">
        <is>
          <t>48605-210</t>
        </is>
      </c>
      <c r="H1720" s="15" t="n">
        <v>10</v>
      </c>
      <c r="I1720" s="28" t="inlineStr">
        <is>
          <t>NÃO</t>
        </is>
      </c>
      <c r="J1720" s="29" t="n">
        <v>117.8</v>
      </c>
      <c r="K1720" s="14" t="str">
        <f>IF(J1720="","7. Acima de 2 km",IF(J1720&lt;=50,"1. Até 50 m",IF(J1720&lt;=100,"2. De 50 a 100 m",IF(J1720&lt;=200,"3. De 100 a 200 m",IF(J1720&lt;=300,"4. De 200 a 300 m",IF(J1720&lt;=500,"5. De 300 a 500 m","6. De 500 m a 2 km"))))))</f>
        <v>3. De 100 a 200 m</v>
      </c>
      <c r="L1720" s="26" t="n">
        <v>0</v>
      </c>
      <c r="M1720" s="26" t="n">
        <v>0</v>
      </c>
      <c r="N1720" s="26" t="n">
        <v>1</v>
      </c>
      <c r="O1720" s="26" t="n">
        <v>3</v>
      </c>
      <c r="P1720" s="30" t="n">
        <v>-9.398036400000001</v>
      </c>
      <c r="Q1720" s="30" t="n">
        <v>-38.231605</v>
      </c>
      <c r="R1720" s="14" t="inlineStr">
        <is>
          <t>RUA MARECHAL FLORIANO PEIXOTO, Nº 656, CENTRO, PAULO AFONSO/BA</t>
        </is>
      </c>
      <c r="S1720" s="26">
        <f>IF(A1720=A1719,0,1)</f>
        <v>0</v>
      </c>
      <c r="T1720" s="26">
        <f>IF(COUNTIF($B$4:B1720,B1720)=1,1,0)</f>
        <v>0</v>
      </c>
    </row>
    <row r="1721">
      <c r="A1721" s="14" t="inlineStr">
        <is>
          <t>PAULO AFONSO</t>
        </is>
      </c>
      <c r="B1721" s="26" t="n">
        <v>181</v>
      </c>
      <c r="C1721" s="26" t="n">
        <v>1058</v>
      </c>
      <c r="D1721" s="14" t="inlineStr">
        <is>
          <t>ESCOLA MUNICIPAL ODILON CAFÉ</t>
        </is>
      </c>
      <c r="E1721" s="14" t="inlineStr">
        <is>
          <t>POVOADO TARÁ</t>
        </is>
      </c>
      <c r="F1721" s="14" t="inlineStr">
        <is>
          <t>POVOADO TARÁ - ZONA RURAL</t>
        </is>
      </c>
      <c r="G1721" s="27" t="inlineStr">
        <is>
          <t>48600-970</t>
        </is>
      </c>
      <c r="H1721" s="15" t="n">
        <v>2</v>
      </c>
      <c r="I1721" s="28" t="inlineStr">
        <is>
          <t>NÃO</t>
        </is>
      </c>
      <c r="J1721" s="29" t="n"/>
      <c r="K1721" s="14" t="str">
        <f>IF(J1721="","7. Acima de 2 km",IF(J1721&lt;=50,"1. Até 50 m",IF(J1721&lt;=100,"2. De 50 a 100 m",IF(J1721&lt;=200,"3. De 100 a 200 m",IF(J1721&lt;=300,"4. De 200 a 300 m",IF(J1721&lt;=500,"5. De 300 a 500 m","6. De 500 m a 2 km"))))))</f>
        <v>7. Acima de 2 km</v>
      </c>
      <c r="L1721" s="26" t="n">
        <v>0</v>
      </c>
      <c r="M1721" s="26" t="n">
        <v>0</v>
      </c>
      <c r="N1721" s="26" t="n">
        <v>0</v>
      </c>
      <c r="O1721" s="26" t="n">
        <v>0</v>
      </c>
      <c r="P1721" s="30" t="n">
        <v>-9.604828299999999</v>
      </c>
      <c r="Q1721" s="30" t="n">
        <v>-38.0888267</v>
      </c>
      <c r="R1721" s="14" t="inlineStr">
        <is>
          <t>RUA MARECHAL FLORIANO PEIXOTO, Nº 656, CENTRO, PAULO AFONSO/BA</t>
        </is>
      </c>
      <c r="S1721" s="26">
        <f>IF(A1721=A1720,0,1)</f>
        <v>0</v>
      </c>
      <c r="T1721" s="26">
        <f>IF(COUNTIF($B$4:B1721,B1721)=1,1,0)</f>
        <v>0</v>
      </c>
    </row>
    <row r="1722">
      <c r="A1722" s="14" t="inlineStr">
        <is>
          <t>PAULO AFONSO</t>
        </is>
      </c>
      <c r="B1722" s="26" t="n">
        <v>181</v>
      </c>
      <c r="C1722" s="26" t="n">
        <v>1066</v>
      </c>
      <c r="D1722" s="14" t="inlineStr">
        <is>
          <t>ESCOLA MUNICIPAL PEDRO ÁLVARES CABRAL</t>
        </is>
      </c>
      <c r="E1722" s="14" t="inlineStr">
        <is>
          <t>POVOADO SALOBRO</t>
        </is>
      </c>
      <c r="F1722" s="14" t="inlineStr">
        <is>
          <t>POVOADO SALOBRO - ZONA RURAL</t>
        </is>
      </c>
      <c r="G1722" s="27" t="inlineStr">
        <is>
          <t>48600-970</t>
        </is>
      </c>
      <c r="H1722" s="15" t="n">
        <v>1</v>
      </c>
      <c r="I1722" s="28" t="inlineStr">
        <is>
          <t>NÃO</t>
        </is>
      </c>
      <c r="J1722" s="29" t="n"/>
      <c r="K1722" s="14" t="str">
        <f>IF(J1722="","7. Acima de 2 km",IF(J1722&lt;=50,"1. Até 50 m",IF(J1722&lt;=100,"2. De 50 a 100 m",IF(J1722&lt;=200,"3. De 100 a 200 m",IF(J1722&lt;=300,"4. De 200 a 300 m",IF(J1722&lt;=500,"5. De 300 a 500 m","6. De 500 m a 2 km"))))))</f>
        <v>7. Acima de 2 km</v>
      </c>
      <c r="L1722" s="26" t="n">
        <v>0</v>
      </c>
      <c r="M1722" s="26" t="n">
        <v>0</v>
      </c>
      <c r="N1722" s="26" t="n">
        <v>0</v>
      </c>
      <c r="O1722" s="26" t="n">
        <v>0</v>
      </c>
      <c r="P1722" s="30" t="n">
        <v>-9.55955</v>
      </c>
      <c r="Q1722" s="30" t="n">
        <v>-38.0531067</v>
      </c>
      <c r="R1722" s="14" t="inlineStr">
        <is>
          <t>RUA MARECHAL FLORIANO PEIXOTO, Nº 656, CENTRO, PAULO AFONSO/BA</t>
        </is>
      </c>
      <c r="S1722" s="26">
        <f>IF(A1722=A1721,0,1)</f>
        <v>0</v>
      </c>
      <c r="T1722" s="26">
        <f>IF(COUNTIF($B$4:B1722,B1722)=1,1,0)</f>
        <v>0</v>
      </c>
    </row>
    <row r="1723">
      <c r="A1723" s="14" t="inlineStr">
        <is>
          <t>PAULO AFONSO</t>
        </is>
      </c>
      <c r="B1723" s="26" t="n">
        <v>181</v>
      </c>
      <c r="C1723" s="26" t="n">
        <v>1074</v>
      </c>
      <c r="D1723" s="14" t="inlineStr">
        <is>
          <t>ESCOLA MUNICIPAL 15 DE NOVEMBRO</t>
        </is>
      </c>
      <c r="E1723" s="14" t="inlineStr">
        <is>
          <t>POVOADO SÍTIO DO LÚCIO</t>
        </is>
      </c>
      <c r="F1723" s="14" t="inlineStr">
        <is>
          <t>POVOADO SÍTIO DE LÚCIO - ZONA RURAL</t>
        </is>
      </c>
      <c r="G1723" s="27" t="inlineStr">
        <is>
          <t>48600-970</t>
        </is>
      </c>
      <c r="H1723" s="15" t="n">
        <v>2</v>
      </c>
      <c r="I1723" s="28" t="inlineStr">
        <is>
          <t>NÃO</t>
        </is>
      </c>
      <c r="J1723" s="29" t="n"/>
      <c r="K1723" s="14" t="str">
        <f>IF(J1723="","7. Acima de 2 km",IF(J1723&lt;=50,"1. Até 50 m",IF(J1723&lt;=100,"2. De 50 a 100 m",IF(J1723&lt;=200,"3. De 100 a 200 m",IF(J1723&lt;=300,"4. De 200 a 300 m",IF(J1723&lt;=500,"5. De 300 a 500 m","6. De 500 m a 2 km"))))))</f>
        <v>7. Acima de 2 km</v>
      </c>
      <c r="L1723" s="26" t="n">
        <v>0</v>
      </c>
      <c r="M1723" s="26" t="n">
        <v>0</v>
      </c>
      <c r="N1723" s="26" t="n">
        <v>0</v>
      </c>
      <c r="O1723" s="26" t="n">
        <v>0</v>
      </c>
      <c r="P1723" s="30" t="n">
        <v>-9.6474367</v>
      </c>
      <c r="Q1723" s="30" t="n">
        <v>-38.3163633</v>
      </c>
      <c r="R1723" s="14" t="inlineStr">
        <is>
          <t>RUA MARECHAL FLORIANO PEIXOTO, Nº 656, CENTRO, PAULO AFONSO/BA</t>
        </is>
      </c>
      <c r="S1723" s="26">
        <f>IF(A1723=A1722,0,1)</f>
        <v>0</v>
      </c>
      <c r="T1723" s="26">
        <f>IF(COUNTIF($B$4:B1723,B1723)=1,1,0)</f>
        <v>0</v>
      </c>
    </row>
    <row r="1724">
      <c r="A1724" s="14" t="inlineStr">
        <is>
          <t>PAULO AFONSO</t>
        </is>
      </c>
      <c r="B1724" s="26" t="n">
        <v>181</v>
      </c>
      <c r="C1724" s="26" t="n">
        <v>1090</v>
      </c>
      <c r="D1724" s="14" t="inlineStr">
        <is>
          <t xml:space="preserve">CEMPA - CENTRO EDUCACIONAL MUNICIPAL DE PAULO AFONSO </t>
        </is>
      </c>
      <c r="E1724" s="14" t="inlineStr">
        <is>
          <t>CENTRO</t>
        </is>
      </c>
      <c r="F1724" s="14" t="inlineStr">
        <is>
          <t>TRAVESSA LUIZ VIANA FILHO, S/N - ZONA URBANA</t>
        </is>
      </c>
      <c r="G1724" s="27" t="inlineStr">
        <is>
          <t>48602-560</t>
        </is>
      </c>
      <c r="H1724" s="15" t="n">
        <v>9</v>
      </c>
      <c r="I1724" s="28" t="inlineStr">
        <is>
          <t>NÃO</t>
        </is>
      </c>
      <c r="J1724" s="29" t="n">
        <v>185.7</v>
      </c>
      <c r="K1724" s="14" t="str">
        <f>IF(J1724="","7. Acima de 2 km",IF(J1724&lt;=50,"1. Até 50 m",IF(J1724&lt;=100,"2. De 50 a 100 m",IF(J1724&lt;=200,"3. De 100 a 200 m",IF(J1724&lt;=300,"4. De 200 a 300 m",IF(J1724&lt;=500,"5. De 300 a 500 m","6. De 500 m a 2 km"))))))</f>
        <v>3. De 100 a 200 m</v>
      </c>
      <c r="L1724" s="26" t="n">
        <v>0</v>
      </c>
      <c r="M1724" s="26" t="n">
        <v>0</v>
      </c>
      <c r="N1724" s="26" t="n">
        <v>1</v>
      </c>
      <c r="O1724" s="26" t="n">
        <v>1</v>
      </c>
      <c r="P1724" s="30" t="n">
        <v>-9.4005846</v>
      </c>
      <c r="Q1724" s="30" t="n">
        <v>-38.2279318</v>
      </c>
      <c r="R1724" s="14" t="inlineStr">
        <is>
          <t>RUA MARECHAL FLORIANO PEIXOTO, Nº 656, CENTRO, PAULO AFONSO/BA</t>
        </is>
      </c>
      <c r="S1724" s="26">
        <f>IF(A1724=A1723,0,1)</f>
        <v>0</v>
      </c>
      <c r="T1724" s="26">
        <f>IF(COUNTIF($B$4:B1724,B1724)=1,1,0)</f>
        <v>0</v>
      </c>
    </row>
    <row r="1725">
      <c r="A1725" s="14" t="inlineStr">
        <is>
          <t>PAULO AFONSO</t>
        </is>
      </c>
      <c r="B1725" s="26" t="n">
        <v>181</v>
      </c>
      <c r="C1725" s="26" t="n">
        <v>1104</v>
      </c>
      <c r="D1725" s="14" t="inlineStr">
        <is>
          <t>ESCOLA MUNICIPAL VEREADOR JOÃO BOSCO RIBEIRO</t>
        </is>
      </c>
      <c r="E1725" s="14" t="inlineStr">
        <is>
          <t>PERPÉTUO SOCORRO</t>
        </is>
      </c>
      <c r="F1725" s="14" t="inlineStr">
        <is>
          <t>RUA DOS NAVEGANTES, S/N - ZONA URBANA</t>
        </is>
      </c>
      <c r="G1725" s="27" t="inlineStr">
        <is>
          <t>48601-430</t>
        </is>
      </c>
      <c r="H1725" s="15" t="n">
        <v>15</v>
      </c>
      <c r="I1725" s="28" t="inlineStr">
        <is>
          <t>NÃO</t>
        </is>
      </c>
      <c r="J1725" s="29" t="n">
        <v>751.8</v>
      </c>
      <c r="K1725" s="14" t="str">
        <f>IF(J1725="","7. Acima de 2 km",IF(J1725&lt;=50,"1. Até 50 m",IF(J1725&lt;=100,"2. De 50 a 100 m",IF(J1725&lt;=200,"3. De 100 a 200 m",IF(J1725&lt;=300,"4. De 200 a 300 m",IF(J1725&lt;=500,"5. De 300 a 500 m","6. De 500 m a 2 km"))))))</f>
        <v>6. De 500 m a 2 km</v>
      </c>
      <c r="L1725" s="26" t="n">
        <v>0</v>
      </c>
      <c r="M1725" s="26" t="n">
        <v>0</v>
      </c>
      <c r="N1725" s="26" t="n">
        <v>0</v>
      </c>
      <c r="O1725" s="26" t="n">
        <v>0</v>
      </c>
      <c r="P1725" s="30" t="n">
        <v>-9.4085433</v>
      </c>
      <c r="Q1725" s="30" t="n">
        <v>-38.2204</v>
      </c>
      <c r="R1725" s="14" t="inlineStr">
        <is>
          <t>RUA MARECHAL FLORIANO PEIXOTO, Nº 656, CENTRO, PAULO AFONSO/BA</t>
        </is>
      </c>
      <c r="S1725" s="26">
        <f>IF(A1725=A1724,0,1)</f>
        <v>0</v>
      </c>
      <c r="T1725" s="26">
        <f>IF(COUNTIF($B$4:B1725,B1725)=1,1,0)</f>
        <v>0</v>
      </c>
    </row>
    <row r="1726">
      <c r="A1726" s="14" t="inlineStr">
        <is>
          <t>PAULO AFONSO</t>
        </is>
      </c>
      <c r="B1726" s="26" t="n">
        <v>181</v>
      </c>
      <c r="C1726" s="26" t="n">
        <v>1112</v>
      </c>
      <c r="D1726" s="14" t="inlineStr">
        <is>
          <t>UNEB - UNIVERSIDADE DO ESTADO DA BAHIA</t>
        </is>
      </c>
      <c r="E1726" s="14" t="inlineStr">
        <is>
          <t>ALVES DE SOUZA</t>
        </is>
      </c>
      <c r="F1726" s="14" t="inlineStr">
        <is>
          <t>RUA DA GANGORRA, N 503 - ZONA URBANA</t>
        </is>
      </c>
      <c r="G1726" s="27" t="inlineStr">
        <is>
          <t>48608-240</t>
        </is>
      </c>
      <c r="H1726" s="15" t="n">
        <v>6</v>
      </c>
      <c r="I1726" s="28" t="inlineStr">
        <is>
          <t>NÃO</t>
        </is>
      </c>
      <c r="J1726" s="29" t="n">
        <v>406.3</v>
      </c>
      <c r="K1726" s="14" t="str">
        <f>IF(J1726="","7. Acima de 2 km",IF(J1726&lt;=50,"1. Até 50 m",IF(J1726&lt;=100,"2. De 50 a 100 m",IF(J1726&lt;=200,"3. De 100 a 200 m",IF(J1726&lt;=300,"4. De 200 a 300 m",IF(J1726&lt;=500,"5. De 300 a 500 m","6. De 500 m a 2 km"))))))</f>
        <v>5. De 300 a 500 m</v>
      </c>
      <c r="L1726" s="26" t="n">
        <v>0</v>
      </c>
      <c r="M1726" s="26" t="n">
        <v>0</v>
      </c>
      <c r="N1726" s="26" t="n">
        <v>0</v>
      </c>
      <c r="O1726" s="26" t="n">
        <v>0</v>
      </c>
      <c r="P1726" s="30" t="n">
        <v>-9.4007086</v>
      </c>
      <c r="Q1726" s="30" t="n">
        <v>-38.2129991</v>
      </c>
      <c r="R1726" s="14" t="inlineStr">
        <is>
          <t>RUA MARECHAL FLORIANO PEIXOTO, Nº 656, CENTRO, PAULO AFONSO/BA</t>
        </is>
      </c>
      <c r="S1726" s="26">
        <f>IF(A1726=A1725,0,1)</f>
        <v>0</v>
      </c>
      <c r="T1726" s="26">
        <f>IF(COUNTIF($B$4:B1726,B1726)=1,1,0)</f>
        <v>0</v>
      </c>
    </row>
    <row r="1727">
      <c r="A1727" s="14" t="inlineStr">
        <is>
          <t>PAULO AFONSO</t>
        </is>
      </c>
      <c r="B1727" s="26" t="n">
        <v>181</v>
      </c>
      <c r="C1727" s="26" t="n">
        <v>1120</v>
      </c>
      <c r="D1727" s="14" t="inlineStr">
        <is>
          <t>ESCOLA MUNICIPAL ALVES DE SOUZA</t>
        </is>
      </c>
      <c r="E1727" s="14" t="inlineStr">
        <is>
          <t>POVOADO XINGOZINHO</t>
        </is>
      </c>
      <c r="F1727" s="14" t="inlineStr">
        <is>
          <t>POVOADO XINGOZINHO - ZONA RURAL</t>
        </is>
      </c>
      <c r="G1727" s="27" t="inlineStr">
        <is>
          <t>48600-970</t>
        </is>
      </c>
      <c r="H1727" s="15" t="n">
        <v>2</v>
      </c>
      <c r="I1727" s="28" t="inlineStr">
        <is>
          <t>NÃO</t>
        </is>
      </c>
      <c r="J1727" s="29" t="n"/>
      <c r="K1727" s="14" t="str">
        <f>IF(J1727="","7. Acima de 2 km",IF(J1727&lt;=50,"1. Até 50 m",IF(J1727&lt;=100,"2. De 50 a 100 m",IF(J1727&lt;=200,"3. De 100 a 200 m",IF(J1727&lt;=300,"4. De 200 a 300 m",IF(J1727&lt;=500,"5. De 300 a 500 m","6. De 500 m a 2 km"))))))</f>
        <v>7. Acima de 2 km</v>
      </c>
      <c r="L1727" s="26" t="n">
        <v>0</v>
      </c>
      <c r="M1727" s="26" t="n">
        <v>0</v>
      </c>
      <c r="N1727" s="26" t="n">
        <v>0</v>
      </c>
      <c r="O1727" s="26" t="n">
        <v>0</v>
      </c>
      <c r="P1727" s="30" t="n">
        <v>-9.53884</v>
      </c>
      <c r="Q1727" s="30" t="n">
        <v>-38.03267</v>
      </c>
      <c r="R1727" s="14" t="inlineStr">
        <is>
          <t>RUA MARECHAL FLORIANO PEIXOTO, Nº 656, CENTRO, PAULO AFONSO/BA</t>
        </is>
      </c>
      <c r="S1727" s="26">
        <f>IF(A1727=A1726,0,1)</f>
        <v>0</v>
      </c>
      <c r="T1727" s="26">
        <f>IF(COUNTIF($B$4:B1727,B1727)=1,1,0)</f>
        <v>0</v>
      </c>
    </row>
    <row r="1728">
      <c r="A1728" s="14" t="inlineStr">
        <is>
          <t>PAULO AFONSO</t>
        </is>
      </c>
      <c r="B1728" s="26" t="n">
        <v>181</v>
      </c>
      <c r="C1728" s="26" t="n">
        <v>1139</v>
      </c>
      <c r="D1728" s="14" t="inlineStr">
        <is>
          <t>ESCOLA MUNICIPAL DO RIACHO GRANDE</t>
        </is>
      </c>
      <c r="E1728" s="14" t="inlineStr">
        <is>
          <t>POVOADO RIACHO GRANDE</t>
        </is>
      </c>
      <c r="F1728" s="14" t="inlineStr">
        <is>
          <t>POVOADO RIACHO GRANDE - ZONA RURAL</t>
        </is>
      </c>
      <c r="G1728" s="27" t="inlineStr">
        <is>
          <t>48600-970</t>
        </is>
      </c>
      <c r="H1728" s="15" t="n">
        <v>1</v>
      </c>
      <c r="I1728" s="28" t="inlineStr">
        <is>
          <t>NÃO</t>
        </is>
      </c>
      <c r="J1728" s="29" t="n"/>
      <c r="K1728" s="14" t="str">
        <f>IF(J1728="","7. Acima de 2 km",IF(J1728&lt;=50,"1. Até 50 m",IF(J1728&lt;=100,"2. De 50 a 100 m",IF(J1728&lt;=200,"3. De 100 a 200 m",IF(J1728&lt;=300,"4. De 200 a 300 m",IF(J1728&lt;=500,"5. De 300 a 500 m","6. De 500 m a 2 km"))))))</f>
        <v>7. Acima de 2 km</v>
      </c>
      <c r="L1728" s="26" t="n">
        <v>0</v>
      </c>
      <c r="M1728" s="26" t="n">
        <v>0</v>
      </c>
      <c r="N1728" s="26" t="n">
        <v>0</v>
      </c>
      <c r="O1728" s="26" t="n">
        <v>0</v>
      </c>
      <c r="P1728" s="30" t="n">
        <v>-9.521743300000001</v>
      </c>
      <c r="Q1728" s="30" t="n">
        <v>-38.1908317</v>
      </c>
      <c r="R1728" s="14" t="inlineStr">
        <is>
          <t>RUA MARECHAL FLORIANO PEIXOTO, Nº 656, CENTRO, PAULO AFONSO/BA</t>
        </is>
      </c>
      <c r="S1728" s="26">
        <f>IF(A1728=A1727,0,1)</f>
        <v>0</v>
      </c>
      <c r="T1728" s="26">
        <f>IF(COUNTIF($B$4:B1728,B1728)=1,1,0)</f>
        <v>0</v>
      </c>
    </row>
    <row r="1729">
      <c r="A1729" s="14" t="inlineStr">
        <is>
          <t>PAULO AFONSO</t>
        </is>
      </c>
      <c r="B1729" s="26" t="n">
        <v>181</v>
      </c>
      <c r="C1729" s="26" t="n">
        <v>1147</v>
      </c>
      <c r="D1729" s="14" t="inlineStr">
        <is>
          <t>ESCOLA MUNICIPAL JOÃO PEREIRA DE OLIVEIRA</t>
        </is>
      </c>
      <c r="E1729" s="14" t="inlineStr">
        <is>
          <t>POVOADO MALHADA DA CAIÇARA</t>
        </is>
      </c>
      <c r="F1729" s="14" t="inlineStr">
        <is>
          <t>POVOADO MALHADA DA CAIÇARA - ZONA RURAL</t>
        </is>
      </c>
      <c r="G1729" s="27" t="inlineStr">
        <is>
          <t>48600-970</t>
        </is>
      </c>
      <c r="H1729" s="15" t="n">
        <v>1</v>
      </c>
      <c r="I1729" s="28" t="inlineStr">
        <is>
          <t>NÃO</t>
        </is>
      </c>
      <c r="J1729" s="29" t="n"/>
      <c r="K1729" s="14" t="str">
        <f>IF(J1729="","7. Acima de 2 km",IF(J1729&lt;=50,"1. Até 50 m",IF(J1729&lt;=100,"2. De 50 a 100 m",IF(J1729&lt;=200,"3. De 100 a 200 m",IF(J1729&lt;=300,"4. De 200 a 300 m",IF(J1729&lt;=500,"5. De 300 a 500 m","6. De 500 m a 2 km"))))))</f>
        <v>7. Acima de 2 km</v>
      </c>
      <c r="L1729" s="26" t="n">
        <v>0</v>
      </c>
      <c r="M1729" s="26" t="n">
        <v>0</v>
      </c>
      <c r="N1729" s="26" t="n">
        <v>0</v>
      </c>
      <c r="O1729" s="26" t="n">
        <v>0</v>
      </c>
      <c r="P1729" s="30" t="n">
        <v>-9.6105117</v>
      </c>
      <c r="Q1729" s="30" t="n">
        <v>-38.12262</v>
      </c>
      <c r="R1729" s="14" t="inlineStr">
        <is>
          <t>RUA MARECHAL FLORIANO PEIXOTO, Nº 656, CENTRO, PAULO AFONSO/BA</t>
        </is>
      </c>
      <c r="S1729" s="26">
        <f>IF(A1729=A1728,0,1)</f>
        <v>0</v>
      </c>
      <c r="T1729" s="26">
        <f>IF(COUNTIF($B$4:B1729,B1729)=1,1,0)</f>
        <v>0</v>
      </c>
    </row>
    <row r="1730">
      <c r="A1730" s="14" t="inlineStr">
        <is>
          <t>PAULO AFONSO</t>
        </is>
      </c>
      <c r="B1730" s="26" t="n">
        <v>181</v>
      </c>
      <c r="C1730" s="26" t="n">
        <v>1155</v>
      </c>
      <c r="D1730" s="14" t="inlineStr">
        <is>
          <t>ESCOLA MUNICIPAL MANOEL GOMES DE SÁ</t>
        </is>
      </c>
      <c r="E1730" s="14" t="inlineStr">
        <is>
          <t>POVOADO TABULEIRINHO</t>
        </is>
      </c>
      <c r="F1730" s="14" t="inlineStr">
        <is>
          <t>POVOADO TABULEIRINHO - ZONA RURAL</t>
        </is>
      </c>
      <c r="G1730" s="27" t="inlineStr">
        <is>
          <t>48600-970</t>
        </is>
      </c>
      <c r="H1730" s="15" t="n">
        <v>1</v>
      </c>
      <c r="I1730" s="28" t="inlineStr">
        <is>
          <t>NÃO</t>
        </is>
      </c>
      <c r="J1730" s="29" t="n"/>
      <c r="K1730" s="14" t="str">
        <f>IF(J1730="","7. Acima de 2 km",IF(J1730&lt;=50,"1. Até 50 m",IF(J1730&lt;=100,"2. De 50 a 100 m",IF(J1730&lt;=200,"3. De 100 a 200 m",IF(J1730&lt;=300,"4. De 200 a 300 m",IF(J1730&lt;=500,"5. De 300 a 500 m","6. De 500 m a 2 km"))))))</f>
        <v>7. Acima de 2 km</v>
      </c>
      <c r="L1730" s="26" t="n">
        <v>0</v>
      </c>
      <c r="M1730" s="26" t="n">
        <v>0</v>
      </c>
      <c r="N1730" s="26" t="n">
        <v>0</v>
      </c>
      <c r="O1730" s="26" t="n">
        <v>0</v>
      </c>
      <c r="P1730" s="30" t="n">
        <v>-9.589976699999999</v>
      </c>
      <c r="Q1730" s="30" t="n">
        <v>-38.0746467</v>
      </c>
      <c r="R1730" s="14" t="inlineStr">
        <is>
          <t>RUA MARECHAL FLORIANO PEIXOTO, Nº 656, CENTRO, PAULO AFONSO/BA</t>
        </is>
      </c>
      <c r="S1730" s="26">
        <f>IF(A1730=A1729,0,1)</f>
        <v>0</v>
      </c>
      <c r="T1730" s="26">
        <f>IF(COUNTIF($B$4:B1730,B1730)=1,1,0)</f>
        <v>0</v>
      </c>
    </row>
    <row r="1731">
      <c r="A1731" s="14" t="inlineStr">
        <is>
          <t>PAULO AFONSO</t>
        </is>
      </c>
      <c r="B1731" s="26" t="n">
        <v>181</v>
      </c>
      <c r="C1731" s="26" t="n">
        <v>1163</v>
      </c>
      <c r="D1731" s="14" t="inlineStr">
        <is>
          <t>ESCOLA MUNICIPAL JOÃO FRANCISCO FILHO</t>
        </is>
      </c>
      <c r="E1731" s="14" t="inlineStr">
        <is>
          <t>POVOADO SÃO FRANCISCO</t>
        </is>
      </c>
      <c r="F1731" s="14" t="inlineStr">
        <is>
          <t>POVOADO SÃO FRANCISCO - ZONA RURAL</t>
        </is>
      </c>
      <c r="G1731" s="27" t="inlineStr">
        <is>
          <t>48600-970</t>
        </is>
      </c>
      <c r="H1731" s="15" t="n">
        <v>1</v>
      </c>
      <c r="I1731" s="28" t="inlineStr">
        <is>
          <t>NÃO</t>
        </is>
      </c>
      <c r="J1731" s="29" t="n"/>
      <c r="K1731" s="14" t="str">
        <f>IF(J1731="","7. Acima de 2 km",IF(J1731&lt;=50,"1. Até 50 m",IF(J1731&lt;=100,"2. De 50 a 100 m",IF(J1731&lt;=200,"3. De 100 a 200 m",IF(J1731&lt;=300,"4. De 200 a 300 m",IF(J1731&lt;=500,"5. De 300 a 500 m","6. De 500 m a 2 km"))))))</f>
        <v>7. Acima de 2 km</v>
      </c>
      <c r="L1731" s="26" t="n">
        <v>0</v>
      </c>
      <c r="M1731" s="26" t="n">
        <v>0</v>
      </c>
      <c r="N1731" s="26" t="n">
        <v>0</v>
      </c>
      <c r="O1731" s="26" t="n">
        <v>0</v>
      </c>
      <c r="P1731" s="30" t="n">
        <v>-9.670434999999999</v>
      </c>
      <c r="Q1731" s="30" t="n">
        <v>-38.2264217</v>
      </c>
      <c r="R1731" s="14" t="inlineStr">
        <is>
          <t>RUA MARECHAL FLORIANO PEIXOTO, Nº 656, CENTRO, PAULO AFONSO/BA</t>
        </is>
      </c>
      <c r="S1731" s="26">
        <f>IF(A1731=A1730,0,1)</f>
        <v>0</v>
      </c>
      <c r="T1731" s="26">
        <f>IF(COUNTIF($B$4:B1731,B1731)=1,1,0)</f>
        <v>0</v>
      </c>
    </row>
    <row r="1732">
      <c r="A1732" s="14" t="inlineStr">
        <is>
          <t>PAULO AFONSO</t>
        </is>
      </c>
      <c r="B1732" s="26" t="n">
        <v>181</v>
      </c>
      <c r="C1732" s="26" t="n">
        <v>1171</v>
      </c>
      <c r="D1732" s="14" t="inlineStr">
        <is>
          <t>ESCOLA MUNICIPAL ROGÉRIO TAVARES DA SILVA</t>
        </is>
      </c>
      <c r="E1732" s="14" t="inlineStr">
        <is>
          <t>POVOADO BAIXA FUNDA</t>
        </is>
      </c>
      <c r="F1732" s="14" t="inlineStr">
        <is>
          <t>POVOADO BAIXA FUNDA - ZONA RURAL</t>
        </is>
      </c>
      <c r="G1732" s="27" t="inlineStr">
        <is>
          <t>48600-970</t>
        </is>
      </c>
      <c r="H1732" s="15" t="n">
        <v>1</v>
      </c>
      <c r="I1732" s="28" t="inlineStr">
        <is>
          <t>NÃO</t>
        </is>
      </c>
      <c r="J1732" s="29" t="n"/>
      <c r="K1732" s="14" t="str">
        <f>IF(J1732="","7. Acima de 2 km",IF(J1732&lt;=50,"1. Até 50 m",IF(J1732&lt;=100,"2. De 50 a 100 m",IF(J1732&lt;=200,"3. De 100 a 200 m",IF(J1732&lt;=300,"4. De 200 a 300 m",IF(J1732&lt;=500,"5. De 300 a 500 m","6. De 500 m a 2 km"))))))</f>
        <v>7. Acima de 2 km</v>
      </c>
      <c r="L1732" s="26" t="n">
        <v>0</v>
      </c>
      <c r="M1732" s="26" t="n">
        <v>0</v>
      </c>
      <c r="N1732" s="26" t="n">
        <v>0</v>
      </c>
      <c r="O1732" s="26" t="n">
        <v>0</v>
      </c>
      <c r="P1732" s="30" t="n">
        <v>-9.683771699999999</v>
      </c>
      <c r="Q1732" s="30" t="n">
        <v>-38.36663</v>
      </c>
      <c r="R1732" s="14" t="inlineStr">
        <is>
          <t>RUA MARECHAL FLORIANO PEIXOTO, Nº 656, CENTRO, PAULO AFONSO/BA</t>
        </is>
      </c>
      <c r="S1732" s="26">
        <f>IF(A1732=A1731,0,1)</f>
        <v>0</v>
      </c>
      <c r="T1732" s="26">
        <f>IF(COUNTIF($B$4:B1732,B1732)=1,1,0)</f>
        <v>0</v>
      </c>
    </row>
    <row r="1733">
      <c r="A1733" s="14" t="inlineStr">
        <is>
          <t>PAULO AFONSO</t>
        </is>
      </c>
      <c r="B1733" s="26" t="n">
        <v>181</v>
      </c>
      <c r="C1733" s="26" t="n">
        <v>1180</v>
      </c>
      <c r="D1733" s="14" t="inlineStr">
        <is>
          <t>ESCOLA MUNICIPAL ALTO DA ESPORA</t>
        </is>
      </c>
      <c r="E1733" s="14" t="inlineStr">
        <is>
          <t>POVOADO ALTO DA ESPORA</t>
        </is>
      </c>
      <c r="F1733" s="14" t="inlineStr">
        <is>
          <t>POVOADO ALTO DA ESPORA - ZONA RURAL</t>
        </is>
      </c>
      <c r="G1733" s="27" t="inlineStr">
        <is>
          <t>48600-970</t>
        </is>
      </c>
      <c r="H1733" s="15" t="n">
        <v>1</v>
      </c>
      <c r="I1733" s="28" t="inlineStr">
        <is>
          <t>NÃO</t>
        </is>
      </c>
      <c r="J1733" s="29" t="n"/>
      <c r="K1733" s="14" t="str">
        <f>IF(J1733="","7. Acima de 2 km",IF(J1733&lt;=50,"1. Até 50 m",IF(J1733&lt;=100,"2. De 50 a 100 m",IF(J1733&lt;=200,"3. De 100 a 200 m",IF(J1733&lt;=300,"4. De 200 a 300 m",IF(J1733&lt;=500,"5. De 300 a 500 m","6. De 500 m a 2 km"))))))</f>
        <v>7. Acima de 2 km</v>
      </c>
      <c r="L1733" s="26" t="n">
        <v>0</v>
      </c>
      <c r="M1733" s="26" t="n">
        <v>0</v>
      </c>
      <c r="N1733" s="26" t="n">
        <v>0</v>
      </c>
      <c r="O1733" s="26" t="n">
        <v>0</v>
      </c>
      <c r="P1733" s="30" t="n">
        <v>-9.5564117</v>
      </c>
      <c r="Q1733" s="30" t="n">
        <v>-38.242375</v>
      </c>
      <c r="R1733" s="14" t="inlineStr">
        <is>
          <t>RUA MARECHAL FLORIANO PEIXOTO, Nº 656, CENTRO, PAULO AFONSO/BA</t>
        </is>
      </c>
      <c r="S1733" s="26">
        <f>IF(A1733=A1732,0,1)</f>
        <v>0</v>
      </c>
      <c r="T1733" s="26">
        <f>IF(COUNTIF($B$4:B1733,B1733)=1,1,0)</f>
        <v>0</v>
      </c>
    </row>
    <row r="1734">
      <c r="A1734" s="14" t="inlineStr">
        <is>
          <t>PAULO AFONSO</t>
        </is>
      </c>
      <c r="B1734" s="26" t="n">
        <v>181</v>
      </c>
      <c r="C1734" s="26" t="n">
        <v>1198</v>
      </c>
      <c r="D1734" s="14" t="inlineStr">
        <is>
          <t>ESCOLA MUNICIPAL JOVINO DE CARVALHO</t>
        </is>
      </c>
      <c r="E1734" s="14" t="inlineStr">
        <is>
          <t>RIACHO</t>
        </is>
      </c>
      <c r="F1734" s="14" t="inlineStr">
        <is>
          <t>PRAÇA ARTUR PEREIRA DE AZEVEDO - ZONA URBANA</t>
        </is>
      </c>
      <c r="G1734" s="27" t="inlineStr">
        <is>
          <t>48603-970</t>
        </is>
      </c>
      <c r="H1734" s="15" t="n">
        <v>6</v>
      </c>
      <c r="I1734" s="28" t="inlineStr">
        <is>
          <t>NÃO</t>
        </is>
      </c>
      <c r="J1734" s="29" t="n"/>
      <c r="K1734" s="14" t="str">
        <f>IF(J1734="","7. Acima de 2 km",IF(J1734&lt;=50,"1. Até 50 m",IF(J1734&lt;=100,"2. De 50 a 100 m",IF(J1734&lt;=200,"3. De 100 a 200 m",IF(J1734&lt;=300,"4. De 200 a 300 m",IF(J1734&lt;=500,"5. De 300 a 500 m","6. De 500 m a 2 km"))))))</f>
        <v>7. Acima de 2 km</v>
      </c>
      <c r="L1734" s="26" t="n">
        <v>0</v>
      </c>
      <c r="M1734" s="26" t="n">
        <v>0</v>
      </c>
      <c r="N1734" s="26" t="n">
        <v>0</v>
      </c>
      <c r="O1734" s="26" t="n">
        <v>0</v>
      </c>
      <c r="P1734" s="30" t="n">
        <v>-9.5731567</v>
      </c>
      <c r="Q1734" s="30" t="n">
        <v>-38.2231417</v>
      </c>
      <c r="R1734" s="14" t="inlineStr">
        <is>
          <t>RUA MARECHAL FLORIANO PEIXOTO, Nº 656, CENTRO, PAULO AFONSO/BA</t>
        </is>
      </c>
      <c r="S1734" s="26">
        <f>IF(A1734=A1733,0,1)</f>
        <v>0</v>
      </c>
      <c r="T1734" s="26">
        <f>IF(COUNTIF($B$4:B1734,B1734)=1,1,0)</f>
        <v>0</v>
      </c>
    </row>
    <row r="1735">
      <c r="A1735" s="14" t="inlineStr">
        <is>
          <t>PAULO AFONSO</t>
        </is>
      </c>
      <c r="B1735" s="26" t="n">
        <v>181</v>
      </c>
      <c r="C1735" s="26" t="n">
        <v>1201</v>
      </c>
      <c r="D1735" s="14" t="inlineStr">
        <is>
          <t>CASA DA CRIANÇA - 1</t>
        </is>
      </c>
      <c r="E1735" s="14" t="inlineStr">
        <is>
          <t>CENTRO</t>
        </is>
      </c>
      <c r="F1735" s="14" t="inlineStr">
        <is>
          <t>AV GETÚLIO VARGAS, S/N - ZONA URBANA</t>
        </is>
      </c>
      <c r="G1735" s="27" t="inlineStr">
        <is>
          <t>48601-001</t>
        </is>
      </c>
      <c r="H1735" s="15" t="n">
        <v>10</v>
      </c>
      <c r="I1735" s="28" t="inlineStr">
        <is>
          <t>NÃO</t>
        </is>
      </c>
      <c r="J1735" s="29" t="n">
        <v>632.2</v>
      </c>
      <c r="K1735" s="14" t="str">
        <f>IF(J1735="","7. Acima de 2 km",IF(J1735&lt;=50,"1. Até 50 m",IF(J1735&lt;=100,"2. De 50 a 100 m",IF(J1735&lt;=200,"3. De 100 a 200 m",IF(J1735&lt;=300,"4. De 200 a 300 m",IF(J1735&lt;=500,"5. De 300 a 500 m","6. De 500 m a 2 km"))))))</f>
        <v>6. De 500 m a 2 km</v>
      </c>
      <c r="L1735" s="26" t="n">
        <v>0</v>
      </c>
      <c r="M1735" s="26" t="n">
        <v>0</v>
      </c>
      <c r="N1735" s="26" t="n">
        <v>0</v>
      </c>
      <c r="O1735" s="26" t="n">
        <v>0</v>
      </c>
      <c r="P1735" s="30" t="n">
        <v>-9.407473299999999</v>
      </c>
      <c r="Q1735" s="30" t="n">
        <v>-38.2147383</v>
      </c>
      <c r="R1735" s="14" t="inlineStr">
        <is>
          <t>RUA MARECHAL FLORIANO PEIXOTO, Nº 656, CENTRO, PAULO AFONSO/BA</t>
        </is>
      </c>
      <c r="S1735" s="26">
        <f>IF(A1735=A1734,0,1)</f>
        <v>0</v>
      </c>
      <c r="T1735" s="26">
        <f>IF(COUNTIF($B$4:B1735,B1735)=1,1,0)</f>
        <v>0</v>
      </c>
    </row>
    <row r="1736">
      <c r="A1736" s="14" t="inlineStr">
        <is>
          <t>PAULO AFONSO</t>
        </is>
      </c>
      <c r="B1736" s="26" t="n">
        <v>181</v>
      </c>
      <c r="C1736" s="26" t="n">
        <v>1210</v>
      </c>
      <c r="D1736" s="14" t="inlineStr">
        <is>
          <t>ESCOLA ESTADUAL CARLINA BARBOSA DE DEUS</t>
        </is>
      </c>
      <c r="E1736" s="14" t="inlineStr">
        <is>
          <t>CHESF</t>
        </is>
      </c>
      <c r="F1736" s="14" t="inlineStr">
        <is>
          <t>RUA DA HARMONIA, N 700 - ZONA URBANA</t>
        </is>
      </c>
      <c r="G1736" s="27" t="inlineStr">
        <is>
          <t>48608-490</t>
        </is>
      </c>
      <c r="H1736" s="15" t="n">
        <v>19</v>
      </c>
      <c r="I1736" s="28" t="inlineStr">
        <is>
          <t>NÃO</t>
        </is>
      </c>
      <c r="J1736" s="29" t="n">
        <v>416.5</v>
      </c>
      <c r="K1736" s="14" t="str">
        <f>IF(J1736="","7. Acima de 2 km",IF(J1736&lt;=50,"1. Até 50 m",IF(J1736&lt;=100,"2. De 50 a 100 m",IF(J1736&lt;=200,"3. De 100 a 200 m",IF(J1736&lt;=300,"4. De 200 a 300 m",IF(J1736&lt;=500,"5. De 300 a 500 m","6. De 500 m a 2 km"))))))</f>
        <v>5. De 300 a 500 m</v>
      </c>
      <c r="L1736" s="26" t="n">
        <v>0</v>
      </c>
      <c r="M1736" s="26" t="n">
        <v>0</v>
      </c>
      <c r="N1736" s="26" t="n">
        <v>0</v>
      </c>
      <c r="O1736" s="26" t="n">
        <v>0</v>
      </c>
      <c r="P1736" s="30" t="n">
        <v>-9.405401700000001</v>
      </c>
      <c r="Q1736" s="30" t="n">
        <v>-38.21494</v>
      </c>
      <c r="R1736" s="14" t="inlineStr">
        <is>
          <t>RUA MARECHAL FLORIANO PEIXOTO, Nº 656, CENTRO, PAULO AFONSO/BA</t>
        </is>
      </c>
      <c r="S1736" s="26">
        <f>IF(A1736=A1735,0,1)</f>
        <v>0</v>
      </c>
      <c r="T1736" s="26">
        <f>IF(COUNTIF($B$4:B1736,B1736)=1,1,0)</f>
        <v>0</v>
      </c>
    </row>
    <row r="1737">
      <c r="A1737" s="14" t="inlineStr">
        <is>
          <t>PAULO AFONSO</t>
        </is>
      </c>
      <c r="B1737" s="26" t="n">
        <v>181</v>
      </c>
      <c r="C1737" s="26" t="n">
        <v>1228</v>
      </c>
      <c r="D1737" s="14" t="inlineStr">
        <is>
          <t>CASA DA CRIANÇA - 2</t>
        </is>
      </c>
      <c r="E1737" s="14" t="inlineStr">
        <is>
          <t>PERPÉTUO SOCORRO</t>
        </is>
      </c>
      <c r="F1737" s="14" t="inlineStr">
        <is>
          <t>AV CONTORNO, S/N - ZONA URBANA</t>
        </is>
      </c>
      <c r="G1737" s="27" t="inlineStr">
        <is>
          <t>48602-050</t>
        </is>
      </c>
      <c r="H1737" s="15" t="n">
        <v>5</v>
      </c>
      <c r="I1737" s="28" t="inlineStr">
        <is>
          <t>NÃO</t>
        </is>
      </c>
      <c r="J1737" s="29" t="n">
        <v>284.8</v>
      </c>
      <c r="K1737" s="14" t="str">
        <f>IF(J1737="","7. Acima de 2 km",IF(J1737&lt;=50,"1. Até 50 m",IF(J1737&lt;=100,"2. De 50 a 100 m",IF(J1737&lt;=200,"3. De 100 a 200 m",IF(J1737&lt;=300,"4. De 200 a 300 m",IF(J1737&lt;=500,"5. De 300 a 500 m","6. De 500 m a 2 km"))))))</f>
        <v>4. De 200 a 300 m</v>
      </c>
      <c r="L1737" s="26" t="n">
        <v>0</v>
      </c>
      <c r="M1737" s="26" t="n">
        <v>0</v>
      </c>
      <c r="N1737" s="26" t="n">
        <v>0</v>
      </c>
      <c r="O1737" s="26" t="n">
        <v>1</v>
      </c>
      <c r="P1737" s="30" t="n">
        <v>-9.4055388</v>
      </c>
      <c r="Q1737" s="30" t="n">
        <v>-38.226086</v>
      </c>
      <c r="R1737" s="14" t="inlineStr">
        <is>
          <t>RUA MARECHAL FLORIANO PEIXOTO, Nº 656, CENTRO, PAULO AFONSO/BA</t>
        </is>
      </c>
      <c r="S1737" s="26">
        <f>IF(A1737=A1736,0,1)</f>
        <v>0</v>
      </c>
      <c r="T1737" s="26">
        <f>IF(COUNTIF($B$4:B1737,B1737)=1,1,0)</f>
        <v>0</v>
      </c>
    </row>
    <row r="1738">
      <c r="A1738" s="14" t="inlineStr">
        <is>
          <t>PAULO AFONSO</t>
        </is>
      </c>
      <c r="B1738" s="26" t="n">
        <v>181</v>
      </c>
      <c r="C1738" s="26" t="n">
        <v>1236</v>
      </c>
      <c r="D1738" s="14" t="inlineStr">
        <is>
          <t>COLÉGIO SETE DE SETEMBRO</t>
        </is>
      </c>
      <c r="E1738" s="14" t="inlineStr">
        <is>
          <t>PERPÉTUO SOCORRO</t>
        </is>
      </c>
      <c r="F1738" s="14" t="inlineStr">
        <is>
          <t>RUA VEREADOR JOSÉ MOREIRA, 850 - ZONA URBANA</t>
        </is>
      </c>
      <c r="G1738" s="27" t="inlineStr">
        <is>
          <t>48603-004</t>
        </is>
      </c>
      <c r="H1738" s="15" t="n">
        <v>12</v>
      </c>
      <c r="I1738" s="28" t="inlineStr">
        <is>
          <t>NÃO</t>
        </is>
      </c>
      <c r="J1738" s="29" t="n">
        <v>722</v>
      </c>
      <c r="K1738" s="14" t="str">
        <f>IF(J1738="","7. Acima de 2 km",IF(J1738&lt;=50,"1. Até 50 m",IF(J1738&lt;=100,"2. De 50 a 100 m",IF(J1738&lt;=200,"3. De 100 a 200 m",IF(J1738&lt;=300,"4. De 200 a 300 m",IF(J1738&lt;=500,"5. De 300 a 500 m","6. De 500 m a 2 km"))))))</f>
        <v>6. De 500 m a 2 km</v>
      </c>
      <c r="L1738" s="26" t="n">
        <v>0</v>
      </c>
      <c r="M1738" s="26" t="n">
        <v>0</v>
      </c>
      <c r="N1738" s="26" t="n">
        <v>0</v>
      </c>
      <c r="O1738" s="26" t="n">
        <v>0</v>
      </c>
      <c r="P1738" s="30" t="n">
        <v>-9.408547499999999</v>
      </c>
      <c r="Q1738" s="30" t="n">
        <v>-38.2228538</v>
      </c>
      <c r="R1738" s="14" t="inlineStr">
        <is>
          <t>RUA MARECHAL FLORIANO PEIXOTO, Nº 656, CENTRO, PAULO AFONSO/BA</t>
        </is>
      </c>
      <c r="S1738" s="26">
        <f>IF(A1738=A1737,0,1)</f>
        <v>0</v>
      </c>
      <c r="T1738" s="26">
        <f>IF(COUNTIF($B$4:B1738,B1738)=1,1,0)</f>
        <v>0</v>
      </c>
    </row>
    <row r="1739">
      <c r="A1739" s="14" t="inlineStr">
        <is>
          <t>PAULO AFONSO</t>
        </is>
      </c>
      <c r="B1739" s="26" t="n">
        <v>181</v>
      </c>
      <c r="C1739" s="26" t="n">
        <v>1244</v>
      </c>
      <c r="D1739" s="14" t="inlineStr">
        <is>
          <t>INSTITUTO FEDERAL DE EDUCAÇÃO, CIÊNCIA E TECNOLOGIA - IFBA</t>
        </is>
      </c>
      <c r="E1739" s="14" t="inlineStr">
        <is>
          <t>GENERAL DUTRA</t>
        </is>
      </c>
      <c r="F1739" s="14" t="inlineStr">
        <is>
          <t>AV. MARCONDES FERRAZ,  200 - ZONA URBANA</t>
        </is>
      </c>
      <c r="G1739" s="27" t="inlineStr">
        <is>
          <t>48607-000</t>
        </is>
      </c>
      <c r="H1739" s="15" t="n">
        <v>2</v>
      </c>
      <c r="I1739" s="28" t="inlineStr">
        <is>
          <t>NÃO</t>
        </is>
      </c>
      <c r="J1739" s="29" t="n">
        <v>902.1</v>
      </c>
      <c r="K1739" s="14" t="str">
        <f>IF(J1739="","7. Acima de 2 km",IF(J1739&lt;=50,"1. Até 50 m",IF(J1739&lt;=100,"2. De 50 a 100 m",IF(J1739&lt;=200,"3. De 100 a 200 m",IF(J1739&lt;=300,"4. De 200 a 300 m",IF(J1739&lt;=500,"5. De 300 a 500 m","6. De 500 m a 2 km"))))))</f>
        <v>6. De 500 m a 2 km</v>
      </c>
      <c r="L1739" s="26" t="n">
        <v>0</v>
      </c>
      <c r="M1739" s="26" t="n">
        <v>0</v>
      </c>
      <c r="N1739" s="26" t="n">
        <v>0</v>
      </c>
      <c r="O1739" s="26" t="n">
        <v>0</v>
      </c>
      <c r="P1739" s="30" t="n">
        <v>-9.389593400000001</v>
      </c>
      <c r="Q1739" s="30" t="n">
        <v>-38.2162209</v>
      </c>
      <c r="R1739" s="14" t="inlineStr">
        <is>
          <t>RUA MARECHAL FLORIANO PEIXOTO, Nº 656, CENTRO, PAULO AFONSO/BA</t>
        </is>
      </c>
      <c r="S1739" s="26">
        <f>IF(A1739=A1738,0,1)</f>
        <v>0</v>
      </c>
      <c r="T1739" s="26">
        <f>IF(COUNTIF($B$4:B1739,B1739)=1,1,0)</f>
        <v>0</v>
      </c>
    </row>
    <row r="1740">
      <c r="A1740" s="14" t="inlineStr">
        <is>
          <t>PAULO AFONSO</t>
        </is>
      </c>
      <c r="B1740" s="26" t="n">
        <v>181</v>
      </c>
      <c r="C1740" s="26" t="n">
        <v>1252</v>
      </c>
      <c r="D1740" s="14" t="inlineStr">
        <is>
          <t>UNEB - UNIVERSIDADE DO ESTADO DA BAHIA - ANEXO</t>
        </is>
      </c>
      <c r="E1740" s="14" t="inlineStr">
        <is>
          <t>ALVES DE SOUZA</t>
        </is>
      </c>
      <c r="F1740" s="14" t="inlineStr">
        <is>
          <t>RUA DO BOM CONSELHO, N 179 - ZONA URBANA</t>
        </is>
      </c>
      <c r="G1740" s="27" t="inlineStr">
        <is>
          <t>48608-230</t>
        </is>
      </c>
      <c r="H1740" s="15" t="n">
        <v>15</v>
      </c>
      <c r="I1740" s="28" t="inlineStr">
        <is>
          <t>NÃO</t>
        </is>
      </c>
      <c r="J1740" s="29" t="n">
        <v>295</v>
      </c>
      <c r="K1740" s="14" t="str">
        <f>IF(J1740="","7. Acima de 2 km",IF(J1740&lt;=50,"1. Até 50 m",IF(J1740&lt;=100,"2. De 50 a 100 m",IF(J1740&lt;=200,"3. De 100 a 200 m",IF(J1740&lt;=300,"4. De 200 a 300 m",IF(J1740&lt;=500,"5. De 300 a 500 m","6. De 500 m a 2 km"))))))</f>
        <v>4. De 200 a 300 m</v>
      </c>
      <c r="L1740" s="26" t="n">
        <v>0</v>
      </c>
      <c r="M1740" s="26" t="n">
        <v>0</v>
      </c>
      <c r="N1740" s="26" t="n">
        <v>0</v>
      </c>
      <c r="O1740" s="26" t="n">
        <v>1</v>
      </c>
      <c r="P1740" s="30" t="n">
        <v>-9.402335000000001</v>
      </c>
      <c r="Q1740" s="30" t="n">
        <v>-38.2142617</v>
      </c>
      <c r="R1740" s="14" t="inlineStr">
        <is>
          <t>RUA MARECHAL FLORIANO PEIXOTO, Nº 656, CENTRO, PAULO AFONSO/BA</t>
        </is>
      </c>
      <c r="S1740" s="26">
        <f>IF(A1740=A1739,0,1)</f>
        <v>0</v>
      </c>
      <c r="T1740" s="26">
        <f>IF(COUNTIF($B$4:B1740,B1740)=1,1,0)</f>
        <v>0</v>
      </c>
    </row>
    <row r="1741">
      <c r="A1741" s="14" t="inlineStr">
        <is>
          <t>PAULO AFONSO</t>
        </is>
      </c>
      <c r="B1741" s="26" t="n">
        <v>181</v>
      </c>
      <c r="C1741" s="26" t="n">
        <v>1260</v>
      </c>
      <c r="D1741" s="14" t="inlineStr">
        <is>
          <t>CASA DA CRIANÇA - 5</t>
        </is>
      </c>
      <c r="E1741" s="14" t="inlineStr">
        <is>
          <t>AMAURY ALVES DE MENEZES</t>
        </is>
      </c>
      <c r="F1741" s="14" t="inlineStr">
        <is>
          <t>QUADRA C - ZONA URBANA</t>
        </is>
      </c>
      <c r="G1741" s="27" t="inlineStr">
        <is>
          <t>48605-180</t>
        </is>
      </c>
      <c r="H1741" s="15" t="n">
        <v>5</v>
      </c>
      <c r="I1741" s="28" t="inlineStr">
        <is>
          <t>NÃO</t>
        </is>
      </c>
      <c r="J1741" s="29" t="n">
        <v>520.4</v>
      </c>
      <c r="K1741" s="14" t="str">
        <f>IF(J1741="","7. Acima de 2 km",IF(J1741&lt;=50,"1. Até 50 m",IF(J1741&lt;=100,"2. De 50 a 100 m",IF(J1741&lt;=200,"3. De 100 a 200 m",IF(J1741&lt;=300,"4. De 200 a 300 m",IF(J1741&lt;=500,"5. De 300 a 500 m","6. De 500 m a 2 km"))))))</f>
        <v>6. De 500 m a 2 km</v>
      </c>
      <c r="L1741" s="26" t="n">
        <v>0</v>
      </c>
      <c r="M1741" s="26" t="n">
        <v>0</v>
      </c>
      <c r="N1741" s="26" t="n">
        <v>0</v>
      </c>
      <c r="O1741" s="26" t="n">
        <v>0</v>
      </c>
      <c r="P1741" s="30" t="n">
        <v>-9.3944417</v>
      </c>
      <c r="Q1741" s="30" t="n">
        <v>-38.23216</v>
      </c>
      <c r="R1741" s="14" t="inlineStr">
        <is>
          <t>RUA MARECHAL FLORIANO PEIXOTO, Nº 656, CENTRO, PAULO AFONSO/BA</t>
        </is>
      </c>
      <c r="S1741" s="26">
        <f>IF(A1741=A1740,0,1)</f>
        <v>0</v>
      </c>
      <c r="T1741" s="26">
        <f>IF(COUNTIF($B$4:B1741,B1741)=1,1,0)</f>
        <v>0</v>
      </c>
    </row>
    <row r="1742">
      <c r="A1742" s="14" t="inlineStr">
        <is>
          <t>PAULO AFONSO</t>
        </is>
      </c>
      <c r="B1742" s="26" t="n">
        <v>181</v>
      </c>
      <c r="C1742" s="26" t="n">
        <v>1279</v>
      </c>
      <c r="D1742" s="14" t="inlineStr">
        <is>
          <t xml:space="preserve">ESCOLA MUNICIPAL HIGINO GOMES DE SÁ </t>
        </is>
      </c>
      <c r="E1742" s="14" t="inlineStr">
        <is>
          <t>CENTENÁRIO</t>
        </is>
      </c>
      <c r="F1742" s="14" t="inlineStr">
        <is>
          <t>RUA SANTO ANTONIO, 373 - ZONA URBANA</t>
        </is>
      </c>
      <c r="G1742" s="27" t="inlineStr">
        <is>
          <t>48605-660</t>
        </is>
      </c>
      <c r="H1742" s="15" t="n">
        <v>11</v>
      </c>
      <c r="I1742" s="28" t="inlineStr">
        <is>
          <t>NÃO</t>
        </is>
      </c>
      <c r="J1742" s="29" t="n"/>
      <c r="K1742" s="14" t="str">
        <f>IF(J1742="","7. Acima de 2 km",IF(J1742&lt;=50,"1. Até 50 m",IF(J1742&lt;=100,"2. De 50 a 100 m",IF(J1742&lt;=200,"3. De 100 a 200 m",IF(J1742&lt;=300,"4. De 200 a 300 m",IF(J1742&lt;=500,"5. De 300 a 500 m","6. De 500 m a 2 km"))))))</f>
        <v>7. Acima de 2 km</v>
      </c>
      <c r="L1742" s="26" t="n">
        <v>0</v>
      </c>
      <c r="M1742" s="26" t="n">
        <v>0</v>
      </c>
      <c r="N1742" s="26" t="n">
        <v>0</v>
      </c>
      <c r="O1742" s="26" t="n">
        <v>0</v>
      </c>
      <c r="P1742" s="30" t="n">
        <v>-9.3803483</v>
      </c>
      <c r="Q1742" s="30" t="n">
        <v>-38.2289683</v>
      </c>
      <c r="R1742" s="14" t="inlineStr">
        <is>
          <t>RUA MARECHAL FLORIANO PEIXOTO, Nº 656, CENTRO, PAULO AFONSO/BA</t>
        </is>
      </c>
      <c r="S1742" s="26">
        <f>IF(A1742=A1741,0,1)</f>
        <v>0</v>
      </c>
      <c r="T1742" s="26">
        <f>IF(COUNTIF($B$4:B1742,B1742)=1,1,0)</f>
        <v>0</v>
      </c>
    </row>
    <row r="1743">
      <c r="A1743" s="14" t="inlineStr">
        <is>
          <t>PAULO AFONSO</t>
        </is>
      </c>
      <c r="B1743" s="26" t="n">
        <v>181</v>
      </c>
      <c r="C1743" s="26" t="n">
        <v>1287</v>
      </c>
      <c r="D1743" s="14" t="inlineStr">
        <is>
          <t>ESCOLA MUNICIPAL RITA GOMES DE SÁ</t>
        </is>
      </c>
      <c r="E1743" s="14" t="inlineStr">
        <is>
          <t>POVOADO MALHADA GRANDE</t>
        </is>
      </c>
      <c r="F1743" s="14" t="inlineStr">
        <is>
          <t>POVOADO MALHADA GRANDE - ZONA RURAL</t>
        </is>
      </c>
      <c r="G1743" s="27" t="inlineStr">
        <is>
          <t>48600-970</t>
        </is>
      </c>
      <c r="H1743" s="15" t="n">
        <v>3</v>
      </c>
      <c r="I1743" s="28" t="inlineStr">
        <is>
          <t>NÃO</t>
        </is>
      </c>
      <c r="J1743" s="29" t="n"/>
      <c r="K1743" s="14" t="str">
        <f>IF(J1743="","7. Acima de 2 km",IF(J1743&lt;=50,"1. Até 50 m",IF(J1743&lt;=100,"2. De 50 a 100 m",IF(J1743&lt;=200,"3. De 100 a 200 m",IF(J1743&lt;=300,"4. De 200 a 300 m",IF(J1743&lt;=500,"5. De 300 a 500 m","6. De 500 m a 2 km"))))))</f>
        <v>7. Acima de 2 km</v>
      </c>
      <c r="L1743" s="26" t="n">
        <v>0</v>
      </c>
      <c r="M1743" s="26" t="n">
        <v>0</v>
      </c>
      <c r="N1743" s="26" t="n">
        <v>0</v>
      </c>
      <c r="O1743" s="26" t="n">
        <v>0</v>
      </c>
      <c r="P1743" s="30" t="n">
        <v>-9.465271700000001</v>
      </c>
      <c r="Q1743" s="30" t="n">
        <v>-38.123635</v>
      </c>
      <c r="R1743" s="14" t="inlineStr">
        <is>
          <t>RUA MARECHAL FLORIANO PEIXOTO, Nº 656, CENTRO, PAULO AFONSO/BA</t>
        </is>
      </c>
      <c r="S1743" s="26">
        <f>IF(A1743=A1742,0,1)</f>
        <v>0</v>
      </c>
      <c r="T1743" s="26">
        <f>IF(COUNTIF($B$4:B1743,B1743)=1,1,0)</f>
        <v>0</v>
      </c>
    </row>
    <row r="1744">
      <c r="A1744" s="14" t="inlineStr">
        <is>
          <t>PAULO AFONSO</t>
        </is>
      </c>
      <c r="B1744" s="26" t="n">
        <v>181</v>
      </c>
      <c r="C1744" s="26" t="n">
        <v>1295</v>
      </c>
      <c r="D1744" s="14" t="inlineStr">
        <is>
          <t>ESCOLA MUNICIPAL TOMÉ DE SOUZA</t>
        </is>
      </c>
      <c r="E1744" s="14" t="inlineStr">
        <is>
          <t>POVOADO RIO DO SAL</t>
        </is>
      </c>
      <c r="F1744" s="14" t="inlineStr">
        <is>
          <t>POVOADO RIO DO SAL - ZONA RURAL</t>
        </is>
      </c>
      <c r="G1744" s="27" t="inlineStr">
        <is>
          <t>48600-970</t>
        </is>
      </c>
      <c r="H1744" s="15" t="n">
        <v>1</v>
      </c>
      <c r="I1744" s="28" t="inlineStr">
        <is>
          <t>NÃO</t>
        </is>
      </c>
      <c r="J1744" s="29" t="n"/>
      <c r="K1744" s="14" t="str">
        <f>IF(J1744="","7. Acima de 2 km",IF(J1744&lt;=50,"1. Até 50 m",IF(J1744&lt;=100,"2. De 50 a 100 m",IF(J1744&lt;=200,"3. De 100 a 200 m",IF(J1744&lt;=300,"4. De 200 a 300 m",IF(J1744&lt;=500,"5. De 300 a 500 m","6. De 500 m a 2 km"))))))</f>
        <v>7. Acima de 2 km</v>
      </c>
      <c r="L1744" s="26" t="n">
        <v>0</v>
      </c>
      <c r="M1744" s="26" t="n">
        <v>0</v>
      </c>
      <c r="N1744" s="26" t="n">
        <v>0</v>
      </c>
      <c r="O1744" s="26" t="n">
        <v>0</v>
      </c>
      <c r="P1744" s="30" t="n">
        <v>-9.458171699999999</v>
      </c>
      <c r="Q1744" s="30" t="n">
        <v>-38.17039</v>
      </c>
      <c r="R1744" s="14" t="inlineStr">
        <is>
          <t>RUA MARECHAL FLORIANO PEIXOTO, Nº 656, CENTRO, PAULO AFONSO/BA</t>
        </is>
      </c>
      <c r="S1744" s="26">
        <f>IF(A1744=A1743,0,1)</f>
        <v>0</v>
      </c>
      <c r="T1744" s="26">
        <f>IF(COUNTIF($B$4:B1744,B1744)=1,1,0)</f>
        <v>0</v>
      </c>
    </row>
    <row r="1745">
      <c r="A1745" s="14" t="inlineStr">
        <is>
          <t>PAULO AFONSO</t>
        </is>
      </c>
      <c r="B1745" s="26" t="n">
        <v>181</v>
      </c>
      <c r="C1745" s="26" t="n">
        <v>1309</v>
      </c>
      <c r="D1745" s="14" t="inlineStr">
        <is>
          <t>ESCOLA MUNICIPAL D. PEDRO I</t>
        </is>
      </c>
      <c r="E1745" s="14" t="inlineStr">
        <is>
          <t>POVOADO BARRO VERMELHO</t>
        </is>
      </c>
      <c r="F1745" s="14" t="inlineStr">
        <is>
          <t>POVOADO BARRO VERMELHO - ZONA RURAL</t>
        </is>
      </c>
      <c r="G1745" s="27" t="inlineStr">
        <is>
          <t>48600-970</t>
        </is>
      </c>
      <c r="H1745" s="15" t="n">
        <v>1</v>
      </c>
      <c r="I1745" s="28" t="inlineStr">
        <is>
          <t>NÃO</t>
        </is>
      </c>
      <c r="J1745" s="29" t="n"/>
      <c r="K1745" s="14" t="str">
        <f>IF(J1745="","7. Acima de 2 km",IF(J1745&lt;=50,"1. Até 50 m",IF(J1745&lt;=100,"2. De 50 a 100 m",IF(J1745&lt;=200,"3. De 100 a 200 m",IF(J1745&lt;=300,"4. De 200 a 300 m",IF(J1745&lt;=500,"5. De 300 a 500 m","6. De 500 m a 2 km"))))))</f>
        <v>7. Acima de 2 km</v>
      </c>
      <c r="L1745" s="26" t="n">
        <v>0</v>
      </c>
      <c r="M1745" s="26" t="n">
        <v>0</v>
      </c>
      <c r="N1745" s="26" t="n">
        <v>0</v>
      </c>
      <c r="O1745" s="26" t="n">
        <v>0</v>
      </c>
      <c r="P1745" s="30" t="n">
        <v>-9.636576700000001</v>
      </c>
      <c r="Q1745" s="30" t="n">
        <v>-38.28245</v>
      </c>
      <c r="R1745" s="14" t="inlineStr">
        <is>
          <t>RUA MARECHAL FLORIANO PEIXOTO, Nº 656, CENTRO, PAULO AFONSO/BA</t>
        </is>
      </c>
      <c r="S1745" s="26">
        <f>IF(A1745=A1744,0,1)</f>
        <v>0</v>
      </c>
      <c r="T1745" s="26">
        <f>IF(COUNTIF($B$4:B1745,B1745)=1,1,0)</f>
        <v>0</v>
      </c>
    </row>
    <row r="1746">
      <c r="A1746" s="14" t="inlineStr">
        <is>
          <t>PAULO AFONSO</t>
        </is>
      </c>
      <c r="B1746" s="26" t="n">
        <v>181</v>
      </c>
      <c r="C1746" s="26" t="n">
        <v>1317</v>
      </c>
      <c r="D1746" s="14" t="inlineStr">
        <is>
          <t>ESCOLA MUNICIPAL IMACULADA CONCEIÇÃO</t>
        </is>
      </c>
      <c r="E1746" s="14" t="inlineStr">
        <is>
          <t>POVOADO LAGOA DA PEDRA</t>
        </is>
      </c>
      <c r="F1746" s="14" t="inlineStr">
        <is>
          <t>POVOADO LAGOA DA PEDRA - ZONA RURAL</t>
        </is>
      </c>
      <c r="G1746" s="27" t="inlineStr">
        <is>
          <t>48600-970</t>
        </is>
      </c>
      <c r="H1746" s="15" t="n">
        <v>1</v>
      </c>
      <c r="I1746" s="28" t="inlineStr">
        <is>
          <t>NÃO</t>
        </is>
      </c>
      <c r="J1746" s="29" t="n"/>
      <c r="K1746" s="14" t="str">
        <f>IF(J1746="","7. Acima de 2 km",IF(J1746&lt;=50,"1. Até 50 m",IF(J1746&lt;=100,"2. De 50 a 100 m",IF(J1746&lt;=200,"3. De 100 a 200 m",IF(J1746&lt;=300,"4. De 200 a 300 m",IF(J1746&lt;=500,"5. De 300 a 500 m","6. De 500 m a 2 km"))))))</f>
        <v>7. Acima de 2 km</v>
      </c>
      <c r="L1746" s="26" t="n">
        <v>0</v>
      </c>
      <c r="M1746" s="26" t="n">
        <v>0</v>
      </c>
      <c r="N1746" s="26" t="n">
        <v>0</v>
      </c>
      <c r="O1746" s="26" t="n">
        <v>0</v>
      </c>
      <c r="P1746" s="30" t="n">
        <v>-9.4621633</v>
      </c>
      <c r="Q1746" s="30" t="n">
        <v>-38.1139467</v>
      </c>
      <c r="R1746" s="14" t="inlineStr">
        <is>
          <t>RUA MARECHAL FLORIANO PEIXOTO, Nº 656, CENTRO, PAULO AFONSO/BA</t>
        </is>
      </c>
      <c r="S1746" s="26">
        <f>IF(A1746=A1745,0,1)</f>
        <v>0</v>
      </c>
      <c r="T1746" s="26">
        <f>IF(COUNTIF($B$4:B1746,B1746)=1,1,0)</f>
        <v>0</v>
      </c>
    </row>
    <row r="1747">
      <c r="A1747" s="14" t="inlineStr">
        <is>
          <t>PAULO AFONSO</t>
        </is>
      </c>
      <c r="B1747" s="26" t="n">
        <v>181</v>
      </c>
      <c r="C1747" s="26" t="n">
        <v>1325</v>
      </c>
      <c r="D1747" s="14" t="inlineStr">
        <is>
          <t>ESCOLA LIONS CLUBE</t>
        </is>
      </c>
      <c r="E1747" s="14" t="inlineStr">
        <is>
          <t>CENTRO</t>
        </is>
      </c>
      <c r="F1747" s="14" t="inlineStr">
        <is>
          <t>AV APOLÔNIO SALES, S/N  - ZONA URBANA</t>
        </is>
      </c>
      <c r="G1747" s="27" t="inlineStr">
        <is>
          <t>48608-100</t>
        </is>
      </c>
      <c r="H1747" s="15" t="n">
        <v>4</v>
      </c>
      <c r="I1747" s="28" t="inlineStr">
        <is>
          <t>NÃO</t>
        </is>
      </c>
      <c r="J1747" s="29" t="n">
        <v>424.1</v>
      </c>
      <c r="K1747" s="14" t="str">
        <f>IF(J1747="","7. Acima de 2 km",IF(J1747&lt;=50,"1. Até 50 m",IF(J1747&lt;=100,"2. De 50 a 100 m",IF(J1747&lt;=200,"3. De 100 a 200 m",IF(J1747&lt;=300,"4. De 200 a 300 m",IF(J1747&lt;=500,"5. De 300 a 500 m","6. De 500 m a 2 km"))))))</f>
        <v>5. De 300 a 500 m</v>
      </c>
      <c r="L1747" s="26" t="n">
        <v>0</v>
      </c>
      <c r="M1747" s="26" t="n">
        <v>0</v>
      </c>
      <c r="N1747" s="26" t="n">
        <v>0</v>
      </c>
      <c r="O1747" s="26" t="n">
        <v>0</v>
      </c>
      <c r="P1747" s="30" t="n">
        <v>-9.39879</v>
      </c>
      <c r="Q1747" s="30" t="n">
        <v>-38.2243522</v>
      </c>
      <c r="R1747" s="14" t="inlineStr">
        <is>
          <t>RUA MARECHAL FLORIANO PEIXOTO, Nº 656, CENTRO, PAULO AFONSO/BA</t>
        </is>
      </c>
      <c r="S1747" s="26">
        <f>IF(A1747=A1746,0,1)</f>
        <v>0</v>
      </c>
      <c r="T1747" s="26">
        <f>IF(COUNTIF($B$4:B1747,B1747)=1,1,0)</f>
        <v>0</v>
      </c>
    </row>
    <row r="1748">
      <c r="A1748" s="14" t="inlineStr">
        <is>
          <t>PINDOBAÇU</t>
        </is>
      </c>
      <c r="B1748" s="26" t="n">
        <v>115</v>
      </c>
      <c r="C1748" s="26" t="n">
        <v>1015</v>
      </c>
      <c r="D1748" s="14" t="inlineStr">
        <is>
          <t>PRÉDIO ESCOLAR DR. ANÍSIO TEIXEIRA</t>
        </is>
      </c>
      <c r="E1748" s="14" t="inlineStr">
        <is>
          <t>CENTRO</t>
        </is>
      </c>
      <c r="F1748" s="14" t="inlineStr">
        <is>
          <t>RUA REGIS PACHECO, S/N - ZONA URBANA</t>
        </is>
      </c>
      <c r="G1748" s="27" t="inlineStr">
        <is>
          <t>44770-000</t>
        </is>
      </c>
      <c r="H1748" s="15" t="n">
        <v>5</v>
      </c>
      <c r="I1748" s="28" t="inlineStr">
        <is>
          <t>SIM</t>
        </is>
      </c>
      <c r="J1748" s="29" t="n">
        <v>49.7</v>
      </c>
      <c r="K1748" s="14" t="str">
        <f>IF(J1748="","7. Acima de 2 km",IF(J1748&lt;=50,"1. Até 50 m",IF(J1748&lt;=100,"2. De 50 a 100 m",IF(J1748&lt;=200,"3. De 100 a 200 m",IF(J1748&lt;=300,"4. De 200 a 300 m",IF(J1748&lt;=500,"5. De 300 a 500 m","6. De 500 m a 2 km"))))))</f>
        <v>1. Até 50 m</v>
      </c>
      <c r="L1748" s="26" t="n">
        <v>2</v>
      </c>
      <c r="M1748" s="26" t="n">
        <v>2</v>
      </c>
      <c r="N1748" s="26" t="n">
        <v>6</v>
      </c>
      <c r="O1748" s="26" t="n">
        <v>7</v>
      </c>
      <c r="P1748" s="30" t="n">
        <v>-10.74449253</v>
      </c>
      <c r="Q1748" s="30" t="n">
        <v>-40.36321475</v>
      </c>
      <c r="R1748" s="14" t="inlineStr">
        <is>
          <t>TRAVESSA DOIS DE JULHO, 93, CENTRO, SAÚDE/BA</t>
        </is>
      </c>
      <c r="S1748" s="26">
        <f>IF(A1748=A1747,0,1)</f>
        <v>1</v>
      </c>
      <c r="T1748" s="26">
        <f>IF(COUNTIF($B$4:B1748,B1748)=1,1,0)</f>
        <v>1</v>
      </c>
    </row>
    <row r="1749">
      <c r="A1749" s="14" t="inlineStr">
        <is>
          <t>PINDOBAÇU</t>
        </is>
      </c>
      <c r="B1749" s="26" t="n">
        <v>115</v>
      </c>
      <c r="C1749" s="26" t="n">
        <v>1023</v>
      </c>
      <c r="D1749" s="14" t="inlineStr">
        <is>
          <t>PRÉDIO ESCOLAR DR. LUIZ NAVARRO DE BRITO</t>
        </is>
      </c>
      <c r="E1749" s="14" t="inlineStr">
        <is>
          <t>CENTRO</t>
        </is>
      </c>
      <c r="F1749" s="14" t="inlineStr">
        <is>
          <t>RUA REGIS PACHECO, S/N - ZONA URBANA</t>
        </is>
      </c>
      <c r="G1749" s="27" t="inlineStr">
        <is>
          <t>44770-000</t>
        </is>
      </c>
      <c r="H1749" s="15" t="n">
        <v>4</v>
      </c>
      <c r="I1749" s="28" t="inlineStr">
        <is>
          <t>SIM</t>
        </is>
      </c>
      <c r="J1749" s="29" t="n">
        <v>48.1</v>
      </c>
      <c r="K1749" s="14" t="str">
        <f>IF(J1749="","7. Acima de 2 km",IF(J1749&lt;=50,"1. Até 50 m",IF(J1749&lt;=100,"2. De 50 a 100 m",IF(J1749&lt;=200,"3. De 100 a 200 m",IF(J1749&lt;=300,"4. De 200 a 300 m",IF(J1749&lt;=500,"5. De 300 a 500 m","6. De 500 m a 2 km"))))))</f>
        <v>1. Até 50 m</v>
      </c>
      <c r="L1749" s="26" t="n">
        <v>2</v>
      </c>
      <c r="M1749" s="26" t="n">
        <v>2</v>
      </c>
      <c r="N1749" s="26" t="n">
        <v>4</v>
      </c>
      <c r="O1749" s="26" t="n">
        <v>6</v>
      </c>
      <c r="P1749" s="30" t="n">
        <v>-10.74515665</v>
      </c>
      <c r="Q1749" s="30" t="n">
        <v>-40.36345879</v>
      </c>
      <c r="R1749" s="14" t="inlineStr">
        <is>
          <t>TRAVESSA DOIS DE JULHO, 93, CENTRO, SAÚDE/BA</t>
        </is>
      </c>
      <c r="S1749" s="26">
        <f>IF(A1749=A1748,0,1)</f>
        <v>0</v>
      </c>
      <c r="T1749" s="26">
        <f>IF(COUNTIF($B$4:B1749,B1749)=1,1,0)</f>
        <v>0</v>
      </c>
    </row>
    <row r="1750">
      <c r="A1750" s="14" t="inlineStr">
        <is>
          <t>PINDOBAÇU</t>
        </is>
      </c>
      <c r="B1750" s="26" t="n">
        <v>115</v>
      </c>
      <c r="C1750" s="26" t="n">
        <v>1031</v>
      </c>
      <c r="D1750" s="14" t="inlineStr">
        <is>
          <t>COLÉGIO ESTADUAL DE CARNAÍBA</t>
        </is>
      </c>
      <c r="E1750" s="14" t="inlineStr">
        <is>
          <t>POVOADO CARNAIBA DE BAIXO</t>
        </is>
      </c>
      <c r="F1750" s="14" t="inlineStr">
        <is>
          <t>POVOADO DE CARNAÍBA DE BAIXO - ZONA RURAL</t>
        </is>
      </c>
      <c r="G1750" s="27" t="inlineStr">
        <is>
          <t>44770-000</t>
        </is>
      </c>
      <c r="H1750" s="15" t="n">
        <v>4</v>
      </c>
      <c r="I1750" s="28" t="inlineStr">
        <is>
          <t>NÃO</t>
        </is>
      </c>
      <c r="J1750" s="29" t="n"/>
      <c r="K1750" s="14" t="str">
        <f>IF(J1750="","7. Acima de 2 km",IF(J1750&lt;=50,"1. Até 50 m",IF(J1750&lt;=100,"2. De 50 a 100 m",IF(J1750&lt;=200,"3. De 100 a 200 m",IF(J1750&lt;=300,"4. De 200 a 300 m",IF(J1750&lt;=500,"5. De 300 a 500 m","6. De 500 m a 2 km"))))))</f>
        <v>7. Acima de 2 km</v>
      </c>
      <c r="L1750" s="26" t="n">
        <v>0</v>
      </c>
      <c r="M1750" s="26" t="n">
        <v>0</v>
      </c>
      <c r="N1750" s="26" t="n">
        <v>0</v>
      </c>
      <c r="O1750" s="26" t="n">
        <v>0</v>
      </c>
      <c r="P1750" s="30" t="n">
        <v>-10.72626183</v>
      </c>
      <c r="Q1750" s="30" t="n">
        <v>-40.45594057</v>
      </c>
      <c r="R1750" s="14" t="inlineStr">
        <is>
          <t>TRAVESSA DOIS DE JULHO, 93, CENTRO, SAÚDE/BA</t>
        </is>
      </c>
      <c r="S1750" s="26">
        <f>IF(A1750=A1749,0,1)</f>
        <v>0</v>
      </c>
      <c r="T1750" s="26">
        <f>IF(COUNTIF($B$4:B1750,B1750)=1,1,0)</f>
        <v>0</v>
      </c>
    </row>
    <row r="1751">
      <c r="A1751" s="14" t="inlineStr">
        <is>
          <t>PINDOBAÇU</t>
        </is>
      </c>
      <c r="B1751" s="26" t="n">
        <v>115</v>
      </c>
      <c r="C1751" s="26" t="n">
        <v>1040</v>
      </c>
      <c r="D1751" s="14" t="inlineStr">
        <is>
          <t>PREDIO ESCOLAR DE BANANEIRAS</t>
        </is>
      </c>
      <c r="E1751" s="14" t="inlineStr">
        <is>
          <t>DISTRITO BANANEIRAS</t>
        </is>
      </c>
      <c r="F1751" s="14" t="inlineStr">
        <is>
          <t>DISTRITO BANANEIRAS - ZONA RURAL</t>
        </is>
      </c>
      <c r="G1751" s="27" t="inlineStr">
        <is>
          <t>44770-000</t>
        </is>
      </c>
      <c r="H1751" s="15" t="n">
        <v>3</v>
      </c>
      <c r="I1751" s="28" t="inlineStr">
        <is>
          <t>NÃO</t>
        </is>
      </c>
      <c r="J1751" s="29" t="n"/>
      <c r="K1751" s="14" t="str">
        <f>IF(J1751="","7. Acima de 2 km",IF(J1751&lt;=50,"1. Até 50 m",IF(J1751&lt;=100,"2. De 50 a 100 m",IF(J1751&lt;=200,"3. De 100 a 200 m",IF(J1751&lt;=300,"4. De 200 a 300 m",IF(J1751&lt;=500,"5. De 300 a 500 m","6. De 500 m a 2 km"))))))</f>
        <v>7. Acima de 2 km</v>
      </c>
      <c r="L1751" s="26" t="n">
        <v>0</v>
      </c>
      <c r="M1751" s="26" t="n">
        <v>0</v>
      </c>
      <c r="N1751" s="26" t="n">
        <v>0</v>
      </c>
      <c r="O1751" s="26" t="n">
        <v>0</v>
      </c>
      <c r="P1751" s="30" t="n">
        <v>-10.60597005</v>
      </c>
      <c r="Q1751" s="30" t="n">
        <v>-40.31323153</v>
      </c>
      <c r="R1751" s="14" t="inlineStr">
        <is>
          <t>TRAVESSA DOIS DE JULHO, 93, CENTRO, SAÚDE/BA</t>
        </is>
      </c>
      <c r="S1751" s="26">
        <f>IF(A1751=A1750,0,1)</f>
        <v>0</v>
      </c>
      <c r="T1751" s="26">
        <f>IF(COUNTIF($B$4:B1751,B1751)=1,1,0)</f>
        <v>0</v>
      </c>
    </row>
    <row r="1752">
      <c r="A1752" s="14" t="inlineStr">
        <is>
          <t>PINDOBAÇU</t>
        </is>
      </c>
      <c r="B1752" s="26" t="n">
        <v>115</v>
      </c>
      <c r="C1752" s="26" t="n">
        <v>1058</v>
      </c>
      <c r="D1752" s="14" t="inlineStr">
        <is>
          <t>PREDIO ESCOLAR MUNICIPAL ANTONIO JOAQUIM DE MIRANDA</t>
        </is>
      </c>
      <c r="E1752" s="14" t="inlineStr">
        <is>
          <t>DISTRITO VARZEA GRANDE</t>
        </is>
      </c>
      <c r="F1752" s="14" t="inlineStr">
        <is>
          <t>DISTRITO VARZEA GRANDE - ZONA RURAL</t>
        </is>
      </c>
      <c r="G1752" s="27" t="inlineStr">
        <is>
          <t>44770-000</t>
        </is>
      </c>
      <c r="H1752" s="15" t="n">
        <v>6</v>
      </c>
      <c r="I1752" s="28" t="inlineStr">
        <is>
          <t>NÃO</t>
        </is>
      </c>
      <c r="J1752" s="29" t="n"/>
      <c r="K1752" s="14" t="str">
        <f>IF(J1752="","7. Acima de 2 km",IF(J1752&lt;=50,"1. Até 50 m",IF(J1752&lt;=100,"2. De 50 a 100 m",IF(J1752&lt;=200,"3. De 100 a 200 m",IF(J1752&lt;=300,"4. De 200 a 300 m",IF(J1752&lt;=500,"5. De 300 a 500 m","6. De 500 m a 2 km"))))))</f>
        <v>7. Acima de 2 km</v>
      </c>
      <c r="L1752" s="26" t="n">
        <v>0</v>
      </c>
      <c r="M1752" s="26" t="n">
        <v>0</v>
      </c>
      <c r="N1752" s="26" t="n">
        <v>0</v>
      </c>
      <c r="O1752" s="26" t="n">
        <v>0</v>
      </c>
      <c r="P1752" s="30" t="n">
        <v>-10.81957802</v>
      </c>
      <c r="Q1752" s="30" t="n">
        <v>-40.22309453</v>
      </c>
      <c r="R1752" s="14" t="inlineStr">
        <is>
          <t>TRAVESSA DOIS DE JULHO, 93, CENTRO, SAÚDE/BA</t>
        </is>
      </c>
      <c r="S1752" s="26">
        <f>IF(A1752=A1751,0,1)</f>
        <v>0</v>
      </c>
      <c r="T1752" s="26">
        <f>IF(COUNTIF($B$4:B1752,B1752)=1,1,0)</f>
        <v>0</v>
      </c>
    </row>
    <row r="1753">
      <c r="A1753" s="14" t="inlineStr">
        <is>
          <t>PINDOBAÇU</t>
        </is>
      </c>
      <c r="B1753" s="26" t="n">
        <v>115</v>
      </c>
      <c r="C1753" s="26" t="n">
        <v>1066</v>
      </c>
      <c r="D1753" s="14" t="inlineStr">
        <is>
          <t>COLÉGIO SERRA DA CARNAÍBA</t>
        </is>
      </c>
      <c r="E1753" s="14" t="inlineStr">
        <is>
          <t>DISTRITO SERRA DA CARNAIBA</t>
        </is>
      </c>
      <c r="F1753" s="14" t="inlineStr">
        <is>
          <t>POVOADO DE SERRA DA CARNAÍBA - ZONA RURAL</t>
        </is>
      </c>
      <c r="G1753" s="27" t="inlineStr">
        <is>
          <t>44770-000</t>
        </is>
      </c>
      <c r="H1753" s="15" t="n">
        <v>8</v>
      </c>
      <c r="I1753" s="28" t="inlineStr">
        <is>
          <t>NÃO</t>
        </is>
      </c>
      <c r="J1753" s="29" t="n"/>
      <c r="K1753" s="14" t="str">
        <f>IF(J1753="","7. Acima de 2 km",IF(J1753&lt;=50,"1. Até 50 m",IF(J1753&lt;=100,"2. De 50 a 100 m",IF(J1753&lt;=200,"3. De 100 a 200 m",IF(J1753&lt;=300,"4. De 200 a 300 m",IF(J1753&lt;=500,"5. De 300 a 500 m","6. De 500 m a 2 km"))))))</f>
        <v>7. Acima de 2 km</v>
      </c>
      <c r="L1753" s="26" t="n">
        <v>0</v>
      </c>
      <c r="M1753" s="26" t="n">
        <v>0</v>
      </c>
      <c r="N1753" s="26" t="n">
        <v>0</v>
      </c>
      <c r="O1753" s="26" t="n">
        <v>0</v>
      </c>
      <c r="P1753" s="30" t="n">
        <v>-10.71078392</v>
      </c>
      <c r="Q1753" s="30" t="n">
        <v>-40.45026816</v>
      </c>
      <c r="R1753" s="14" t="inlineStr">
        <is>
          <t>TRAVESSA DOIS DE JULHO, 93, CENTRO, SAÚDE/BA</t>
        </is>
      </c>
      <c r="S1753" s="26">
        <f>IF(A1753=A1752,0,1)</f>
        <v>0</v>
      </c>
      <c r="T1753" s="26">
        <f>IF(COUNTIF($B$4:B1753,B1753)=1,1,0)</f>
        <v>0</v>
      </c>
    </row>
    <row r="1754">
      <c r="A1754" s="14" t="inlineStr">
        <is>
          <t>PINDOBAÇU</t>
        </is>
      </c>
      <c r="B1754" s="26" t="n">
        <v>115</v>
      </c>
      <c r="C1754" s="26" t="n">
        <v>1074</v>
      </c>
      <c r="D1754" s="14" t="inlineStr">
        <is>
          <t>PREDIO ESCOLAR MUNICIPAL DE LAGINHA</t>
        </is>
      </c>
      <c r="E1754" s="14" t="inlineStr">
        <is>
          <t>POVOADO LAGINHA DE CARNAIBA</t>
        </is>
      </c>
      <c r="F1754" s="14" t="inlineStr">
        <is>
          <t>POVOADO LAGINHA DE CARNAIBA - ZONA RURAL</t>
        </is>
      </c>
      <c r="G1754" s="27" t="inlineStr">
        <is>
          <t>44770-000</t>
        </is>
      </c>
      <c r="H1754" s="15" t="n">
        <v>1</v>
      </c>
      <c r="I1754" s="28" t="inlineStr">
        <is>
          <t>NÃO</t>
        </is>
      </c>
      <c r="J1754" s="29" t="n"/>
      <c r="K1754" s="14" t="str">
        <f>IF(J1754="","7. Acima de 2 km",IF(J1754&lt;=50,"1. Até 50 m",IF(J1754&lt;=100,"2. De 50 a 100 m",IF(J1754&lt;=200,"3. De 100 a 200 m",IF(J1754&lt;=300,"4. De 200 a 300 m",IF(J1754&lt;=500,"5. De 300 a 500 m","6. De 500 m a 2 km"))))))</f>
        <v>7. Acima de 2 km</v>
      </c>
      <c r="L1754" s="26" t="n">
        <v>0</v>
      </c>
      <c r="M1754" s="26" t="n">
        <v>0</v>
      </c>
      <c r="N1754" s="26" t="n">
        <v>0</v>
      </c>
      <c r="O1754" s="26" t="n">
        <v>0</v>
      </c>
      <c r="P1754" s="30" t="n">
        <v>-10.76413022</v>
      </c>
      <c r="Q1754" s="30" t="n">
        <v>-40.47147367</v>
      </c>
      <c r="R1754" s="14" t="inlineStr">
        <is>
          <t>TRAVESSA DOIS DE JULHO, 93, CENTRO, SAÚDE/BA</t>
        </is>
      </c>
      <c r="S1754" s="26">
        <f>IF(A1754=A1753,0,1)</f>
        <v>0</v>
      </c>
      <c r="T1754" s="26">
        <f>IF(COUNTIF($B$4:B1754,B1754)=1,1,0)</f>
        <v>0</v>
      </c>
    </row>
    <row r="1755">
      <c r="A1755" s="14" t="inlineStr">
        <is>
          <t>PINDOBAÇU</t>
        </is>
      </c>
      <c r="B1755" s="26" t="n">
        <v>115</v>
      </c>
      <c r="C1755" s="26" t="n">
        <v>1082</v>
      </c>
      <c r="D1755" s="14" t="inlineStr">
        <is>
          <t>COLEGIO DR. ROMULO GALVAO</t>
        </is>
      </c>
      <c r="E1755" s="14" t="inlineStr">
        <is>
          <t>ANTONIO JOSE DE CARVALHO</t>
        </is>
      </c>
      <c r="F1755" s="14" t="inlineStr">
        <is>
          <t>RUA LEOLINO PALMEIRA SOBRINHO, S/N - ZONA URBANA</t>
        </is>
      </c>
      <c r="G1755" s="27" t="inlineStr">
        <is>
          <t>44770-000</t>
        </is>
      </c>
      <c r="H1755" s="15" t="n">
        <v>8</v>
      </c>
      <c r="I1755" s="28" t="inlineStr">
        <is>
          <t>NÃO</t>
        </is>
      </c>
      <c r="J1755" s="29" t="n">
        <v>160.1</v>
      </c>
      <c r="K1755" s="14" t="str">
        <f>IF(J1755="","7. Acima de 2 km",IF(J1755&lt;=50,"1. Até 50 m",IF(J1755&lt;=100,"2. De 50 a 100 m",IF(J1755&lt;=200,"3. De 100 a 200 m",IF(J1755&lt;=300,"4. De 200 a 300 m",IF(J1755&lt;=500,"5. De 300 a 500 m","6. De 500 m a 2 km"))))))</f>
        <v>3. De 100 a 200 m</v>
      </c>
      <c r="L1755" s="26" t="n">
        <v>0</v>
      </c>
      <c r="M1755" s="26" t="n">
        <v>0</v>
      </c>
      <c r="N1755" s="26" t="n">
        <v>1</v>
      </c>
      <c r="O1755" s="26" t="n">
        <v>2</v>
      </c>
      <c r="P1755" s="30" t="n">
        <v>-10.7458041</v>
      </c>
      <c r="Q1755" s="30" t="n">
        <v>-40.36772315</v>
      </c>
      <c r="R1755" s="14" t="inlineStr">
        <is>
          <t>TRAVESSA DOIS DE JULHO, 93, CENTRO, SAÚDE/BA</t>
        </is>
      </c>
      <c r="S1755" s="26">
        <f>IF(A1755=A1754,0,1)</f>
        <v>0</v>
      </c>
      <c r="T1755" s="26">
        <f>IF(COUNTIF($B$4:B1755,B1755)=1,1,0)</f>
        <v>0</v>
      </c>
    </row>
    <row r="1756">
      <c r="A1756" s="14" t="inlineStr">
        <is>
          <t>PINDOBAÇU</t>
        </is>
      </c>
      <c r="B1756" s="26" t="n">
        <v>115</v>
      </c>
      <c r="C1756" s="26" t="n">
        <v>1104</v>
      </c>
      <c r="D1756" s="14" t="inlineStr">
        <is>
          <t>COLÉGIO MUNICIPAL FAUSTINO DIAS DA SILVA</t>
        </is>
      </c>
      <c r="E1756" s="14" t="inlineStr">
        <is>
          <t>POVOADO CARNAIBA DE BAIXO</t>
        </is>
      </c>
      <c r="F1756" s="14" t="inlineStr">
        <is>
          <t>RUA DO BODE, S/N - ZONA RURAL</t>
        </is>
      </c>
      <c r="G1756" s="27" t="inlineStr">
        <is>
          <t>44770-000</t>
        </is>
      </c>
      <c r="H1756" s="15" t="n">
        <v>3</v>
      </c>
      <c r="I1756" s="28" t="inlineStr">
        <is>
          <t>NÃO</t>
        </is>
      </c>
      <c r="J1756" s="29" t="n"/>
      <c r="K1756" s="14" t="str">
        <f>IF(J1756="","7. Acima de 2 km",IF(J1756&lt;=50,"1. Até 50 m",IF(J1756&lt;=100,"2. De 50 a 100 m",IF(J1756&lt;=200,"3. De 100 a 200 m",IF(J1756&lt;=300,"4. De 200 a 300 m",IF(J1756&lt;=500,"5. De 300 a 500 m","6. De 500 m a 2 km"))))))</f>
        <v>7. Acima de 2 km</v>
      </c>
      <c r="L1756" s="26" t="n">
        <v>0</v>
      </c>
      <c r="M1756" s="26" t="n">
        <v>0</v>
      </c>
      <c r="N1756" s="26" t="n">
        <v>0</v>
      </c>
      <c r="O1756" s="26" t="n">
        <v>0</v>
      </c>
      <c r="P1756" s="30" t="n">
        <v>-10.7314347</v>
      </c>
      <c r="Q1756" s="30" t="n">
        <v>-40.45640582</v>
      </c>
      <c r="R1756" s="14" t="inlineStr">
        <is>
          <t>TRAVESSA DOIS DE JULHO, 93, CENTRO, SAÚDE/BA</t>
        </is>
      </c>
      <c r="S1756" s="26">
        <f>IF(A1756=A1755,0,1)</f>
        <v>0</v>
      </c>
      <c r="T1756" s="26">
        <f>IF(COUNTIF($B$4:B1756,B1756)=1,1,0)</f>
        <v>0</v>
      </c>
    </row>
    <row r="1757">
      <c r="A1757" s="14" t="inlineStr">
        <is>
          <t>PINDOBAÇU</t>
        </is>
      </c>
      <c r="B1757" s="26" t="n">
        <v>115</v>
      </c>
      <c r="C1757" s="26" t="n">
        <v>1155</v>
      </c>
      <c r="D1757" s="14" t="inlineStr">
        <is>
          <t>PRÉDIO ESCOLAR MUNICIPAL CASTRO ALVES</t>
        </is>
      </c>
      <c r="E1757" s="14" t="inlineStr">
        <is>
          <t>POVOADO JATOBA</t>
        </is>
      </c>
      <c r="F1757" s="14" t="inlineStr">
        <is>
          <t>POVOADO JATOBÁ - ZONA RURAL</t>
        </is>
      </c>
      <c r="G1757" s="27" t="inlineStr">
        <is>
          <t>44770-000</t>
        </is>
      </c>
      <c r="H1757" s="15" t="n">
        <v>1</v>
      </c>
      <c r="I1757" s="28" t="inlineStr">
        <is>
          <t>NÃO</t>
        </is>
      </c>
      <c r="J1757" s="29" t="n"/>
      <c r="K1757" s="14" t="str">
        <f>IF(J1757="","7. Acima de 2 km",IF(J1757&lt;=50,"1. Até 50 m",IF(J1757&lt;=100,"2. De 50 a 100 m",IF(J1757&lt;=200,"3. De 100 a 200 m",IF(J1757&lt;=300,"4. De 200 a 300 m",IF(J1757&lt;=500,"5. De 300 a 500 m","6. De 500 m a 2 km"))))))</f>
        <v>7. Acima de 2 km</v>
      </c>
      <c r="L1757" s="26" t="n">
        <v>0</v>
      </c>
      <c r="M1757" s="26" t="n">
        <v>0</v>
      </c>
      <c r="N1757" s="26" t="n">
        <v>0</v>
      </c>
      <c r="O1757" s="26" t="n">
        <v>0</v>
      </c>
      <c r="P1757" s="30" t="n">
        <v>-10.74624283</v>
      </c>
      <c r="Q1757" s="30" t="n">
        <v>-40.48413148</v>
      </c>
      <c r="R1757" s="14" t="inlineStr">
        <is>
          <t>TRAVESSA DOIS DE JULHO, 93, CENTRO, SAÚDE/BA</t>
        </is>
      </c>
      <c r="S1757" s="26">
        <f>IF(A1757=A1756,0,1)</f>
        <v>0</v>
      </c>
      <c r="T1757" s="26">
        <f>IF(COUNTIF($B$4:B1757,B1757)=1,1,0)</f>
        <v>0</v>
      </c>
    </row>
    <row r="1758">
      <c r="A1758" s="14" t="inlineStr">
        <is>
          <t>PINDOBAÇU</t>
        </is>
      </c>
      <c r="B1758" s="26" t="n">
        <v>115</v>
      </c>
      <c r="C1758" s="26" t="n">
        <v>1171</v>
      </c>
      <c r="D1758" s="14" t="inlineStr">
        <is>
          <t>ESCOLA MUNICIPAL DE LAGINHA DE BANANEIRAS</t>
        </is>
      </c>
      <c r="E1758" s="14" t="inlineStr">
        <is>
          <t>POVOADO LAGINHA DE BANANEIRAS</t>
        </is>
      </c>
      <c r="F1758" s="14" t="inlineStr">
        <is>
          <t>POVOADO LAGINHA DE BANANEIRAS - ZONA RURAL</t>
        </is>
      </c>
      <c r="G1758" s="27" t="inlineStr">
        <is>
          <t>44770-000</t>
        </is>
      </c>
      <c r="H1758" s="15" t="n">
        <v>2</v>
      </c>
      <c r="I1758" s="28" t="inlineStr">
        <is>
          <t>NÃO</t>
        </is>
      </c>
      <c r="J1758" s="29" t="n"/>
      <c r="K1758" s="14" t="str">
        <f>IF(J1758="","7. Acima de 2 km",IF(J1758&lt;=50,"1. Até 50 m",IF(J1758&lt;=100,"2. De 50 a 100 m",IF(J1758&lt;=200,"3. De 100 a 200 m",IF(J1758&lt;=300,"4. De 200 a 300 m",IF(J1758&lt;=500,"5. De 300 a 500 m","6. De 500 m a 2 km"))))))</f>
        <v>7. Acima de 2 km</v>
      </c>
      <c r="L1758" s="26" t="n">
        <v>0</v>
      </c>
      <c r="M1758" s="26" t="n">
        <v>0</v>
      </c>
      <c r="N1758" s="26" t="n">
        <v>0</v>
      </c>
      <c r="O1758" s="26" t="n">
        <v>0</v>
      </c>
      <c r="P1758" s="30" t="n">
        <v>-10.61792988</v>
      </c>
      <c r="Q1758" s="30" t="n">
        <v>-40.28785685</v>
      </c>
      <c r="R1758" s="14" t="inlineStr">
        <is>
          <t>TRAVESSA DOIS DE JULHO, 93, CENTRO, SAÚDE/BA</t>
        </is>
      </c>
      <c r="S1758" s="26">
        <f>IF(A1758=A1757,0,1)</f>
        <v>0</v>
      </c>
      <c r="T1758" s="26">
        <f>IF(COUNTIF($B$4:B1758,B1758)=1,1,0)</f>
        <v>0</v>
      </c>
    </row>
    <row r="1759">
      <c r="A1759" s="14" t="inlineStr">
        <is>
          <t>PINDOBAÇU</t>
        </is>
      </c>
      <c r="B1759" s="26" t="n">
        <v>115</v>
      </c>
      <c r="C1759" s="26" t="n">
        <v>1180</v>
      </c>
      <c r="D1759" s="14" t="inlineStr">
        <is>
          <t>PREDIO ESCOLAR MUNICIPAL JOSE GOMES DE SOUZA</t>
        </is>
      </c>
      <c r="E1759" s="14" t="inlineStr">
        <is>
          <t>POVOADO LUTANDA</t>
        </is>
      </c>
      <c r="F1759" s="14" t="inlineStr">
        <is>
          <t>POVOADO LUTANDA - ZONA RURAL</t>
        </is>
      </c>
      <c r="G1759" s="27" t="inlineStr">
        <is>
          <t>44770-000</t>
        </is>
      </c>
      <c r="H1759" s="15" t="n">
        <v>1</v>
      </c>
      <c r="I1759" s="28" t="inlineStr">
        <is>
          <t>NÃO</t>
        </is>
      </c>
      <c r="J1759" s="29" t="n"/>
      <c r="K1759" s="14" t="str">
        <f>IF(J1759="","7. Acima de 2 km",IF(J1759&lt;=50,"1. Até 50 m",IF(J1759&lt;=100,"2. De 50 a 100 m",IF(J1759&lt;=200,"3. De 100 a 200 m",IF(J1759&lt;=300,"4. De 200 a 300 m",IF(J1759&lt;=500,"5. De 300 a 500 m","6. De 500 m a 2 km"))))))</f>
        <v>7. Acima de 2 km</v>
      </c>
      <c r="L1759" s="26" t="n">
        <v>0</v>
      </c>
      <c r="M1759" s="26" t="n">
        <v>0</v>
      </c>
      <c r="N1759" s="26" t="n">
        <v>0</v>
      </c>
      <c r="O1759" s="26" t="n">
        <v>0</v>
      </c>
      <c r="P1759" s="30" t="n">
        <v>-10.66229195</v>
      </c>
      <c r="Q1759" s="30" t="n">
        <v>-40.33721877</v>
      </c>
      <c r="R1759" s="14" t="inlineStr">
        <is>
          <t>TRAVESSA DOIS DE JULHO, 93, CENTRO, SAÚDE/BA</t>
        </is>
      </c>
      <c r="S1759" s="26">
        <f>IF(A1759=A1758,0,1)</f>
        <v>0</v>
      </c>
      <c r="T1759" s="26">
        <f>IF(COUNTIF($B$4:B1759,B1759)=1,1,0)</f>
        <v>0</v>
      </c>
    </row>
    <row r="1760">
      <c r="A1760" s="14" t="inlineStr">
        <is>
          <t>PINDOBAÇU</t>
        </is>
      </c>
      <c r="B1760" s="26" t="n">
        <v>115</v>
      </c>
      <c r="C1760" s="26" t="n">
        <v>1198</v>
      </c>
      <c r="D1760" s="14" t="inlineStr">
        <is>
          <t>PREDIO ESCOLAR MUNICIPAL DE OURICURI</t>
        </is>
      </c>
      <c r="E1760" s="14" t="inlineStr">
        <is>
          <t>POVOADO OURICURI</t>
        </is>
      </c>
      <c r="F1760" s="14" t="inlineStr">
        <is>
          <t>POVOADO OURICURI - ZONA RURAL</t>
        </is>
      </c>
      <c r="G1760" s="27" t="inlineStr">
        <is>
          <t>44770-000</t>
        </is>
      </c>
      <c r="H1760" s="15" t="n">
        <v>2</v>
      </c>
      <c r="I1760" s="28" t="inlineStr">
        <is>
          <t>NÃO</t>
        </is>
      </c>
      <c r="J1760" s="29" t="n"/>
      <c r="K1760" s="14" t="str">
        <f>IF(J1760="","7. Acima de 2 km",IF(J1760&lt;=50,"1. Até 50 m",IF(J1760&lt;=100,"2. De 50 a 100 m",IF(J1760&lt;=200,"3. De 100 a 200 m",IF(J1760&lt;=300,"4. De 200 a 300 m",IF(J1760&lt;=500,"5. De 300 a 500 m","6. De 500 m a 2 km"))))))</f>
        <v>7. Acima de 2 km</v>
      </c>
      <c r="L1760" s="26" t="n">
        <v>0</v>
      </c>
      <c r="M1760" s="26" t="n">
        <v>0</v>
      </c>
      <c r="N1760" s="26" t="n">
        <v>0</v>
      </c>
      <c r="O1760" s="26" t="n">
        <v>0</v>
      </c>
      <c r="P1760" s="30" t="n">
        <v>-10.69859679</v>
      </c>
      <c r="Q1760" s="30" t="n">
        <v>-40.30209726</v>
      </c>
      <c r="R1760" s="14" t="inlineStr">
        <is>
          <t>TRAVESSA DOIS DE JULHO, 93, CENTRO, SAÚDE/BA</t>
        </is>
      </c>
      <c r="S1760" s="26">
        <f>IF(A1760=A1759,0,1)</f>
        <v>0</v>
      </c>
      <c r="T1760" s="26">
        <f>IF(COUNTIF($B$4:B1760,B1760)=1,1,0)</f>
        <v>0</v>
      </c>
    </row>
    <row r="1761">
      <c r="A1761" s="14" t="inlineStr">
        <is>
          <t>PINDOBAÇU</t>
        </is>
      </c>
      <c r="B1761" s="26" t="n">
        <v>115</v>
      </c>
      <c r="C1761" s="26" t="n">
        <v>1201</v>
      </c>
      <c r="D1761" s="14" t="inlineStr">
        <is>
          <t>ESCOLA MUNICIPAL JOÃO VIEIRA</t>
        </is>
      </c>
      <c r="E1761" s="14" t="inlineStr">
        <is>
          <t>POVOADO FUMACA</t>
        </is>
      </c>
      <c r="F1761" s="14" t="inlineStr">
        <is>
          <t>POVOADO DE FUMAÇA - ZONA RURAL</t>
        </is>
      </c>
      <c r="G1761" s="27" t="inlineStr">
        <is>
          <t>44770-000</t>
        </is>
      </c>
      <c r="H1761" s="15" t="n">
        <v>1</v>
      </c>
      <c r="I1761" s="28" t="inlineStr">
        <is>
          <t>NÃO</t>
        </is>
      </c>
      <c r="J1761" s="29" t="n"/>
      <c r="K1761" s="14" t="str">
        <f>IF(J1761="","7. Acima de 2 km",IF(J1761&lt;=50,"1. Até 50 m",IF(J1761&lt;=100,"2. De 50 a 100 m",IF(J1761&lt;=200,"3. De 100 a 200 m",IF(J1761&lt;=300,"4. De 200 a 300 m",IF(J1761&lt;=500,"5. De 300 a 500 m","6. De 500 m a 2 km"))))))</f>
        <v>7. Acima de 2 km</v>
      </c>
      <c r="L1761" s="26" t="n">
        <v>0</v>
      </c>
      <c r="M1761" s="26" t="n">
        <v>0</v>
      </c>
      <c r="N1761" s="26" t="n">
        <v>0</v>
      </c>
      <c r="O1761" s="26" t="n">
        <v>0</v>
      </c>
      <c r="P1761" s="30" t="n">
        <v>-10.66932895</v>
      </c>
      <c r="Q1761" s="30" t="n">
        <v>-40.32451525</v>
      </c>
      <c r="R1761" s="14" t="inlineStr">
        <is>
          <t>TRAVESSA DOIS DE JULHO, 93, CENTRO, SAÚDE/BA</t>
        </is>
      </c>
      <c r="S1761" s="26">
        <f>IF(A1761=A1760,0,1)</f>
        <v>0</v>
      </c>
      <c r="T1761" s="26">
        <f>IF(COUNTIF($B$4:B1761,B1761)=1,1,0)</f>
        <v>0</v>
      </c>
    </row>
    <row r="1762">
      <c r="A1762" s="14" t="inlineStr">
        <is>
          <t>PINDOBAÇU</t>
        </is>
      </c>
      <c r="B1762" s="26" t="n">
        <v>115</v>
      </c>
      <c r="C1762" s="26" t="n">
        <v>1210</v>
      </c>
      <c r="D1762" s="14" t="inlineStr">
        <is>
          <t>ESCOLA MUNICIPAL GUILHERMINO JOSE DOS SANTOS</t>
        </is>
      </c>
      <c r="E1762" s="14" t="inlineStr">
        <is>
          <t>POVOADO MAROTA</t>
        </is>
      </c>
      <c r="F1762" s="14" t="inlineStr">
        <is>
          <t>POVOADO MAROTA - ZONA RURAL</t>
        </is>
      </c>
      <c r="G1762" s="27" t="inlineStr">
        <is>
          <t>44770-000</t>
        </is>
      </c>
      <c r="H1762" s="15" t="n">
        <v>1</v>
      </c>
      <c r="I1762" s="28" t="inlineStr">
        <is>
          <t>NÃO</t>
        </is>
      </c>
      <c r="J1762" s="29" t="n"/>
      <c r="K1762" s="14" t="str">
        <f>IF(J1762="","7. Acima de 2 km",IF(J1762&lt;=50,"1. Até 50 m",IF(J1762&lt;=100,"2. De 50 a 100 m",IF(J1762&lt;=200,"3. De 100 a 200 m",IF(J1762&lt;=300,"4. De 200 a 300 m",IF(J1762&lt;=500,"5. De 300 a 500 m","6. De 500 m a 2 km"))))))</f>
        <v>7. Acima de 2 km</v>
      </c>
      <c r="L1762" s="26" t="n">
        <v>0</v>
      </c>
      <c r="M1762" s="26" t="n">
        <v>0</v>
      </c>
      <c r="N1762" s="26" t="n">
        <v>0</v>
      </c>
      <c r="O1762" s="26" t="n">
        <v>0</v>
      </c>
      <c r="P1762" s="30" t="n">
        <v>-10.74500178</v>
      </c>
      <c r="Q1762" s="30" t="n">
        <v>-40.44734643</v>
      </c>
      <c r="R1762" s="14" t="inlineStr">
        <is>
          <t>TRAVESSA DOIS DE JULHO, 93, CENTRO, SAÚDE/BA</t>
        </is>
      </c>
      <c r="S1762" s="26">
        <f>IF(A1762=A1761,0,1)</f>
        <v>0</v>
      </c>
      <c r="T1762" s="26">
        <f>IF(COUNTIF($B$4:B1762,B1762)=1,1,0)</f>
        <v>0</v>
      </c>
    </row>
    <row r="1763">
      <c r="A1763" s="14" t="inlineStr">
        <is>
          <t>PINDOBAÇU</t>
        </is>
      </c>
      <c r="B1763" s="26" t="n">
        <v>115</v>
      </c>
      <c r="C1763" s="26" t="n">
        <v>1228</v>
      </c>
      <c r="D1763" s="14" t="inlineStr">
        <is>
          <t>ESCOLA ESTADUAL DE ITAPICURU</t>
        </is>
      </c>
      <c r="E1763" s="14" t="inlineStr">
        <is>
          <t>POVOADO ITAPICURU</t>
        </is>
      </c>
      <c r="F1763" s="14" t="inlineStr">
        <is>
          <t>POVOADO ITAPICURU - ZONA RURAL</t>
        </is>
      </c>
      <c r="G1763" s="27" t="inlineStr">
        <is>
          <t>44770-000</t>
        </is>
      </c>
      <c r="H1763" s="15" t="n">
        <v>1</v>
      </c>
      <c r="I1763" s="28" t="inlineStr">
        <is>
          <t>NÃO</t>
        </is>
      </c>
      <c r="J1763" s="29" t="n"/>
      <c r="K1763" s="14" t="str">
        <f>IF(J1763="","7. Acima de 2 km",IF(J1763&lt;=50,"1. Até 50 m",IF(J1763&lt;=100,"2. De 50 a 100 m",IF(J1763&lt;=200,"3. De 100 a 200 m",IF(J1763&lt;=300,"4. De 200 a 300 m",IF(J1763&lt;=500,"5. De 300 a 500 m","6. De 500 m a 2 km"))))))</f>
        <v>7. Acima de 2 km</v>
      </c>
      <c r="L1763" s="26" t="n">
        <v>0</v>
      </c>
      <c r="M1763" s="26" t="n">
        <v>0</v>
      </c>
      <c r="N1763" s="26" t="n">
        <v>0</v>
      </c>
      <c r="O1763" s="26" t="n">
        <v>0</v>
      </c>
      <c r="P1763" s="30" t="n">
        <v>-10.80109124</v>
      </c>
      <c r="Q1763" s="30" t="n">
        <v>-40.37934942</v>
      </c>
      <c r="R1763" s="14" t="inlineStr">
        <is>
          <t>TRAVESSA DOIS DE JULHO, 93, CENTRO, SAÚDE/BA</t>
        </is>
      </c>
      <c r="S1763" s="26">
        <f>IF(A1763=A1762,0,1)</f>
        <v>0</v>
      </c>
      <c r="T1763" s="26">
        <f>IF(COUNTIF($B$4:B1763,B1763)=1,1,0)</f>
        <v>0</v>
      </c>
    </row>
    <row r="1764">
      <c r="A1764" s="14" t="inlineStr">
        <is>
          <t>PINDOBAÇU</t>
        </is>
      </c>
      <c r="B1764" s="26" t="n">
        <v>115</v>
      </c>
      <c r="C1764" s="26" t="n">
        <v>1244</v>
      </c>
      <c r="D1764" s="14" t="inlineStr">
        <is>
          <t>ESCOLA MUNICIPAL RUY BARBOSA</t>
        </is>
      </c>
      <c r="E1764" s="14" t="inlineStr">
        <is>
          <t>POVOADO CAGADOS</t>
        </is>
      </c>
      <c r="F1764" s="14" t="inlineStr">
        <is>
          <t>POVOADO CAGADOS - ZONA RURAL</t>
        </is>
      </c>
      <c r="G1764" s="27" t="inlineStr">
        <is>
          <t>44770-000</t>
        </is>
      </c>
      <c r="H1764" s="15" t="n">
        <v>1</v>
      </c>
      <c r="I1764" s="28" t="inlineStr">
        <is>
          <t>NÃO</t>
        </is>
      </c>
      <c r="J1764" s="29" t="n"/>
      <c r="K1764" s="14" t="str">
        <f>IF(J1764="","7. Acima de 2 km",IF(J1764&lt;=50,"1. Até 50 m",IF(J1764&lt;=100,"2. De 50 a 100 m",IF(J1764&lt;=200,"3. De 100 a 200 m",IF(J1764&lt;=300,"4. De 200 a 300 m",IF(J1764&lt;=500,"5. De 300 a 500 m","6. De 500 m a 2 km"))))))</f>
        <v>7. Acima de 2 km</v>
      </c>
      <c r="L1764" s="26" t="n">
        <v>0</v>
      </c>
      <c r="M1764" s="26" t="n">
        <v>0</v>
      </c>
      <c r="N1764" s="26" t="n">
        <v>0</v>
      </c>
      <c r="O1764" s="26" t="n">
        <v>0</v>
      </c>
      <c r="P1764" s="30" t="n">
        <v>-10.63900189</v>
      </c>
      <c r="Q1764" s="30" t="n">
        <v>-40.28104181</v>
      </c>
      <c r="R1764" s="14" t="inlineStr">
        <is>
          <t>TRAVESSA DOIS DE JULHO, 93, CENTRO, SAÚDE/BA</t>
        </is>
      </c>
      <c r="S1764" s="26">
        <f>IF(A1764=A1763,0,1)</f>
        <v>0</v>
      </c>
      <c r="T1764" s="26">
        <f>IF(COUNTIF($B$4:B1764,B1764)=1,1,0)</f>
        <v>0</v>
      </c>
    </row>
    <row r="1765">
      <c r="A1765" s="14" t="inlineStr">
        <is>
          <t>PINDOBAÇU</t>
        </is>
      </c>
      <c r="B1765" s="26" t="n">
        <v>115</v>
      </c>
      <c r="C1765" s="26" t="n">
        <v>1252</v>
      </c>
      <c r="D1765" s="14" t="inlineStr">
        <is>
          <t>ESCOLA MUNICIPAL AURELIO BRAZ</t>
        </is>
      </c>
      <c r="E1765" s="14" t="inlineStr">
        <is>
          <t>POVOADO OLHOS D'AGUA</t>
        </is>
      </c>
      <c r="F1765" s="14" t="inlineStr">
        <is>
          <t>POVOADO OLHOS D AGUA - ZONA RURAL</t>
        </is>
      </c>
      <c r="G1765" s="27" t="inlineStr">
        <is>
          <t>44770-000</t>
        </is>
      </c>
      <c r="H1765" s="15" t="n">
        <v>1</v>
      </c>
      <c r="I1765" s="28" t="inlineStr">
        <is>
          <t>NÃO</t>
        </is>
      </c>
      <c r="J1765" s="29" t="n"/>
      <c r="K1765" s="14" t="str">
        <f>IF(J1765="","7. Acima de 2 km",IF(J1765&lt;=50,"1. Até 50 m",IF(J1765&lt;=100,"2. De 50 a 100 m",IF(J1765&lt;=200,"3. De 100 a 200 m",IF(J1765&lt;=300,"4. De 200 a 300 m",IF(J1765&lt;=500,"5. De 300 a 500 m","6. De 500 m a 2 km"))))))</f>
        <v>7. Acima de 2 km</v>
      </c>
      <c r="L1765" s="26" t="n">
        <v>0</v>
      </c>
      <c r="M1765" s="26" t="n">
        <v>0</v>
      </c>
      <c r="N1765" s="26" t="n">
        <v>0</v>
      </c>
      <c r="O1765" s="26" t="n">
        <v>0</v>
      </c>
      <c r="P1765" s="30" t="n">
        <v>-10.66786016</v>
      </c>
      <c r="Q1765" s="30" t="n">
        <v>-40.28361744</v>
      </c>
      <c r="R1765" s="14" t="inlineStr">
        <is>
          <t>TRAVESSA DOIS DE JULHO, 93, CENTRO, SAÚDE/BA</t>
        </is>
      </c>
      <c r="S1765" s="26">
        <f>IF(A1765=A1764,0,1)</f>
        <v>0</v>
      </c>
      <c r="T1765" s="26">
        <f>IF(COUNTIF($B$4:B1765,B1765)=1,1,0)</f>
        <v>0</v>
      </c>
    </row>
    <row r="1766">
      <c r="A1766" s="14" t="inlineStr">
        <is>
          <t>PINDOBAÇU</t>
        </is>
      </c>
      <c r="B1766" s="26" t="n">
        <v>115</v>
      </c>
      <c r="C1766" s="26" t="n">
        <v>1279</v>
      </c>
      <c r="D1766" s="14" t="inlineStr">
        <is>
          <t>PREDIO ESCOLAR ALVARO CARVALHO PALMEIRA</t>
        </is>
      </c>
      <c r="E1766" s="14" t="inlineStr">
        <is>
          <t>LAGE</t>
        </is>
      </c>
      <c r="F1766" s="14" t="inlineStr">
        <is>
          <t>RUA FRANCISCO ROCHA, S/N  - ZONA URBANA</t>
        </is>
      </c>
      <c r="G1766" s="27" t="inlineStr">
        <is>
          <t>44770-000</t>
        </is>
      </c>
      <c r="H1766" s="15" t="n">
        <v>3</v>
      </c>
      <c r="I1766" s="28" t="inlineStr">
        <is>
          <t>NÃO</t>
        </is>
      </c>
      <c r="J1766" s="29" t="n">
        <v>541.7</v>
      </c>
      <c r="K1766" s="14" t="str">
        <f>IF(J1766="","7. Acima de 2 km",IF(J1766&lt;=50,"1. Até 50 m",IF(J1766&lt;=100,"2. De 50 a 100 m",IF(J1766&lt;=200,"3. De 100 a 200 m",IF(J1766&lt;=300,"4. De 200 a 300 m",IF(J1766&lt;=500,"5. De 300 a 500 m","6. De 500 m a 2 km"))))))</f>
        <v>6. De 500 m a 2 km</v>
      </c>
      <c r="L1766" s="26" t="n">
        <v>0</v>
      </c>
      <c r="M1766" s="26" t="n">
        <v>0</v>
      </c>
      <c r="N1766" s="26" t="n">
        <v>0</v>
      </c>
      <c r="O1766" s="26" t="n">
        <v>0</v>
      </c>
      <c r="P1766" s="30" t="n">
        <v>-10.73354842</v>
      </c>
      <c r="Q1766" s="30" t="n">
        <v>-40.35816144</v>
      </c>
      <c r="R1766" s="14" t="inlineStr">
        <is>
          <t>TRAVESSA DOIS DE JULHO, 93, CENTRO, SAÚDE/BA</t>
        </is>
      </c>
      <c r="S1766" s="26">
        <f>IF(A1766=A1765,0,1)</f>
        <v>0</v>
      </c>
      <c r="T1766" s="26">
        <f>IF(COUNTIF($B$4:B1766,B1766)=1,1,0)</f>
        <v>0</v>
      </c>
    </row>
    <row r="1767">
      <c r="A1767" s="14" t="inlineStr">
        <is>
          <t>PINDOBAÇU</t>
        </is>
      </c>
      <c r="B1767" s="26" t="n">
        <v>115</v>
      </c>
      <c r="C1767" s="26" t="n">
        <v>1287</v>
      </c>
      <c r="D1767" s="14" t="inlineStr">
        <is>
          <t>ESCOLA ESTADUAL ERALDO TINOCO</t>
        </is>
      </c>
      <c r="E1767" s="14" t="inlineStr">
        <is>
          <t>CENTRO</t>
        </is>
      </c>
      <c r="F1767" s="14" t="inlineStr">
        <is>
          <t>RUA HERMES HILARIÃO, S/N - ZONA URBANA</t>
        </is>
      </c>
      <c r="G1767" s="27" t="inlineStr">
        <is>
          <t>44770-000</t>
        </is>
      </c>
      <c r="H1767" s="15" t="n">
        <v>2</v>
      </c>
      <c r="I1767" s="28" t="inlineStr">
        <is>
          <t>SIM</t>
        </is>
      </c>
      <c r="J1767" s="29" t="n">
        <v>94.8</v>
      </c>
      <c r="K1767" s="14" t="str">
        <f>IF(J1767="","7. Acima de 2 km",IF(J1767&lt;=50,"1. Até 50 m",IF(J1767&lt;=100,"2. De 50 a 100 m",IF(J1767&lt;=200,"3. De 100 a 200 m",IF(J1767&lt;=300,"4. De 200 a 300 m",IF(J1767&lt;=500,"5. De 300 a 500 m","6. De 500 m a 2 km"))))))</f>
        <v>2. De 50 a 100 m</v>
      </c>
      <c r="L1767" s="26" t="n">
        <v>0</v>
      </c>
      <c r="M1767" s="26" t="n">
        <v>1</v>
      </c>
      <c r="N1767" s="26" t="n">
        <v>1</v>
      </c>
      <c r="O1767" s="26" t="n">
        <v>1</v>
      </c>
      <c r="P1767" s="30" t="n">
        <v>-10.74624693</v>
      </c>
      <c r="Q1767" s="30" t="n">
        <v>-40.36672628</v>
      </c>
      <c r="R1767" s="14" t="inlineStr">
        <is>
          <t>TRAVESSA DOIS DE JULHO, 93, CENTRO, SAÚDE/BA</t>
        </is>
      </c>
      <c r="S1767" s="26">
        <f>IF(A1767=A1766,0,1)</f>
        <v>0</v>
      </c>
      <c r="T1767" s="26">
        <f>IF(COUNTIF($B$4:B1767,B1767)=1,1,0)</f>
        <v>0</v>
      </c>
    </row>
    <row r="1768">
      <c r="A1768" s="14" t="inlineStr">
        <is>
          <t>PINDOBAÇU</t>
        </is>
      </c>
      <c r="B1768" s="26" t="n">
        <v>115</v>
      </c>
      <c r="C1768" s="26" t="n">
        <v>1295</v>
      </c>
      <c r="D1768" s="14" t="inlineStr">
        <is>
          <t>CEIP - CENTRO DE EDUCAÇÃO INTEGRAL DE PINDOBAÇU</t>
        </is>
      </c>
      <c r="E1768" s="14" t="inlineStr">
        <is>
          <t>MARLOS WANDERLEY</t>
        </is>
      </c>
      <c r="F1768" s="14" t="inlineStr">
        <is>
          <t>RUA ROBERTO SANTOS S/N</t>
        </is>
      </c>
      <c r="G1768" s="27" t="inlineStr">
        <is>
          <t>44770-000</t>
        </is>
      </c>
      <c r="H1768" s="15" t="n">
        <v>5</v>
      </c>
      <c r="I1768" s="28" t="inlineStr">
        <is>
          <t>SIM</t>
        </is>
      </c>
      <c r="J1768" s="29" t="n">
        <v>85.59999999999999</v>
      </c>
      <c r="K1768" s="14" t="str">
        <f>IF(J1768="","7. Acima de 2 km",IF(J1768&lt;=50,"1. Até 50 m",IF(J1768&lt;=100,"2. De 50 a 100 m",IF(J1768&lt;=200,"3. De 100 a 200 m",IF(J1768&lt;=300,"4. De 200 a 300 m",IF(J1768&lt;=500,"5. De 300 a 500 m","6. De 500 m a 2 km"))))))</f>
        <v>2. De 50 a 100 m</v>
      </c>
      <c r="L1768" s="26" t="n">
        <v>0</v>
      </c>
      <c r="M1768" s="26" t="n">
        <v>1</v>
      </c>
      <c r="N1768" s="26" t="n">
        <v>1</v>
      </c>
      <c r="O1768" s="26" t="n">
        <v>1</v>
      </c>
      <c r="P1768" s="30" t="n">
        <v>-10.74634134</v>
      </c>
      <c r="Q1768" s="30" t="n">
        <v>-40.36729025</v>
      </c>
      <c r="R1768" s="14" t="inlineStr">
        <is>
          <t>TRAVESSA DOIS DE JULHO, 93, CENTRO, SAÚDE/BA</t>
        </is>
      </c>
      <c r="S1768" s="26">
        <f>IF(A1768=A1767,0,1)</f>
        <v>0</v>
      </c>
      <c r="T1768" s="26">
        <f>IF(COUNTIF($B$4:B1768,B1768)=1,1,0)</f>
        <v>0</v>
      </c>
    </row>
    <row r="1769">
      <c r="A1769" s="14" t="inlineStr">
        <is>
          <t>PINDOBAÇU</t>
        </is>
      </c>
      <c r="B1769" s="26" t="n">
        <v>115</v>
      </c>
      <c r="C1769" s="26" t="n">
        <v>1317</v>
      </c>
      <c r="D1769" s="14" t="inlineStr">
        <is>
          <t>ESCOLA MUNICIPAL MARICOTA JATOBÁ</t>
        </is>
      </c>
      <c r="E1769" s="14" t="inlineStr">
        <is>
          <t>POVOADO DO MARCELO</t>
        </is>
      </c>
      <c r="F1769" s="14" t="inlineStr">
        <is>
          <t>POVOADO DO MARCELO - ZONA RURAL</t>
        </is>
      </c>
      <c r="G1769" s="27" t="inlineStr">
        <is>
          <t>44770-000</t>
        </is>
      </c>
      <c r="H1769" s="15" t="n">
        <v>1</v>
      </c>
      <c r="I1769" s="28" t="inlineStr">
        <is>
          <t>NÃO</t>
        </is>
      </c>
      <c r="J1769" s="29" t="n"/>
      <c r="K1769" s="14" t="str">
        <f>IF(J1769="","7. Acima de 2 km",IF(J1769&lt;=50,"1. Até 50 m",IF(J1769&lt;=100,"2. De 50 a 100 m",IF(J1769&lt;=200,"3. De 100 a 200 m",IF(J1769&lt;=300,"4. De 200 a 300 m",IF(J1769&lt;=500,"5. De 300 a 500 m","6. De 500 m a 2 km"))))))</f>
        <v>7. Acima de 2 km</v>
      </c>
      <c r="L1769" s="26" t="n">
        <v>0</v>
      </c>
      <c r="M1769" s="26" t="n">
        <v>0</v>
      </c>
      <c r="N1769" s="26" t="n">
        <v>0</v>
      </c>
      <c r="O1769" s="26" t="n">
        <v>0</v>
      </c>
      <c r="P1769" s="30" t="n">
        <v>-10.81591361</v>
      </c>
      <c r="Q1769" s="30" t="n">
        <v>-40.32353746</v>
      </c>
      <c r="R1769" s="14" t="inlineStr">
        <is>
          <t>TRAVESSA DOIS DE JULHO, 93, CENTRO, SAÚDE/BA</t>
        </is>
      </c>
      <c r="S1769" s="26">
        <f>IF(A1769=A1768,0,1)</f>
        <v>0</v>
      </c>
      <c r="T1769" s="26">
        <f>IF(COUNTIF($B$4:B1769,B1769)=1,1,0)</f>
        <v>0</v>
      </c>
    </row>
    <row r="1770">
      <c r="A1770" s="14" t="inlineStr">
        <is>
          <t>PINDOBAÇU</t>
        </is>
      </c>
      <c r="B1770" s="26" t="n">
        <v>115</v>
      </c>
      <c r="C1770" s="26" t="n">
        <v>1333</v>
      </c>
      <c r="D1770" s="14" t="inlineStr">
        <is>
          <t>ESCOLA MUNICIPAL DO PA NOVA CANAÃ</t>
        </is>
      </c>
      <c r="E1770" s="14" t="inlineStr">
        <is>
          <t>POVOADO NOVA CANAÃ</t>
        </is>
      </c>
      <c r="F1770" s="14" t="inlineStr">
        <is>
          <t>POVOADO NOVA CANAÃ</t>
        </is>
      </c>
      <c r="G1770" s="27" t="inlineStr">
        <is>
          <t>44772-899</t>
        </is>
      </c>
      <c r="H1770" s="15" t="n">
        <v>1</v>
      </c>
      <c r="I1770" s="28" t="inlineStr">
        <is>
          <t>NÃO</t>
        </is>
      </c>
      <c r="J1770" s="29" t="n"/>
      <c r="K1770" s="14" t="str">
        <f>IF(J1770="","7. Acima de 2 km",IF(J1770&lt;=50,"1. Até 50 m",IF(J1770&lt;=100,"2. De 50 a 100 m",IF(J1770&lt;=200,"3. De 100 a 200 m",IF(J1770&lt;=300,"4. De 200 a 300 m",IF(J1770&lt;=500,"5. De 300 a 500 m","6. De 500 m a 2 km"))))))</f>
        <v>7. Acima de 2 km</v>
      </c>
      <c r="L1770" s="26" t="n">
        <v>0</v>
      </c>
      <c r="M1770" s="26" t="n">
        <v>0</v>
      </c>
      <c r="N1770" s="26" t="n">
        <v>0</v>
      </c>
      <c r="O1770" s="26" t="n">
        <v>0</v>
      </c>
      <c r="P1770" s="30" t="n">
        <v>-10.73536381</v>
      </c>
      <c r="Q1770" s="30" t="n">
        <v>-40.31579391</v>
      </c>
      <c r="R1770" s="14" t="inlineStr">
        <is>
          <t>TRAVESSA DOIS DE JULHO, 93, CENTRO, SAÚDE/BA</t>
        </is>
      </c>
      <c r="S1770" s="26">
        <f>IF(A1770=A1769,0,1)</f>
        <v>0</v>
      </c>
      <c r="T1770" s="26">
        <f>IF(COUNTIF($B$4:B1770,B1770)=1,1,0)</f>
        <v>0</v>
      </c>
    </row>
    <row r="1771">
      <c r="A1771" s="14" t="inlineStr">
        <is>
          <t>POJUCA</t>
        </is>
      </c>
      <c r="B1771" s="26" t="n">
        <v>200</v>
      </c>
      <c r="C1771" s="26" t="n">
        <v>1015</v>
      </c>
      <c r="D1771" s="14" t="inlineStr">
        <is>
          <t>ESCOLA CONSELHEIRO SARAIVA</t>
        </is>
      </c>
      <c r="E1771" s="14" t="inlineStr">
        <is>
          <t>CENTRO</t>
        </is>
      </c>
      <c r="F1771" s="14" t="inlineStr">
        <is>
          <t>RUA CONSELHEIRO CHAVES, N 10 - ZONA URBANA</t>
        </is>
      </c>
      <c r="G1771" s="27" t="inlineStr">
        <is>
          <t>48120-000</t>
        </is>
      </c>
      <c r="H1771" s="15" t="n">
        <v>4</v>
      </c>
      <c r="I1771" s="28" t="inlineStr">
        <is>
          <t>NÃO</t>
        </is>
      </c>
      <c r="J1771" s="29" t="n">
        <v>274.1</v>
      </c>
      <c r="K1771" s="14" t="str">
        <f>IF(J1771="","7. Acima de 2 km",IF(J1771&lt;=50,"1. Até 50 m",IF(J1771&lt;=100,"2. De 50 a 100 m",IF(J1771&lt;=200,"3. De 100 a 200 m",IF(J1771&lt;=300,"4. De 200 a 300 m",IF(J1771&lt;=500,"5. De 300 a 500 m","6. De 500 m a 2 km"))))))</f>
        <v>4. De 200 a 300 m</v>
      </c>
      <c r="L1771" s="26" t="n">
        <v>0</v>
      </c>
      <c r="M1771" s="26" t="n">
        <v>0</v>
      </c>
      <c r="N1771" s="26" t="n">
        <v>0</v>
      </c>
      <c r="O1771" s="26" t="n">
        <v>1</v>
      </c>
      <c r="P1771" s="30" t="n">
        <v>-12.4328602</v>
      </c>
      <c r="Q1771" s="30" t="n">
        <v>-38.3303147</v>
      </c>
      <c r="R1771" s="14" t="inlineStr">
        <is>
          <t>1ª TRAV. ANTONIO BATISTA, S/N, FÓRUM DESEMBARGADOR WALTER NOGUEIRA, NOVA POJUCA,  POJUCA/BA</t>
        </is>
      </c>
      <c r="S1771" s="26">
        <f>IF(A1771=A1770,0,1)</f>
        <v>1</v>
      </c>
      <c r="T1771" s="26">
        <f>IF(COUNTIF($B$4:B1771,B1771)=1,1,0)</f>
        <v>1</v>
      </c>
    </row>
    <row r="1772">
      <c r="A1772" s="14" t="inlineStr">
        <is>
          <t>POJUCA</t>
        </is>
      </c>
      <c r="B1772" s="26" t="n">
        <v>200</v>
      </c>
      <c r="C1772" s="26" t="n">
        <v>1023</v>
      </c>
      <c r="D1772" s="14" t="inlineStr">
        <is>
          <t>COLÉGIO ESTADUAL PADRE JOÃO MONTEZ</t>
        </is>
      </c>
      <c r="E1772" s="14" t="inlineStr">
        <is>
          <t>CRUZEIRO</t>
        </is>
      </c>
      <c r="F1772" s="14" t="inlineStr">
        <is>
          <t>PRAÇA JURACY MAGALHÃES, S/N - ZONA URBANA</t>
        </is>
      </c>
      <c r="G1772" s="27" t="inlineStr">
        <is>
          <t>48120-000</t>
        </is>
      </c>
      <c r="H1772" s="15" t="n">
        <v>11</v>
      </c>
      <c r="I1772" s="28" t="inlineStr">
        <is>
          <t>NÃO</t>
        </is>
      </c>
      <c r="J1772" s="29" t="n">
        <v>273.5</v>
      </c>
      <c r="K1772" s="14" t="str">
        <f>IF(J1772="","7. Acima de 2 km",IF(J1772&lt;=50,"1. Até 50 m",IF(J1772&lt;=100,"2. De 50 a 100 m",IF(J1772&lt;=200,"3. De 100 a 200 m",IF(J1772&lt;=300,"4. De 200 a 300 m",IF(J1772&lt;=500,"5. De 300 a 500 m","6. De 500 m a 2 km"))))))</f>
        <v>4. De 200 a 300 m</v>
      </c>
      <c r="L1772" s="26" t="n">
        <v>0</v>
      </c>
      <c r="M1772" s="26" t="n">
        <v>0</v>
      </c>
      <c r="N1772" s="26" t="n">
        <v>0</v>
      </c>
      <c r="O1772" s="26" t="n">
        <v>1</v>
      </c>
      <c r="P1772" s="30" t="n">
        <v>-12.4257097</v>
      </c>
      <c r="Q1772" s="30" t="n">
        <v>-38.3244996</v>
      </c>
      <c r="R1772" s="14" t="inlineStr">
        <is>
          <t>1ª TRAV. ANTONIO BATISTA, S/N, FÓRUM DESEMBARGADOR WALTER NOGUEIRA, NOVA POJUCA,  POJUCA/BA</t>
        </is>
      </c>
      <c r="S1772" s="26">
        <f>IF(A1772=A1771,0,1)</f>
        <v>0</v>
      </c>
      <c r="T1772" s="26">
        <f>IF(COUNTIF($B$4:B1772,B1772)=1,1,0)</f>
        <v>0</v>
      </c>
    </row>
    <row r="1773">
      <c r="A1773" s="14" t="inlineStr">
        <is>
          <t>POJUCA</t>
        </is>
      </c>
      <c r="B1773" s="26" t="n">
        <v>200</v>
      </c>
      <c r="C1773" s="26" t="n">
        <v>1074</v>
      </c>
      <c r="D1773" s="14" t="inlineStr">
        <is>
          <t>COLÉGIO MUNICIPAL PRESIDENTE CASTELO BRANCO</t>
        </is>
      </c>
      <c r="E1773" s="14" t="inlineStr">
        <is>
          <t>POJUCA NOVA</t>
        </is>
      </c>
      <c r="F1773" s="14" t="inlineStr">
        <is>
          <t>RUA PERCÍLIO DOS SANTOS, S/N - ZONA URBANA</t>
        </is>
      </c>
      <c r="G1773" s="27" t="inlineStr">
        <is>
          <t>48120-000</t>
        </is>
      </c>
      <c r="H1773" s="15" t="n">
        <v>17</v>
      </c>
      <c r="I1773" s="28" t="inlineStr">
        <is>
          <t>NÃO</t>
        </is>
      </c>
      <c r="J1773" s="29" t="n">
        <v>368.4</v>
      </c>
      <c r="K1773" s="14" t="str">
        <f>IF(J1773="","7. Acima de 2 km",IF(J1773&lt;=50,"1. Até 50 m",IF(J1773&lt;=100,"2. De 50 a 100 m",IF(J1773&lt;=200,"3. De 100 a 200 m",IF(J1773&lt;=300,"4. De 200 a 300 m",IF(J1773&lt;=500,"5. De 300 a 500 m","6. De 500 m a 2 km"))))))</f>
        <v>5. De 300 a 500 m</v>
      </c>
      <c r="L1773" s="26" t="n">
        <v>0</v>
      </c>
      <c r="M1773" s="26" t="n">
        <v>0</v>
      </c>
      <c r="N1773" s="26" t="n">
        <v>0</v>
      </c>
      <c r="O1773" s="26" t="n">
        <v>0</v>
      </c>
      <c r="P1773" s="30" t="n">
        <v>-12.4293036</v>
      </c>
      <c r="Q1773" s="30" t="n">
        <v>-38.332932</v>
      </c>
      <c r="R1773" s="14" t="inlineStr">
        <is>
          <t>1ª TRAV. ANTONIO BATISTA, S/N, FÓRUM DESEMBARGADOR WALTER NOGUEIRA, NOVA POJUCA,  POJUCA/BA</t>
        </is>
      </c>
      <c r="S1773" s="26">
        <f>IF(A1773=A1772,0,1)</f>
        <v>0</v>
      </c>
      <c r="T1773" s="26">
        <f>IF(COUNTIF($B$4:B1773,B1773)=1,1,0)</f>
        <v>0</v>
      </c>
    </row>
    <row r="1774">
      <c r="A1774" s="14" t="inlineStr">
        <is>
          <t>POJUCA</t>
        </is>
      </c>
      <c r="B1774" s="26" t="n">
        <v>200</v>
      </c>
      <c r="C1774" s="26" t="n">
        <v>1112</v>
      </c>
      <c r="D1774" s="14" t="inlineStr">
        <is>
          <t>ESCOLA MUNICIPAL JOÃO DA COSTA LIBÓRIO</t>
        </is>
      </c>
      <c r="E1774" s="14" t="inlineStr">
        <is>
          <t>CENTRAL</t>
        </is>
      </c>
      <c r="F1774" s="14" t="inlineStr">
        <is>
          <t>RUA DA ESTAÇÃO, S/N - ZONA URBANA</t>
        </is>
      </c>
      <c r="G1774" s="27" t="inlineStr">
        <is>
          <t>48120-000</t>
        </is>
      </c>
      <c r="H1774" s="15" t="n">
        <v>4</v>
      </c>
      <c r="I1774" s="28" t="inlineStr">
        <is>
          <t>NÃO</t>
        </is>
      </c>
      <c r="J1774" s="29" t="n">
        <v>841.9</v>
      </c>
      <c r="K1774" s="14" t="str">
        <f>IF(J1774="","7. Acima de 2 km",IF(J1774&lt;=50,"1. Até 50 m",IF(J1774&lt;=100,"2. De 50 a 100 m",IF(J1774&lt;=200,"3. De 100 a 200 m",IF(J1774&lt;=300,"4. De 200 a 300 m",IF(J1774&lt;=500,"5. De 300 a 500 m","6. De 500 m a 2 km"))))))</f>
        <v>6. De 500 m a 2 km</v>
      </c>
      <c r="L1774" s="26" t="n">
        <v>0</v>
      </c>
      <c r="M1774" s="26" t="n">
        <v>0</v>
      </c>
      <c r="N1774" s="26" t="n">
        <v>0</v>
      </c>
      <c r="O1774" s="26" t="n">
        <v>0</v>
      </c>
      <c r="P1774" s="30" t="n">
        <v>-12.4099373</v>
      </c>
      <c r="Q1774" s="30" t="n">
        <v>-38.3305971</v>
      </c>
      <c r="R1774" s="14" t="inlineStr">
        <is>
          <t>1ª TRAV. ANTONIO BATISTA, S/N, FÓRUM DESEMBARGADOR WALTER NOGUEIRA, NOVA POJUCA,  POJUCA/BA</t>
        </is>
      </c>
      <c r="S1774" s="26">
        <f>IF(A1774=A1773,0,1)</f>
        <v>0</v>
      </c>
      <c r="T1774" s="26">
        <f>IF(COUNTIF($B$4:B1774,B1774)=1,1,0)</f>
        <v>0</v>
      </c>
    </row>
    <row r="1775">
      <c r="A1775" s="14" t="inlineStr">
        <is>
          <t>POJUCA</t>
        </is>
      </c>
      <c r="B1775" s="26" t="n">
        <v>200</v>
      </c>
      <c r="C1775" s="26" t="n">
        <v>1139</v>
      </c>
      <c r="D1775" s="14" t="inlineStr">
        <is>
          <t>CENTRO EDUCACIONAL PEDRO LEAL CARDOSO</t>
        </is>
      </c>
      <c r="E1775" s="14" t="inlineStr">
        <is>
          <t>DISTRITO MIRANGA</t>
        </is>
      </c>
      <c r="F1775" s="14" t="inlineStr">
        <is>
          <t>DISTRITO MIRANGA, S/N - ZONA RURAL</t>
        </is>
      </c>
      <c r="G1775" s="27" t="inlineStr">
        <is>
          <t>48120-000</t>
        </is>
      </c>
      <c r="H1775" s="15" t="n">
        <v>3</v>
      </c>
      <c r="I1775" s="28" t="inlineStr">
        <is>
          <t>NÃO</t>
        </is>
      </c>
      <c r="J1775" s="29" t="n"/>
      <c r="K1775" s="14" t="str">
        <f>IF(J1775="","7. Acima de 2 km",IF(J1775&lt;=50,"1. Até 50 m",IF(J1775&lt;=100,"2. De 50 a 100 m",IF(J1775&lt;=200,"3. De 100 a 200 m",IF(J1775&lt;=300,"4. De 200 a 300 m",IF(J1775&lt;=500,"5. De 300 a 500 m","6. De 500 m a 2 km"))))))</f>
        <v>7. Acima de 2 km</v>
      </c>
      <c r="L1775" s="26" t="n">
        <v>0</v>
      </c>
      <c r="M1775" s="26" t="n">
        <v>0</v>
      </c>
      <c r="N1775" s="26" t="n">
        <v>0</v>
      </c>
      <c r="O1775" s="26" t="n">
        <v>0</v>
      </c>
      <c r="P1775" s="30" t="n">
        <v>-12.349081</v>
      </c>
      <c r="Q1775" s="30" t="n">
        <v>-38.2176637</v>
      </c>
      <c r="R1775" s="14" t="inlineStr">
        <is>
          <t>1ª TRAV. ANTONIO BATISTA, S/N, FÓRUM DESEMBARGADOR WALTER NOGUEIRA, NOVA POJUCA,  POJUCA/BA</t>
        </is>
      </c>
      <c r="S1775" s="26">
        <f>IF(A1775=A1774,0,1)</f>
        <v>0</v>
      </c>
      <c r="T1775" s="26">
        <f>IF(COUNTIF($B$4:B1775,B1775)=1,1,0)</f>
        <v>0</v>
      </c>
    </row>
    <row r="1776">
      <c r="A1776" s="14" t="inlineStr">
        <is>
          <t>POJUCA</t>
        </is>
      </c>
      <c r="B1776" s="26" t="n">
        <v>200</v>
      </c>
      <c r="C1776" s="26" t="n">
        <v>1147</v>
      </c>
      <c r="D1776" s="14" t="inlineStr">
        <is>
          <t>COLÉGIO ESTADUAL LUIZ EDUARDO MAGALHÃES</t>
        </is>
      </c>
      <c r="E1776" s="14" t="inlineStr">
        <is>
          <t>CENTRO</t>
        </is>
      </c>
      <c r="F1776" s="14" t="inlineStr">
        <is>
          <t>RUA CONSELHEIRO CHAVES, S/N - ZONA URBANA</t>
        </is>
      </c>
      <c r="G1776" s="27" t="inlineStr">
        <is>
          <t>48120-000</t>
        </is>
      </c>
      <c r="H1776" s="15" t="n">
        <v>15</v>
      </c>
      <c r="I1776" s="28" t="inlineStr">
        <is>
          <t>NÃO</t>
        </is>
      </c>
      <c r="J1776" s="29" t="n">
        <v>326.8</v>
      </c>
      <c r="K1776" s="14" t="str">
        <f>IF(J1776="","7. Acima de 2 km",IF(J1776&lt;=50,"1. Até 50 m",IF(J1776&lt;=100,"2. De 50 a 100 m",IF(J1776&lt;=200,"3. De 100 a 200 m",IF(J1776&lt;=300,"4. De 200 a 300 m",IF(J1776&lt;=500,"5. De 300 a 500 m","6. De 500 m a 2 km"))))))</f>
        <v>5. De 300 a 500 m</v>
      </c>
      <c r="L1776" s="26" t="n">
        <v>0</v>
      </c>
      <c r="M1776" s="26" t="n">
        <v>0</v>
      </c>
      <c r="N1776" s="26" t="n">
        <v>0</v>
      </c>
      <c r="O1776" s="26" t="n">
        <v>0</v>
      </c>
      <c r="P1776" s="30" t="n">
        <v>-12.4332799</v>
      </c>
      <c r="Q1776" s="30" t="n">
        <v>-38.3307123</v>
      </c>
      <c r="R1776" s="14" t="inlineStr">
        <is>
          <t>1ª TRAV. ANTONIO BATISTA, S/N, FÓRUM DESEMBARGADOR WALTER NOGUEIRA, NOVA POJUCA,  POJUCA/BA</t>
        </is>
      </c>
      <c r="S1776" s="26">
        <f>IF(A1776=A1775,0,1)</f>
        <v>0</v>
      </c>
      <c r="T1776" s="26">
        <f>IF(COUNTIF($B$4:B1776,B1776)=1,1,0)</f>
        <v>0</v>
      </c>
    </row>
    <row r="1777">
      <c r="A1777" s="14" t="inlineStr">
        <is>
          <t>POJUCA</t>
        </is>
      </c>
      <c r="B1777" s="26" t="n">
        <v>200</v>
      </c>
      <c r="C1777" s="26" t="n">
        <v>1155</v>
      </c>
      <c r="D1777" s="14" t="inlineStr">
        <is>
          <t>ESCOLA TEREZA FREIRE MARINS</t>
        </is>
      </c>
      <c r="E1777" s="14" t="inlineStr">
        <is>
          <t>POJUCA II</t>
        </is>
      </c>
      <c r="F1777" s="14" t="inlineStr">
        <is>
          <t>PARQUE RESIDENCIAL POJUCA II - ZONA URBANA</t>
        </is>
      </c>
      <c r="G1777" s="27" t="inlineStr">
        <is>
          <t>48120-000</t>
        </is>
      </c>
      <c r="H1777" s="15" t="n">
        <v>4</v>
      </c>
      <c r="I1777" s="28" t="inlineStr">
        <is>
          <t>NÃO</t>
        </is>
      </c>
      <c r="J1777" s="29" t="n">
        <v>515.2</v>
      </c>
      <c r="K1777" s="14" t="str">
        <f>IF(J1777="","7. Acima de 2 km",IF(J1777&lt;=50,"1. Até 50 m",IF(J1777&lt;=100,"2. De 50 a 100 m",IF(J1777&lt;=200,"3. De 100 a 200 m",IF(J1777&lt;=300,"4. De 200 a 300 m",IF(J1777&lt;=500,"5. De 300 a 500 m","6. De 500 m a 2 km"))))))</f>
        <v>6. De 500 m a 2 km</v>
      </c>
      <c r="L1777" s="26" t="n">
        <v>0</v>
      </c>
      <c r="M1777" s="26" t="n">
        <v>0</v>
      </c>
      <c r="N1777" s="26" t="n">
        <v>0</v>
      </c>
      <c r="O1777" s="26" t="n">
        <v>0</v>
      </c>
      <c r="P1777" s="30" t="n">
        <v>-12.4190539</v>
      </c>
      <c r="Q1777" s="30" t="n">
        <v>-38.3133492</v>
      </c>
      <c r="R1777" s="14" t="inlineStr">
        <is>
          <t>1ª TRAV. ANTONIO BATISTA, S/N, FÓRUM DESEMBARGADOR WALTER NOGUEIRA, NOVA POJUCA,  POJUCA/BA</t>
        </is>
      </c>
      <c r="S1777" s="26">
        <f>IF(A1777=A1776,0,1)</f>
        <v>0</v>
      </c>
      <c r="T1777" s="26">
        <f>IF(COUNTIF($B$4:B1777,B1777)=1,1,0)</f>
        <v>0</v>
      </c>
    </row>
    <row r="1778">
      <c r="A1778" s="14" t="inlineStr">
        <is>
          <t>POJUCA</t>
        </is>
      </c>
      <c r="B1778" s="26" t="n">
        <v>200</v>
      </c>
      <c r="C1778" s="26" t="n">
        <v>1171</v>
      </c>
      <c r="D1778" s="14" t="inlineStr">
        <is>
          <t>ESCOLA MUNICIPAL NORMA GUIMARÃES RÊGO</t>
        </is>
      </c>
      <c r="E1778" s="14" t="inlineStr">
        <is>
          <t>POJUCA NOVA</t>
        </is>
      </c>
      <c r="F1778" s="14" t="inlineStr">
        <is>
          <t>RUA PERCILIO DOS SANTOS, S/N - ZONA URBANA</t>
        </is>
      </c>
      <c r="G1778" s="27" t="inlineStr">
        <is>
          <t>48120-000</t>
        </is>
      </c>
      <c r="H1778" s="15" t="n">
        <v>4</v>
      </c>
      <c r="I1778" s="28" t="inlineStr">
        <is>
          <t>NÃO</t>
        </is>
      </c>
      <c r="J1778" s="29" t="n">
        <v>368.1</v>
      </c>
      <c r="K1778" s="14" t="str">
        <f>IF(J1778="","7. Acima de 2 km",IF(J1778&lt;=50,"1. Até 50 m",IF(J1778&lt;=100,"2. De 50 a 100 m",IF(J1778&lt;=200,"3. De 100 a 200 m",IF(J1778&lt;=300,"4. De 200 a 300 m",IF(J1778&lt;=500,"5. De 300 a 500 m","6. De 500 m a 2 km"))))))</f>
        <v>5. De 300 a 500 m</v>
      </c>
      <c r="L1778" s="26" t="n">
        <v>0</v>
      </c>
      <c r="M1778" s="26" t="n">
        <v>0</v>
      </c>
      <c r="N1778" s="26" t="n">
        <v>0</v>
      </c>
      <c r="O1778" s="26" t="n">
        <v>0</v>
      </c>
      <c r="P1778" s="30" t="n">
        <v>-12.4301509</v>
      </c>
      <c r="Q1778" s="30" t="n">
        <v>-38.3331977</v>
      </c>
      <c r="R1778" s="14" t="inlineStr">
        <is>
          <t>1ª TRAV. ANTONIO BATISTA, S/N, FÓRUM DESEMBARGADOR WALTER NOGUEIRA, NOVA POJUCA,  POJUCA/BA</t>
        </is>
      </c>
      <c r="S1778" s="26">
        <f>IF(A1778=A1777,0,1)</f>
        <v>0</v>
      </c>
      <c r="T1778" s="26">
        <f>IF(COUNTIF($B$4:B1778,B1778)=1,1,0)</f>
        <v>0</v>
      </c>
    </row>
    <row r="1779">
      <c r="A1779" s="14" t="inlineStr">
        <is>
          <t>POJUCA</t>
        </is>
      </c>
      <c r="B1779" s="26" t="n">
        <v>200</v>
      </c>
      <c r="C1779" s="26" t="n">
        <v>1180</v>
      </c>
      <c r="D1779" s="14" t="inlineStr">
        <is>
          <t>DIRETORIA DE PLANEJAMENTO - ANTIGO CEAAP</t>
        </is>
      </c>
      <c r="E1779" s="14" t="inlineStr">
        <is>
          <t>POJUCA NOVA</t>
        </is>
      </c>
      <c r="F1779" s="14" t="inlineStr">
        <is>
          <t>TRAV ANTONIO BATISTA, S/N - ZONA URBANA</t>
        </is>
      </c>
      <c r="G1779" s="27" t="inlineStr">
        <is>
          <t>48120-000</t>
        </is>
      </c>
      <c r="H1779" s="15" t="n">
        <v>3</v>
      </c>
      <c r="I1779" s="28" t="inlineStr">
        <is>
          <t>NÃO</t>
        </is>
      </c>
      <c r="J1779" s="29" t="n">
        <v>125.9</v>
      </c>
      <c r="K1779" s="14" t="str">
        <f>IF(J1779="","7. Acima de 2 km",IF(J1779&lt;=50,"1. Até 50 m",IF(J1779&lt;=100,"2. De 50 a 100 m",IF(J1779&lt;=200,"3. De 100 a 200 m",IF(J1779&lt;=300,"4. De 200 a 300 m",IF(J1779&lt;=500,"5. De 300 a 500 m","6. De 500 m a 2 km"))))))</f>
        <v>3. De 100 a 200 m</v>
      </c>
      <c r="L1779" s="26" t="n">
        <v>0</v>
      </c>
      <c r="M1779" s="26" t="n">
        <v>0</v>
      </c>
      <c r="N1779" s="26" t="n">
        <v>6</v>
      </c>
      <c r="O1779" s="26" t="n">
        <v>6</v>
      </c>
      <c r="P1779" s="30" t="n">
        <v>-12.4272888</v>
      </c>
      <c r="Q1779" s="30" t="n">
        <v>-38.3288672</v>
      </c>
      <c r="R1779" s="14" t="inlineStr">
        <is>
          <t>1ª TRAV. ANTONIO BATISTA, S/N, FÓRUM DESEMBARGADOR WALTER NOGUEIRA, NOVA POJUCA,  POJUCA/BA</t>
        </is>
      </c>
      <c r="S1779" s="26">
        <f>IF(A1779=A1778,0,1)</f>
        <v>0</v>
      </c>
      <c r="T1779" s="26">
        <f>IF(COUNTIF($B$4:B1779,B1779)=1,1,0)</f>
        <v>0</v>
      </c>
    </row>
    <row r="1780">
      <c r="A1780" s="14" t="inlineStr">
        <is>
          <t>POJUCA</t>
        </is>
      </c>
      <c r="B1780" s="26" t="n">
        <v>200</v>
      </c>
      <c r="C1780" s="26" t="n">
        <v>1198</v>
      </c>
      <c r="D1780" s="14" t="inlineStr">
        <is>
          <t>COLÉGIO JOÃO PAULO II</t>
        </is>
      </c>
      <c r="E1780" s="14" t="inlineStr">
        <is>
          <t>RETIRO</t>
        </is>
      </c>
      <c r="F1780" s="14" t="inlineStr">
        <is>
          <t>RUA ALTO DAS POMBAS, SN - ZONA URBANA</t>
        </is>
      </c>
      <c r="G1780" s="27" t="inlineStr">
        <is>
          <t>48120-000</t>
        </is>
      </c>
      <c r="H1780" s="15" t="n">
        <v>2</v>
      </c>
      <c r="I1780" s="28" t="inlineStr">
        <is>
          <t>NÃO</t>
        </is>
      </c>
      <c r="J1780" s="29" t="n">
        <v>1183.9</v>
      </c>
      <c r="K1780" s="14" t="str">
        <f>IF(J1780="","7. Acima de 2 km",IF(J1780&lt;=50,"1. Até 50 m",IF(J1780&lt;=100,"2. De 50 a 100 m",IF(J1780&lt;=200,"3. De 100 a 200 m",IF(J1780&lt;=300,"4. De 200 a 300 m",IF(J1780&lt;=500,"5. De 300 a 500 m","6. De 500 m a 2 km"))))))</f>
        <v>6. De 500 m a 2 km</v>
      </c>
      <c r="L1780" s="26" t="n">
        <v>0</v>
      </c>
      <c r="M1780" s="26" t="n">
        <v>0</v>
      </c>
      <c r="N1780" s="26" t="n">
        <v>0</v>
      </c>
      <c r="O1780" s="26" t="n">
        <v>0</v>
      </c>
      <c r="P1780" s="30" t="n">
        <v>-12.4092101</v>
      </c>
      <c r="Q1780" s="30" t="n">
        <v>-38.308592</v>
      </c>
      <c r="R1780" s="14" t="inlineStr">
        <is>
          <t>1ª TRAV. ANTONIO BATISTA, S/N, FÓRUM DESEMBARGADOR WALTER NOGUEIRA, NOVA POJUCA,  POJUCA/BA</t>
        </is>
      </c>
      <c r="S1780" s="26">
        <f>IF(A1780=A1779,0,1)</f>
        <v>0</v>
      </c>
      <c r="T1780" s="26">
        <f>IF(COUNTIF($B$4:B1780,B1780)=1,1,0)</f>
        <v>0</v>
      </c>
    </row>
    <row r="1781">
      <c r="A1781" s="14" t="inlineStr">
        <is>
          <t>POJUCA</t>
        </is>
      </c>
      <c r="B1781" s="26" t="n">
        <v>200</v>
      </c>
      <c r="C1781" s="26" t="n">
        <v>1201</v>
      </c>
      <c r="D1781" s="14" t="inlineStr">
        <is>
          <t>COLÉGIO ENGENHEIRO OTONIEL NOGUEIRA LIBÓRIO</t>
        </is>
      </c>
      <c r="E1781" s="14" t="inlineStr">
        <is>
          <t>CENTRO</t>
        </is>
      </c>
      <c r="F1781" s="14" t="inlineStr">
        <is>
          <t>PRAÇA ACM, SN - ZONA URBANA</t>
        </is>
      </c>
      <c r="G1781" s="27" t="inlineStr">
        <is>
          <t>48120-000</t>
        </is>
      </c>
      <c r="H1781" s="15" t="n">
        <v>5</v>
      </c>
      <c r="I1781" s="28" t="inlineStr">
        <is>
          <t>NÃO</t>
        </is>
      </c>
      <c r="J1781" s="29" t="n">
        <v>104.8</v>
      </c>
      <c r="K1781" s="14" t="str">
        <f>IF(J1781="","7. Acima de 2 km",IF(J1781&lt;=50,"1. Até 50 m",IF(J1781&lt;=100,"2. De 50 a 100 m",IF(J1781&lt;=200,"3. De 100 a 200 m",IF(J1781&lt;=300,"4. De 200 a 300 m",IF(J1781&lt;=500,"5. De 300 a 500 m","6. De 500 m a 2 km"))))))</f>
        <v>3. De 100 a 200 m</v>
      </c>
      <c r="L1781" s="26" t="n">
        <v>0</v>
      </c>
      <c r="M1781" s="26" t="n">
        <v>0</v>
      </c>
      <c r="N1781" s="26" t="n">
        <v>4</v>
      </c>
      <c r="O1781" s="26" t="n">
        <v>4</v>
      </c>
      <c r="P1781" s="30" t="n">
        <v>-12.431601</v>
      </c>
      <c r="Q1781" s="30" t="n">
        <v>-38.3272662</v>
      </c>
      <c r="R1781" s="14" t="inlineStr">
        <is>
          <t>1ª TRAV. ANTONIO BATISTA, S/N, FÓRUM DESEMBARGADOR WALTER NOGUEIRA, NOVA POJUCA,  POJUCA/BA</t>
        </is>
      </c>
      <c r="S1781" s="26">
        <f>IF(A1781=A1780,0,1)</f>
        <v>0</v>
      </c>
      <c r="T1781" s="26">
        <f>IF(COUNTIF($B$4:B1781,B1781)=1,1,0)</f>
        <v>0</v>
      </c>
    </row>
    <row r="1782">
      <c r="A1782" s="14" t="inlineStr">
        <is>
          <t>POJUCA</t>
        </is>
      </c>
      <c r="B1782" s="26" t="n">
        <v>200</v>
      </c>
      <c r="C1782" s="26" t="n">
        <v>1228</v>
      </c>
      <c r="D1782" s="14" t="inlineStr">
        <is>
          <t>ESCOLA MUNICIPAL EUDES JOSÉ ARGOLO GUIMARÃES</t>
        </is>
      </c>
      <c r="E1782" s="14" t="inlineStr">
        <is>
          <t>LOS ANGELES</t>
        </is>
      </c>
      <c r="F1782" s="14" t="inlineStr">
        <is>
          <t>RUA DA FONTINHA S/N - ZONA URBANA</t>
        </is>
      </c>
      <c r="G1782" s="27" t="inlineStr">
        <is>
          <t>48120-000</t>
        </is>
      </c>
      <c r="H1782" s="15" t="n">
        <v>4</v>
      </c>
      <c r="I1782" s="28" t="inlineStr">
        <is>
          <t>NÃO</t>
        </is>
      </c>
      <c r="J1782" s="29" t="n">
        <v>382.5</v>
      </c>
      <c r="K1782" s="14" t="str">
        <f>IF(J1782="","7. Acima de 2 km",IF(J1782&lt;=50,"1. Até 50 m",IF(J1782&lt;=100,"2. De 50 a 100 m",IF(J1782&lt;=200,"3. De 100 a 200 m",IF(J1782&lt;=300,"4. De 200 a 300 m",IF(J1782&lt;=500,"5. De 300 a 500 m","6. De 500 m a 2 km"))))))</f>
        <v>5. De 300 a 500 m</v>
      </c>
      <c r="L1782" s="26" t="n">
        <v>0</v>
      </c>
      <c r="M1782" s="26" t="n">
        <v>0</v>
      </c>
      <c r="N1782" s="26" t="n">
        <v>0</v>
      </c>
      <c r="O1782" s="26" t="n">
        <v>0</v>
      </c>
      <c r="P1782" s="30" t="n">
        <v>-12.415931</v>
      </c>
      <c r="Q1782" s="30" t="n">
        <v>-38.3176805</v>
      </c>
      <c r="R1782" s="14" t="inlineStr">
        <is>
          <t>1ª TRAV. ANTONIO BATISTA, S/N, FÓRUM DESEMBARGADOR WALTER NOGUEIRA, NOVA POJUCA,  POJUCA/BA</t>
        </is>
      </c>
      <c r="S1782" s="26">
        <f>IF(A1782=A1781,0,1)</f>
        <v>0</v>
      </c>
      <c r="T1782" s="26">
        <f>IF(COUNTIF($B$4:B1782,B1782)=1,1,0)</f>
        <v>0</v>
      </c>
    </row>
    <row r="1783">
      <c r="A1783" s="14" t="inlineStr">
        <is>
          <t>POJUCA</t>
        </is>
      </c>
      <c r="B1783" s="26" t="n">
        <v>200</v>
      </c>
      <c r="C1783" s="26" t="n">
        <v>1236</v>
      </c>
      <c r="D1783" s="14" t="inlineStr">
        <is>
          <t>ESCOLA MUNICIPAL PROFESSOR FRANCISCO MAGALHÃES NETO</t>
        </is>
      </c>
      <c r="E1783" s="14" t="inlineStr">
        <is>
          <t>STAR</t>
        </is>
      </c>
      <c r="F1783" s="14" t="inlineStr">
        <is>
          <t>RUA LINDAURO SILVA SANTOS S/N - ZONA URBANA</t>
        </is>
      </c>
      <c r="G1783" s="27" t="inlineStr">
        <is>
          <t>48120-000</t>
        </is>
      </c>
      <c r="H1783" s="15" t="n">
        <v>5</v>
      </c>
      <c r="I1783" s="28" t="inlineStr">
        <is>
          <t>NÃO</t>
        </is>
      </c>
      <c r="J1783" s="29" t="n">
        <v>122.3</v>
      </c>
      <c r="K1783" s="14" t="str">
        <f>IF(J1783="","7. Acima de 2 km",IF(J1783&lt;=50,"1. Até 50 m",IF(J1783&lt;=100,"2. De 50 a 100 m",IF(J1783&lt;=200,"3. De 100 a 200 m",IF(J1783&lt;=300,"4. De 200 a 300 m",IF(J1783&lt;=500,"5. De 300 a 500 m","6. De 500 m a 2 km"))))))</f>
        <v>3. De 100 a 200 m</v>
      </c>
      <c r="L1783" s="26" t="n">
        <v>0</v>
      </c>
      <c r="M1783" s="26" t="n">
        <v>0</v>
      </c>
      <c r="N1783" s="26" t="n">
        <v>3</v>
      </c>
      <c r="O1783" s="26" t="n">
        <v>3</v>
      </c>
      <c r="P1783" s="30" t="n">
        <v>-12.4192811</v>
      </c>
      <c r="Q1783" s="30" t="n">
        <v>-38.3175774</v>
      </c>
      <c r="R1783" s="14" t="inlineStr">
        <is>
          <t>1ª TRAV. ANTONIO BATISTA, S/N, FÓRUM DESEMBARGADOR WALTER NOGUEIRA, NOVA POJUCA,  POJUCA/BA</t>
        </is>
      </c>
      <c r="S1783" s="26">
        <f>IF(A1783=A1782,0,1)</f>
        <v>0</v>
      </c>
      <c r="T1783" s="26">
        <f>IF(COUNTIF($B$4:B1783,B1783)=1,1,0)</f>
        <v>0</v>
      </c>
    </row>
    <row r="1784">
      <c r="A1784" s="14" t="inlineStr">
        <is>
          <t>POJUCA</t>
        </is>
      </c>
      <c r="B1784" s="26" t="n">
        <v>200</v>
      </c>
      <c r="C1784" s="26" t="n">
        <v>1244</v>
      </c>
      <c r="D1784" s="14" t="inlineStr">
        <is>
          <t>ESCOLA MUNICIPAL DALVA FERREIRA PINTO</t>
        </is>
      </c>
      <c r="E1784" s="14" t="inlineStr">
        <is>
          <t>NOVA POJUCA</t>
        </is>
      </c>
      <c r="F1784" s="14" t="inlineStr">
        <is>
          <t>RUA WALTER DE ALMEIDA MANSUR, S/N, ZONA URBANA</t>
        </is>
      </c>
      <c r="G1784" s="27" t="inlineStr">
        <is>
          <t>48112-000</t>
        </is>
      </c>
      <c r="H1784" s="15" t="n">
        <v>3</v>
      </c>
      <c r="I1784" s="28" t="inlineStr">
        <is>
          <t>NÃO</t>
        </is>
      </c>
      <c r="J1784" s="29" t="n">
        <v>353.8</v>
      </c>
      <c r="K1784" s="14" t="str">
        <f>IF(J1784="","7. Acima de 2 km",IF(J1784&lt;=50,"1. Até 50 m",IF(J1784&lt;=100,"2. De 50 a 100 m",IF(J1784&lt;=200,"3. De 100 a 200 m",IF(J1784&lt;=300,"4. De 200 a 300 m",IF(J1784&lt;=500,"5. De 300 a 500 m","6. De 500 m a 2 km"))))))</f>
        <v>5. De 300 a 500 m</v>
      </c>
      <c r="L1784" s="26" t="n">
        <v>0</v>
      </c>
      <c r="M1784" s="26" t="n">
        <v>0</v>
      </c>
      <c r="N1784" s="26" t="n">
        <v>0</v>
      </c>
      <c r="O1784" s="26" t="n">
        <v>0</v>
      </c>
      <c r="P1784" s="30" t="n">
        <v>-12.4216581</v>
      </c>
      <c r="Q1784" s="30" t="n">
        <v>-38.327741</v>
      </c>
      <c r="R1784" s="14" t="inlineStr">
        <is>
          <t>1ª TRAV. ANTONIO BATISTA, S/N, FÓRUM DESEMBARGADOR WALTER NOGUEIRA, NOVA POJUCA,  POJUCA/BA</t>
        </is>
      </c>
      <c r="S1784" s="26">
        <f>IF(A1784=A1783,0,1)</f>
        <v>0</v>
      </c>
      <c r="T1784" s="26">
        <f>IF(COUNTIF($B$4:B1784,B1784)=1,1,0)</f>
        <v>0</v>
      </c>
    </row>
    <row r="1785">
      <c r="A1785" s="14" t="inlineStr">
        <is>
          <t>POJUCA</t>
        </is>
      </c>
      <c r="B1785" s="26" t="n">
        <v>200</v>
      </c>
      <c r="C1785" s="26" t="n">
        <v>1252</v>
      </c>
      <c r="D1785" s="14" t="inlineStr">
        <is>
          <t>CENTRO DE ENSINO PRÉ-ESCOLAR PROFESSORA NILZA S. REGO</t>
        </is>
      </c>
      <c r="E1785" s="14" t="inlineStr">
        <is>
          <t>POJUCA NOVA</t>
        </is>
      </c>
      <c r="F1785" s="14" t="inlineStr">
        <is>
          <t>RUA PERCÍLIO DOS SANTOS, S/N - ZONA URBANA</t>
        </is>
      </c>
      <c r="G1785" s="27" t="inlineStr">
        <is>
          <t>48120-000</t>
        </is>
      </c>
      <c r="H1785" s="15" t="n">
        <v>4</v>
      </c>
      <c r="I1785" s="28" t="inlineStr">
        <is>
          <t>NÃO</t>
        </is>
      </c>
      <c r="J1785" s="29" t="n">
        <v>361.4</v>
      </c>
      <c r="K1785" s="14" t="str">
        <f>IF(J1785="","7. Acima de 2 km",IF(J1785&lt;=50,"1. Até 50 m",IF(J1785&lt;=100,"2. De 50 a 100 m",IF(J1785&lt;=200,"3. De 100 a 200 m",IF(J1785&lt;=300,"4. De 200 a 300 m",IF(J1785&lt;=500,"5. De 300 a 500 m","6. De 500 m a 2 km"))))))</f>
        <v>5. De 300 a 500 m</v>
      </c>
      <c r="L1785" s="26" t="n">
        <v>0</v>
      </c>
      <c r="M1785" s="26" t="n">
        <v>0</v>
      </c>
      <c r="N1785" s="26" t="n">
        <v>0</v>
      </c>
      <c r="O1785" s="26" t="n">
        <v>0</v>
      </c>
      <c r="P1785" s="30" t="n">
        <v>-12.4303868</v>
      </c>
      <c r="Q1785" s="30" t="n">
        <v>-38.333285</v>
      </c>
      <c r="R1785" s="14" t="inlineStr">
        <is>
          <t>1ª TRAV. ANTONIO BATISTA, S/N, FÓRUM DESEMBARGADOR WALTER NOGUEIRA, NOVA POJUCA,  POJUCA/BA</t>
        </is>
      </c>
      <c r="S1785" s="26">
        <f>IF(A1785=A1784,0,1)</f>
        <v>0</v>
      </c>
      <c r="T1785" s="26">
        <f>IF(COUNTIF($B$4:B1785,B1785)=1,1,0)</f>
        <v>0</v>
      </c>
    </row>
    <row r="1786">
      <c r="A1786" s="14" t="inlineStr">
        <is>
          <t>PONTO NOVO</t>
        </is>
      </c>
      <c r="B1786" s="26" t="n">
        <v>149</v>
      </c>
      <c r="C1786" s="26" t="n">
        <v>1082</v>
      </c>
      <c r="D1786" s="14" t="inlineStr">
        <is>
          <t>CENTRO EDUCACIONAL DE PONTO NOVO</t>
        </is>
      </c>
      <c r="E1786" s="14" t="inlineStr">
        <is>
          <t>CENTRO</t>
        </is>
      </c>
      <c r="F1786" s="14" t="inlineStr">
        <is>
          <t>RUA 13 DE MAIO, S/N - ZONA URBANA</t>
        </is>
      </c>
      <c r="G1786" s="27" t="inlineStr">
        <is>
          <t>44755-000</t>
        </is>
      </c>
      <c r="H1786" s="15" t="n">
        <v>8</v>
      </c>
      <c r="I1786" s="28" t="inlineStr">
        <is>
          <t>NÃO</t>
        </is>
      </c>
      <c r="J1786" s="29" t="n">
        <v>183.9</v>
      </c>
      <c r="K1786" s="14" t="str">
        <f>IF(J1786="","7. Acima de 2 km",IF(J1786&lt;=50,"1. Até 50 m",IF(J1786&lt;=100,"2. De 50 a 100 m",IF(J1786&lt;=200,"3. De 100 a 200 m",IF(J1786&lt;=300,"4. De 200 a 300 m",IF(J1786&lt;=500,"5. De 300 a 500 m","6. De 500 m a 2 km"))))))</f>
        <v>3. De 100 a 200 m</v>
      </c>
      <c r="L1786" s="26" t="n">
        <v>0</v>
      </c>
      <c r="M1786" s="26" t="n">
        <v>0</v>
      </c>
      <c r="N1786" s="26" t="n">
        <v>3</v>
      </c>
      <c r="O1786" s="26" t="n">
        <v>5</v>
      </c>
      <c r="P1786" s="30" t="n">
        <v>-10.8641773</v>
      </c>
      <c r="Q1786" s="30" t="n">
        <v>-40.1353265</v>
      </c>
      <c r="R1786" s="14" t="inlineStr">
        <is>
          <t>FÓRUM DES. JOSÉ SOARES SAMPAIO, RUA XV DE NOVEMBRO, S/N, CENTRO, ITIÚBA/BA</t>
        </is>
      </c>
      <c r="S1786" s="26">
        <f>IF(A1786=A1785,0,1)</f>
        <v>1</v>
      </c>
      <c r="T1786" s="26">
        <f>IF(COUNTIF($B$4:B1786,B1786)=1,1,0)</f>
        <v>1</v>
      </c>
    </row>
    <row r="1787">
      <c r="A1787" s="14" t="inlineStr">
        <is>
          <t>PONTO NOVO</t>
        </is>
      </c>
      <c r="B1787" s="26" t="n">
        <v>149</v>
      </c>
      <c r="C1787" s="26" t="n">
        <v>1090</v>
      </c>
      <c r="D1787" s="14" t="inlineStr">
        <is>
          <t>PREDIO MARILENE SILVA DOS REIS</t>
        </is>
      </c>
      <c r="E1787" s="14" t="inlineStr">
        <is>
          <t>DISTRITO BARRACAS</t>
        </is>
      </c>
      <c r="F1787" s="14" t="inlineStr">
        <is>
          <t>DISTRITO BARRACAS - ZONA RURAL</t>
        </is>
      </c>
      <c r="G1787" s="27" t="inlineStr">
        <is>
          <t>44755-000</t>
        </is>
      </c>
      <c r="H1787" s="15" t="n">
        <v>5</v>
      </c>
      <c r="I1787" s="28" t="inlineStr">
        <is>
          <t>NÃO</t>
        </is>
      </c>
      <c r="J1787" s="29" t="n"/>
      <c r="K1787" s="14" t="str">
        <f>IF(J1787="","7. Acima de 2 km",IF(J1787&lt;=50,"1. Até 50 m",IF(J1787&lt;=100,"2. De 50 a 100 m",IF(J1787&lt;=200,"3. De 100 a 200 m",IF(J1787&lt;=300,"4. De 200 a 300 m",IF(J1787&lt;=500,"5. De 300 a 500 m","6. De 500 m a 2 km"))))))</f>
        <v>7. Acima de 2 km</v>
      </c>
      <c r="L1787" s="26" t="n">
        <v>0</v>
      </c>
      <c r="M1787" s="26" t="n">
        <v>0</v>
      </c>
      <c r="N1787" s="26" t="n">
        <v>0</v>
      </c>
      <c r="O1787" s="26" t="n">
        <v>0</v>
      </c>
      <c r="P1787" s="30" t="n">
        <v>-11.0775352</v>
      </c>
      <c r="Q1787" s="30" t="n">
        <v>-40.0782443</v>
      </c>
      <c r="R1787" s="14" t="inlineStr">
        <is>
          <t>FÓRUM DES. JOSÉ SOARES SAMPAIO, RUA XV DE NOVEMBRO, S/N, CENTRO, ITIÚBA/BA</t>
        </is>
      </c>
      <c r="S1787" s="26">
        <f>IF(A1787=A1786,0,1)</f>
        <v>0</v>
      </c>
      <c r="T1787" s="26">
        <f>IF(COUNTIF($B$4:B1787,B1787)=1,1,0)</f>
        <v>0</v>
      </c>
    </row>
    <row r="1788">
      <c r="A1788" s="14" t="inlineStr">
        <is>
          <t>PONTO NOVO</t>
        </is>
      </c>
      <c r="B1788" s="26" t="n">
        <v>149</v>
      </c>
      <c r="C1788" s="26" t="n">
        <v>1104</v>
      </c>
      <c r="D1788" s="14" t="inlineStr">
        <is>
          <t>COMPLEXO ESCOLAR MANOEL INACIO</t>
        </is>
      </c>
      <c r="E1788" s="14" t="inlineStr">
        <is>
          <t>CENTRO</t>
        </is>
      </c>
      <c r="F1788" s="14" t="inlineStr">
        <is>
          <t>LOTEAMENTO HABITACIONAL OSCAR MACEDO - ZONA URBANA</t>
        </is>
      </c>
      <c r="G1788" s="27" t="inlineStr">
        <is>
          <t>44755-000</t>
        </is>
      </c>
      <c r="H1788" s="15" t="n">
        <v>5</v>
      </c>
      <c r="I1788" s="28" t="inlineStr">
        <is>
          <t>NÃO</t>
        </is>
      </c>
      <c r="J1788" s="29" t="n">
        <v>106.6</v>
      </c>
      <c r="K1788" s="14" t="str">
        <f>IF(J1788="","7. Acima de 2 km",IF(J1788&lt;=50,"1. Até 50 m",IF(J1788&lt;=100,"2. De 50 a 100 m",IF(J1788&lt;=200,"3. De 100 a 200 m",IF(J1788&lt;=300,"4. De 200 a 300 m",IF(J1788&lt;=500,"5. De 300 a 500 m","6. De 500 m a 2 km"))))))</f>
        <v>3. De 100 a 200 m</v>
      </c>
      <c r="L1788" s="26" t="n">
        <v>0</v>
      </c>
      <c r="M1788" s="26" t="n">
        <v>0</v>
      </c>
      <c r="N1788" s="26" t="n">
        <v>1</v>
      </c>
      <c r="O1788" s="26" t="n">
        <v>1</v>
      </c>
      <c r="P1788" s="30" t="n">
        <v>-10.8637055</v>
      </c>
      <c r="Q1788" s="30" t="n">
        <v>-40.1277666</v>
      </c>
      <c r="R1788" s="14" t="inlineStr">
        <is>
          <t>FÓRUM DES. JOSÉ SOARES SAMPAIO, RUA XV DE NOVEMBRO, S/N, CENTRO, ITIÚBA/BA</t>
        </is>
      </c>
      <c r="S1788" s="26">
        <f>IF(A1788=A1787,0,1)</f>
        <v>0</v>
      </c>
      <c r="T1788" s="26">
        <f>IF(COUNTIF($B$4:B1788,B1788)=1,1,0)</f>
        <v>0</v>
      </c>
    </row>
    <row r="1789">
      <c r="A1789" s="14" t="inlineStr">
        <is>
          <t>PONTO NOVO</t>
        </is>
      </c>
      <c r="B1789" s="26" t="n">
        <v>149</v>
      </c>
      <c r="C1789" s="26" t="n">
        <v>1112</v>
      </c>
      <c r="D1789" s="14" t="inlineStr">
        <is>
          <t>ESCOLA MUNICIPAL ANÁLIA MOURA</t>
        </is>
      </c>
      <c r="E1789" s="14" t="inlineStr">
        <is>
          <t>CENTRO</t>
        </is>
      </c>
      <c r="F1789" s="14" t="inlineStr">
        <is>
          <t>AV. LOMANTO JUNIOR, SN - ZONA URBANA</t>
        </is>
      </c>
      <c r="G1789" s="27" t="inlineStr">
        <is>
          <t>44755-000</t>
        </is>
      </c>
      <c r="H1789" s="15" t="n">
        <v>4</v>
      </c>
      <c r="I1789" s="28" t="inlineStr">
        <is>
          <t>NÃO</t>
        </is>
      </c>
      <c r="J1789" s="29" t="n">
        <v>140.2</v>
      </c>
      <c r="K1789" s="14" t="str">
        <f>IF(J1789="","7. Acima de 2 km",IF(J1789&lt;=50,"1. Até 50 m",IF(J1789&lt;=100,"2. De 50 a 100 m",IF(J1789&lt;=200,"3. De 100 a 200 m",IF(J1789&lt;=300,"4. De 200 a 300 m",IF(J1789&lt;=500,"5. De 300 a 500 m","6. De 500 m a 2 km"))))))</f>
        <v>3. De 100 a 200 m</v>
      </c>
      <c r="L1789" s="26" t="n">
        <v>0</v>
      </c>
      <c r="M1789" s="26" t="n">
        <v>0</v>
      </c>
      <c r="N1789" s="26" t="n">
        <v>1</v>
      </c>
      <c r="O1789" s="26" t="n">
        <v>1</v>
      </c>
      <c r="P1789" s="30" t="n">
        <v>-10.8649488</v>
      </c>
      <c r="Q1789" s="30" t="n">
        <v>-40.127655</v>
      </c>
      <c r="R1789" s="14" t="inlineStr">
        <is>
          <t>FÓRUM DES. JOSÉ SOARES SAMPAIO, RUA XV DE NOVEMBRO, S/N, CENTRO, ITIÚBA/BA</t>
        </is>
      </c>
      <c r="S1789" s="26">
        <f>IF(A1789=A1788,0,1)</f>
        <v>0</v>
      </c>
      <c r="T1789" s="26">
        <f>IF(COUNTIF($B$4:B1789,B1789)=1,1,0)</f>
        <v>0</v>
      </c>
    </row>
    <row r="1790">
      <c r="A1790" s="14" t="inlineStr">
        <is>
          <t>PONTO NOVO</t>
        </is>
      </c>
      <c r="B1790" s="26" t="n">
        <v>149</v>
      </c>
      <c r="C1790" s="26" t="n">
        <v>1147</v>
      </c>
      <c r="D1790" s="14" t="inlineStr">
        <is>
          <t>CENTRO EDUCACIONAL INFANTIL - CEI</t>
        </is>
      </c>
      <c r="E1790" s="14" t="inlineStr">
        <is>
          <t>CENTRO</t>
        </is>
      </c>
      <c r="F1790" s="14" t="inlineStr">
        <is>
          <t>RUA 13 DE MAIO, S/N - ZONA URBANA</t>
        </is>
      </c>
      <c r="G1790" s="27" t="inlineStr">
        <is>
          <t>44755-000</t>
        </is>
      </c>
      <c r="H1790" s="15" t="n">
        <v>5</v>
      </c>
      <c r="I1790" s="28" t="inlineStr">
        <is>
          <t>NÃO</t>
        </is>
      </c>
      <c r="J1790" s="29" t="n">
        <v>213.5</v>
      </c>
      <c r="K1790" s="14" t="str">
        <f>IF(J1790="","7. Acima de 2 km",IF(J1790&lt;=50,"1. Até 50 m",IF(J1790&lt;=100,"2. De 50 a 100 m",IF(J1790&lt;=200,"3. De 100 a 200 m",IF(J1790&lt;=300,"4. De 200 a 300 m",IF(J1790&lt;=500,"5. De 300 a 500 m","6. De 500 m a 2 km"))))))</f>
        <v>4. De 200 a 300 m</v>
      </c>
      <c r="L1790" s="26" t="n">
        <v>0</v>
      </c>
      <c r="M1790" s="26" t="n">
        <v>0</v>
      </c>
      <c r="N1790" s="26" t="n">
        <v>0</v>
      </c>
      <c r="O1790" s="26" t="n">
        <v>2</v>
      </c>
      <c r="P1790" s="30" t="n">
        <v>-10.8658337</v>
      </c>
      <c r="Q1790" s="30" t="n">
        <v>-40.1361661</v>
      </c>
      <c r="R1790" s="14" t="inlineStr">
        <is>
          <t>FÓRUM DES. JOSÉ SOARES SAMPAIO, RUA XV DE NOVEMBRO, S/N, CENTRO, ITIÚBA/BA</t>
        </is>
      </c>
      <c r="S1790" s="26">
        <f>IF(A1790=A1789,0,1)</f>
        <v>0</v>
      </c>
      <c r="T1790" s="26">
        <f>IF(COUNTIF($B$4:B1790,B1790)=1,1,0)</f>
        <v>0</v>
      </c>
    </row>
    <row r="1791">
      <c r="A1791" s="14" t="inlineStr">
        <is>
          <t>PONTO NOVO</t>
        </is>
      </c>
      <c r="B1791" s="26" t="n">
        <v>149</v>
      </c>
      <c r="C1791" s="26" t="n">
        <v>1171</v>
      </c>
      <c r="D1791" s="14" t="inlineStr">
        <is>
          <t>ESCOLA ANTONIO CARLOS MAGALHAES</t>
        </is>
      </c>
      <c r="E1791" s="14" t="inlineStr">
        <is>
          <t>CONTORNO</t>
        </is>
      </c>
      <c r="F1791" s="14" t="inlineStr">
        <is>
          <t>RUA DO CONTORNO, S/N - ZONA URBANA</t>
        </is>
      </c>
      <c r="G1791" s="27" t="inlineStr">
        <is>
          <t>44755-000</t>
        </is>
      </c>
      <c r="H1791" s="15" t="n">
        <v>4</v>
      </c>
      <c r="I1791" s="28" t="inlineStr">
        <is>
          <t>NÃO</t>
        </is>
      </c>
      <c r="J1791" s="29" t="n">
        <v>262.9</v>
      </c>
      <c r="K1791" s="14" t="str">
        <f>IF(J1791="","7. Acima de 2 km",IF(J1791&lt;=50,"1. Até 50 m",IF(J1791&lt;=100,"2. De 50 a 100 m",IF(J1791&lt;=200,"3. De 100 a 200 m",IF(J1791&lt;=300,"4. De 200 a 300 m",IF(J1791&lt;=500,"5. De 300 a 500 m","6. De 500 m a 2 km"))))))</f>
        <v>4. De 200 a 300 m</v>
      </c>
      <c r="L1791" s="26" t="n">
        <v>0</v>
      </c>
      <c r="M1791" s="26" t="n">
        <v>0</v>
      </c>
      <c r="N1791" s="26" t="n">
        <v>0</v>
      </c>
      <c r="O1791" s="26" t="n">
        <v>1</v>
      </c>
      <c r="P1791" s="30" t="n">
        <v>-10.864919</v>
      </c>
      <c r="Q1791" s="30" t="n">
        <v>-40.1141508</v>
      </c>
      <c r="R1791" s="14" t="inlineStr">
        <is>
          <t>FÓRUM DES. JOSÉ SOARES SAMPAIO, RUA XV DE NOVEMBRO, S/N, CENTRO, ITIÚBA/BA</t>
        </is>
      </c>
      <c r="S1791" s="26">
        <f>IF(A1791=A1790,0,1)</f>
        <v>0</v>
      </c>
      <c r="T1791" s="26">
        <f>IF(COUNTIF($B$4:B1791,B1791)=1,1,0)</f>
        <v>0</v>
      </c>
    </row>
    <row r="1792">
      <c r="A1792" s="14" t="inlineStr">
        <is>
          <t>PONTO NOVO</t>
        </is>
      </c>
      <c r="B1792" s="26" t="n">
        <v>149</v>
      </c>
      <c r="C1792" s="26" t="n">
        <v>1180</v>
      </c>
      <c r="D1792" s="14" t="inlineStr">
        <is>
          <t>ESCOLA MUNICIPAL DE PONTO NOVO</t>
        </is>
      </c>
      <c r="E1792" s="14" t="inlineStr">
        <is>
          <t>CENTRO</t>
        </is>
      </c>
      <c r="F1792" s="14" t="inlineStr">
        <is>
          <t>RUA 13 DE MAIO, S/N - ZONA URBANA</t>
        </is>
      </c>
      <c r="G1792" s="27" t="inlineStr">
        <is>
          <t>44755-000</t>
        </is>
      </c>
      <c r="H1792" s="15" t="n">
        <v>7</v>
      </c>
      <c r="I1792" s="28" t="inlineStr">
        <is>
          <t>NÃO</t>
        </is>
      </c>
      <c r="J1792" s="29" t="n">
        <v>168.5</v>
      </c>
      <c r="K1792" s="14" t="str">
        <f>IF(J1792="","7. Acima de 2 km",IF(J1792&lt;=50,"1. Até 50 m",IF(J1792&lt;=100,"2. De 50 a 100 m",IF(J1792&lt;=200,"3. De 100 a 200 m",IF(J1792&lt;=300,"4. De 200 a 300 m",IF(J1792&lt;=500,"5. De 300 a 500 m","6. De 500 m a 2 km"))))))</f>
        <v>3. De 100 a 200 m</v>
      </c>
      <c r="L1792" s="26" t="n">
        <v>0</v>
      </c>
      <c r="M1792" s="26" t="n">
        <v>0</v>
      </c>
      <c r="N1792" s="26" t="n">
        <v>2</v>
      </c>
      <c r="O1792" s="26" t="n">
        <v>3</v>
      </c>
      <c r="P1792" s="30" t="n">
        <v>-10.8648927</v>
      </c>
      <c r="Q1792" s="30" t="n">
        <v>-40.1357145</v>
      </c>
      <c r="R1792" s="14" t="inlineStr">
        <is>
          <t>FÓRUM DES. JOSÉ SOARES SAMPAIO, RUA XV DE NOVEMBRO, S/N, CENTRO, ITIÚBA/BA</t>
        </is>
      </c>
      <c r="S1792" s="26">
        <f>IF(A1792=A1791,0,1)</f>
        <v>0</v>
      </c>
      <c r="T1792" s="26">
        <f>IF(COUNTIF($B$4:B1792,B1792)=1,1,0)</f>
        <v>0</v>
      </c>
    </row>
    <row r="1793">
      <c r="A1793" s="14" t="inlineStr">
        <is>
          <t>PONTO NOVO</t>
        </is>
      </c>
      <c r="B1793" s="26" t="n">
        <v>149</v>
      </c>
      <c r="C1793" s="26" t="n">
        <v>1210</v>
      </c>
      <c r="D1793" s="14" t="inlineStr">
        <is>
          <t>ESCOLA MUNICIPAL DE ANGICO</t>
        </is>
      </c>
      <c r="E1793" s="14" t="inlineStr">
        <is>
          <t>POVOADO DE ANGICO</t>
        </is>
      </c>
      <c r="F1793" s="14" t="inlineStr">
        <is>
          <t>POVOADO DE ANGICO</t>
        </is>
      </c>
      <c r="G1793" s="27" t="inlineStr">
        <is>
          <t>44755-000</t>
        </is>
      </c>
      <c r="H1793" s="15" t="n">
        <v>2</v>
      </c>
      <c r="I1793" s="28" t="inlineStr">
        <is>
          <t>NÃO</t>
        </is>
      </c>
      <c r="J1793" s="29" t="n"/>
      <c r="K1793" s="14" t="str">
        <f>IF(J1793="","7. Acima de 2 km",IF(J1793&lt;=50,"1. Até 50 m",IF(J1793&lt;=100,"2. De 50 a 100 m",IF(J1793&lt;=200,"3. De 100 a 200 m",IF(J1793&lt;=300,"4. De 200 a 300 m",IF(J1793&lt;=500,"5. De 300 a 500 m","6. De 500 m a 2 km"))))))</f>
        <v>7. Acima de 2 km</v>
      </c>
      <c r="L1793" s="26" t="n">
        <v>0</v>
      </c>
      <c r="M1793" s="26" t="n">
        <v>0</v>
      </c>
      <c r="N1793" s="26" t="n">
        <v>0</v>
      </c>
      <c r="O1793" s="26" t="n">
        <v>0</v>
      </c>
      <c r="P1793" s="30" t="n">
        <v>-10.9982418</v>
      </c>
      <c r="Q1793" s="30" t="n">
        <v>-40.1499091</v>
      </c>
      <c r="R1793" s="14" t="inlineStr">
        <is>
          <t>FÓRUM DES. JOSÉ SOARES SAMPAIO, RUA XV DE NOVEMBRO, S/N, CENTRO, ITIÚBA/BA</t>
        </is>
      </c>
      <c r="S1793" s="26">
        <f>IF(A1793=A1792,0,1)</f>
        <v>0</v>
      </c>
      <c r="T1793" s="26">
        <f>IF(COUNTIF($B$4:B1793,B1793)=1,1,0)</f>
        <v>0</v>
      </c>
    </row>
    <row r="1794">
      <c r="A1794" s="14" t="inlineStr">
        <is>
          <t>PONTO NOVO</t>
        </is>
      </c>
      <c r="B1794" s="26" t="n">
        <v>149</v>
      </c>
      <c r="C1794" s="26" t="n">
        <v>1228</v>
      </c>
      <c r="D1794" s="14" t="inlineStr">
        <is>
          <t>ESCOLA MUNICIPAL DE REPRESA</t>
        </is>
      </c>
      <c r="E1794" s="14" t="inlineStr">
        <is>
          <t>POVOADO DE NOVA REPRESA</t>
        </is>
      </c>
      <c r="F1794" s="14" t="inlineStr">
        <is>
          <t>POVOADO DE NOVA REPRESA</t>
        </is>
      </c>
      <c r="G1794" s="27" t="inlineStr">
        <is>
          <t>44755-000</t>
        </is>
      </c>
      <c r="H1794" s="15" t="n">
        <v>3</v>
      </c>
      <c r="I1794" s="28" t="inlineStr">
        <is>
          <t>NÃO</t>
        </is>
      </c>
      <c r="J1794" s="29" t="n"/>
      <c r="K1794" s="14" t="str">
        <f>IF(J1794="","7. Acima de 2 km",IF(J1794&lt;=50,"1. Até 50 m",IF(J1794&lt;=100,"2. De 50 a 100 m",IF(J1794&lt;=200,"3. De 100 a 200 m",IF(J1794&lt;=300,"4. De 200 a 300 m",IF(J1794&lt;=500,"5. De 300 a 500 m","6. De 500 m a 2 km"))))))</f>
        <v>7. Acima de 2 km</v>
      </c>
      <c r="L1794" s="26" t="n">
        <v>0</v>
      </c>
      <c r="M1794" s="26" t="n">
        <v>0</v>
      </c>
      <c r="N1794" s="26" t="n">
        <v>0</v>
      </c>
      <c r="O1794" s="26" t="n">
        <v>0</v>
      </c>
      <c r="P1794" s="30" t="n">
        <v>-11.0042718</v>
      </c>
      <c r="Q1794" s="30" t="n">
        <v>-40.1002949</v>
      </c>
      <c r="R1794" s="14" t="inlineStr">
        <is>
          <t>FÓRUM DES. JOSÉ SOARES SAMPAIO, RUA XV DE NOVEMBRO, S/N, CENTRO, ITIÚBA/BA</t>
        </is>
      </c>
      <c r="S1794" s="26">
        <f>IF(A1794=A1793,0,1)</f>
        <v>0</v>
      </c>
      <c r="T1794" s="26">
        <f>IF(COUNTIF($B$4:B1794,B1794)=1,1,0)</f>
        <v>0</v>
      </c>
    </row>
    <row r="1795">
      <c r="A1795" s="14" t="inlineStr">
        <is>
          <t>PONTO NOVO</t>
        </is>
      </c>
      <c r="B1795" s="26" t="n">
        <v>149</v>
      </c>
      <c r="C1795" s="26" t="n">
        <v>1244</v>
      </c>
      <c r="D1795" s="14" t="inlineStr">
        <is>
          <t>ESCOLA MUNICIPAL SAMUEL FERNANDES DE ALMEIDA</t>
        </is>
      </c>
      <c r="E1795" s="14" t="inlineStr">
        <is>
          <t>CENTRO</t>
        </is>
      </c>
      <c r="F1795" s="14" t="inlineStr">
        <is>
          <t>VÁRZEA DA PEDRA DA PEDRA</t>
        </is>
      </c>
      <c r="G1795" s="27" t="inlineStr">
        <is>
          <t>44755-000</t>
        </is>
      </c>
      <c r="H1795" s="15" t="n">
        <v>1</v>
      </c>
      <c r="I1795" s="28" t="inlineStr">
        <is>
          <t>NÃO</t>
        </is>
      </c>
      <c r="J1795" s="29" t="n"/>
      <c r="K1795" s="14" t="str">
        <f>IF(J1795="","7. Acima de 2 km",IF(J1795&lt;=50,"1. Até 50 m",IF(J1795&lt;=100,"2. De 50 a 100 m",IF(J1795&lt;=200,"3. De 100 a 200 m",IF(J1795&lt;=300,"4. De 200 a 300 m",IF(J1795&lt;=500,"5. De 300 a 500 m","6. De 500 m a 2 km"))))))</f>
        <v>7. Acima de 2 km</v>
      </c>
      <c r="L1795" s="26" t="n">
        <v>0</v>
      </c>
      <c r="M1795" s="26" t="n">
        <v>0</v>
      </c>
      <c r="N1795" s="26" t="n">
        <v>0</v>
      </c>
      <c r="O1795" s="26" t="n">
        <v>0</v>
      </c>
      <c r="P1795" s="30" t="n">
        <v>-10.9051104</v>
      </c>
      <c r="Q1795" s="30" t="n">
        <v>-40.1933053</v>
      </c>
      <c r="R1795" s="14" t="inlineStr">
        <is>
          <t>FÓRUM DES. JOSÉ SOARES SAMPAIO, RUA XV DE NOVEMBRO, S/N, CENTRO, ITIÚBA/BA</t>
        </is>
      </c>
      <c r="S1795" s="26">
        <f>IF(A1795=A1794,0,1)</f>
        <v>0</v>
      </c>
      <c r="T1795" s="26">
        <f>IF(COUNTIF($B$4:B1795,B1795)=1,1,0)</f>
        <v>0</v>
      </c>
    </row>
    <row r="1796">
      <c r="A1796" s="14" t="inlineStr">
        <is>
          <t>PORTO SEGURO</t>
        </is>
      </c>
      <c r="B1796" s="26" t="n">
        <v>121</v>
      </c>
      <c r="C1796" s="26" t="n">
        <v>1015</v>
      </c>
      <c r="D1796" s="14" t="inlineStr">
        <is>
          <t>ESCOLA MUNICIPAL TIRADENTES</t>
        </is>
      </c>
      <c r="E1796" s="14" t="inlineStr">
        <is>
          <t>POVOADO VERA CRUZ</t>
        </is>
      </c>
      <c r="F1796" s="14" t="inlineStr">
        <is>
          <t>AVENIDA PORTO SEGURO, S/N - ZONA RURAL</t>
        </is>
      </c>
      <c r="G1796" s="27" t="inlineStr">
        <is>
          <t>45810-000</t>
        </is>
      </c>
      <c r="H1796" s="15" t="n">
        <v>5</v>
      </c>
      <c r="I1796" s="28" t="inlineStr">
        <is>
          <t>NÃO</t>
        </is>
      </c>
      <c r="J1796" s="29" t="n"/>
      <c r="K1796" s="14" t="str">
        <f>IF(J1796="","7. Acima de 2 km",IF(J1796&lt;=50,"1. Até 50 m",IF(J1796&lt;=100,"2. De 50 a 100 m",IF(J1796&lt;=200,"3. De 100 a 200 m",IF(J1796&lt;=300,"4. De 200 a 300 m",IF(J1796&lt;=500,"5. De 300 a 500 m","6. De 500 m a 2 km"))))))</f>
        <v>7. Acima de 2 km</v>
      </c>
      <c r="L1796" s="26" t="n">
        <v>0</v>
      </c>
      <c r="M1796" s="26" t="n">
        <v>0</v>
      </c>
      <c r="N1796" s="26" t="n">
        <v>0</v>
      </c>
      <c r="O1796" s="26" t="n">
        <v>0</v>
      </c>
      <c r="P1796" s="30" t="n">
        <v>-16.3900081</v>
      </c>
      <c r="Q1796" s="30" t="n">
        <v>-39.3865935</v>
      </c>
      <c r="R1796" s="14" t="inlineStr">
        <is>
          <t>RUA DA JAQUEIRA, 562, TABAPIRI, PORTO SEGURO/BA</t>
        </is>
      </c>
      <c r="S1796" s="26">
        <f>IF(A1796=A1795,0,1)</f>
        <v>1</v>
      </c>
      <c r="T1796" s="26">
        <f>IF(COUNTIF($B$4:B1796,B1796)=1,1,0)</f>
        <v>1</v>
      </c>
    </row>
    <row r="1797">
      <c r="A1797" s="14" t="inlineStr">
        <is>
          <t>PORTO SEGURO</t>
        </is>
      </c>
      <c r="B1797" s="26" t="n">
        <v>121</v>
      </c>
      <c r="C1797" s="26" t="n">
        <v>1031</v>
      </c>
      <c r="D1797" s="14" t="inlineStr">
        <is>
          <t>ESCOLA MUNICIPAL MARIA LÚCIA WESTPHAL SANTANA</t>
        </is>
      </c>
      <c r="E1797" s="14" t="inlineStr">
        <is>
          <t>povoado AGROVILA</t>
        </is>
      </c>
      <c r="F1797" s="14" t="inlineStr">
        <is>
          <t>BR 367 KM 34 - ZONA RURAL</t>
        </is>
      </c>
      <c r="G1797" s="27" t="inlineStr">
        <is>
          <t>45810-000</t>
        </is>
      </c>
      <c r="H1797" s="15" t="n">
        <v>4</v>
      </c>
      <c r="I1797" s="28" t="inlineStr">
        <is>
          <t>NÃO</t>
        </is>
      </c>
      <c r="J1797" s="29" t="n"/>
      <c r="K1797" s="14" t="str">
        <f>IF(J1797="","7. Acima de 2 km",IF(J1797&lt;=50,"1. Até 50 m",IF(J1797&lt;=100,"2. De 50 a 100 m",IF(J1797&lt;=200,"3. De 100 a 200 m",IF(J1797&lt;=300,"4. De 200 a 300 m",IF(J1797&lt;=500,"5. De 300 a 500 m","6. De 500 m a 2 km"))))))</f>
        <v>7. Acima de 2 km</v>
      </c>
      <c r="L1797" s="26" t="n">
        <v>0</v>
      </c>
      <c r="M1797" s="26" t="n">
        <v>0</v>
      </c>
      <c r="N1797" s="26" t="n">
        <v>0</v>
      </c>
      <c r="O1797" s="26" t="n">
        <v>0</v>
      </c>
      <c r="P1797" s="30" t="n">
        <v>-16.413776</v>
      </c>
      <c r="Q1797" s="30" t="n">
        <v>-39.1597807</v>
      </c>
      <c r="R1797" s="14" t="inlineStr">
        <is>
          <t>RUA DA JAQUEIRA, 562, TABAPIRI, PORTO SEGURO/BA</t>
        </is>
      </c>
      <c r="S1797" s="26">
        <f>IF(A1797=A1796,0,1)</f>
        <v>0</v>
      </c>
      <c r="T1797" s="26">
        <f>IF(COUNTIF($B$4:B1797,B1797)=1,1,0)</f>
        <v>0</v>
      </c>
    </row>
    <row r="1798">
      <c r="A1798" s="14" t="inlineStr">
        <is>
          <t>PORTO SEGURO</t>
        </is>
      </c>
      <c r="B1798" s="26" t="n">
        <v>121</v>
      </c>
      <c r="C1798" s="26" t="n">
        <v>1040</v>
      </c>
      <c r="D1798" s="14" t="inlineStr">
        <is>
          <t>ESCOLA MUNICIPAL PROFª. RAYDAHLIA BITTENCOURT DE OLIVEIRA</t>
        </is>
      </c>
      <c r="E1798" s="14" t="inlineStr">
        <is>
          <t>POVOADO PINDORAMA</t>
        </is>
      </c>
      <c r="F1798" s="14" t="inlineStr">
        <is>
          <t>RUA SANTA RITA S/N - ZONA RURAL</t>
        </is>
      </c>
      <c r="G1798" s="27" t="inlineStr">
        <is>
          <t>45810-000</t>
        </is>
      </c>
      <c r="H1798" s="15" t="n">
        <v>7</v>
      </c>
      <c r="I1798" s="28" t="inlineStr">
        <is>
          <t>NÃO</t>
        </is>
      </c>
      <c r="J1798" s="29" t="n">
        <v>822.9</v>
      </c>
      <c r="K1798" s="14" t="str">
        <f>IF(J1798="","7. Acima de 2 km",IF(J1798&lt;=50,"1. Até 50 m",IF(J1798&lt;=100,"2. De 50 a 100 m",IF(J1798&lt;=200,"3. De 100 a 200 m",IF(J1798&lt;=300,"4. De 200 a 300 m",IF(J1798&lt;=500,"5. De 300 a 500 m","6. De 500 m a 2 km"))))))</f>
        <v>6. De 500 m a 2 km</v>
      </c>
      <c r="L1798" s="26" t="n">
        <v>0</v>
      </c>
      <c r="M1798" s="26" t="n">
        <v>0</v>
      </c>
      <c r="N1798" s="26" t="n">
        <v>0</v>
      </c>
      <c r="O1798" s="26" t="n">
        <v>0</v>
      </c>
      <c r="P1798" s="30" t="n">
        <v>-16.3787215</v>
      </c>
      <c r="Q1798" s="30" t="n">
        <v>-39.2432847</v>
      </c>
      <c r="R1798" s="14" t="inlineStr">
        <is>
          <t>RUA DA JAQUEIRA, 562, TABAPIRI, PORTO SEGURO/BA</t>
        </is>
      </c>
      <c r="S1798" s="26">
        <f>IF(A1798=A1797,0,1)</f>
        <v>0</v>
      </c>
      <c r="T1798" s="26">
        <f>IF(COUNTIF($B$4:B1798,B1798)=1,1,0)</f>
        <v>0</v>
      </c>
    </row>
    <row r="1799">
      <c r="A1799" s="14" t="inlineStr">
        <is>
          <t>PORTO SEGURO</t>
        </is>
      </c>
      <c r="B1799" s="26" t="n">
        <v>121</v>
      </c>
      <c r="C1799" s="26" t="n">
        <v>1058</v>
      </c>
      <c r="D1799" s="14" t="inlineStr">
        <is>
          <t>ESCOLA MUNICIPAL ALCIDES FAUSTINO DOS SANTOS</t>
        </is>
      </c>
      <c r="E1799" s="14" t="inlineStr">
        <is>
          <t>POVOADO VERA CRUZ</t>
        </is>
      </c>
      <c r="F1799" s="14" t="inlineStr">
        <is>
          <t>AVENIDA PORTO SEGURO, S/N - ZONA RURAL</t>
        </is>
      </c>
      <c r="G1799" s="27" t="inlineStr">
        <is>
          <t>45810-000</t>
        </is>
      </c>
      <c r="H1799" s="15" t="n">
        <v>9</v>
      </c>
      <c r="I1799" s="28" t="inlineStr">
        <is>
          <t>NÃO</t>
        </is>
      </c>
      <c r="J1799" s="29" t="n"/>
      <c r="K1799" s="14" t="str">
        <f>IF(J1799="","7. Acima de 2 km",IF(J1799&lt;=50,"1. Até 50 m",IF(J1799&lt;=100,"2. De 50 a 100 m",IF(J1799&lt;=200,"3. De 100 a 200 m",IF(J1799&lt;=300,"4. De 200 a 300 m",IF(J1799&lt;=500,"5. De 300 a 500 m","6. De 500 m a 2 km"))))))</f>
        <v>7. Acima de 2 km</v>
      </c>
      <c r="L1799" s="26" t="n">
        <v>0</v>
      </c>
      <c r="M1799" s="26" t="n">
        <v>0</v>
      </c>
      <c r="N1799" s="26" t="n">
        <v>0</v>
      </c>
      <c r="O1799" s="26" t="n">
        <v>0</v>
      </c>
      <c r="P1799" s="30" t="n">
        <v>-16.3915298</v>
      </c>
      <c r="Q1799" s="30" t="n">
        <v>-39.3921997</v>
      </c>
      <c r="R1799" s="14" t="inlineStr">
        <is>
          <t>RUA DA JAQUEIRA, 562, TABAPIRI, PORTO SEGURO/BA</t>
        </is>
      </c>
      <c r="S1799" s="26">
        <f>IF(A1799=A1798,0,1)</f>
        <v>0</v>
      </c>
      <c r="T1799" s="26">
        <f>IF(COUNTIF($B$4:B1799,B1799)=1,1,0)</f>
        <v>0</v>
      </c>
    </row>
    <row r="1800">
      <c r="A1800" s="14" t="inlineStr">
        <is>
          <t>PORTO SEGURO</t>
        </is>
      </c>
      <c r="B1800" s="26" t="n">
        <v>121</v>
      </c>
      <c r="C1800" s="26" t="n">
        <v>1074</v>
      </c>
      <c r="D1800" s="14" t="inlineStr">
        <is>
          <t>ESCOLA MUNICIPAL ARCHIMEDES ERNESTO DA SILVA</t>
        </is>
      </c>
      <c r="E1800" s="14" t="inlineStr">
        <is>
          <t>POVOADO SÃO JOSÉ DO PANORAMA</t>
        </is>
      </c>
      <c r="F1800" s="14" t="inlineStr">
        <is>
          <t>RUA PRINCIPAL, S/N - ZONA RURAL</t>
        </is>
      </c>
      <c r="G1800" s="27" t="inlineStr">
        <is>
          <t>45807-000</t>
        </is>
      </c>
      <c r="H1800" s="15" t="n">
        <v>1</v>
      </c>
      <c r="I1800" s="28" t="inlineStr">
        <is>
          <t>NÃO</t>
        </is>
      </c>
      <c r="J1800" s="29" t="n"/>
      <c r="K1800" s="14" t="str">
        <f>IF(J1800="","7. Acima de 2 km",IF(J1800&lt;=50,"1. Até 50 m",IF(J1800&lt;=100,"2. De 50 a 100 m",IF(J1800&lt;=200,"3. De 100 a 200 m",IF(J1800&lt;=300,"4. De 200 a 300 m",IF(J1800&lt;=500,"5. De 300 a 500 m","6. De 500 m a 2 km"))))))</f>
        <v>7. Acima de 2 km</v>
      </c>
      <c r="L1800" s="26" t="n">
        <v>0</v>
      </c>
      <c r="M1800" s="26" t="n">
        <v>0</v>
      </c>
      <c r="N1800" s="26" t="n">
        <v>0</v>
      </c>
      <c r="O1800" s="26" t="n">
        <v>0</v>
      </c>
      <c r="P1800" s="30" t="n">
        <v>-16.5446174</v>
      </c>
      <c r="Q1800" s="30" t="n">
        <v>-39.4173959</v>
      </c>
      <c r="R1800" s="14" t="inlineStr">
        <is>
          <t>RUA DA JAQUEIRA, 562, TABAPIRI, PORTO SEGURO/BA</t>
        </is>
      </c>
      <c r="S1800" s="26">
        <f>IF(A1800=A1799,0,1)</f>
        <v>0</v>
      </c>
      <c r="T1800" s="26">
        <f>IF(COUNTIF($B$4:B1800,B1800)=1,1,0)</f>
        <v>0</v>
      </c>
    </row>
    <row r="1801">
      <c r="A1801" s="14" t="inlineStr">
        <is>
          <t>PORTO SEGURO</t>
        </is>
      </c>
      <c r="B1801" s="26" t="n">
        <v>121</v>
      </c>
      <c r="C1801" s="26" t="n">
        <v>1082</v>
      </c>
      <c r="D1801" s="14" t="inlineStr">
        <is>
          <t>COLÉGIO MUNICIPAL GOVERNADOR CÉSAR BORGES</t>
        </is>
      </c>
      <c r="E1801" s="14" t="inlineStr">
        <is>
          <t>CAMPINHO</t>
        </is>
      </c>
      <c r="F1801" s="14" t="inlineStr">
        <is>
          <t>RUA FORTALEZA, N. 01 - ZONA URBANA</t>
        </is>
      </c>
      <c r="G1801" s="27" t="inlineStr">
        <is>
          <t>45810-000</t>
        </is>
      </c>
      <c r="H1801" s="15" t="n">
        <v>11</v>
      </c>
      <c r="I1801" s="28" t="inlineStr">
        <is>
          <t>NÃO</t>
        </is>
      </c>
      <c r="J1801" s="29" t="n">
        <v>380.5</v>
      </c>
      <c r="K1801" s="14" t="str">
        <f>IF(J1801="","7. Acima de 2 km",IF(J1801&lt;=50,"1. Até 50 m",IF(J1801&lt;=100,"2. De 50 a 100 m",IF(J1801&lt;=200,"3. De 100 a 200 m",IF(J1801&lt;=300,"4. De 200 a 300 m",IF(J1801&lt;=500,"5. De 300 a 500 m","6. De 500 m a 2 km"))))))</f>
        <v>5. De 300 a 500 m</v>
      </c>
      <c r="L1801" s="26" t="n">
        <v>0</v>
      </c>
      <c r="M1801" s="26" t="n">
        <v>0</v>
      </c>
      <c r="N1801" s="26" t="n">
        <v>0</v>
      </c>
      <c r="O1801" s="26" t="n">
        <v>0</v>
      </c>
      <c r="P1801" s="30" t="n">
        <v>-16.443346</v>
      </c>
      <c r="Q1801" s="30" t="n">
        <v>-39.0779555</v>
      </c>
      <c r="R1801" s="14" t="inlineStr">
        <is>
          <t>RUA DA JAQUEIRA, 562, TABAPIRI, PORTO SEGURO/BA</t>
        </is>
      </c>
      <c r="S1801" s="26">
        <f>IF(A1801=A1800,0,1)</f>
        <v>0</v>
      </c>
      <c r="T1801" s="26">
        <f>IF(COUNTIF($B$4:B1801,B1801)=1,1,0)</f>
        <v>0</v>
      </c>
    </row>
    <row r="1802">
      <c r="A1802" s="14" t="inlineStr">
        <is>
          <t>PORTO SEGURO</t>
        </is>
      </c>
      <c r="B1802" s="26" t="n">
        <v>121</v>
      </c>
      <c r="C1802" s="26" t="n">
        <v>1147</v>
      </c>
      <c r="D1802" s="14" t="inlineStr">
        <is>
          <t>EVOLUÇÃO CENTRO EDUCACIONAL</t>
        </is>
      </c>
      <c r="E1802" s="14" t="inlineStr">
        <is>
          <t>MUNDAÍ</t>
        </is>
      </c>
      <c r="F1802" s="14" t="inlineStr">
        <is>
          <t>AV. BAHIA, S/N - ZONA URBANA</t>
        </is>
      </c>
      <c r="G1802" s="27" t="inlineStr">
        <is>
          <t>45810-000</t>
        </is>
      </c>
      <c r="H1802" s="15" t="n">
        <v>10</v>
      </c>
      <c r="I1802" s="28" t="inlineStr">
        <is>
          <t>NÃO</t>
        </is>
      </c>
      <c r="J1802" s="29" t="n">
        <v>999.3</v>
      </c>
      <c r="K1802" s="14" t="str">
        <f>IF(J1802="","7. Acima de 2 km",IF(J1802&lt;=50,"1. Até 50 m",IF(J1802&lt;=100,"2. De 50 a 100 m",IF(J1802&lt;=200,"3. De 100 a 200 m",IF(J1802&lt;=300,"4. De 200 a 300 m",IF(J1802&lt;=500,"5. De 300 a 500 m","6. De 500 m a 2 km"))))))</f>
        <v>6. De 500 m a 2 km</v>
      </c>
      <c r="L1802" s="26" t="n">
        <v>0</v>
      </c>
      <c r="M1802" s="26" t="n">
        <v>0</v>
      </c>
      <c r="N1802" s="26" t="n">
        <v>0</v>
      </c>
      <c r="O1802" s="26" t="n">
        <v>0</v>
      </c>
      <c r="P1802" s="30" t="n">
        <v>-16.4070846</v>
      </c>
      <c r="Q1802" s="30" t="n">
        <v>-39.049288</v>
      </c>
      <c r="R1802" s="14" t="inlineStr">
        <is>
          <t>RUA DA JAQUEIRA, 562, TABAPIRI, PORTO SEGURO/BA</t>
        </is>
      </c>
      <c r="S1802" s="26">
        <f>IF(A1802=A1801,0,1)</f>
        <v>0</v>
      </c>
      <c r="T1802" s="26">
        <f>IF(COUNTIF($B$4:B1802,B1802)=1,1,0)</f>
        <v>0</v>
      </c>
    </row>
    <row r="1803">
      <c r="A1803" s="14" t="inlineStr">
        <is>
          <t>PORTO SEGURO</t>
        </is>
      </c>
      <c r="B1803" s="26" t="n">
        <v>121</v>
      </c>
      <c r="C1803" s="26" t="n">
        <v>1155</v>
      </c>
      <c r="D1803" s="14" t="inlineStr">
        <is>
          <t>COMPLEXO INTEGRADO DE EDUCAÇÃO BÁSICA - CIEB</t>
        </is>
      </c>
      <c r="E1803" s="14" t="inlineStr">
        <is>
          <t>CENTRO</t>
        </is>
      </c>
      <c r="F1803" s="14" t="inlineStr">
        <is>
          <t>RUA GENERAL FREITAS, 57- ZONA URBANA</t>
        </is>
      </c>
      <c r="G1803" s="27" t="inlineStr">
        <is>
          <t>45810-000</t>
        </is>
      </c>
      <c r="H1803" s="15" t="n">
        <v>13</v>
      </c>
      <c r="I1803" s="28" t="inlineStr">
        <is>
          <t>NÃO</t>
        </is>
      </c>
      <c r="J1803" s="29" t="n">
        <v>371.5</v>
      </c>
      <c r="K1803" s="14" t="str">
        <f>IF(J1803="","7. Acima de 2 km",IF(J1803&lt;=50,"1. Até 50 m",IF(J1803&lt;=100,"2. De 50 a 100 m",IF(J1803&lt;=200,"3. De 100 a 200 m",IF(J1803&lt;=300,"4. De 200 a 300 m",IF(J1803&lt;=500,"5. De 300 a 500 m","6. De 500 m a 2 km"))))))</f>
        <v>5. De 300 a 500 m</v>
      </c>
      <c r="L1803" s="26" t="n">
        <v>0</v>
      </c>
      <c r="M1803" s="26" t="n">
        <v>0</v>
      </c>
      <c r="N1803" s="26" t="n">
        <v>0</v>
      </c>
      <c r="O1803" s="26" t="n">
        <v>0</v>
      </c>
      <c r="P1803" s="30" t="n">
        <v>-16.4499415</v>
      </c>
      <c r="Q1803" s="30" t="n">
        <v>-39.0645135</v>
      </c>
      <c r="R1803" s="14" t="inlineStr">
        <is>
          <t>RUA DA JAQUEIRA, 562, TABAPIRI, PORTO SEGURO/BA</t>
        </is>
      </c>
      <c r="S1803" s="26">
        <f>IF(A1803=A1802,0,1)</f>
        <v>0</v>
      </c>
      <c r="T1803" s="26">
        <f>IF(COUNTIF($B$4:B1803,B1803)=1,1,0)</f>
        <v>0</v>
      </c>
    </row>
    <row r="1804">
      <c r="A1804" s="14" t="inlineStr">
        <is>
          <t>PORTO SEGURO</t>
        </is>
      </c>
      <c r="B1804" s="26" t="n">
        <v>121</v>
      </c>
      <c r="C1804" s="26" t="n">
        <v>1180</v>
      </c>
      <c r="D1804" s="14" t="inlineStr">
        <is>
          <t>SENAC PORTO SEGURO</t>
        </is>
      </c>
      <c r="E1804" s="14" t="inlineStr">
        <is>
          <t>TAPERAPUAN</t>
        </is>
      </c>
      <c r="F1804" s="14" t="inlineStr">
        <is>
          <t>AVENIDA VILLAGE, 287 - ZONA URBANA</t>
        </is>
      </c>
      <c r="G1804" s="27" t="inlineStr">
        <is>
          <t>45810-000</t>
        </is>
      </c>
      <c r="H1804" s="15" t="n">
        <v>3</v>
      </c>
      <c r="I1804" s="28" t="inlineStr">
        <is>
          <t>NÃO</t>
        </is>
      </c>
      <c r="J1804" s="29" t="n">
        <v>1319.5</v>
      </c>
      <c r="K1804" s="14" t="str">
        <f>IF(J1804="","7. Acima de 2 km",IF(J1804&lt;=50,"1. Até 50 m",IF(J1804&lt;=100,"2. De 50 a 100 m",IF(J1804&lt;=200,"3. De 100 a 200 m",IF(J1804&lt;=300,"4. De 200 a 300 m",IF(J1804&lt;=500,"5. De 300 a 500 m","6. De 500 m a 2 km"))))))</f>
        <v>6. De 500 m a 2 km</v>
      </c>
      <c r="L1804" s="26" t="n">
        <v>0</v>
      </c>
      <c r="M1804" s="26" t="n">
        <v>0</v>
      </c>
      <c r="N1804" s="26" t="n">
        <v>0</v>
      </c>
      <c r="O1804" s="26" t="n">
        <v>0</v>
      </c>
      <c r="P1804" s="30" t="n">
        <v>-16.3844879</v>
      </c>
      <c r="Q1804" s="30" t="n">
        <v>-39.0381297</v>
      </c>
      <c r="R1804" s="14" t="inlineStr">
        <is>
          <t>RUA DA JAQUEIRA, 562, TABAPIRI, PORTO SEGURO/BA</t>
        </is>
      </c>
      <c r="S1804" s="26">
        <f>IF(A1804=A1803,0,1)</f>
        <v>0</v>
      </c>
      <c r="T1804" s="26">
        <f>IF(COUNTIF($B$4:B1804,B1804)=1,1,0)</f>
        <v>0</v>
      </c>
    </row>
    <row r="1805">
      <c r="A1805" s="14" t="inlineStr">
        <is>
          <t>PORTO SEGURO</t>
        </is>
      </c>
      <c r="B1805" s="26" t="n">
        <v>121</v>
      </c>
      <c r="C1805" s="26" t="n">
        <v>1198</v>
      </c>
      <c r="D1805" s="14" t="inlineStr">
        <is>
          <t>UNIVERSIDADE FEDERAL DO SUL DA BAHIA - UFSB</t>
        </is>
      </c>
      <c r="E1805" s="14" t="inlineStr">
        <is>
          <t>BR 367 PORTOSEGURO-EUNÁPOLIS</t>
        </is>
      </c>
      <c r="F1805" s="14" t="inlineStr">
        <is>
          <t>BR 367 KM 10 - ZONA RURAL</t>
        </is>
      </c>
      <c r="G1805" s="27" t="inlineStr">
        <is>
          <t>45810-000</t>
        </is>
      </c>
      <c r="H1805" s="15" t="n">
        <v>1</v>
      </c>
      <c r="I1805" s="28" t="inlineStr">
        <is>
          <t>NÃO</t>
        </is>
      </c>
      <c r="J1805" s="29" t="n"/>
      <c r="K1805" s="14" t="str">
        <f>IF(J1805="","7. Acima de 2 km",IF(J1805&lt;=50,"1. Até 50 m",IF(J1805&lt;=100,"2. De 50 a 100 m",IF(J1805&lt;=200,"3. De 100 a 200 m",IF(J1805&lt;=300,"4. De 200 a 300 m",IF(J1805&lt;=500,"5. De 300 a 500 m","6. De 500 m a 2 km"))))))</f>
        <v>7. Acima de 2 km</v>
      </c>
      <c r="L1805" s="26" t="n">
        <v>0</v>
      </c>
      <c r="M1805" s="26" t="n">
        <v>0</v>
      </c>
      <c r="N1805" s="26" t="n">
        <v>0</v>
      </c>
      <c r="O1805" s="26" t="n">
        <v>0</v>
      </c>
      <c r="P1805" s="30" t="n">
        <v>-16.419799</v>
      </c>
      <c r="Q1805" s="30" t="n">
        <v>-39.1363071</v>
      </c>
      <c r="R1805" s="14" t="inlineStr">
        <is>
          <t>RUA DA JAQUEIRA, 562, TABAPIRI, PORTO SEGURO/BA</t>
        </is>
      </c>
      <c r="S1805" s="26">
        <f>IF(A1805=A1804,0,1)</f>
        <v>0</v>
      </c>
      <c r="T1805" s="26">
        <f>IF(COUNTIF($B$4:B1805,B1805)=1,1,0)</f>
        <v>0</v>
      </c>
    </row>
    <row r="1806">
      <c r="A1806" s="14" t="inlineStr">
        <is>
          <t>PORTO SEGURO</t>
        </is>
      </c>
      <c r="B1806" s="26" t="n">
        <v>122</v>
      </c>
      <c r="C1806" s="26" t="n">
        <v>1090</v>
      </c>
      <c r="D1806" s="14" t="inlineStr">
        <is>
          <t>COLÉGIO ESTADUAL ARRAIAL D'AJUDA</t>
        </is>
      </c>
      <c r="E1806" s="14" t="inlineStr">
        <is>
          <t>POVOADO ARRAIAL D'AJUDA</t>
        </is>
      </c>
      <c r="F1806" s="14" t="inlineStr">
        <is>
          <t>RUA DAS PALMEIRAS, S/N - SÃO PEDRO - ZONA RURAL</t>
        </is>
      </c>
      <c r="G1806" s="27" t="inlineStr">
        <is>
          <t>45810-000</t>
        </is>
      </c>
      <c r="H1806" s="15" t="n">
        <v>8</v>
      </c>
      <c r="I1806" s="28" t="inlineStr">
        <is>
          <t>NÃO</t>
        </is>
      </c>
      <c r="J1806" s="29" t="n">
        <v>928</v>
      </c>
      <c r="K1806" s="14" t="str">
        <f>IF(J1806="","7. Acima de 2 km",IF(J1806&lt;=50,"1. Até 50 m",IF(J1806&lt;=100,"2. De 50 a 100 m",IF(J1806&lt;=200,"3. De 100 a 200 m",IF(J1806&lt;=300,"4. De 200 a 300 m",IF(J1806&lt;=500,"5. De 300 a 500 m","6. De 500 m a 2 km"))))))</f>
        <v>6. De 500 m a 2 km</v>
      </c>
      <c r="L1806" s="26" t="n">
        <v>0</v>
      </c>
      <c r="M1806" s="26" t="n">
        <v>0</v>
      </c>
      <c r="N1806" s="26" t="n">
        <v>0</v>
      </c>
      <c r="O1806" s="26" t="n">
        <v>0</v>
      </c>
      <c r="P1806" s="30" t="n">
        <v>-16.4856465</v>
      </c>
      <c r="Q1806" s="30" t="n">
        <v>-39.0835603</v>
      </c>
      <c r="R1806" s="14" t="inlineStr">
        <is>
          <t>FORUM ELEITORAL DE PORTO SEGURO - RUA DA JAQUEIRA, 562, TABAPIRI, PORTO SEGURO/BA</t>
        </is>
      </c>
      <c r="S1806" s="26">
        <f>IF(A1806=A1805,0,1)</f>
        <v>0</v>
      </c>
      <c r="T1806" s="26">
        <f>IF(COUNTIF($B$4:B1806,B1806)=1,1,0)</f>
        <v>1</v>
      </c>
    </row>
    <row r="1807">
      <c r="A1807" s="14" t="inlineStr">
        <is>
          <t>PORTO SEGURO</t>
        </is>
      </c>
      <c r="B1807" s="26" t="n">
        <v>122</v>
      </c>
      <c r="C1807" s="26" t="n">
        <v>1104</v>
      </c>
      <c r="D1807" s="14" t="inlineStr">
        <is>
          <t>COLÉGIO MUNICIPAL PROFESSORA RITA DE CÁSSIA SILVA SANTOS</t>
        </is>
      </c>
      <c r="E1807" s="14" t="inlineStr">
        <is>
          <t>POVOADO ARRAIAL D'AJUDA</t>
        </is>
      </c>
      <c r="F1807" s="14" t="inlineStr">
        <is>
          <t>RUA DAS PALMEIRAS, S/N - SÃO PEDRO - ZONA RURAL</t>
        </is>
      </c>
      <c r="G1807" s="27" t="inlineStr">
        <is>
          <t>48510-000</t>
        </is>
      </c>
      <c r="H1807" s="15" t="n">
        <v>13</v>
      </c>
      <c r="I1807" s="28" t="inlineStr">
        <is>
          <t>NÃO</t>
        </is>
      </c>
      <c r="J1807" s="29" t="n">
        <v>1036.6</v>
      </c>
      <c r="K1807" s="14" t="str">
        <f>IF(J1807="","7. Acima de 2 km",IF(J1807&lt;=50,"1. Até 50 m",IF(J1807&lt;=100,"2. De 50 a 100 m",IF(J1807&lt;=200,"3. De 100 a 200 m",IF(J1807&lt;=300,"4. De 200 a 300 m",IF(J1807&lt;=500,"5. De 300 a 500 m","6. De 500 m a 2 km"))))))</f>
        <v>6. De 500 m a 2 km</v>
      </c>
      <c r="L1807" s="26" t="n">
        <v>0</v>
      </c>
      <c r="M1807" s="26" t="n">
        <v>0</v>
      </c>
      <c r="N1807" s="26" t="n">
        <v>0</v>
      </c>
      <c r="O1807" s="26" t="n">
        <v>0</v>
      </c>
      <c r="P1807" s="30" t="n">
        <v>-16.4849231</v>
      </c>
      <c r="Q1807" s="30" t="n">
        <v>-39.0842606</v>
      </c>
      <c r="R1807" s="14" t="inlineStr">
        <is>
          <t>FORUM ELEITORAL DE PORTO SEGURO - RUA DA JAQUEIRA, 562, TABAPIRI, PORTO SEGURO/BA</t>
        </is>
      </c>
      <c r="S1807" s="26">
        <f>IF(A1807=A1806,0,1)</f>
        <v>0</v>
      </c>
      <c r="T1807" s="26">
        <f>IF(COUNTIF($B$4:B1807,B1807)=1,1,0)</f>
        <v>0</v>
      </c>
    </row>
    <row r="1808">
      <c r="A1808" s="14" t="inlineStr">
        <is>
          <t>PORTO SEGURO</t>
        </is>
      </c>
      <c r="B1808" s="26" t="n">
        <v>122</v>
      </c>
      <c r="C1808" s="26" t="n">
        <v>1147</v>
      </c>
      <c r="D1808" s="14" t="inlineStr">
        <is>
          <t>ESCOLA ALEGRIA DO SABER</t>
        </is>
      </c>
      <c r="E1808" s="14" t="inlineStr">
        <is>
          <t>DISTRITO DE CARAÍVA</t>
        </is>
      </c>
      <c r="F1808" s="14" t="inlineStr">
        <is>
          <t>RUA DO CAMPO, S/N - NOVA CARAÍVA - ZONA RURAL</t>
        </is>
      </c>
      <c r="G1808" s="27" t="inlineStr">
        <is>
          <t>45810-000</t>
        </is>
      </c>
      <c r="H1808" s="15" t="n">
        <v>5</v>
      </c>
      <c r="I1808" s="28" t="inlineStr">
        <is>
          <t>NÃO</t>
        </is>
      </c>
      <c r="J1808" s="29" t="n"/>
      <c r="K1808" s="14" t="str">
        <f>IF(J1808="","7. Acima de 2 km",IF(J1808&lt;=50,"1. Até 50 m",IF(J1808&lt;=100,"2. De 50 a 100 m",IF(J1808&lt;=200,"3. De 100 a 200 m",IF(J1808&lt;=300,"4. De 200 a 300 m",IF(J1808&lt;=500,"5. De 300 a 500 m","6. De 500 m a 2 km"))))))</f>
        <v>7. Acima de 2 km</v>
      </c>
      <c r="L1808" s="26" t="n">
        <v>0</v>
      </c>
      <c r="M1808" s="26" t="n">
        <v>0</v>
      </c>
      <c r="N1808" s="26" t="n">
        <v>0</v>
      </c>
      <c r="O1808" s="26" t="n">
        <v>0</v>
      </c>
      <c r="P1808" s="30" t="n">
        <v>-16.7944417</v>
      </c>
      <c r="Q1808" s="30" t="n">
        <v>-39.1516</v>
      </c>
      <c r="R1808" s="14" t="inlineStr">
        <is>
          <t>FORUM ELEITORAL DE PORTO SEGURO - RUA DA JAQUEIRA, 562, TABAPIRI, PORTO SEGURO/BA</t>
        </is>
      </c>
      <c r="S1808" s="26">
        <f>IF(A1808=A1807,0,1)</f>
        <v>0</v>
      </c>
      <c r="T1808" s="26">
        <f>IF(COUNTIF($B$4:B1808,B1808)=1,1,0)</f>
        <v>0</v>
      </c>
    </row>
    <row r="1809">
      <c r="A1809" s="14" t="inlineStr">
        <is>
          <t>PORTO SEGURO</t>
        </is>
      </c>
      <c r="B1809" s="26" t="n">
        <v>122</v>
      </c>
      <c r="C1809" s="26" t="n">
        <v>1236</v>
      </c>
      <c r="D1809" s="14" t="inlineStr">
        <is>
          <t>ESCOLA MUNICIPAL GOVERNADOR PAULO SOUTO</t>
        </is>
      </c>
      <c r="E1809" s="14" t="inlineStr">
        <is>
          <t>FREI CALIXTO</t>
        </is>
      </c>
      <c r="F1809" s="14" t="inlineStr">
        <is>
          <t>RUA VALDÍVIO COSTA, S/N - ZONA URBANA</t>
        </is>
      </c>
      <c r="G1809" s="27" t="inlineStr">
        <is>
          <t>45810-000</t>
        </is>
      </c>
      <c r="H1809" s="15" t="n">
        <v>15</v>
      </c>
      <c r="I1809" s="28" t="inlineStr">
        <is>
          <t>NÃO</t>
        </is>
      </c>
      <c r="J1809" s="29" t="n">
        <v>1225.5</v>
      </c>
      <c r="K1809" s="14" t="str">
        <f>IF(J1809="","7. Acima de 2 km",IF(J1809&lt;=50,"1. Até 50 m",IF(J1809&lt;=100,"2. De 50 a 100 m",IF(J1809&lt;=200,"3. De 100 a 200 m",IF(J1809&lt;=300,"4. De 200 a 300 m",IF(J1809&lt;=500,"5. De 300 a 500 m","6. De 500 m a 2 km"))))))</f>
        <v>6. De 500 m a 2 km</v>
      </c>
      <c r="L1809" s="26" t="n">
        <v>0</v>
      </c>
      <c r="M1809" s="26" t="n">
        <v>0</v>
      </c>
      <c r="N1809" s="26" t="n">
        <v>0</v>
      </c>
      <c r="O1809" s="26" t="n">
        <v>0</v>
      </c>
      <c r="P1809" s="30" t="n">
        <v>-16.4156691</v>
      </c>
      <c r="Q1809" s="30" t="n">
        <v>-39.0892501</v>
      </c>
      <c r="R1809" s="14" t="inlineStr">
        <is>
          <t>FORUM ELEITORAL DE PORTO SEGURO - RUA DA JAQUEIRA, 562, TABAPIRI, PORTO SEGURO/BA</t>
        </is>
      </c>
      <c r="S1809" s="26">
        <f>IF(A1809=A1808,0,1)</f>
        <v>0</v>
      </c>
      <c r="T1809" s="26">
        <f>IF(COUNTIF($B$4:B1809,B1809)=1,1,0)</f>
        <v>0</v>
      </c>
    </row>
    <row r="1810">
      <c r="A1810" s="14" t="inlineStr">
        <is>
          <t>PORTO SEGURO</t>
        </is>
      </c>
      <c r="B1810" s="26" t="n">
        <v>122</v>
      </c>
      <c r="C1810" s="26" t="n">
        <v>1260</v>
      </c>
      <c r="D1810" s="14" t="inlineStr">
        <is>
          <t>ESCOLA MUNICIPAL DE ITAPORANGA</t>
        </is>
      </c>
      <c r="E1810" s="14" t="inlineStr">
        <is>
          <t>POVOADO ITAPORANGA</t>
        </is>
      </c>
      <c r="F1810" s="14" t="inlineStr">
        <is>
          <t>ESTRADA PARA CARAÍVA, S/N - ZONA RURAL</t>
        </is>
      </c>
      <c r="G1810" s="27" t="inlineStr">
        <is>
          <t>45810-000</t>
        </is>
      </c>
      <c r="H1810" s="15" t="n">
        <v>5</v>
      </c>
      <c r="I1810" s="28" t="inlineStr">
        <is>
          <t>NÃO</t>
        </is>
      </c>
      <c r="J1810" s="29" t="n"/>
      <c r="K1810" s="14" t="str">
        <f>IF(J1810="","7. Acima de 2 km",IF(J1810&lt;=50,"1. Até 50 m",IF(J1810&lt;=100,"2. De 50 a 100 m",IF(J1810&lt;=200,"3. De 100 a 200 m",IF(J1810&lt;=300,"4. De 200 a 300 m",IF(J1810&lt;=500,"5. De 300 a 500 m","6. De 500 m a 2 km"))))))</f>
        <v>7. Acima de 2 km</v>
      </c>
      <c r="L1810" s="26" t="n">
        <v>0</v>
      </c>
      <c r="M1810" s="26" t="n">
        <v>0</v>
      </c>
      <c r="N1810" s="26" t="n">
        <v>0</v>
      </c>
      <c r="O1810" s="26" t="n">
        <v>0</v>
      </c>
      <c r="P1810" s="30" t="n">
        <v>-16.6609917</v>
      </c>
      <c r="Q1810" s="30" t="n">
        <v>-39.1450883</v>
      </c>
      <c r="R1810" s="14" t="inlineStr">
        <is>
          <t>FORUM ELEITORAL DE PORTO SEGURO - RUA DA JAQUEIRA, 562, TABAPIRI, PORTO SEGURO/BA</t>
        </is>
      </c>
      <c r="S1810" s="26">
        <f>IF(A1810=A1809,0,1)</f>
        <v>0</v>
      </c>
      <c r="T1810" s="26">
        <f>IF(COUNTIF($B$4:B1810,B1810)=1,1,0)</f>
        <v>0</v>
      </c>
    </row>
    <row r="1811">
      <c r="A1811" s="14" t="inlineStr">
        <is>
          <t>PORTO SEGURO</t>
        </is>
      </c>
      <c r="B1811" s="26" t="n">
        <v>122</v>
      </c>
      <c r="C1811" s="26" t="n">
        <v>1279</v>
      </c>
      <c r="D1811" s="14" t="inlineStr">
        <is>
          <t>ESCOLA MUNICIPAL HONORINA PASSOS</t>
        </is>
      </c>
      <c r="E1811" s="14" t="inlineStr">
        <is>
          <t>POVOADO TRANCOSO</t>
        </is>
      </c>
      <c r="F1811" s="14" t="inlineStr">
        <is>
          <t>AVENIDA ITABELA, S/N - ZONA RURAL</t>
        </is>
      </c>
      <c r="G1811" s="27" t="inlineStr">
        <is>
          <t>45810-000</t>
        </is>
      </c>
      <c r="H1811" s="15" t="n">
        <v>9</v>
      </c>
      <c r="I1811" s="28" t="inlineStr">
        <is>
          <t>NÃO</t>
        </is>
      </c>
      <c r="J1811" s="29" t="n">
        <v>269.2</v>
      </c>
      <c r="K1811" s="14" t="str">
        <f>IF(J1811="","7. Acima de 2 km",IF(J1811&lt;=50,"1. Até 50 m",IF(J1811&lt;=100,"2. De 50 a 100 m",IF(J1811&lt;=200,"3. De 100 a 200 m",IF(J1811&lt;=300,"4. De 200 a 300 m",IF(J1811&lt;=500,"5. De 300 a 500 m","6. De 500 m a 2 km"))))))</f>
        <v>4. De 200 a 300 m</v>
      </c>
      <c r="L1811" s="26" t="n">
        <v>0</v>
      </c>
      <c r="M1811" s="26" t="n">
        <v>0</v>
      </c>
      <c r="N1811" s="26" t="n">
        <v>0</v>
      </c>
      <c r="O1811" s="26" t="n">
        <v>1</v>
      </c>
      <c r="P1811" s="30" t="n">
        <v>-16.5905804</v>
      </c>
      <c r="Q1811" s="30" t="n">
        <v>-39.1019299</v>
      </c>
      <c r="R1811" s="14" t="inlineStr">
        <is>
          <t>FORUM ELEITORAL DE PORTO SEGURO - RUA DA JAQUEIRA, 562, TABAPIRI, PORTO SEGURO/BA</t>
        </is>
      </c>
      <c r="S1811" s="26">
        <f>IF(A1811=A1810,0,1)</f>
        <v>0</v>
      </c>
      <c r="T1811" s="26">
        <f>IF(COUNTIF($B$4:B1811,B1811)=1,1,0)</f>
        <v>0</v>
      </c>
    </row>
    <row r="1812">
      <c r="A1812" s="14" t="inlineStr">
        <is>
          <t>PORTO SEGURO</t>
        </is>
      </c>
      <c r="B1812" s="26" t="n">
        <v>122</v>
      </c>
      <c r="C1812" s="26" t="n">
        <v>1287</v>
      </c>
      <c r="D1812" s="14" t="inlineStr">
        <is>
          <t>ESCOLA MUNICIPAL MARIA DOS ANJOS</t>
        </is>
      </c>
      <c r="E1812" s="14" t="inlineStr">
        <is>
          <t>POVOADO TRANCOSO</t>
        </is>
      </c>
      <c r="F1812" s="14" t="inlineStr">
        <is>
          <t>AVENIDA ITABELA, S/N - CONDOMÍNIO 2000 - ZONA RURAL</t>
        </is>
      </c>
      <c r="G1812" s="27" t="inlineStr">
        <is>
          <t>45810-000</t>
        </is>
      </c>
      <c r="H1812" s="15" t="n">
        <v>17</v>
      </c>
      <c r="I1812" s="28" t="inlineStr">
        <is>
          <t>NÃO</t>
        </is>
      </c>
      <c r="J1812" s="29" t="n">
        <v>604</v>
      </c>
      <c r="K1812" s="14" t="str">
        <f>IF(J1812="","7. Acima de 2 km",IF(J1812&lt;=50,"1. Até 50 m",IF(J1812&lt;=100,"2. De 50 a 100 m",IF(J1812&lt;=200,"3. De 100 a 200 m",IF(J1812&lt;=300,"4. De 200 a 300 m",IF(J1812&lt;=500,"5. De 300 a 500 m","6. De 500 m a 2 km"))))))</f>
        <v>6. De 500 m a 2 km</v>
      </c>
      <c r="L1812" s="26" t="n">
        <v>0</v>
      </c>
      <c r="M1812" s="26" t="n">
        <v>0</v>
      </c>
      <c r="N1812" s="26" t="n">
        <v>0</v>
      </c>
      <c r="O1812" s="26" t="n">
        <v>0</v>
      </c>
      <c r="P1812" s="30" t="n">
        <v>-16.5949834</v>
      </c>
      <c r="Q1812" s="30" t="n">
        <v>-39.1093013</v>
      </c>
      <c r="R1812" s="14" t="inlineStr">
        <is>
          <t>FORUM ELEITORAL DE PORTO SEGURO - RUA DA JAQUEIRA, 562, TABAPIRI, PORTO SEGURO/BA</t>
        </is>
      </c>
      <c r="S1812" s="26">
        <f>IF(A1812=A1811,0,1)</f>
        <v>0</v>
      </c>
      <c r="T1812" s="26">
        <f>IF(COUNTIF($B$4:B1812,B1812)=1,1,0)</f>
        <v>0</v>
      </c>
    </row>
    <row r="1813">
      <c r="A1813" s="14" t="inlineStr">
        <is>
          <t>PORTO SEGURO</t>
        </is>
      </c>
      <c r="B1813" s="26" t="n">
        <v>122</v>
      </c>
      <c r="C1813" s="26" t="n">
        <v>1333</v>
      </c>
      <c r="D1813" s="14" t="inlineStr">
        <is>
          <t>ESCOLA MANOEL RIBEIRO CARNEIRO</t>
        </is>
      </c>
      <c r="E1813" s="14" t="inlineStr">
        <is>
          <t>DISTRITO VALE VERDE</t>
        </is>
      </c>
      <c r="F1813" s="14" t="inlineStr">
        <is>
          <t>PRAÇA DIVINO ESPÍRITO SANTO, S/N - ZONA RURAL</t>
        </is>
      </c>
      <c r="G1813" s="27" t="inlineStr">
        <is>
          <t>45810-000</t>
        </is>
      </c>
      <c r="H1813" s="15" t="n">
        <v>4</v>
      </c>
      <c r="I1813" s="28" t="inlineStr">
        <is>
          <t>NÃO</t>
        </is>
      </c>
      <c r="J1813" s="29" t="n">
        <v>400.9</v>
      </c>
      <c r="K1813" s="14" t="str">
        <f>IF(J1813="","7. Acima de 2 km",IF(J1813&lt;=50,"1. Até 50 m",IF(J1813&lt;=100,"2. De 50 a 100 m",IF(J1813&lt;=200,"3. De 100 a 200 m",IF(J1813&lt;=300,"4. De 200 a 300 m",IF(J1813&lt;=500,"5. De 300 a 500 m","6. De 500 m a 2 km"))))))</f>
        <v>5. De 300 a 500 m</v>
      </c>
      <c r="L1813" s="26" t="n">
        <v>0</v>
      </c>
      <c r="M1813" s="26" t="n">
        <v>0</v>
      </c>
      <c r="N1813" s="26" t="n">
        <v>0</v>
      </c>
      <c r="O1813" s="26" t="n">
        <v>0</v>
      </c>
      <c r="P1813" s="30" t="n">
        <v>-16.4249884</v>
      </c>
      <c r="Q1813" s="30" t="n">
        <v>-39.2170516</v>
      </c>
      <c r="R1813" s="14" t="inlineStr">
        <is>
          <t>FORUM ELEITORAL DE PORTO SEGURO - RUA DA JAQUEIRA, 562, TABAPIRI, PORTO SEGURO/BA</t>
        </is>
      </c>
      <c r="S1813" s="26">
        <f>IF(A1813=A1812,0,1)</f>
        <v>0</v>
      </c>
      <c r="T1813" s="26">
        <f>IF(COUNTIF($B$4:B1813,B1813)=1,1,0)</f>
        <v>0</v>
      </c>
    </row>
    <row r="1814">
      <c r="A1814" s="14" t="inlineStr">
        <is>
          <t>PORTO SEGURO</t>
        </is>
      </c>
      <c r="B1814" s="26" t="n">
        <v>122</v>
      </c>
      <c r="C1814" s="26" t="n">
        <v>1406</v>
      </c>
      <c r="D1814" s="14" t="inlineStr">
        <is>
          <t>ESCOLA MUNICIPAL CHICO MENDES</t>
        </is>
      </c>
      <c r="E1814" s="14" t="inlineStr">
        <is>
          <t>MIRANTE CARAVELAS</t>
        </is>
      </c>
      <c r="F1814" s="14" t="inlineStr">
        <is>
          <t>RUA PROJETADA, S/N - ZONA URBANA</t>
        </is>
      </c>
      <c r="G1814" s="27" t="inlineStr">
        <is>
          <t>45810-000</t>
        </is>
      </c>
      <c r="H1814" s="15" t="n">
        <v>10</v>
      </c>
      <c r="I1814" s="28" t="inlineStr">
        <is>
          <t>NÃO</t>
        </is>
      </c>
      <c r="J1814" s="29" t="n">
        <v>114.7</v>
      </c>
      <c r="K1814" s="14" t="str">
        <f>IF(J1814="","7. Acima de 2 km",IF(J1814&lt;=50,"1. Até 50 m",IF(J1814&lt;=100,"2. De 50 a 100 m",IF(J1814&lt;=200,"3. De 100 a 200 m",IF(J1814&lt;=300,"4. De 200 a 300 m",IF(J1814&lt;=500,"5. De 300 a 500 m","6. De 500 m a 2 km"))))))</f>
        <v>3. De 100 a 200 m</v>
      </c>
      <c r="L1814" s="26" t="n">
        <v>0</v>
      </c>
      <c r="M1814" s="26" t="n">
        <v>0</v>
      </c>
      <c r="N1814" s="26" t="n">
        <v>1</v>
      </c>
      <c r="O1814" s="26" t="n">
        <v>1</v>
      </c>
      <c r="P1814" s="30" t="n">
        <v>-16.43264</v>
      </c>
      <c r="Q1814" s="30" t="n">
        <v>-39.0915633</v>
      </c>
      <c r="R1814" s="14" t="inlineStr">
        <is>
          <t>FORUM ELEITORAL DE PORTO SEGURO - RUA DA JAQUEIRA, 562, TABAPIRI, PORTO SEGURO/BA</t>
        </is>
      </c>
      <c r="S1814" s="26">
        <f>IF(A1814=A1813,0,1)</f>
        <v>0</v>
      </c>
      <c r="T1814" s="26">
        <f>IF(COUNTIF($B$4:B1814,B1814)=1,1,0)</f>
        <v>0</v>
      </c>
    </row>
    <row r="1815">
      <c r="A1815" s="14" t="inlineStr">
        <is>
          <t>PORTO SEGURO</t>
        </is>
      </c>
      <c r="B1815" s="26" t="n">
        <v>122</v>
      </c>
      <c r="C1815" s="26" t="n">
        <v>1414</v>
      </c>
      <c r="D1815" s="14" t="inlineStr">
        <is>
          <t>ESCOLA MUNICIPAL DO CAMBOLO</t>
        </is>
      </c>
      <c r="E1815" s="14" t="inlineStr">
        <is>
          <t>CAMBOLO</t>
        </is>
      </c>
      <c r="F1815" s="14" t="inlineStr">
        <is>
          <t>RUA JACARANDÁ, 280 - ZONA URBANA</t>
        </is>
      </c>
      <c r="G1815" s="27" t="inlineStr">
        <is>
          <t>45810-000</t>
        </is>
      </c>
      <c r="H1815" s="15" t="n">
        <v>9</v>
      </c>
      <c r="I1815" s="28" t="inlineStr">
        <is>
          <t>NÃO</t>
        </is>
      </c>
      <c r="J1815" s="29" t="n">
        <v>931.4</v>
      </c>
      <c r="K1815" s="14" t="str">
        <f>IF(J1815="","7. Acima de 2 km",IF(J1815&lt;=50,"1. Até 50 m",IF(J1815&lt;=100,"2. De 50 a 100 m",IF(J1815&lt;=200,"3. De 100 a 200 m",IF(J1815&lt;=300,"4. De 200 a 300 m",IF(J1815&lt;=500,"5. De 300 a 500 m","6. De 500 m a 2 km"))))))</f>
        <v>6. De 500 m a 2 km</v>
      </c>
      <c r="L1815" s="26" t="n">
        <v>0</v>
      </c>
      <c r="M1815" s="26" t="n">
        <v>0</v>
      </c>
      <c r="N1815" s="26" t="n">
        <v>0</v>
      </c>
      <c r="O1815" s="26" t="n">
        <v>0</v>
      </c>
      <c r="P1815" s="30" t="n">
        <v>-16.4227422</v>
      </c>
      <c r="Q1815" s="30" t="n">
        <v>-39.0983619</v>
      </c>
      <c r="R1815" s="14" t="inlineStr">
        <is>
          <t>FORUM ELEITORAL DE PORTO SEGURO - RUA DA JAQUEIRA, 562, TABAPIRI, PORTO SEGURO/BA</t>
        </is>
      </c>
      <c r="S1815" s="26">
        <f>IF(A1815=A1814,0,1)</f>
        <v>0</v>
      </c>
      <c r="T1815" s="26">
        <f>IF(COUNTIF($B$4:B1815,B1815)=1,1,0)</f>
        <v>0</v>
      </c>
    </row>
    <row r="1816">
      <c r="A1816" s="14" t="inlineStr">
        <is>
          <t>PORTO SEGURO</t>
        </is>
      </c>
      <c r="B1816" s="26" t="n">
        <v>122</v>
      </c>
      <c r="C1816" s="26" t="n">
        <v>1422</v>
      </c>
      <c r="D1816" s="14" t="inlineStr">
        <is>
          <t>EDUCANDÁRIO PERO VAZ DE CAMINHA</t>
        </is>
      </c>
      <c r="E1816" s="14" t="inlineStr">
        <is>
          <t>PARAGUAI</t>
        </is>
      </c>
      <c r="F1816" s="14" t="inlineStr">
        <is>
          <t>RUA ADOLFO CHAGAS, S/N - ZONA URBANA</t>
        </is>
      </c>
      <c r="G1816" s="27" t="inlineStr">
        <is>
          <t>45810-000</t>
        </is>
      </c>
      <c r="H1816" s="15" t="n">
        <v>11</v>
      </c>
      <c r="I1816" s="28" t="inlineStr">
        <is>
          <t>NÃO</t>
        </is>
      </c>
      <c r="J1816" s="29" t="n"/>
      <c r="K1816" s="14" t="str">
        <f>IF(J1816="","7. Acima de 2 km",IF(J1816&lt;=50,"1. Até 50 m",IF(J1816&lt;=100,"2. De 50 a 100 m",IF(J1816&lt;=200,"3. De 100 a 200 m",IF(J1816&lt;=300,"4. De 200 a 300 m",IF(J1816&lt;=500,"5. De 300 a 500 m","6. De 500 m a 2 km"))))))</f>
        <v>7. Acima de 2 km</v>
      </c>
      <c r="L1816" s="26" t="n">
        <v>0</v>
      </c>
      <c r="M1816" s="26" t="n">
        <v>0</v>
      </c>
      <c r="N1816" s="26" t="n">
        <v>0</v>
      </c>
      <c r="O1816" s="26" t="n">
        <v>0</v>
      </c>
      <c r="P1816" s="30" t="n">
        <v>-16.4073747</v>
      </c>
      <c r="Q1816" s="30" t="n">
        <v>-39.083439</v>
      </c>
      <c r="R1816" s="14" t="inlineStr">
        <is>
          <t>FORUM ELEITORAL DE PORTO SEGURO - RUA DA JAQUEIRA, 562, TABAPIRI, PORTO SEGURO/BA</t>
        </is>
      </c>
      <c r="S1816" s="26">
        <f>IF(A1816=A1815,0,1)</f>
        <v>0</v>
      </c>
      <c r="T1816" s="26">
        <f>IF(COUNTIF($B$4:B1816,B1816)=1,1,0)</f>
        <v>0</v>
      </c>
    </row>
    <row r="1817">
      <c r="A1817" s="14" t="inlineStr">
        <is>
          <t>PORTO SEGURO</t>
        </is>
      </c>
      <c r="B1817" s="26" t="n">
        <v>122</v>
      </c>
      <c r="C1817" s="26" t="n">
        <v>1457</v>
      </c>
      <c r="D1817" s="14" t="inlineStr">
        <is>
          <t>ESCOLA MUNICIPAL NEILTON DANTAS</t>
        </is>
      </c>
      <c r="E1817" s="14" t="inlineStr">
        <is>
          <t>FREI CALIXTO</t>
        </is>
      </c>
      <c r="F1817" s="14" t="inlineStr">
        <is>
          <t>TRAVESSA MURICI, 84 - CASAS NOVAS - ZONA URBANA</t>
        </is>
      </c>
      <c r="G1817" s="27" t="inlineStr">
        <is>
          <t>45810-000</t>
        </is>
      </c>
      <c r="H1817" s="15" t="n">
        <v>6</v>
      </c>
      <c r="I1817" s="28" t="inlineStr">
        <is>
          <t>NÃO</t>
        </is>
      </c>
      <c r="J1817" s="29" t="n">
        <v>1253.4</v>
      </c>
      <c r="K1817" s="14" t="str">
        <f>IF(J1817="","7. Acima de 2 km",IF(J1817&lt;=50,"1. Até 50 m",IF(J1817&lt;=100,"2. De 50 a 100 m",IF(J1817&lt;=200,"3. De 100 a 200 m",IF(J1817&lt;=300,"4. De 200 a 300 m",IF(J1817&lt;=500,"5. De 300 a 500 m","6. De 500 m a 2 km"))))))</f>
        <v>6. De 500 m a 2 km</v>
      </c>
      <c r="L1817" s="26" t="n">
        <v>0</v>
      </c>
      <c r="M1817" s="26" t="n">
        <v>0</v>
      </c>
      <c r="N1817" s="26" t="n">
        <v>0</v>
      </c>
      <c r="O1817" s="26" t="n">
        <v>0</v>
      </c>
      <c r="P1817" s="30" t="n">
        <v>-16.414335</v>
      </c>
      <c r="Q1817" s="30" t="n">
        <v>-39.0805483</v>
      </c>
      <c r="R1817" s="14" t="inlineStr">
        <is>
          <t>FORUM ELEITORAL DE PORTO SEGURO - RUA DA JAQUEIRA, 562, TABAPIRI, PORTO SEGURO/BA</t>
        </is>
      </c>
      <c r="S1817" s="26">
        <f>IF(A1817=A1816,0,1)</f>
        <v>0</v>
      </c>
      <c r="T1817" s="26">
        <f>IF(COUNTIF($B$4:B1817,B1817)=1,1,0)</f>
        <v>0</v>
      </c>
    </row>
    <row r="1818">
      <c r="A1818" s="14" t="inlineStr">
        <is>
          <t>PORTO SEGURO</t>
        </is>
      </c>
      <c r="B1818" s="26" t="n">
        <v>122</v>
      </c>
      <c r="C1818" s="26" t="n">
        <v>1473</v>
      </c>
      <c r="D1818" s="14" t="inlineStr">
        <is>
          <t>COLÉGIO MUNICIPAL PROFESSOR ÁLVARO HENRIQUE SANTOS</t>
        </is>
      </c>
      <c r="E1818" s="14" t="inlineStr">
        <is>
          <t>FREI CALIXTO</t>
        </is>
      </c>
      <c r="F1818" s="14" t="inlineStr">
        <is>
          <t>RUA PEREIRA SILVA, 02 - ZONA URBANA</t>
        </is>
      </c>
      <c r="G1818" s="27" t="inlineStr">
        <is>
          <t>45810-000</t>
        </is>
      </c>
      <c r="H1818" s="15" t="n">
        <v>22</v>
      </c>
      <c r="I1818" s="28" t="inlineStr">
        <is>
          <t>NÃO</t>
        </is>
      </c>
      <c r="J1818" s="29" t="n">
        <v>1103.6</v>
      </c>
      <c r="K1818" s="14" t="str">
        <f>IF(J1818="","7. Acima de 2 km",IF(J1818&lt;=50,"1. Até 50 m",IF(J1818&lt;=100,"2. De 50 a 100 m",IF(J1818&lt;=200,"3. De 100 a 200 m",IF(J1818&lt;=300,"4. De 200 a 300 m",IF(J1818&lt;=500,"5. De 300 a 500 m","6. De 500 m a 2 km"))))))</f>
        <v>6. De 500 m a 2 km</v>
      </c>
      <c r="L1818" s="26" t="n">
        <v>0</v>
      </c>
      <c r="M1818" s="26" t="n">
        <v>0</v>
      </c>
      <c r="N1818" s="26" t="n">
        <v>0</v>
      </c>
      <c r="O1818" s="26" t="n">
        <v>0</v>
      </c>
      <c r="P1818" s="30" t="n">
        <v>-16.4184027</v>
      </c>
      <c r="Q1818" s="30" t="n">
        <v>-39.0828256</v>
      </c>
      <c r="R1818" s="14" t="inlineStr">
        <is>
          <t>FORUM ELEITORAL DE PORTO SEGURO - RUA DA JAQUEIRA, 562, TABAPIRI, PORTO SEGURO/BA</t>
        </is>
      </c>
      <c r="S1818" s="26">
        <f>IF(A1818=A1817,0,1)</f>
        <v>0</v>
      </c>
      <c r="T1818" s="26">
        <f>IF(COUNTIF($B$4:B1818,B1818)=1,1,0)</f>
        <v>0</v>
      </c>
    </row>
    <row r="1819">
      <c r="A1819" s="14" t="inlineStr">
        <is>
          <t>PORTO SEGURO</t>
        </is>
      </c>
      <c r="B1819" s="26" t="n">
        <v>122</v>
      </c>
      <c r="C1819" s="26" t="n">
        <v>1490</v>
      </c>
      <c r="D1819" s="14" t="inlineStr">
        <is>
          <t>ESCOLA MUNICIPAL HELENA REBOCHO</t>
        </is>
      </c>
      <c r="E1819" s="14" t="inlineStr">
        <is>
          <t>VILA JARDIM</t>
        </is>
      </c>
      <c r="F1819" s="14" t="inlineStr">
        <is>
          <t>PRAÇA DA CAIXA D'ÁGUA, S/N - ZONA URBANA</t>
        </is>
      </c>
      <c r="G1819" s="27" t="inlineStr">
        <is>
          <t>45810-000</t>
        </is>
      </c>
      <c r="H1819" s="15" t="n">
        <v>7</v>
      </c>
      <c r="I1819" s="28" t="inlineStr">
        <is>
          <t>NÃO</t>
        </is>
      </c>
      <c r="J1819" s="29" t="n">
        <v>715.6</v>
      </c>
      <c r="K1819" s="14" t="str">
        <f>IF(J1819="","7. Acima de 2 km",IF(J1819&lt;=50,"1. Até 50 m",IF(J1819&lt;=100,"2. De 50 a 100 m",IF(J1819&lt;=200,"3. De 100 a 200 m",IF(J1819&lt;=300,"4. De 200 a 300 m",IF(J1819&lt;=500,"5. De 300 a 500 m","6. De 500 m a 2 km"))))))</f>
        <v>6. De 500 m a 2 km</v>
      </c>
      <c r="L1819" s="26" t="n">
        <v>0</v>
      </c>
      <c r="M1819" s="26" t="n">
        <v>0</v>
      </c>
      <c r="N1819" s="26" t="n">
        <v>0</v>
      </c>
      <c r="O1819" s="26" t="n">
        <v>0</v>
      </c>
      <c r="P1819" s="30" t="n">
        <v>-16.40842</v>
      </c>
      <c r="Q1819" s="30" t="n">
        <v>-39.1182383</v>
      </c>
      <c r="R1819" s="14" t="inlineStr">
        <is>
          <t>FORUM ELEITORAL DE PORTO SEGURO - RUA DA JAQUEIRA, 562, TABAPIRI, PORTO SEGURO/BA</t>
        </is>
      </c>
      <c r="S1819" s="26">
        <f>IF(A1819=A1818,0,1)</f>
        <v>0</v>
      </c>
      <c r="T1819" s="26">
        <f>IF(COUNTIF($B$4:B1819,B1819)=1,1,0)</f>
        <v>0</v>
      </c>
    </row>
    <row r="1820">
      <c r="A1820" s="14" t="inlineStr">
        <is>
          <t>PORTO SEGURO</t>
        </is>
      </c>
      <c r="B1820" s="26" t="n">
        <v>122</v>
      </c>
      <c r="C1820" s="26" t="n">
        <v>1511</v>
      </c>
      <c r="D1820" s="14" t="inlineStr">
        <is>
          <t>COLÉGIO ESTADUAL DE PORTO SEGURO</t>
        </is>
      </c>
      <c r="E1820" s="14" t="inlineStr">
        <is>
          <t>MIRANTE CARAVELAS</t>
        </is>
      </c>
      <c r="F1820" s="14" t="inlineStr">
        <is>
          <t>RODOVIA BR 367, S/N, KM 58,5 - ZONA URBANA</t>
        </is>
      </c>
      <c r="G1820" s="27" t="inlineStr">
        <is>
          <t>45810-000</t>
        </is>
      </c>
      <c r="H1820" s="15" t="n">
        <v>15</v>
      </c>
      <c r="I1820" s="28" t="inlineStr">
        <is>
          <t>NÃO</t>
        </is>
      </c>
      <c r="J1820" s="29" t="n">
        <v>508.2</v>
      </c>
      <c r="K1820" s="14" t="str">
        <f>IF(J1820="","7. Acima de 2 km",IF(J1820&lt;=50,"1. Até 50 m",IF(J1820&lt;=100,"2. De 50 a 100 m",IF(J1820&lt;=200,"3. De 100 a 200 m",IF(J1820&lt;=300,"4. De 200 a 300 m",IF(J1820&lt;=500,"5. De 300 a 500 m","6. De 500 m a 2 km"))))))</f>
        <v>6. De 500 m a 2 km</v>
      </c>
      <c r="L1820" s="26" t="n">
        <v>0</v>
      </c>
      <c r="M1820" s="26" t="n">
        <v>0</v>
      </c>
      <c r="N1820" s="26" t="n">
        <v>0</v>
      </c>
      <c r="O1820" s="26" t="n">
        <v>0</v>
      </c>
      <c r="P1820" s="30" t="n">
        <v>-16.4345671</v>
      </c>
      <c r="Q1820" s="30" t="n">
        <v>-39.0947032</v>
      </c>
      <c r="R1820" s="14" t="inlineStr">
        <is>
          <t>FORUM ELEITORAL DE PORTO SEGURO - RUA DA JAQUEIRA, 562, TABAPIRI, PORTO SEGURO/BA</t>
        </is>
      </c>
      <c r="S1820" s="26">
        <f>IF(A1820=A1819,0,1)</f>
        <v>0</v>
      </c>
      <c r="T1820" s="26">
        <f>IF(COUNTIF($B$4:B1820,B1820)=1,1,0)</f>
        <v>0</v>
      </c>
    </row>
    <row r="1821">
      <c r="A1821" s="14" t="inlineStr">
        <is>
          <t>PORTO SEGURO</t>
        </is>
      </c>
      <c r="B1821" s="26" t="n">
        <v>122</v>
      </c>
      <c r="C1821" s="26" t="n">
        <v>1520</v>
      </c>
      <c r="D1821" s="14" t="inlineStr">
        <is>
          <t>ESCOLA MUNICIPAL ANTÔNIO OSÓRIO MENEZES BATISTA</t>
        </is>
      </c>
      <c r="E1821" s="14" t="inlineStr">
        <is>
          <t>CAMBOLO</t>
        </is>
      </c>
      <c r="F1821" s="14" t="inlineStr">
        <is>
          <t>RUA MARIA TELES, 102 - ZONA URBANA</t>
        </is>
      </c>
      <c r="G1821" s="27" t="inlineStr">
        <is>
          <t>45810-000</t>
        </is>
      </c>
      <c r="H1821" s="15" t="n">
        <v>8</v>
      </c>
      <c r="I1821" s="28" t="inlineStr">
        <is>
          <t>NÃO</t>
        </is>
      </c>
      <c r="J1821" s="29" t="n">
        <v>819.3</v>
      </c>
      <c r="K1821" s="14" t="str">
        <f>IF(J1821="","7. Acima de 2 km",IF(J1821&lt;=50,"1. Até 50 m",IF(J1821&lt;=100,"2. De 50 a 100 m",IF(J1821&lt;=200,"3. De 100 a 200 m",IF(J1821&lt;=300,"4. De 200 a 300 m",IF(J1821&lt;=500,"5. De 300 a 500 m","6. De 500 m a 2 km"))))))</f>
        <v>6. De 500 m a 2 km</v>
      </c>
      <c r="L1821" s="26" t="n">
        <v>0</v>
      </c>
      <c r="M1821" s="26" t="n">
        <v>0</v>
      </c>
      <c r="N1821" s="26" t="n">
        <v>0</v>
      </c>
      <c r="O1821" s="26" t="n">
        <v>0</v>
      </c>
      <c r="P1821" s="30" t="n">
        <v>-16.4229165</v>
      </c>
      <c r="Q1821" s="30" t="n">
        <v>-39.097263</v>
      </c>
      <c r="R1821" s="14" t="inlineStr">
        <is>
          <t>FORUM ELEITORAL DE PORTO SEGURO - RUA DA JAQUEIRA, 562, TABAPIRI, PORTO SEGURO/BA</t>
        </is>
      </c>
      <c r="S1821" s="26">
        <f>IF(A1821=A1820,0,1)</f>
        <v>0</v>
      </c>
      <c r="T1821" s="26">
        <f>IF(COUNTIF($B$4:B1821,B1821)=1,1,0)</f>
        <v>0</v>
      </c>
    </row>
    <row r="1822">
      <c r="A1822" s="14" t="inlineStr">
        <is>
          <t>PORTO SEGURO</t>
        </is>
      </c>
      <c r="B1822" s="26" t="n">
        <v>122</v>
      </c>
      <c r="C1822" s="26" t="n">
        <v>1538</v>
      </c>
      <c r="D1822" s="14" t="inlineStr">
        <is>
          <t>ESCOLA INDÍGENA PATAXÓ BARRA VELHA</t>
        </is>
      </c>
      <c r="E1822" s="14" t="inlineStr">
        <is>
          <t>DISTRITO DE CARAÍVA</t>
        </is>
      </c>
      <c r="F1822" s="14" t="inlineStr">
        <is>
          <t>ALDEIA BARRA VELHA - ZONA RURAL</t>
        </is>
      </c>
      <c r="G1822" s="27" t="inlineStr">
        <is>
          <t>45819-000</t>
        </is>
      </c>
      <c r="H1822" s="15" t="n">
        <v>4</v>
      </c>
      <c r="I1822" s="28" t="inlineStr">
        <is>
          <t>NÃO</t>
        </is>
      </c>
      <c r="J1822" s="29" t="n"/>
      <c r="K1822" s="14" t="str">
        <f>IF(J1822="","7. Acima de 2 km",IF(J1822&lt;=50,"1. Até 50 m",IF(J1822&lt;=100,"2. De 50 a 100 m",IF(J1822&lt;=200,"3. De 100 a 200 m",IF(J1822&lt;=300,"4. De 200 a 300 m",IF(J1822&lt;=500,"5. De 300 a 500 m","6. De 500 m a 2 km"))))))</f>
        <v>7. Acima de 2 km</v>
      </c>
      <c r="L1822" s="26" t="n">
        <v>0</v>
      </c>
      <c r="M1822" s="26" t="n">
        <v>0</v>
      </c>
      <c r="N1822" s="26" t="n">
        <v>0</v>
      </c>
      <c r="O1822" s="26" t="n">
        <v>0</v>
      </c>
      <c r="P1822" s="30" t="n">
        <v>-16.8645192</v>
      </c>
      <c r="Q1822" s="30" t="n">
        <v>-39.1533293</v>
      </c>
      <c r="R1822" s="14" t="inlineStr">
        <is>
          <t>FORUM ELEITORAL DE PORTO SEGURO - RUA DA JAQUEIRA, 562, TABAPIRI, PORTO SEGURO/BA</t>
        </is>
      </c>
      <c r="S1822" s="26">
        <f>IF(A1822=A1821,0,1)</f>
        <v>0</v>
      </c>
      <c r="T1822" s="26">
        <f>IF(COUNTIF($B$4:B1822,B1822)=1,1,0)</f>
        <v>0</v>
      </c>
    </row>
    <row r="1823">
      <c r="A1823" s="14" t="inlineStr">
        <is>
          <t>PORTO SEGURO</t>
        </is>
      </c>
      <c r="B1823" s="26" t="n">
        <v>122</v>
      </c>
      <c r="C1823" s="26" t="n">
        <v>1546</v>
      </c>
      <c r="D1823" s="14" t="inlineStr">
        <is>
          <t>ESCOLA MUNICIPAL INFANTIL CANTINHO DA PAZ</t>
        </is>
      </c>
      <c r="E1823" s="14" t="inlineStr">
        <is>
          <t>FREI CALIXTO</t>
        </is>
      </c>
      <c r="F1823" s="14" t="inlineStr">
        <is>
          <t>RUA FREI COIMBRA, 700 - MERCADO DO POVO - ZONA URBANA</t>
        </is>
      </c>
      <c r="G1823" s="27" t="inlineStr">
        <is>
          <t>45810-000</t>
        </is>
      </c>
      <c r="H1823" s="15" t="n">
        <v>8</v>
      </c>
      <c r="I1823" s="28" t="inlineStr">
        <is>
          <t>NÃO</t>
        </is>
      </c>
      <c r="J1823" s="29" t="n">
        <v>898.8</v>
      </c>
      <c r="K1823" s="14" t="str">
        <f>IF(J1823="","7. Acima de 2 km",IF(J1823&lt;=50,"1. Até 50 m",IF(J1823&lt;=100,"2. De 50 a 100 m",IF(J1823&lt;=200,"3. De 100 a 200 m",IF(J1823&lt;=300,"4. De 200 a 300 m",IF(J1823&lt;=500,"5. De 300 a 500 m","6. De 500 m a 2 km"))))))</f>
        <v>6. De 500 m a 2 km</v>
      </c>
      <c r="L1823" s="26" t="n">
        <v>0</v>
      </c>
      <c r="M1823" s="26" t="n">
        <v>0</v>
      </c>
      <c r="N1823" s="26" t="n">
        <v>0</v>
      </c>
      <c r="O1823" s="26" t="n">
        <v>0</v>
      </c>
      <c r="P1823" s="30" t="n">
        <v>-16.4224217</v>
      </c>
      <c r="Q1823" s="30" t="n">
        <v>-39.08248</v>
      </c>
      <c r="R1823" s="14" t="inlineStr">
        <is>
          <t>FORUM ELEITORAL DE PORTO SEGURO - RUA DA JAQUEIRA, 562, TABAPIRI, PORTO SEGURO/BA</t>
        </is>
      </c>
      <c r="S1823" s="26">
        <f>IF(A1823=A1822,0,1)</f>
        <v>0</v>
      </c>
      <c r="T1823" s="26">
        <f>IF(COUNTIF($B$4:B1823,B1823)=1,1,0)</f>
        <v>0</v>
      </c>
    </row>
    <row r="1824">
      <c r="A1824" s="14" t="inlineStr">
        <is>
          <t>PORTO SEGURO</t>
        </is>
      </c>
      <c r="B1824" s="26" t="n">
        <v>122</v>
      </c>
      <c r="C1824" s="26" t="n">
        <v>1562</v>
      </c>
      <c r="D1824" s="14" t="inlineStr">
        <is>
          <t>ESCOLA MUNICIPAL PROFESSORA MARIA HELENA RODRIGUES PASCHOARELLI</t>
        </is>
      </c>
      <c r="E1824" s="14" t="inlineStr">
        <is>
          <t>POVOADO ARRAIAL D'AJUDA</t>
        </is>
      </c>
      <c r="F1824" s="14" t="inlineStr">
        <is>
          <t>RUA MANOEL CRESCÊNCIO, S/N - ZONA RURAL</t>
        </is>
      </c>
      <c r="G1824" s="27" t="inlineStr">
        <is>
          <t>45810-000</t>
        </is>
      </c>
      <c r="H1824" s="15" t="n">
        <v>8</v>
      </c>
      <c r="I1824" s="28" t="inlineStr">
        <is>
          <t>SIM</t>
        </is>
      </c>
      <c r="J1824" s="29" t="n">
        <v>86.5</v>
      </c>
      <c r="K1824" s="14" t="str">
        <f>IF(J1824="","7. Acima de 2 km",IF(J1824&lt;=50,"1. Até 50 m",IF(J1824&lt;=100,"2. De 50 a 100 m",IF(J1824&lt;=200,"3. De 100 a 200 m",IF(J1824&lt;=300,"4. De 200 a 300 m",IF(J1824&lt;=500,"5. De 300 a 500 m","6. De 500 m a 2 km"))))))</f>
        <v>2. De 50 a 100 m</v>
      </c>
      <c r="L1824" s="26" t="n">
        <v>0</v>
      </c>
      <c r="M1824" s="26" t="n">
        <v>1</v>
      </c>
      <c r="N1824" s="26" t="n">
        <v>1</v>
      </c>
      <c r="O1824" s="26" t="n">
        <v>2</v>
      </c>
      <c r="P1824" s="30" t="n">
        <v>-16.4915817</v>
      </c>
      <c r="Q1824" s="30" t="n">
        <v>-39.0769633</v>
      </c>
      <c r="R1824" s="14" t="inlineStr">
        <is>
          <t>FORUM ELEITORAL DE PORTO SEGURO - RUA DA JAQUEIRA, 562, TABAPIRI, PORTO SEGURO/BA</t>
        </is>
      </c>
      <c r="S1824" s="26">
        <f>IF(A1824=A1823,0,1)</f>
        <v>0</v>
      </c>
      <c r="T1824" s="26">
        <f>IF(COUNTIF($B$4:B1824,B1824)=1,1,0)</f>
        <v>0</v>
      </c>
    </row>
    <row r="1825">
      <c r="A1825" s="14" t="inlineStr">
        <is>
          <t>PORTO SEGURO</t>
        </is>
      </c>
      <c r="B1825" s="26" t="n">
        <v>122</v>
      </c>
      <c r="C1825" s="26" t="n">
        <v>1570</v>
      </c>
      <c r="D1825" s="14" t="inlineStr">
        <is>
          <t>ESCOLA MUNICIPAL VALDÍVIO COSTA</t>
        </is>
      </c>
      <c r="E1825" s="14" t="inlineStr">
        <is>
          <t>VILA VALDETE</t>
        </is>
      </c>
      <c r="F1825" s="14" t="inlineStr">
        <is>
          <t>RUA DR. IEDO ELIAS, S/N - ZONA URBANA</t>
        </is>
      </c>
      <c r="G1825" s="27" t="inlineStr">
        <is>
          <t>45810-000</t>
        </is>
      </c>
      <c r="H1825" s="15" t="n">
        <v>10</v>
      </c>
      <c r="I1825" s="28" t="inlineStr">
        <is>
          <t>NÃO</t>
        </is>
      </c>
      <c r="J1825" s="29" t="n"/>
      <c r="K1825" s="14" t="str">
        <f>IF(J1825="","7. Acima de 2 km",IF(J1825&lt;=50,"1. Até 50 m",IF(J1825&lt;=100,"2. De 50 a 100 m",IF(J1825&lt;=200,"3. De 100 a 200 m",IF(J1825&lt;=300,"4. De 200 a 300 m",IF(J1825&lt;=500,"5. De 300 a 500 m","6. De 500 m a 2 km"))))))</f>
        <v>7. Acima de 2 km</v>
      </c>
      <c r="L1825" s="26" t="n">
        <v>0</v>
      </c>
      <c r="M1825" s="26" t="n">
        <v>0</v>
      </c>
      <c r="N1825" s="26" t="n">
        <v>0</v>
      </c>
      <c r="O1825" s="26" t="n">
        <v>0</v>
      </c>
      <c r="P1825" s="30" t="n">
        <v>-16.408085</v>
      </c>
      <c r="Q1825" s="30" t="n">
        <v>-39.0917867</v>
      </c>
      <c r="R1825" s="14" t="inlineStr">
        <is>
          <t>FORUM ELEITORAL DE PORTO SEGURO - RUA DA JAQUEIRA, 562, TABAPIRI, PORTO SEGURO/BA</t>
        </is>
      </c>
      <c r="S1825" s="26">
        <f>IF(A1825=A1824,0,1)</f>
        <v>0</v>
      </c>
      <c r="T1825" s="26">
        <f>IF(COUNTIF($B$4:B1825,B1825)=1,1,0)</f>
        <v>0</v>
      </c>
    </row>
    <row r="1826">
      <c r="A1826" s="14" t="inlineStr">
        <is>
          <t>PORTO SEGURO</t>
        </is>
      </c>
      <c r="B1826" s="26" t="n">
        <v>122</v>
      </c>
      <c r="C1826" s="26" t="n">
        <v>1597</v>
      </c>
      <c r="D1826" s="14" t="inlineStr">
        <is>
          <t>ESCOLA MUNICIPAL JOÃO CARLOS MATTOS DE PAULA</t>
        </is>
      </c>
      <c r="E1826" s="14" t="inlineStr">
        <is>
          <t>VILA VITÓRIA</t>
        </is>
      </c>
      <c r="F1826" s="14" t="inlineStr">
        <is>
          <t>AV. JARDIM NOVO BRASIL, S/N - ZONA URBANA</t>
        </is>
      </c>
      <c r="G1826" s="27" t="inlineStr">
        <is>
          <t>45810-000</t>
        </is>
      </c>
      <c r="H1826" s="15" t="n">
        <v>4</v>
      </c>
      <c r="I1826" s="28" t="inlineStr">
        <is>
          <t>NÃO</t>
        </is>
      </c>
      <c r="J1826" s="29" t="n"/>
      <c r="K1826" s="14" t="str">
        <f>IF(J1826="","7. Acima de 2 km",IF(J1826&lt;=50,"1. Até 50 m",IF(J1826&lt;=100,"2. De 50 a 100 m",IF(J1826&lt;=200,"3. De 100 a 200 m",IF(J1826&lt;=300,"4. De 200 a 300 m",IF(J1826&lt;=500,"5. De 300 a 500 m","6. De 500 m a 2 km"))))))</f>
        <v>7. Acima de 2 km</v>
      </c>
      <c r="L1826" s="26" t="n">
        <v>0</v>
      </c>
      <c r="M1826" s="26" t="n">
        <v>0</v>
      </c>
      <c r="N1826" s="26" t="n">
        <v>0</v>
      </c>
      <c r="O1826" s="26" t="n">
        <v>0</v>
      </c>
      <c r="P1826" s="30" t="n">
        <v>-16.4112004</v>
      </c>
      <c r="Q1826" s="30" t="n">
        <v>-39.0976825</v>
      </c>
      <c r="R1826" s="14" t="inlineStr">
        <is>
          <t>FORUM ELEITORAL DE PORTO SEGURO - RUA DA JAQUEIRA, 562, TABAPIRI, PORTO SEGURO/BA</t>
        </is>
      </c>
      <c r="S1826" s="26">
        <f>IF(A1826=A1825,0,1)</f>
        <v>0</v>
      </c>
      <c r="T1826" s="26">
        <f>IF(COUNTIF($B$4:B1826,B1826)=1,1,0)</f>
        <v>0</v>
      </c>
    </row>
    <row r="1827">
      <c r="A1827" s="14" t="inlineStr">
        <is>
          <t>PORTO SEGURO</t>
        </is>
      </c>
      <c r="B1827" s="26" t="n">
        <v>122</v>
      </c>
      <c r="C1827" s="26" t="n">
        <v>1600</v>
      </c>
      <c r="D1827" s="14" t="inlineStr">
        <is>
          <t>ESCOLA MUNICIPAL PROFESSOR JUAREZ SOARES DE OLIVEIRA</t>
        </is>
      </c>
      <c r="E1827" s="14" t="inlineStr">
        <is>
          <t>VILA PARRACHO</t>
        </is>
      </c>
      <c r="F1827" s="14" t="inlineStr">
        <is>
          <t>RUA ILUMINATA LOPES LEITE, S/N - ZONA URBANA</t>
        </is>
      </c>
      <c r="G1827" s="27" t="inlineStr">
        <is>
          <t>45810-000</t>
        </is>
      </c>
      <c r="H1827" s="15" t="n">
        <v>6</v>
      </c>
      <c r="I1827" s="28" t="inlineStr">
        <is>
          <t>NÃO</t>
        </is>
      </c>
      <c r="J1827" s="29" t="n"/>
      <c r="K1827" s="14" t="str">
        <f>IF(J1827="","7. Acima de 2 km",IF(J1827&lt;=50,"1. Até 50 m",IF(J1827&lt;=100,"2. De 50 a 100 m",IF(J1827&lt;=200,"3. De 100 a 200 m",IF(J1827&lt;=300,"4. De 200 a 300 m",IF(J1827&lt;=500,"5. De 300 a 500 m","6. De 500 m a 2 km"))))))</f>
        <v>7. Acima de 2 km</v>
      </c>
      <c r="L1827" s="26" t="n">
        <v>0</v>
      </c>
      <c r="M1827" s="26" t="n">
        <v>0</v>
      </c>
      <c r="N1827" s="26" t="n">
        <v>0</v>
      </c>
      <c r="O1827" s="26" t="n">
        <v>0</v>
      </c>
      <c r="P1827" s="30" t="n">
        <v>-16.4048946</v>
      </c>
      <c r="Q1827" s="30" t="n">
        <v>-39.0838932</v>
      </c>
      <c r="R1827" s="14" t="inlineStr">
        <is>
          <t>FORUM ELEITORAL DE PORTO SEGURO - RUA DA JAQUEIRA, 562, TABAPIRI, PORTO SEGURO/BA</t>
        </is>
      </c>
      <c r="S1827" s="26">
        <f>IF(A1827=A1826,0,1)</f>
        <v>0</v>
      </c>
      <c r="T1827" s="26">
        <f>IF(COUNTIF($B$4:B1827,B1827)=1,1,0)</f>
        <v>0</v>
      </c>
    </row>
    <row r="1828">
      <c r="A1828" s="14" t="inlineStr">
        <is>
          <t>PORTO SEGURO</t>
        </is>
      </c>
      <c r="B1828" s="26" t="n">
        <v>122</v>
      </c>
      <c r="C1828" s="26" t="n">
        <v>1619</v>
      </c>
      <c r="D1828" s="14" t="inlineStr">
        <is>
          <t>SESC PORTO SEGURO</t>
        </is>
      </c>
      <c r="E1828" s="14" t="inlineStr">
        <is>
          <t>PARQUE ECOLÓGICO JOÃO CARLOS</t>
        </is>
      </c>
      <c r="F1828" s="14" t="inlineStr">
        <is>
          <t>RUA HELENA MARIA DE PAULA, 145 - ZONA URBANA</t>
        </is>
      </c>
      <c r="G1828" s="27" t="inlineStr">
        <is>
          <t>45810-000</t>
        </is>
      </c>
      <c r="H1828" s="15" t="n">
        <v>9</v>
      </c>
      <c r="I1828" s="28" t="inlineStr">
        <is>
          <t>NÃO</t>
        </is>
      </c>
      <c r="J1828" s="29" t="n"/>
      <c r="K1828" s="14" t="str">
        <f>IF(J1828="","7. Acima de 2 km",IF(J1828&lt;=50,"1. Até 50 m",IF(J1828&lt;=100,"2. De 50 a 100 m",IF(J1828&lt;=200,"3. De 100 a 200 m",IF(J1828&lt;=300,"4. De 200 a 300 m",IF(J1828&lt;=500,"5. De 300 a 500 m","6. De 500 m a 2 km"))))))</f>
        <v>7. Acima de 2 km</v>
      </c>
      <c r="L1828" s="26" t="n">
        <v>0</v>
      </c>
      <c r="M1828" s="26" t="n">
        <v>0</v>
      </c>
      <c r="N1828" s="26" t="n">
        <v>0</v>
      </c>
      <c r="O1828" s="26" t="n">
        <v>0</v>
      </c>
      <c r="P1828" s="30" t="n">
        <v>-16.4124488</v>
      </c>
      <c r="Q1828" s="30" t="n">
        <v>-39.0940238</v>
      </c>
      <c r="R1828" s="14" t="inlineStr">
        <is>
          <t>FORUM ELEITORAL DE PORTO SEGURO - RUA DA JAQUEIRA, 562, TABAPIRI, PORTO SEGURO/BA</t>
        </is>
      </c>
      <c r="S1828" s="26">
        <f>IF(A1828=A1827,0,1)</f>
        <v>0</v>
      </c>
      <c r="T1828" s="26">
        <f>IF(COUNTIF($B$4:B1828,B1828)=1,1,0)</f>
        <v>0</v>
      </c>
    </row>
    <row r="1829">
      <c r="A1829" s="14" t="inlineStr">
        <is>
          <t>PORTO SEGURO</t>
        </is>
      </c>
      <c r="B1829" s="26" t="n">
        <v>122</v>
      </c>
      <c r="C1829" s="26" t="n">
        <v>1651</v>
      </c>
      <c r="D1829" s="14" t="inlineStr">
        <is>
          <t>ESCOLA MUNICIPAL PROFESSORA NILZENIL DE ALMEIDA NOBRE</t>
        </is>
      </c>
      <c r="E1829" s="14" t="inlineStr">
        <is>
          <t>POVOADO ARRAIAL D'AJUDA</t>
        </is>
      </c>
      <c r="F1829" s="14" t="inlineStr">
        <is>
          <t>RUA BOA ESPERANÇA, S/N - SÃO PEDRO - ZONA RURAL</t>
        </is>
      </c>
      <c r="G1829" s="27" t="inlineStr">
        <is>
          <t>45810-000</t>
        </is>
      </c>
      <c r="H1829" s="15" t="n">
        <v>11</v>
      </c>
      <c r="I1829" s="28" t="inlineStr">
        <is>
          <t>NÃO</t>
        </is>
      </c>
      <c r="J1829" s="29" t="n">
        <v>1118.9</v>
      </c>
      <c r="K1829" s="14" t="str">
        <f>IF(J1829="","7. Acima de 2 km",IF(J1829&lt;=50,"1. Até 50 m",IF(J1829&lt;=100,"2. De 50 a 100 m",IF(J1829&lt;=200,"3. De 100 a 200 m",IF(J1829&lt;=300,"4. De 200 a 300 m",IF(J1829&lt;=500,"5. De 300 a 500 m","6. De 500 m a 2 km"))))))</f>
        <v>6. De 500 m a 2 km</v>
      </c>
      <c r="L1829" s="26" t="n">
        <v>0</v>
      </c>
      <c r="M1829" s="26" t="n">
        <v>0</v>
      </c>
      <c r="N1829" s="26" t="n">
        <v>0</v>
      </c>
      <c r="O1829" s="26" t="n">
        <v>0</v>
      </c>
      <c r="P1829" s="30" t="n">
        <v>-16.48397</v>
      </c>
      <c r="Q1829" s="30" t="n">
        <v>-39.0844162</v>
      </c>
      <c r="R1829" s="14" t="inlineStr">
        <is>
          <t>FORUM ELEITORAL DE PORTO SEGURO - RUA DA JAQUEIRA, 562, TABAPIRI, PORTO SEGURO/BA</t>
        </is>
      </c>
      <c r="S1829" s="26">
        <f>IF(A1829=A1828,0,1)</f>
        <v>0</v>
      </c>
      <c r="T1829" s="26">
        <f>IF(COUNTIF($B$4:B1829,B1829)=1,1,0)</f>
        <v>0</v>
      </c>
    </row>
    <row r="1830">
      <c r="A1830" s="14" t="inlineStr">
        <is>
          <t>PORTO SEGURO</t>
        </is>
      </c>
      <c r="B1830" s="26" t="n">
        <v>122</v>
      </c>
      <c r="C1830" s="26" t="n">
        <v>1678</v>
      </c>
      <c r="D1830" s="14" t="inlineStr">
        <is>
          <t>ESCOLA MUNICIPAL DE CARAÍVA</t>
        </is>
      </c>
      <c r="E1830" s="14" t="inlineStr">
        <is>
          <t>DISTRITO DE CARAÍVA</t>
        </is>
      </c>
      <c r="F1830" s="14" t="inlineStr">
        <is>
          <t>PRAÇA DO CAMPO DE FUTEBOL,S/N - CARAÍVA - ZONA RURAL</t>
        </is>
      </c>
      <c r="G1830" s="27" t="inlineStr">
        <is>
          <t>45810-000</t>
        </is>
      </c>
      <c r="H1830" s="15" t="n">
        <v>1</v>
      </c>
      <c r="I1830" s="28" t="inlineStr">
        <is>
          <t>NÃO</t>
        </is>
      </c>
      <c r="J1830" s="29" t="n"/>
      <c r="K1830" s="14" t="str">
        <f>IF(J1830="","7. Acima de 2 km",IF(J1830&lt;=50,"1. Até 50 m",IF(J1830&lt;=100,"2. De 50 a 100 m",IF(J1830&lt;=200,"3. De 100 a 200 m",IF(J1830&lt;=300,"4. De 200 a 300 m",IF(J1830&lt;=500,"5. De 300 a 500 m","6. De 500 m a 2 km"))))))</f>
        <v>7. Acima de 2 km</v>
      </c>
      <c r="L1830" s="26" t="n">
        <v>0</v>
      </c>
      <c r="M1830" s="26" t="n">
        <v>0</v>
      </c>
      <c r="N1830" s="26" t="n">
        <v>0</v>
      </c>
      <c r="O1830" s="26" t="n">
        <v>0</v>
      </c>
      <c r="P1830" s="30" t="n">
        <v>-16.8091451</v>
      </c>
      <c r="Q1830" s="30" t="n">
        <v>-39.149031</v>
      </c>
      <c r="R1830" s="14" t="inlineStr">
        <is>
          <t>FORUM ELEITORAL DE PORTO SEGURO - RUA DA JAQUEIRA, 562, TABAPIRI, PORTO SEGURO/BA</t>
        </is>
      </c>
      <c r="S1830" s="26">
        <f>IF(A1830=A1829,0,1)</f>
        <v>0</v>
      </c>
      <c r="T1830" s="26">
        <f>IF(COUNTIF($B$4:B1830,B1830)=1,1,0)</f>
        <v>0</v>
      </c>
    </row>
    <row r="1831">
      <c r="A1831" s="14" t="inlineStr">
        <is>
          <t>PORTO SEGURO</t>
        </is>
      </c>
      <c r="B1831" s="26" t="n">
        <v>122</v>
      </c>
      <c r="C1831" s="26" t="n">
        <v>1686</v>
      </c>
      <c r="D1831" s="14" t="inlineStr">
        <is>
          <t>ESCOLA MUNICIPAL DE SAPIRARA</t>
        </is>
      </c>
      <c r="E1831" s="14" t="inlineStr">
        <is>
          <t>POVOADO TRANCOSO</t>
        </is>
      </c>
      <c r="F1831" s="14" t="inlineStr">
        <is>
          <t>RUA PRINCIPAL, S/N - COMUNIDADE DE SAPIRARA - ZONA RURAL</t>
        </is>
      </c>
      <c r="G1831" s="27" t="inlineStr">
        <is>
          <t>45810-000</t>
        </is>
      </c>
      <c r="H1831" s="15" t="n">
        <v>1</v>
      </c>
      <c r="I1831" s="28" t="inlineStr">
        <is>
          <t>NÃO</t>
        </is>
      </c>
      <c r="J1831" s="29" t="n"/>
      <c r="K1831" s="14" t="str">
        <f>IF(J1831="","7. Acima de 2 km",IF(J1831&lt;=50,"1. Até 50 m",IF(J1831&lt;=100,"2. De 50 a 100 m",IF(J1831&lt;=200,"3. De 100 a 200 m",IF(J1831&lt;=300,"4. De 200 a 300 m",IF(J1831&lt;=500,"5. De 300 a 500 m","6. De 500 m a 2 km"))))))</f>
        <v>7. Acima de 2 km</v>
      </c>
      <c r="L1831" s="26" t="n">
        <v>0</v>
      </c>
      <c r="M1831" s="26" t="n">
        <v>0</v>
      </c>
      <c r="N1831" s="26" t="n">
        <v>0</v>
      </c>
      <c r="O1831" s="26" t="n">
        <v>0</v>
      </c>
      <c r="P1831" s="30" t="n">
        <v>-16.593493</v>
      </c>
      <c r="Q1831" s="30" t="n">
        <v>-39.1580821</v>
      </c>
      <c r="R1831" s="14" t="inlineStr">
        <is>
          <t>FORUM ELEITORAL DE PORTO SEGURO - RUA DA JAQUEIRA, 562, TABAPIRI, PORTO SEGURO/BA</t>
        </is>
      </c>
      <c r="S1831" s="26">
        <f>IF(A1831=A1830,0,1)</f>
        <v>0</v>
      </c>
      <c r="T1831" s="26">
        <f>IF(COUNTIF($B$4:B1831,B1831)=1,1,0)</f>
        <v>0</v>
      </c>
    </row>
    <row r="1832">
      <c r="A1832" s="14" t="inlineStr">
        <is>
          <t>PORTO SEGURO</t>
        </is>
      </c>
      <c r="B1832" s="26" t="n">
        <v>122</v>
      </c>
      <c r="C1832" s="26" t="n">
        <v>1694</v>
      </c>
      <c r="D1832" s="14" t="inlineStr">
        <is>
          <t>ESCOLA MUNICIPAL PAULO FREIRE</t>
        </is>
      </c>
      <c r="E1832" s="14" t="inlineStr">
        <is>
          <t>PARQUE ECOLÓGICO JOÃO CARLOS</t>
        </is>
      </c>
      <c r="F1832" s="14" t="inlineStr">
        <is>
          <t>RUA SILVANDIR FERREIRA CHAVES, S/N - ZONA URBANA</t>
        </is>
      </c>
      <c r="G1832" s="27" t="inlineStr">
        <is>
          <t>45810-000</t>
        </is>
      </c>
      <c r="H1832" s="15" t="n">
        <v>1</v>
      </c>
      <c r="I1832" s="28" t="inlineStr">
        <is>
          <t>NÃO</t>
        </is>
      </c>
      <c r="J1832" s="29" t="n"/>
      <c r="K1832" s="14" t="str">
        <f>IF(J1832="","7. Acima de 2 km",IF(J1832&lt;=50,"1. Até 50 m",IF(J1832&lt;=100,"2. De 50 a 100 m",IF(J1832&lt;=200,"3. De 100 a 200 m",IF(J1832&lt;=300,"4. De 200 a 300 m",IF(J1832&lt;=500,"5. De 300 a 500 m","6. De 500 m a 2 km"))))))</f>
        <v>7. Acima de 2 km</v>
      </c>
      <c r="L1832" s="26" t="n">
        <v>0</v>
      </c>
      <c r="M1832" s="26" t="n">
        <v>0</v>
      </c>
      <c r="N1832" s="26" t="n">
        <v>0</v>
      </c>
      <c r="O1832" s="26" t="n">
        <v>0</v>
      </c>
      <c r="P1832" s="30" t="n">
        <v>-16.4117016</v>
      </c>
      <c r="Q1832" s="30" t="n">
        <v>-39.0884209</v>
      </c>
      <c r="R1832" s="14" t="inlineStr">
        <is>
          <t>FORUM ELEITORAL DE PORTO SEGURO - RUA DA JAQUEIRA, 562, TABAPIRI, PORTO SEGURO/BA</t>
        </is>
      </c>
      <c r="S1832" s="26">
        <f>IF(A1832=A1831,0,1)</f>
        <v>0</v>
      </c>
      <c r="T1832" s="26">
        <f>IF(COUNTIF($B$4:B1832,B1832)=1,1,0)</f>
        <v>0</v>
      </c>
    </row>
    <row r="1833">
      <c r="A1833" s="14" t="inlineStr">
        <is>
          <t>PRADO</t>
        </is>
      </c>
      <c r="B1833" s="26" t="n">
        <v>112</v>
      </c>
      <c r="C1833" s="26" t="n">
        <v>1015</v>
      </c>
      <c r="D1833" s="14" t="inlineStr">
        <is>
          <t>GRUPO ESCOLAR HOMERO PIRES</t>
        </is>
      </c>
      <c r="E1833" s="14" t="inlineStr">
        <is>
          <t>CENTRO</t>
        </is>
      </c>
      <c r="F1833" s="14" t="inlineStr">
        <is>
          <t>BA-001,AV. JOSE PONTES DE ALMEIDA, S/N- ZONA URBANA (COLÉGIO ESTADUAL)</t>
        </is>
      </c>
      <c r="G1833" s="27" t="inlineStr">
        <is>
          <t>45980-000</t>
        </is>
      </c>
      <c r="H1833" s="15" t="n">
        <v>8</v>
      </c>
      <c r="I1833" s="28" t="inlineStr">
        <is>
          <t>NÃO</t>
        </is>
      </c>
      <c r="J1833" s="29" t="n">
        <v>138.5</v>
      </c>
      <c r="K1833" s="14" t="str">
        <f>IF(J1833="","7. Acima de 2 km",IF(J1833&lt;=50,"1. Até 50 m",IF(J1833&lt;=100,"2. De 50 a 100 m",IF(J1833&lt;=200,"3. De 100 a 200 m",IF(J1833&lt;=300,"4. De 200 a 300 m",IF(J1833&lt;=500,"5. De 300 a 500 m","6. De 500 m a 2 km"))))))</f>
        <v>3. De 100 a 200 m</v>
      </c>
      <c r="L1833" s="26" t="n">
        <v>0</v>
      </c>
      <c r="M1833" s="26" t="n">
        <v>0</v>
      </c>
      <c r="N1833" s="26" t="n">
        <v>4</v>
      </c>
      <c r="O1833" s="26" t="n">
        <v>5</v>
      </c>
      <c r="P1833" s="30" t="n">
        <v>-17.34196026</v>
      </c>
      <c r="Q1833" s="30" t="n">
        <v>-39.2185896</v>
      </c>
      <c r="R1833" s="14" t="inlineStr">
        <is>
          <t>RUA GETÚLIO VARGAS, 60, CENTRO, PRADO/BA</t>
        </is>
      </c>
      <c r="S1833" s="26">
        <f>IF(A1833=A1832,0,1)</f>
        <v>1</v>
      </c>
      <c r="T1833" s="26">
        <f>IF(COUNTIF($B$4:B1833,B1833)=1,1,0)</f>
        <v>0</v>
      </c>
    </row>
    <row r="1834">
      <c r="A1834" s="14" t="inlineStr">
        <is>
          <t>PRADO</t>
        </is>
      </c>
      <c r="B1834" s="26" t="n">
        <v>112</v>
      </c>
      <c r="C1834" s="26" t="n">
        <v>1023</v>
      </c>
      <c r="D1834" s="14" t="inlineStr">
        <is>
          <t>COLÉGIO MUNICIPAL ANÍSIO TEIXEIRA</t>
        </is>
      </c>
      <c r="E1834" s="14" t="inlineStr">
        <is>
          <t>NOVO PRADO</t>
        </is>
      </c>
      <c r="F1834" s="14" t="inlineStr">
        <is>
          <t>AV. PRESIDENTE KENNEDY, SN, ZONA URBANA (ANTIGO HOMERO PIRES)</t>
        </is>
      </c>
      <c r="G1834" s="27" t="inlineStr">
        <is>
          <t>45980-000</t>
        </is>
      </c>
      <c r="H1834" s="15" t="n">
        <v>9</v>
      </c>
      <c r="I1834" s="28" t="inlineStr">
        <is>
          <t>NÃO</t>
        </is>
      </c>
      <c r="J1834" s="29" t="n">
        <v>260.5</v>
      </c>
      <c r="K1834" s="14" t="str">
        <f>IF(J1834="","7. Acima de 2 km",IF(J1834&lt;=50,"1. Até 50 m",IF(J1834&lt;=100,"2. De 50 a 100 m",IF(J1834&lt;=200,"3. De 100 a 200 m",IF(J1834&lt;=300,"4. De 200 a 300 m",IF(J1834&lt;=500,"5. De 300 a 500 m","6. De 500 m a 2 km"))))))</f>
        <v>4. De 200 a 300 m</v>
      </c>
      <c r="L1834" s="26" t="n">
        <v>0</v>
      </c>
      <c r="M1834" s="26" t="n">
        <v>0</v>
      </c>
      <c r="N1834" s="26" t="n">
        <v>0</v>
      </c>
      <c r="O1834" s="26" t="n">
        <v>1</v>
      </c>
      <c r="P1834" s="30" t="n">
        <v>-17.33780716</v>
      </c>
      <c r="Q1834" s="30" t="n">
        <v>-39.22526387</v>
      </c>
      <c r="R1834" s="14" t="inlineStr">
        <is>
          <t>RUA GETÚLIO VARGAS, 60, CENTRO, PRADO/BA</t>
        </is>
      </c>
      <c r="S1834" s="26">
        <f>IF(A1834=A1833,0,1)</f>
        <v>0</v>
      </c>
      <c r="T1834" s="26">
        <f>IF(COUNTIF($B$4:B1834,B1834)=1,1,0)</f>
        <v>0</v>
      </c>
    </row>
    <row r="1835">
      <c r="A1835" s="14" t="inlineStr">
        <is>
          <t>PRADO</t>
        </is>
      </c>
      <c r="B1835" s="26" t="n">
        <v>112</v>
      </c>
      <c r="C1835" s="26" t="n">
        <v>1040</v>
      </c>
      <c r="D1835" s="14" t="inlineStr">
        <is>
          <t>ESCOLA MUNICIPAL VALDELITA SANTOS SOUZA</t>
        </is>
      </c>
      <c r="E1835" s="14" t="inlineStr">
        <is>
          <t>CENTRO</t>
        </is>
      </c>
      <c r="F1835" s="14" t="inlineStr">
        <is>
          <t xml:space="preserve">RUA JOANA ANGELICA, S/N - ZONA URBANA  </t>
        </is>
      </c>
      <c r="G1835" s="27" t="inlineStr">
        <is>
          <t>45980-000</t>
        </is>
      </c>
      <c r="H1835" s="15" t="n">
        <v>4</v>
      </c>
      <c r="I1835" s="28" t="inlineStr">
        <is>
          <t>SIM</t>
        </is>
      </c>
      <c r="J1835" s="29" t="n">
        <v>73.2</v>
      </c>
      <c r="K1835" s="14" t="str">
        <f>IF(J1835="","7. Acima de 2 km",IF(J1835&lt;=50,"1. Até 50 m",IF(J1835&lt;=100,"2. De 50 a 100 m",IF(J1835&lt;=200,"3. De 100 a 200 m",IF(J1835&lt;=300,"4. De 200 a 300 m",IF(J1835&lt;=500,"5. De 300 a 500 m","6. De 500 m a 2 km"))))))</f>
        <v>2. De 50 a 100 m</v>
      </c>
      <c r="L1835" s="26" t="n">
        <v>0</v>
      </c>
      <c r="M1835" s="26" t="n">
        <v>2</v>
      </c>
      <c r="N1835" s="26" t="n">
        <v>2</v>
      </c>
      <c r="O1835" s="26" t="n">
        <v>5</v>
      </c>
      <c r="P1835" s="30" t="n">
        <v>-17.3395408</v>
      </c>
      <c r="Q1835" s="30" t="n">
        <v>-39.2221281</v>
      </c>
      <c r="R1835" s="14" t="inlineStr">
        <is>
          <t>RUA GETÚLIO VARGAS, 60, CENTRO, PRADO/BA</t>
        </is>
      </c>
      <c r="S1835" s="26">
        <f>IF(A1835=A1834,0,1)</f>
        <v>0</v>
      </c>
      <c r="T1835" s="26">
        <f>IF(COUNTIF($B$4:B1835,B1835)=1,1,0)</f>
        <v>0</v>
      </c>
    </row>
    <row r="1836">
      <c r="A1836" s="14" t="inlineStr">
        <is>
          <t>PRADO</t>
        </is>
      </c>
      <c r="B1836" s="26" t="n">
        <v>112</v>
      </c>
      <c r="C1836" s="26" t="n">
        <v>1058</v>
      </c>
      <c r="D1836" s="14" t="inlineStr">
        <is>
          <t>ESCOLA MUNICIPAL JOAO ALVES DE ALMEIDA</t>
        </is>
      </c>
      <c r="E1836" s="14" t="inlineStr">
        <is>
          <t>POVOADO GUARANY</t>
        </is>
      </c>
      <c r="F1836" s="14" t="inlineStr">
        <is>
          <t>AV. BRASIL, S/N, POVOADO GUARANI - ZONA URBANA</t>
        </is>
      </c>
      <c r="G1836" s="27" t="inlineStr">
        <is>
          <t>45980-000</t>
        </is>
      </c>
      <c r="H1836" s="15" t="n">
        <v>6</v>
      </c>
      <c r="I1836" s="28" t="inlineStr">
        <is>
          <t>NÃO</t>
        </is>
      </c>
      <c r="J1836" s="29" t="n">
        <v>148.7</v>
      </c>
      <c r="K1836" s="14" t="str">
        <f>IF(J1836="","7. Acima de 2 km",IF(J1836&lt;=50,"1. Até 50 m",IF(J1836&lt;=100,"2. De 50 a 100 m",IF(J1836&lt;=200,"3. De 100 a 200 m",IF(J1836&lt;=300,"4. De 200 a 300 m",IF(J1836&lt;=500,"5. De 300 a 500 m","6. De 500 m a 2 km"))))))</f>
        <v>3. De 100 a 200 m</v>
      </c>
      <c r="L1836" s="26" t="n">
        <v>0</v>
      </c>
      <c r="M1836" s="26" t="n">
        <v>0</v>
      </c>
      <c r="N1836" s="26" t="n">
        <v>4</v>
      </c>
      <c r="O1836" s="26" t="n">
        <v>7</v>
      </c>
      <c r="P1836" s="30" t="n">
        <v>-17.34023667</v>
      </c>
      <c r="Q1836" s="30" t="n">
        <v>-39.224025</v>
      </c>
      <c r="R1836" s="14" t="inlineStr">
        <is>
          <t>RUA GETÚLIO VARGAS, 60, CENTRO, PRADO/BA</t>
        </is>
      </c>
      <c r="S1836" s="26">
        <f>IF(A1836=A1835,0,1)</f>
        <v>0</v>
      </c>
      <c r="T1836" s="26">
        <f>IF(COUNTIF($B$4:B1836,B1836)=1,1,0)</f>
        <v>0</v>
      </c>
    </row>
    <row r="1837">
      <c r="A1837" s="14" t="inlineStr">
        <is>
          <t>PRADO</t>
        </is>
      </c>
      <c r="B1837" s="26" t="n">
        <v>112</v>
      </c>
      <c r="C1837" s="26" t="n">
        <v>1074</v>
      </c>
      <c r="D1837" s="14" t="inlineStr">
        <is>
          <t>ESCOLA MUNICIPAL DOIS DE JULHO</t>
        </is>
      </c>
      <c r="E1837" s="14" t="inlineStr">
        <is>
          <t>POVOADO GUARANY</t>
        </is>
      </c>
      <c r="F1837" s="14" t="inlineStr">
        <is>
          <t>AV. BRASIL, S/N, POVOADO GUARANI  - ZONA URBANA</t>
        </is>
      </c>
      <c r="G1837" s="27" t="inlineStr">
        <is>
          <t>45980-000</t>
        </is>
      </c>
      <c r="H1837" s="15" t="n">
        <v>5</v>
      </c>
      <c r="I1837" s="28" t="inlineStr">
        <is>
          <t>NÃO</t>
        </is>
      </c>
      <c r="J1837" s="29" t="n">
        <v>145.1</v>
      </c>
      <c r="K1837" s="14" t="str">
        <f>IF(J1837="","7. Acima de 2 km",IF(J1837&lt;=50,"1. Até 50 m",IF(J1837&lt;=100,"2. De 50 a 100 m",IF(J1837&lt;=200,"3. De 100 a 200 m",IF(J1837&lt;=300,"4. De 200 a 300 m",IF(J1837&lt;=500,"5. De 300 a 500 m","6. De 500 m a 2 km"))))))</f>
        <v>3. De 100 a 200 m</v>
      </c>
      <c r="L1837" s="26" t="n">
        <v>0</v>
      </c>
      <c r="M1837" s="26" t="n">
        <v>0</v>
      </c>
      <c r="N1837" s="26" t="n">
        <v>4</v>
      </c>
      <c r="O1837" s="26" t="n">
        <v>7</v>
      </c>
      <c r="P1837" s="30" t="n">
        <v>-17.34026833</v>
      </c>
      <c r="Q1837" s="30" t="n">
        <v>-39.22385333</v>
      </c>
      <c r="R1837" s="14" t="inlineStr">
        <is>
          <t>RUA GETÚLIO VARGAS, 60, CENTRO, PRADO/BA</t>
        </is>
      </c>
      <c r="S1837" s="26">
        <f>IF(A1837=A1836,0,1)</f>
        <v>0</v>
      </c>
      <c r="T1837" s="26">
        <f>IF(COUNTIF($B$4:B1837,B1837)=1,1,0)</f>
        <v>0</v>
      </c>
    </row>
    <row r="1838">
      <c r="A1838" s="14" t="inlineStr">
        <is>
          <t>PRADO</t>
        </is>
      </c>
      <c r="B1838" s="26" t="n">
        <v>112</v>
      </c>
      <c r="C1838" s="26" t="n">
        <v>1082</v>
      </c>
      <c r="D1838" s="14" t="inlineStr">
        <is>
          <t>GRUPO ESCOLAR ROSALVO GARCIA GUERRA</t>
        </is>
      </c>
      <c r="E1838" s="14" t="inlineStr">
        <is>
          <t>POVOADO SAO FRANCISCO DE ASSIS</t>
        </is>
      </c>
      <c r="F1838" s="14" t="inlineStr">
        <is>
          <t>POVOADO DE SAO FRANCISCO DE ASSIS - ZONA RURAL</t>
        </is>
      </c>
      <c r="G1838" s="27" t="inlineStr">
        <is>
          <t>45980-000</t>
        </is>
      </c>
      <c r="H1838" s="15" t="n">
        <v>3</v>
      </c>
      <c r="I1838" s="28" t="inlineStr">
        <is>
          <t>NÃO</t>
        </is>
      </c>
      <c r="J1838" s="29" t="n">
        <v>138.9</v>
      </c>
      <c r="K1838" s="14" t="str">
        <f>IF(J1838="","7. Acima de 2 km",IF(J1838&lt;=50,"1. Até 50 m",IF(J1838&lt;=100,"2. De 50 a 100 m",IF(J1838&lt;=200,"3. De 100 a 200 m",IF(J1838&lt;=300,"4. De 200 a 300 m",IF(J1838&lt;=500,"5. De 300 a 500 m","6. De 500 m a 2 km"))))))</f>
        <v>3. De 100 a 200 m</v>
      </c>
      <c r="L1838" s="26" t="n">
        <v>0</v>
      </c>
      <c r="M1838" s="26" t="n">
        <v>0</v>
      </c>
      <c r="N1838" s="26" t="n">
        <v>4</v>
      </c>
      <c r="O1838" s="26" t="n">
        <v>7</v>
      </c>
      <c r="P1838" s="30" t="n">
        <v>-17.34032167</v>
      </c>
      <c r="Q1838" s="30" t="n">
        <v>-39.22397</v>
      </c>
      <c r="R1838" s="14" t="inlineStr">
        <is>
          <t>RUA GETÚLIO VARGAS, 60, CENTRO, PRADO/BA</t>
        </is>
      </c>
      <c r="S1838" s="26">
        <f>IF(A1838=A1837,0,1)</f>
        <v>0</v>
      </c>
      <c r="T1838" s="26">
        <f>IF(COUNTIF($B$4:B1838,B1838)=1,1,0)</f>
        <v>0</v>
      </c>
    </row>
    <row r="1839">
      <c r="A1839" s="14" t="inlineStr">
        <is>
          <t>PRADO</t>
        </is>
      </c>
      <c r="B1839" s="26" t="n">
        <v>112</v>
      </c>
      <c r="C1839" s="26" t="n">
        <v>1090</v>
      </c>
      <c r="D1839" s="14" t="inlineStr">
        <is>
          <t>ESCOLA MUNICIPAL JOSE PORCINO DE SOUZA</t>
        </is>
      </c>
      <c r="E1839" s="14" t="inlineStr">
        <is>
          <t>POVOADO LIMEIRA</t>
        </is>
      </c>
      <c r="F1839" s="14" t="inlineStr">
        <is>
          <t>POVOADO DE LIMEIRA - ZONA RURAL</t>
        </is>
      </c>
      <c r="G1839" s="27" t="inlineStr">
        <is>
          <t>45980-000</t>
        </is>
      </c>
      <c r="H1839" s="15" t="n">
        <v>3</v>
      </c>
      <c r="I1839" s="28" t="inlineStr">
        <is>
          <t>NÃO</t>
        </is>
      </c>
      <c r="J1839" s="29" t="n">
        <v>149</v>
      </c>
      <c r="K1839" s="14" t="str">
        <f>IF(J1839="","7. Acima de 2 km",IF(J1839&lt;=50,"1. Até 50 m",IF(J1839&lt;=100,"2. De 50 a 100 m",IF(J1839&lt;=200,"3. De 100 a 200 m",IF(J1839&lt;=300,"4. De 200 a 300 m",IF(J1839&lt;=500,"5. De 300 a 500 m","6. De 500 m a 2 km"))))))</f>
        <v>3. De 100 a 200 m</v>
      </c>
      <c r="L1839" s="26" t="n">
        <v>0</v>
      </c>
      <c r="M1839" s="26" t="n">
        <v>0</v>
      </c>
      <c r="N1839" s="26" t="n">
        <v>4</v>
      </c>
      <c r="O1839" s="26" t="n">
        <v>5</v>
      </c>
      <c r="P1839" s="30" t="n">
        <v>-17.344555</v>
      </c>
      <c r="Q1839" s="30" t="n">
        <v>-39.21870833</v>
      </c>
      <c r="R1839" s="14" t="inlineStr">
        <is>
          <t>RUA GETÚLIO VARGAS, 60, CENTRO, PRADO/BA</t>
        </is>
      </c>
      <c r="S1839" s="26">
        <f>IF(A1839=A1838,0,1)</f>
        <v>0</v>
      </c>
      <c r="T1839" s="26">
        <f>IF(COUNTIF($B$4:B1839,B1839)=1,1,0)</f>
        <v>0</v>
      </c>
    </row>
    <row r="1840">
      <c r="A1840" s="14" t="inlineStr">
        <is>
          <t>PRADO</t>
        </is>
      </c>
      <c r="B1840" s="26" t="n">
        <v>112</v>
      </c>
      <c r="C1840" s="26" t="n">
        <v>1104</v>
      </c>
      <c r="D1840" s="14" t="inlineStr">
        <is>
          <t>ESCOLA MUNICIPAL VITORIO JOSE DE SOUZA</t>
        </is>
      </c>
      <c r="E1840" s="14" t="inlineStr">
        <is>
          <t>POVOADO PALMARES</t>
        </is>
      </c>
      <c r="F1840" s="14" t="inlineStr">
        <is>
          <t>POVOADO DE PALMARES - ZONA RURAL</t>
        </is>
      </c>
      <c r="G1840" s="27" t="inlineStr">
        <is>
          <t>45980-000</t>
        </is>
      </c>
      <c r="H1840" s="15" t="n">
        <v>2</v>
      </c>
      <c r="I1840" s="28" t="inlineStr">
        <is>
          <t>NÃO</t>
        </is>
      </c>
      <c r="J1840" s="29" t="n">
        <v>138</v>
      </c>
      <c r="K1840" s="14" t="str">
        <f>IF(J1840="","7. Acima de 2 km",IF(J1840&lt;=50,"1. Até 50 m",IF(J1840&lt;=100,"2. De 50 a 100 m",IF(J1840&lt;=200,"3. De 100 a 200 m",IF(J1840&lt;=300,"4. De 200 a 300 m",IF(J1840&lt;=500,"5. De 300 a 500 m","6. De 500 m a 2 km"))))))</f>
        <v>3. De 100 a 200 m</v>
      </c>
      <c r="L1840" s="26" t="n">
        <v>0</v>
      </c>
      <c r="M1840" s="26" t="n">
        <v>0</v>
      </c>
      <c r="N1840" s="26" t="n">
        <v>4</v>
      </c>
      <c r="O1840" s="26" t="n">
        <v>5</v>
      </c>
      <c r="P1840" s="30" t="n">
        <v>-17.344465</v>
      </c>
      <c r="Q1840" s="30" t="n">
        <v>-39.21866333</v>
      </c>
      <c r="R1840" s="14" t="inlineStr">
        <is>
          <t>RUA GETÚLIO VARGAS, 60, CENTRO, PRADO/BA</t>
        </is>
      </c>
      <c r="S1840" s="26">
        <f>IF(A1840=A1839,0,1)</f>
        <v>0</v>
      </c>
      <c r="T1840" s="26">
        <f>IF(COUNTIF($B$4:B1840,B1840)=1,1,0)</f>
        <v>0</v>
      </c>
    </row>
    <row r="1841">
      <c r="A1841" s="14" t="inlineStr">
        <is>
          <t>PRADO</t>
        </is>
      </c>
      <c r="B1841" s="26" t="n">
        <v>112</v>
      </c>
      <c r="C1841" s="26" t="n">
        <v>1112</v>
      </c>
      <c r="D1841" s="14" t="inlineStr">
        <is>
          <t>ESCOLA MUNICIPAL ALGEZIRO MOURA</t>
        </is>
      </c>
      <c r="E1841" s="14" t="inlineStr">
        <is>
          <t>DISTRITO CUMURUXATIBA</t>
        </is>
      </c>
      <c r="F1841" s="14" t="inlineStr">
        <is>
          <t>RUA DA MATRIZ - ZONA RURAL</t>
        </is>
      </c>
      <c r="G1841" s="27" t="inlineStr">
        <is>
          <t>45980-000</t>
        </is>
      </c>
      <c r="H1841" s="15" t="n">
        <v>4</v>
      </c>
      <c r="I1841" s="28" t="inlineStr">
        <is>
          <t>NÃO</t>
        </is>
      </c>
      <c r="J1841" s="29" t="n">
        <v>145.5</v>
      </c>
      <c r="K1841" s="14" t="str">
        <f>IF(J1841="","7. Acima de 2 km",IF(J1841&lt;=50,"1. Até 50 m",IF(J1841&lt;=100,"2. De 50 a 100 m",IF(J1841&lt;=200,"3. De 100 a 200 m",IF(J1841&lt;=300,"4. De 200 a 300 m",IF(J1841&lt;=500,"5. De 300 a 500 m","6. De 500 m a 2 km"))))))</f>
        <v>3. De 100 a 200 m</v>
      </c>
      <c r="L1841" s="26" t="n">
        <v>0</v>
      </c>
      <c r="M1841" s="26" t="n">
        <v>0</v>
      </c>
      <c r="N1841" s="26" t="n">
        <v>4</v>
      </c>
      <c r="O1841" s="26" t="n">
        <v>7</v>
      </c>
      <c r="P1841" s="30" t="n">
        <v>-17.340265</v>
      </c>
      <c r="Q1841" s="30" t="n">
        <v>-39.22402</v>
      </c>
      <c r="R1841" s="14" t="inlineStr">
        <is>
          <t>RUA GETÚLIO VARGAS, 60, CENTRO, PRADO/BA</t>
        </is>
      </c>
      <c r="S1841" s="26">
        <f>IF(A1841=A1840,0,1)</f>
        <v>0</v>
      </c>
      <c r="T1841" s="26">
        <f>IF(COUNTIF($B$4:B1841,B1841)=1,1,0)</f>
        <v>0</v>
      </c>
    </row>
    <row r="1842">
      <c r="A1842" s="14" t="inlineStr">
        <is>
          <t>PRADO</t>
        </is>
      </c>
      <c r="B1842" s="26" t="n">
        <v>112</v>
      </c>
      <c r="C1842" s="26" t="n">
        <v>1147</v>
      </c>
      <c r="D1842" s="14" t="inlineStr">
        <is>
          <t>ESCOLA SANTA RITA DE CASSIA</t>
        </is>
      </c>
      <c r="E1842" s="14" t="inlineStr">
        <is>
          <t>POVOADO VELEIROS</t>
        </is>
      </c>
      <c r="F1842" s="14" t="inlineStr">
        <is>
          <t>COMUNIDADE DE VELEIRO - ZONA RURAL</t>
        </is>
      </c>
      <c r="G1842" s="27" t="inlineStr">
        <is>
          <t>45980-000</t>
        </is>
      </c>
      <c r="H1842" s="15" t="n">
        <v>6</v>
      </c>
      <c r="I1842" s="28" t="inlineStr">
        <is>
          <t>NÃO</t>
        </is>
      </c>
      <c r="J1842" s="29" t="n">
        <v>144.5</v>
      </c>
      <c r="K1842" s="14" t="str">
        <f>IF(J1842="","7. Acima de 2 km",IF(J1842&lt;=50,"1. Até 50 m",IF(J1842&lt;=100,"2. De 50 a 100 m",IF(J1842&lt;=200,"3. De 100 a 200 m",IF(J1842&lt;=300,"4. De 200 a 300 m",IF(J1842&lt;=500,"5. De 300 a 500 m","6. De 500 m a 2 km"))))))</f>
        <v>3. De 100 a 200 m</v>
      </c>
      <c r="L1842" s="26" t="n">
        <v>0</v>
      </c>
      <c r="M1842" s="26" t="n">
        <v>0</v>
      </c>
      <c r="N1842" s="26" t="n">
        <v>4</v>
      </c>
      <c r="O1842" s="26" t="n">
        <v>7</v>
      </c>
      <c r="P1842" s="30" t="n">
        <v>-17.340275</v>
      </c>
      <c r="Q1842" s="30" t="n">
        <v>-39.224035</v>
      </c>
      <c r="R1842" s="14" t="inlineStr">
        <is>
          <t>RUA GETÚLIO VARGAS, 60, CENTRO, PRADO/BA</t>
        </is>
      </c>
      <c r="S1842" s="26">
        <f>IF(A1842=A1841,0,1)</f>
        <v>0</v>
      </c>
      <c r="T1842" s="26">
        <f>IF(COUNTIF($B$4:B1842,B1842)=1,1,0)</f>
        <v>0</v>
      </c>
    </row>
    <row r="1843">
      <c r="A1843" s="14" t="inlineStr">
        <is>
          <t>PRADO</t>
        </is>
      </c>
      <c r="B1843" s="26" t="n">
        <v>112</v>
      </c>
      <c r="C1843" s="26" t="n">
        <v>1228</v>
      </c>
      <c r="D1843" s="14" t="inlineStr">
        <is>
          <t>GRUPO ESCOLAR PEROLINA MASCARENHAS</t>
        </is>
      </c>
      <c r="E1843" s="14" t="inlineStr">
        <is>
          <t>SAO SEBASTIAO</t>
        </is>
      </c>
      <c r="F1843" s="14" t="inlineStr">
        <is>
          <t>AV. VALDECK ORNELAS - ZONA URBANA</t>
        </is>
      </c>
      <c r="G1843" s="27" t="inlineStr">
        <is>
          <t>45980-000</t>
        </is>
      </c>
      <c r="H1843" s="15" t="n">
        <v>8</v>
      </c>
      <c r="I1843" s="28" t="inlineStr">
        <is>
          <t>NÃO</t>
        </is>
      </c>
      <c r="J1843" s="29" t="n">
        <v>1026</v>
      </c>
      <c r="K1843" s="14" t="str">
        <f>IF(J1843="","7. Acima de 2 km",IF(J1843&lt;=50,"1. Até 50 m",IF(J1843&lt;=100,"2. De 50 a 100 m",IF(J1843&lt;=200,"3. De 100 a 200 m",IF(J1843&lt;=300,"4. De 200 a 300 m",IF(J1843&lt;=500,"5. De 300 a 500 m","6. De 500 m a 2 km"))))))</f>
        <v>6. De 500 m a 2 km</v>
      </c>
      <c r="L1843" s="26" t="n">
        <v>0</v>
      </c>
      <c r="M1843" s="26" t="n">
        <v>0</v>
      </c>
      <c r="N1843" s="26" t="n">
        <v>0</v>
      </c>
      <c r="O1843" s="26" t="n">
        <v>0</v>
      </c>
      <c r="P1843" s="30" t="n">
        <v>-17.33213576</v>
      </c>
      <c r="Q1843" s="30" t="n">
        <v>-39.23103771</v>
      </c>
      <c r="R1843" s="14" t="inlineStr">
        <is>
          <t>RUA GETÚLIO VARGAS, 60, CENTRO, PRADO/BA</t>
        </is>
      </c>
      <c r="S1843" s="26">
        <f>IF(A1843=A1842,0,1)</f>
        <v>0</v>
      </c>
      <c r="T1843" s="26">
        <f>IF(COUNTIF($B$4:B1843,B1843)=1,1,0)</f>
        <v>0</v>
      </c>
    </row>
    <row r="1844">
      <c r="A1844" s="14" t="inlineStr">
        <is>
          <t>PRADO</t>
        </is>
      </c>
      <c r="B1844" s="26" t="n">
        <v>112</v>
      </c>
      <c r="C1844" s="26" t="n">
        <v>1260</v>
      </c>
      <c r="D1844" s="14" t="inlineStr">
        <is>
          <t>ESCOLA MUNICIPAL CINCO DE DEZEMBRO I</t>
        </is>
      </c>
      <c r="E1844" s="14" t="inlineStr">
        <is>
          <t>POVOADO RIACHO DAS OSTRAS</t>
        </is>
      </c>
      <c r="F1844" s="14" t="inlineStr">
        <is>
          <t>ASSENTAMENTO RIACHO DAS OSTRAS - ZONA RURAL</t>
        </is>
      </c>
      <c r="G1844" s="27" t="inlineStr">
        <is>
          <t>45980-000</t>
        </is>
      </c>
      <c r="H1844" s="15" t="n">
        <v>1</v>
      </c>
      <c r="I1844" s="28" t="inlineStr">
        <is>
          <t>NÃO</t>
        </is>
      </c>
      <c r="J1844" s="29" t="n">
        <v>150.6</v>
      </c>
      <c r="K1844" s="14" t="str">
        <f>IF(J1844="","7. Acima de 2 km",IF(J1844&lt;=50,"1. Até 50 m",IF(J1844&lt;=100,"2. De 50 a 100 m",IF(J1844&lt;=200,"3. De 100 a 200 m",IF(J1844&lt;=300,"4. De 200 a 300 m",IF(J1844&lt;=500,"5. De 300 a 500 m","6. De 500 m a 2 km"))))))</f>
        <v>3. De 100 a 200 m</v>
      </c>
      <c r="L1844" s="26" t="n">
        <v>0</v>
      </c>
      <c r="M1844" s="26" t="n">
        <v>0</v>
      </c>
      <c r="N1844" s="26" t="n">
        <v>4</v>
      </c>
      <c r="O1844" s="26" t="n">
        <v>7</v>
      </c>
      <c r="P1844" s="30" t="n">
        <v>-17.34021833</v>
      </c>
      <c r="Q1844" s="30" t="n">
        <v>-39.22401167</v>
      </c>
      <c r="R1844" s="14" t="inlineStr">
        <is>
          <t>RUA GETÚLIO VARGAS, 60, CENTRO, PRADO/BA</t>
        </is>
      </c>
      <c r="S1844" s="26">
        <f>IF(A1844=A1843,0,1)</f>
        <v>0</v>
      </c>
      <c r="T1844" s="26">
        <f>IF(COUNTIF($B$4:B1844,B1844)=1,1,0)</f>
        <v>0</v>
      </c>
    </row>
    <row r="1845">
      <c r="A1845" s="14" t="inlineStr">
        <is>
          <t>PRADO</t>
        </is>
      </c>
      <c r="B1845" s="26" t="n">
        <v>112</v>
      </c>
      <c r="C1845" s="26" t="n">
        <v>1279</v>
      </c>
      <c r="D1845" s="14" t="inlineStr">
        <is>
          <t>COLEGIO LUIZ EDUARDO MAGALHAES</t>
        </is>
      </c>
      <c r="E1845" s="14" t="inlineStr">
        <is>
          <t>SAO BRAZ</t>
        </is>
      </c>
      <c r="F1845" s="14" t="inlineStr">
        <is>
          <t>AV. WILSON ALVES DE BRITIO, S/N - ZONA URBANA</t>
        </is>
      </c>
      <c r="G1845" s="27" t="inlineStr">
        <is>
          <t>45980-000</t>
        </is>
      </c>
      <c r="H1845" s="15" t="n">
        <v>6</v>
      </c>
      <c r="I1845" s="28" t="inlineStr">
        <is>
          <t>NÃO</t>
        </is>
      </c>
      <c r="J1845" s="29" t="n">
        <v>800</v>
      </c>
      <c r="K1845" s="14" t="str">
        <f>IF(J1845="","7. Acima de 2 km",IF(J1845&lt;=50,"1. Até 50 m",IF(J1845&lt;=100,"2. De 50 a 100 m",IF(J1845&lt;=200,"3. De 100 a 200 m",IF(J1845&lt;=300,"4. De 200 a 300 m",IF(J1845&lt;=500,"5. De 300 a 500 m","6. De 500 m a 2 km"))))))</f>
        <v>6. De 500 m a 2 km</v>
      </c>
      <c r="L1845" s="26" t="n">
        <v>0</v>
      </c>
      <c r="M1845" s="26" t="n">
        <v>0</v>
      </c>
      <c r="N1845" s="26" t="n">
        <v>0</v>
      </c>
      <c r="O1845" s="26" t="n">
        <v>0</v>
      </c>
      <c r="P1845" s="30" t="n">
        <v>-17.32264634</v>
      </c>
      <c r="Q1845" s="30" t="n">
        <v>-39.23396699</v>
      </c>
      <c r="R1845" s="14" t="inlineStr">
        <is>
          <t>RUA GETÚLIO VARGAS, 60, CENTRO, PRADO/BA</t>
        </is>
      </c>
      <c r="S1845" s="26">
        <f>IF(A1845=A1844,0,1)</f>
        <v>0</v>
      </c>
      <c r="T1845" s="26">
        <f>IF(COUNTIF($B$4:B1845,B1845)=1,1,0)</f>
        <v>0</v>
      </c>
    </row>
    <row r="1846">
      <c r="A1846" s="14" t="inlineStr">
        <is>
          <t>PRADO</t>
        </is>
      </c>
      <c r="B1846" s="26" t="n">
        <v>112</v>
      </c>
      <c r="C1846" s="26" t="n">
        <v>1287</v>
      </c>
      <c r="D1846" s="14" t="inlineStr">
        <is>
          <t xml:space="preserve">ESCOLA MUNICIPAL PROFESSA MARIA HELENA GONÇALVES SALLES </t>
        </is>
      </c>
      <c r="E1846" s="14" t="inlineStr">
        <is>
          <t>CENTRO</t>
        </is>
      </c>
      <c r="F1846" s="14" t="inlineStr">
        <is>
          <t>RUA ANTONIO SOARES DE ALCANTARA - ZONA URBANA</t>
        </is>
      </c>
      <c r="G1846" s="27" t="inlineStr">
        <is>
          <t>45980-970</t>
        </is>
      </c>
      <c r="H1846" s="15" t="n">
        <v>4</v>
      </c>
      <c r="I1846" s="28" t="inlineStr">
        <is>
          <t>NÃO</t>
        </is>
      </c>
      <c r="J1846" s="29" t="n">
        <v>125.6</v>
      </c>
      <c r="K1846" s="14" t="str">
        <f>IF(J1846="","7. Acima de 2 km",IF(J1846&lt;=50,"1. Até 50 m",IF(J1846&lt;=100,"2. De 50 a 100 m",IF(J1846&lt;=200,"3. De 100 a 200 m",IF(J1846&lt;=300,"4. De 200 a 300 m",IF(J1846&lt;=500,"5. De 300 a 500 m","6. De 500 m a 2 km"))))))</f>
        <v>3. De 100 a 200 m</v>
      </c>
      <c r="L1846" s="26" t="n">
        <v>0</v>
      </c>
      <c r="M1846" s="26" t="n">
        <v>0</v>
      </c>
      <c r="N1846" s="26" t="n">
        <v>2</v>
      </c>
      <c r="O1846" s="26" t="n">
        <v>6</v>
      </c>
      <c r="P1846" s="30" t="n">
        <v>-17.3396787</v>
      </c>
      <c r="Q1846" s="30" t="n">
        <v>-39.2228892</v>
      </c>
      <c r="R1846" s="14" t="inlineStr">
        <is>
          <t>RUA GETÚLIO VARGAS, 60, CENTRO, PRADO/BA</t>
        </is>
      </c>
      <c r="S1846" s="26">
        <f>IF(A1846=A1845,0,1)</f>
        <v>0</v>
      </c>
      <c r="T1846" s="26">
        <f>IF(COUNTIF($B$4:B1846,B1846)=1,1,0)</f>
        <v>0</v>
      </c>
    </row>
    <row r="1847">
      <c r="A1847" s="14" t="inlineStr">
        <is>
          <t>PRADO</t>
        </is>
      </c>
      <c r="B1847" s="26" t="n">
        <v>112</v>
      </c>
      <c r="C1847" s="26" t="n">
        <v>1295</v>
      </c>
      <c r="D1847" s="14" t="inlineStr">
        <is>
          <t>ESCOLA MUNICIPAL EDLA DOS SANTOS ALMEIDA</t>
        </is>
      </c>
      <c r="E1847" s="14" t="inlineStr">
        <is>
          <t>POVOADO GUARANY</t>
        </is>
      </c>
      <c r="F1847" s="14" t="inlineStr">
        <is>
          <t>AV. PRINCIPAL, S/N, POVOADO GUARANI - ZONA URBANA</t>
        </is>
      </c>
      <c r="G1847" s="27" t="inlineStr">
        <is>
          <t>45980-000</t>
        </is>
      </c>
      <c r="H1847" s="15" t="n">
        <v>4</v>
      </c>
      <c r="I1847" s="28" t="inlineStr">
        <is>
          <t>NÃO</t>
        </is>
      </c>
      <c r="J1847" s="29" t="n">
        <v>133.6</v>
      </c>
      <c r="K1847" s="14" t="str">
        <f>IF(J1847="","7. Acima de 2 km",IF(J1847&lt;=50,"1. Até 50 m",IF(J1847&lt;=100,"2. De 50 a 100 m",IF(J1847&lt;=200,"3. De 100 a 200 m",IF(J1847&lt;=300,"4. De 200 a 300 m",IF(J1847&lt;=500,"5. De 300 a 500 m","6. De 500 m a 2 km"))))))</f>
        <v>3. De 100 a 200 m</v>
      </c>
      <c r="L1847" s="26" t="n">
        <v>0</v>
      </c>
      <c r="M1847" s="26" t="n">
        <v>0</v>
      </c>
      <c r="N1847" s="26" t="n">
        <v>4</v>
      </c>
      <c r="O1847" s="26" t="n">
        <v>5</v>
      </c>
      <c r="P1847" s="30" t="n">
        <v>-17.34443667</v>
      </c>
      <c r="Q1847" s="30" t="n">
        <v>-39.21862667</v>
      </c>
      <c r="R1847" s="14" t="inlineStr">
        <is>
          <t>RUA GETÚLIO VARGAS, 60, CENTRO, PRADO/BA</t>
        </is>
      </c>
      <c r="S1847" s="26">
        <f>IF(A1847=A1846,0,1)</f>
        <v>0</v>
      </c>
      <c r="T1847" s="26">
        <f>IF(COUNTIF($B$4:B1847,B1847)=1,1,0)</f>
        <v>0</v>
      </c>
    </row>
    <row r="1848">
      <c r="A1848" s="14" t="inlineStr">
        <is>
          <t>PRADO</t>
        </is>
      </c>
      <c r="B1848" s="26" t="n">
        <v>112</v>
      </c>
      <c r="C1848" s="26" t="n">
        <v>1309</v>
      </c>
      <c r="D1848" s="14" t="inlineStr">
        <is>
          <t>ESCOLA MUNICIPAL JOSÉ CÓ</t>
        </is>
      </c>
      <c r="E1848" s="14" t="inlineStr">
        <is>
          <t>SAO SEBASTIAO</t>
        </is>
      </c>
      <c r="F1848" s="14" t="inlineStr">
        <is>
          <t>AV. JOSÉ IZIDORO DOS SANTOS, S/N - ZONA URBANA</t>
        </is>
      </c>
      <c r="G1848" s="27" t="inlineStr">
        <is>
          <t>45980-000</t>
        </is>
      </c>
      <c r="H1848" s="15" t="n">
        <v>4</v>
      </c>
      <c r="I1848" s="28" t="inlineStr">
        <is>
          <t>NÃO</t>
        </is>
      </c>
      <c r="J1848" s="29" t="n">
        <v>513.9</v>
      </c>
      <c r="K1848" s="14" t="str">
        <f>IF(J1848="","7. Acima de 2 km",IF(J1848&lt;=50,"1. Até 50 m",IF(J1848&lt;=100,"2. De 50 a 100 m",IF(J1848&lt;=200,"3. De 100 a 200 m",IF(J1848&lt;=300,"4. De 200 a 300 m",IF(J1848&lt;=500,"5. De 300 a 500 m","6. De 500 m a 2 km"))))))</f>
        <v>6. De 500 m a 2 km</v>
      </c>
      <c r="L1848" s="26" t="n">
        <v>0</v>
      </c>
      <c r="M1848" s="26" t="n">
        <v>0</v>
      </c>
      <c r="N1848" s="26" t="n">
        <v>0</v>
      </c>
      <c r="O1848" s="26" t="n">
        <v>0</v>
      </c>
      <c r="P1848" s="30" t="n">
        <v>-17.32557568</v>
      </c>
      <c r="Q1848" s="30" t="n">
        <v>-39.23050291</v>
      </c>
      <c r="R1848" s="14" t="inlineStr">
        <is>
          <t>RUA GETÚLIO VARGAS, 60, CENTRO, PRADO/BA</t>
        </is>
      </c>
      <c r="S1848" s="26">
        <f>IF(A1848=A1847,0,1)</f>
        <v>0</v>
      </c>
      <c r="T1848" s="26">
        <f>IF(COUNTIF($B$4:B1848,B1848)=1,1,0)</f>
        <v>0</v>
      </c>
    </row>
    <row r="1849">
      <c r="A1849" s="14" t="inlineStr">
        <is>
          <t>PRADO</t>
        </is>
      </c>
      <c r="B1849" s="26" t="n">
        <v>112</v>
      </c>
      <c r="C1849" s="26" t="n">
        <v>1317</v>
      </c>
      <c r="D1849" s="14" t="inlineStr">
        <is>
          <t>ESCOLA MUNICIPAL ANTÔNIO CLIMÉRIO DOS SANTOS</t>
        </is>
      </c>
      <c r="E1849" s="14" t="inlineStr">
        <is>
          <t>DISTRITO CUMURUXATIBA</t>
        </is>
      </c>
      <c r="F1849" s="14" t="inlineStr">
        <is>
          <t>RUA ANTÔNIO BARRETO, S/N - ZONA RURAL</t>
        </is>
      </c>
      <c r="G1849" s="27" t="inlineStr">
        <is>
          <t>45980-000</t>
        </is>
      </c>
      <c r="H1849" s="15" t="n">
        <v>3</v>
      </c>
      <c r="I1849" s="28" t="inlineStr">
        <is>
          <t>NÃO</t>
        </is>
      </c>
      <c r="J1849" s="29" t="n">
        <v>144.3</v>
      </c>
      <c r="K1849" s="14" t="str">
        <f>IF(J1849="","7. Acima de 2 km",IF(J1849&lt;=50,"1. Até 50 m",IF(J1849&lt;=100,"2. De 50 a 100 m",IF(J1849&lt;=200,"3. De 100 a 200 m",IF(J1849&lt;=300,"4. De 200 a 300 m",IF(J1849&lt;=500,"5. De 300 a 500 m","6. De 500 m a 2 km"))))))</f>
        <v>3. De 100 a 200 m</v>
      </c>
      <c r="L1849" s="26" t="n">
        <v>0</v>
      </c>
      <c r="M1849" s="26" t="n">
        <v>0</v>
      </c>
      <c r="N1849" s="26" t="n">
        <v>4</v>
      </c>
      <c r="O1849" s="26" t="n">
        <v>7</v>
      </c>
      <c r="P1849" s="30" t="n">
        <v>-17.34027667</v>
      </c>
      <c r="Q1849" s="30" t="n">
        <v>-39.224035</v>
      </c>
      <c r="R1849" s="14" t="inlineStr">
        <is>
          <t>RUA GETÚLIO VARGAS, 60, CENTRO, PRADO/BA</t>
        </is>
      </c>
      <c r="S1849" s="26">
        <f>IF(A1849=A1848,0,1)</f>
        <v>0</v>
      </c>
      <c r="T1849" s="26">
        <f>IF(COUNTIF($B$4:B1849,B1849)=1,1,0)</f>
        <v>0</v>
      </c>
    </row>
    <row r="1850">
      <c r="A1850" s="14" t="inlineStr">
        <is>
          <t>RIO DE CONTAS</t>
        </is>
      </c>
      <c r="B1850" s="26" t="n">
        <v>101</v>
      </c>
      <c r="C1850" s="26" t="n">
        <v>1015</v>
      </c>
      <c r="D1850" s="14" t="inlineStr">
        <is>
          <t>PREFEITURA MUNICIPAL</t>
        </is>
      </c>
      <c r="E1850" s="14" t="inlineStr">
        <is>
          <t>CENTRO</t>
        </is>
      </c>
      <c r="F1850" s="14" t="inlineStr">
        <is>
          <t>LARGO DO ROSARIO,1 - ZONA URBANA</t>
        </is>
      </c>
      <c r="G1850" s="27" t="inlineStr">
        <is>
          <t>46170-000</t>
        </is>
      </c>
      <c r="H1850" s="15" t="n">
        <v>2</v>
      </c>
      <c r="I1850" s="28" t="inlineStr">
        <is>
          <t>NÃO</t>
        </is>
      </c>
      <c r="J1850" s="29" t="n">
        <v>112.4</v>
      </c>
      <c r="K1850" s="14" t="str">
        <f>IF(J1850="","7. Acima de 2 km",IF(J1850&lt;=50,"1. Até 50 m",IF(J1850&lt;=100,"2. De 50 a 100 m",IF(J1850&lt;=200,"3. De 100 a 200 m",IF(J1850&lt;=300,"4. De 200 a 300 m",IF(J1850&lt;=500,"5. De 300 a 500 m","6. De 500 m a 2 km"))))))</f>
        <v>3. De 100 a 200 m</v>
      </c>
      <c r="L1850" s="26" t="n">
        <v>0</v>
      </c>
      <c r="M1850" s="26" t="n">
        <v>0</v>
      </c>
      <c r="N1850" s="26" t="n">
        <v>1</v>
      </c>
      <c r="O1850" s="26" t="n">
        <v>5</v>
      </c>
      <c r="P1850" s="30" t="n">
        <v>-13.5783013</v>
      </c>
      <c r="Q1850" s="30" t="n">
        <v>-41.8110557</v>
      </c>
      <c r="R1850" s="14" t="inlineStr">
        <is>
          <t>RUA JOSÉ MARIA TANAJURA, 241, CENTRO, LIVRAMENTO DE NOSSA SENHORA/BA</t>
        </is>
      </c>
      <c r="S1850" s="26">
        <f>IF(A1850=A1849,0,1)</f>
        <v>1</v>
      </c>
      <c r="T1850" s="26">
        <f>IF(COUNTIF($B$4:B1850,B1850)=1,1,0)</f>
        <v>0</v>
      </c>
    </row>
    <row r="1851">
      <c r="A1851" s="14" t="inlineStr">
        <is>
          <t>RIO DE CONTAS</t>
        </is>
      </c>
      <c r="B1851" s="26" t="n">
        <v>101</v>
      </c>
      <c r="C1851" s="26" t="n">
        <v>1023</v>
      </c>
      <c r="D1851" s="14" t="inlineStr">
        <is>
          <t>GRUPO ESCOLAR BARAO DE MACAUBAS</t>
        </is>
      </c>
      <c r="E1851" s="14" t="inlineStr">
        <is>
          <t>CENTRO</t>
        </is>
      </c>
      <c r="F1851" s="14" t="inlineStr">
        <is>
          <t>RUA ALVARO DANTAS, S/N - ZONA URBANA</t>
        </is>
      </c>
      <c r="G1851" s="27" t="inlineStr">
        <is>
          <t>46170-000</t>
        </is>
      </c>
      <c r="H1851" s="15" t="n">
        <v>3</v>
      </c>
      <c r="I1851" s="28" t="inlineStr">
        <is>
          <t>NÃO</t>
        </is>
      </c>
      <c r="J1851" s="29" t="n">
        <v>191.3</v>
      </c>
      <c r="K1851" s="14" t="str">
        <f>IF(J1851="","7. Acima de 2 km",IF(J1851&lt;=50,"1. Até 50 m",IF(J1851&lt;=100,"2. De 50 a 100 m",IF(J1851&lt;=200,"3. De 100 a 200 m",IF(J1851&lt;=300,"4. De 200 a 300 m",IF(J1851&lt;=500,"5. De 300 a 500 m","6. De 500 m a 2 km"))))))</f>
        <v>3. De 100 a 200 m</v>
      </c>
      <c r="L1851" s="26" t="n">
        <v>0</v>
      </c>
      <c r="M1851" s="26" t="n">
        <v>0</v>
      </c>
      <c r="N1851" s="26" t="n">
        <v>1</v>
      </c>
      <c r="O1851" s="26" t="n">
        <v>3</v>
      </c>
      <c r="P1851" s="30" t="n">
        <v>-13.5830157</v>
      </c>
      <c r="Q1851" s="30" t="n">
        <v>-41.8139852</v>
      </c>
      <c r="R1851" s="14" t="inlineStr">
        <is>
          <t>RUA JOSÉ MARIA TANAJURA, 241, CENTRO, LIVRAMENTO DE NOSSA SENHORA/BA</t>
        </is>
      </c>
      <c r="S1851" s="26">
        <f>IF(A1851=A1850,0,1)</f>
        <v>0</v>
      </c>
      <c r="T1851" s="26">
        <f>IF(COUNTIF($B$4:B1851,B1851)=1,1,0)</f>
        <v>0</v>
      </c>
    </row>
    <row r="1852">
      <c r="A1852" s="14" t="inlineStr">
        <is>
          <t>RIO DE CONTAS</t>
        </is>
      </c>
      <c r="B1852" s="26" t="n">
        <v>101</v>
      </c>
      <c r="C1852" s="26" t="n">
        <v>1031</v>
      </c>
      <c r="D1852" s="14" t="inlineStr">
        <is>
          <t>CENTRO EDUCACIONAL ANA PETRONILA TRINDADE RAMOS</t>
        </is>
      </c>
      <c r="E1852" s="14" t="inlineStr">
        <is>
          <t>POVOADO MATO GROSSO</t>
        </is>
      </c>
      <c r="F1852" s="14" t="inlineStr">
        <is>
          <t>PRACA SANTO ANTONIO, S/N - ZONA RURAL</t>
        </is>
      </c>
      <c r="G1852" s="27" t="inlineStr">
        <is>
          <t>46170-000</t>
        </is>
      </c>
      <c r="H1852" s="15" t="n">
        <v>3</v>
      </c>
      <c r="I1852" s="28" t="inlineStr">
        <is>
          <t>NÃO</t>
        </is>
      </c>
      <c r="J1852" s="29" t="n"/>
      <c r="K1852" s="14" t="str">
        <f>IF(J1852="","7. Acima de 2 km",IF(J1852&lt;=50,"1. Até 50 m",IF(J1852&lt;=100,"2. De 50 a 100 m",IF(J1852&lt;=200,"3. De 100 a 200 m",IF(J1852&lt;=300,"4. De 200 a 300 m",IF(J1852&lt;=500,"5. De 300 a 500 m","6. De 500 m a 2 km"))))))</f>
        <v>7. Acima de 2 km</v>
      </c>
      <c r="L1852" s="26" t="n">
        <v>0</v>
      </c>
      <c r="M1852" s="26" t="n">
        <v>0</v>
      </c>
      <c r="N1852" s="26" t="n">
        <v>0</v>
      </c>
      <c r="O1852" s="26" t="n">
        <v>0</v>
      </c>
      <c r="P1852" s="30" t="n">
        <v>-13.4646425</v>
      </c>
      <c r="Q1852" s="30" t="n">
        <v>-41.8364966</v>
      </c>
      <c r="R1852" s="14" t="inlineStr">
        <is>
          <t>RUA JOSÉ MARIA TANAJURA, 241, CENTRO, LIVRAMENTO DE NOSSA SENHORA/BA</t>
        </is>
      </c>
      <c r="S1852" s="26">
        <f>IF(A1852=A1851,0,1)</f>
        <v>0</v>
      </c>
      <c r="T1852" s="26">
        <f>IF(COUNTIF($B$4:B1852,B1852)=1,1,0)</f>
        <v>0</v>
      </c>
    </row>
    <row r="1853">
      <c r="A1853" s="14" t="inlineStr">
        <is>
          <t>RIO DE CONTAS</t>
        </is>
      </c>
      <c r="B1853" s="26" t="n">
        <v>101</v>
      </c>
      <c r="C1853" s="26" t="n">
        <v>1058</v>
      </c>
      <c r="D1853" s="14" t="inlineStr">
        <is>
          <t>ESPAÇO CULTURAL CASA DE TELHA</t>
        </is>
      </c>
      <c r="E1853" s="14" t="inlineStr">
        <is>
          <t>POVOADO CASA DE TELHA</t>
        </is>
      </c>
      <c r="F1853" s="14" t="inlineStr">
        <is>
          <t>POVOADO CASA DE TELHA, SN - ZONA RURAL</t>
        </is>
      </c>
      <c r="G1853" s="27" t="inlineStr">
        <is>
          <t>46170-000</t>
        </is>
      </c>
      <c r="H1853" s="15" t="n">
        <v>2</v>
      </c>
      <c r="I1853" s="28" t="inlineStr">
        <is>
          <t>NÃO</t>
        </is>
      </c>
      <c r="J1853" s="29" t="n"/>
      <c r="K1853" s="14" t="str">
        <f>IF(J1853="","7. Acima de 2 km",IF(J1853&lt;=50,"1. Até 50 m",IF(J1853&lt;=100,"2. De 50 a 100 m",IF(J1853&lt;=200,"3. De 100 a 200 m",IF(J1853&lt;=300,"4. De 200 a 300 m",IF(J1853&lt;=500,"5. De 300 a 500 m","6. De 500 m a 2 km"))))))</f>
        <v>7. Acima de 2 km</v>
      </c>
      <c r="L1853" s="26" t="n">
        <v>0</v>
      </c>
      <c r="M1853" s="26" t="n">
        <v>0</v>
      </c>
      <c r="N1853" s="26" t="n">
        <v>0</v>
      </c>
      <c r="O1853" s="26" t="n">
        <v>0</v>
      </c>
      <c r="P1853" s="30" t="n">
        <v>-13.5821439</v>
      </c>
      <c r="Q1853" s="30" t="n">
        <v>-41.7098961</v>
      </c>
      <c r="R1853" s="14" t="inlineStr">
        <is>
          <t>RUA JOSÉ MARIA TANAJURA, 241, CENTRO, LIVRAMENTO DE NOSSA SENHORA/BA</t>
        </is>
      </c>
      <c r="S1853" s="26">
        <f>IF(A1853=A1852,0,1)</f>
        <v>0</v>
      </c>
      <c r="T1853" s="26">
        <f>IF(COUNTIF($B$4:B1853,B1853)=1,1,0)</f>
        <v>0</v>
      </c>
    </row>
    <row r="1854">
      <c r="A1854" s="14" t="inlineStr">
        <is>
          <t>RIO DE CONTAS</t>
        </is>
      </c>
      <c r="B1854" s="26" t="n">
        <v>101</v>
      </c>
      <c r="C1854" s="26" t="n">
        <v>1074</v>
      </c>
      <c r="D1854" s="14" t="inlineStr">
        <is>
          <t>ESCOLA MUNICIPAL MANOEL NEPOMUCENO DOS SANTOS</t>
        </is>
      </c>
      <c r="E1854" s="14" t="inlineStr">
        <is>
          <t>POVOADO JOÃO VAZ</t>
        </is>
      </c>
      <c r="F1854" s="14" t="inlineStr">
        <is>
          <t>RUA JOANA ANGELICA S/N - ZONA RURAL</t>
        </is>
      </c>
      <c r="G1854" s="27" t="inlineStr">
        <is>
          <t>46170-000</t>
        </is>
      </c>
      <c r="H1854" s="15" t="n">
        <v>2</v>
      </c>
      <c r="I1854" s="28" t="inlineStr">
        <is>
          <t>NÃO</t>
        </is>
      </c>
      <c r="J1854" s="29" t="n"/>
      <c r="K1854" s="14" t="str">
        <f>IF(J1854="","7. Acima de 2 km",IF(J1854&lt;=50,"1. Até 50 m",IF(J1854&lt;=100,"2. De 50 a 100 m",IF(J1854&lt;=200,"3. De 100 a 200 m",IF(J1854&lt;=300,"4. De 200 a 300 m",IF(J1854&lt;=500,"5. De 300 a 500 m","6. De 500 m a 2 km"))))))</f>
        <v>7. Acima de 2 km</v>
      </c>
      <c r="L1854" s="26" t="n">
        <v>0</v>
      </c>
      <c r="M1854" s="26" t="n">
        <v>0</v>
      </c>
      <c r="N1854" s="26" t="n">
        <v>0</v>
      </c>
      <c r="O1854" s="26" t="n">
        <v>0</v>
      </c>
      <c r="P1854" s="30" t="n">
        <v>-13.755852</v>
      </c>
      <c r="Q1854" s="30" t="n">
        <v>-41.5769766</v>
      </c>
      <c r="R1854" s="14" t="inlineStr">
        <is>
          <t>RUA JOSÉ MARIA TANAJURA, 241, CENTRO, LIVRAMENTO DE NOSSA SENHORA/BA</t>
        </is>
      </c>
      <c r="S1854" s="26">
        <f>IF(A1854=A1853,0,1)</f>
        <v>0</v>
      </c>
      <c r="T1854" s="26">
        <f>IF(COUNTIF($B$4:B1854,B1854)=1,1,0)</f>
        <v>0</v>
      </c>
    </row>
    <row r="1855">
      <c r="A1855" s="14" t="inlineStr">
        <is>
          <t>RIO DE CONTAS</t>
        </is>
      </c>
      <c r="B1855" s="26" t="n">
        <v>101</v>
      </c>
      <c r="C1855" s="26" t="n">
        <v>1090</v>
      </c>
      <c r="D1855" s="14" t="inlineStr">
        <is>
          <t>ESCOLA MUNICIPAL DE BARRA DO BRUMADO</t>
        </is>
      </c>
      <c r="E1855" s="14" t="inlineStr">
        <is>
          <t>POVOADO BARRA DO BRUMADO</t>
        </is>
      </c>
      <c r="F1855" s="14" t="inlineStr">
        <is>
          <t>PRACA SAO SEBASTIAO - ZONA RURAL</t>
        </is>
      </c>
      <c r="G1855" s="27" t="inlineStr">
        <is>
          <t>46170-000</t>
        </is>
      </c>
      <c r="H1855" s="15" t="n">
        <v>1</v>
      </c>
      <c r="I1855" s="28" t="inlineStr">
        <is>
          <t>NÃO</t>
        </is>
      </c>
      <c r="J1855" s="29" t="n"/>
      <c r="K1855" s="14" t="str">
        <f>IF(J1855="","7. Acima de 2 km",IF(J1855&lt;=50,"1. Até 50 m",IF(J1855&lt;=100,"2. De 50 a 100 m",IF(J1855&lt;=200,"3. De 100 a 200 m",IF(J1855&lt;=300,"4. De 200 a 300 m",IF(J1855&lt;=500,"5. De 300 a 500 m","6. De 500 m a 2 km"))))))</f>
        <v>7. Acima de 2 km</v>
      </c>
      <c r="L1855" s="26" t="n">
        <v>0</v>
      </c>
      <c r="M1855" s="26" t="n">
        <v>0</v>
      </c>
      <c r="N1855" s="26" t="n">
        <v>0</v>
      </c>
      <c r="O1855" s="26" t="n">
        <v>0</v>
      </c>
      <c r="P1855" s="30" t="n">
        <v>-13.4911122</v>
      </c>
      <c r="Q1855" s="30" t="n">
        <v>-41.8583062</v>
      </c>
      <c r="R1855" s="14" t="inlineStr">
        <is>
          <t>RUA JOSÉ MARIA TANAJURA, 241, CENTRO, LIVRAMENTO DE NOSSA SENHORA/BA</t>
        </is>
      </c>
      <c r="S1855" s="26">
        <f>IF(A1855=A1854,0,1)</f>
        <v>0</v>
      </c>
      <c r="T1855" s="26">
        <f>IF(COUNTIF($B$4:B1855,B1855)=1,1,0)</f>
        <v>0</v>
      </c>
    </row>
    <row r="1856">
      <c r="A1856" s="14" t="inlineStr">
        <is>
          <t>RIO DE CONTAS</t>
        </is>
      </c>
      <c r="B1856" s="26" t="n">
        <v>101</v>
      </c>
      <c r="C1856" s="26" t="n">
        <v>1112</v>
      </c>
      <c r="D1856" s="14" t="inlineStr">
        <is>
          <t>CLUBE SOCIAL DE ARAPIRANGA</t>
        </is>
      </c>
      <c r="E1856" s="14" t="inlineStr">
        <is>
          <t>DISTRITO ARAPIRANGA</t>
        </is>
      </c>
      <c r="F1856" s="14" t="inlineStr">
        <is>
          <t>RUA GUSTAVO DE ABREU, S/N - ZONA RURAL</t>
        </is>
      </c>
      <c r="G1856" s="27" t="inlineStr">
        <is>
          <t>46170-000</t>
        </is>
      </c>
      <c r="H1856" s="15" t="n">
        <v>2</v>
      </c>
      <c r="I1856" s="28" t="inlineStr">
        <is>
          <t>NÃO</t>
        </is>
      </c>
      <c r="J1856" s="29" t="n"/>
      <c r="K1856" s="14" t="str">
        <f>IF(J1856="","7. Acima de 2 km",IF(J1856&lt;=50,"1. Até 50 m",IF(J1856&lt;=100,"2. De 50 a 100 m",IF(J1856&lt;=200,"3. De 100 a 200 m",IF(J1856&lt;=300,"4. De 200 a 300 m",IF(J1856&lt;=500,"5. De 300 a 500 m","6. De 500 m a 2 km"))))))</f>
        <v>7. Acima de 2 km</v>
      </c>
      <c r="L1856" s="26" t="n">
        <v>0</v>
      </c>
      <c r="M1856" s="26" t="n">
        <v>0</v>
      </c>
      <c r="N1856" s="26" t="n">
        <v>0</v>
      </c>
      <c r="O1856" s="26" t="n">
        <v>0</v>
      </c>
      <c r="P1856" s="30" t="n">
        <v>-13.4814242</v>
      </c>
      <c r="Q1856" s="30" t="n">
        <v>-41.7669134</v>
      </c>
      <c r="R1856" s="14" t="inlineStr">
        <is>
          <t>RUA JOSÉ MARIA TANAJURA, 241, CENTRO, LIVRAMENTO DE NOSSA SENHORA/BA</t>
        </is>
      </c>
      <c r="S1856" s="26">
        <f>IF(A1856=A1855,0,1)</f>
        <v>0</v>
      </c>
      <c r="T1856" s="26">
        <f>IF(COUNTIF($B$4:B1856,B1856)=1,1,0)</f>
        <v>0</v>
      </c>
    </row>
    <row r="1857">
      <c r="A1857" s="14" t="inlineStr">
        <is>
          <t>RIO DE CONTAS</t>
        </is>
      </c>
      <c r="B1857" s="26" t="n">
        <v>101</v>
      </c>
      <c r="C1857" s="26" t="n">
        <v>1139</v>
      </c>
      <c r="D1857" s="14" t="inlineStr">
        <is>
          <t>ESCOLA ESTADUAL JUVENAL CANDIDO DE OLIVEIRA</t>
        </is>
      </c>
      <c r="E1857" s="14" t="inlineStr">
        <is>
          <t>CENTRO</t>
        </is>
      </c>
      <c r="F1857" s="14" t="inlineStr">
        <is>
          <t>PRACA CEL. CARLOS SOUTO - ZONA URBANA</t>
        </is>
      </c>
      <c r="G1857" s="27" t="inlineStr">
        <is>
          <t>46170-000</t>
        </is>
      </c>
      <c r="H1857" s="15" t="n">
        <v>2</v>
      </c>
      <c r="I1857" s="28" t="inlineStr">
        <is>
          <t>NÃO</t>
        </is>
      </c>
      <c r="J1857" s="29" t="n">
        <v>194.7</v>
      </c>
      <c r="K1857" s="14" t="str">
        <f>IF(J1857="","7. Acima de 2 km",IF(J1857&lt;=50,"1. Até 50 m",IF(J1857&lt;=100,"2. De 50 a 100 m",IF(J1857&lt;=200,"3. De 100 a 200 m",IF(J1857&lt;=300,"4. De 200 a 300 m",IF(J1857&lt;=500,"5. De 300 a 500 m","6. De 500 m a 2 km"))))))</f>
        <v>3. De 100 a 200 m</v>
      </c>
      <c r="L1857" s="26" t="n">
        <v>0</v>
      </c>
      <c r="M1857" s="26" t="n">
        <v>0</v>
      </c>
      <c r="N1857" s="26" t="n">
        <v>1</v>
      </c>
      <c r="O1857" s="26" t="n">
        <v>3</v>
      </c>
      <c r="P1857" s="30" t="n">
        <v>-13.5813858</v>
      </c>
      <c r="Q1857" s="30" t="n">
        <v>-41.8103482</v>
      </c>
      <c r="R1857" s="14" t="inlineStr">
        <is>
          <t>RUA JOSÉ MARIA TANAJURA, 241, CENTRO, LIVRAMENTO DE NOSSA SENHORA/BA</t>
        </is>
      </c>
      <c r="S1857" s="26">
        <f>IF(A1857=A1856,0,1)</f>
        <v>0</v>
      </c>
      <c r="T1857" s="26">
        <f>IF(COUNTIF($B$4:B1857,B1857)=1,1,0)</f>
        <v>0</v>
      </c>
    </row>
    <row r="1858">
      <c r="A1858" s="14" t="inlineStr">
        <is>
          <t>RIO DE CONTAS</t>
        </is>
      </c>
      <c r="B1858" s="26" t="n">
        <v>101</v>
      </c>
      <c r="C1858" s="26" t="n">
        <v>1147</v>
      </c>
      <c r="D1858" s="14" t="inlineStr">
        <is>
          <t>COLÉGIO ESTADUAL DE MARCOLINO MOURA</t>
        </is>
      </c>
      <c r="E1858" s="14" t="inlineStr">
        <is>
          <t>DISTRITO MARCOLINO MOURA</t>
        </is>
      </c>
      <c r="F1858" s="14" t="inlineStr">
        <is>
          <t>RUA LAUDELINO CORREIA, S/N - ZONA RURAL</t>
        </is>
      </c>
      <c r="G1858" s="27" t="inlineStr">
        <is>
          <t>46170-000</t>
        </is>
      </c>
      <c r="H1858" s="15" t="n">
        <v>4</v>
      </c>
      <c r="I1858" s="28" t="inlineStr">
        <is>
          <t>NÃO</t>
        </is>
      </c>
      <c r="J1858" s="29" t="n"/>
      <c r="K1858" s="14" t="str">
        <f>IF(J1858="","7. Acima de 2 km",IF(J1858&lt;=50,"1. Até 50 m",IF(J1858&lt;=100,"2. De 50 a 100 m",IF(J1858&lt;=200,"3. De 100 a 200 m",IF(J1858&lt;=300,"4. De 200 a 300 m",IF(J1858&lt;=500,"5. De 300 a 500 m","6. De 500 m a 2 km"))))))</f>
        <v>7. Acima de 2 km</v>
      </c>
      <c r="L1858" s="26" t="n">
        <v>0</v>
      </c>
      <c r="M1858" s="26" t="n">
        <v>0</v>
      </c>
      <c r="N1858" s="26" t="n">
        <v>0</v>
      </c>
      <c r="O1858" s="26" t="n">
        <v>0</v>
      </c>
      <c r="P1858" s="30" t="n">
        <v>-13.6004347</v>
      </c>
      <c r="Q1858" s="30" t="n">
        <v>-41.6876243</v>
      </c>
      <c r="R1858" s="14" t="inlineStr">
        <is>
          <t>RUA JOSÉ MARIA TANAJURA, 241, CENTRO, LIVRAMENTO DE NOSSA SENHORA/BA</t>
        </is>
      </c>
      <c r="S1858" s="26">
        <f>IF(A1858=A1857,0,1)</f>
        <v>0</v>
      </c>
      <c r="T1858" s="26">
        <f>IF(COUNTIF($B$4:B1858,B1858)=1,1,0)</f>
        <v>0</v>
      </c>
    </row>
    <row r="1859">
      <c r="A1859" s="14" t="inlineStr">
        <is>
          <t>RIO DE CONTAS</t>
        </is>
      </c>
      <c r="B1859" s="26" t="n">
        <v>101</v>
      </c>
      <c r="C1859" s="26" t="n">
        <v>1155</v>
      </c>
      <c r="D1859" s="14" t="inlineStr">
        <is>
          <t>TEATRO SAO CARLOS</t>
        </is>
      </c>
      <c r="E1859" s="14" t="inlineStr">
        <is>
          <t>CENTRO</t>
        </is>
      </c>
      <c r="F1859" s="14" t="inlineStr">
        <is>
          <t>LARGO DO ROSARIO, 75 - ZONA URBANA</t>
        </is>
      </c>
      <c r="G1859" s="27" t="inlineStr">
        <is>
          <t>46170-000</t>
        </is>
      </c>
      <c r="H1859" s="15" t="n">
        <v>1</v>
      </c>
      <c r="I1859" s="28" t="inlineStr">
        <is>
          <t>SIM</t>
        </is>
      </c>
      <c r="J1859" s="29" t="n">
        <v>63.4</v>
      </c>
      <c r="K1859" s="14" t="str">
        <f>IF(J1859="","7. Acima de 2 km",IF(J1859&lt;=50,"1. Até 50 m",IF(J1859&lt;=100,"2. De 50 a 100 m",IF(J1859&lt;=200,"3. De 100 a 200 m",IF(J1859&lt;=300,"4. De 200 a 300 m",IF(J1859&lt;=500,"5. De 300 a 500 m","6. De 500 m a 2 km"))))))</f>
        <v>2. De 50 a 100 m</v>
      </c>
      <c r="L1859" s="26" t="n">
        <v>0</v>
      </c>
      <c r="M1859" s="26" t="n">
        <v>1</v>
      </c>
      <c r="N1859" s="26" t="n">
        <v>2</v>
      </c>
      <c r="O1859" s="26" t="n">
        <v>5</v>
      </c>
      <c r="P1859" s="30" t="n">
        <v>-13.5794788</v>
      </c>
      <c r="Q1859" s="30" t="n">
        <v>-41.8108218</v>
      </c>
      <c r="R1859" s="14" t="inlineStr">
        <is>
          <t>RUA JOSÉ MARIA TANAJURA, 241, CENTRO, LIVRAMENTO DE NOSSA SENHORA/BA</t>
        </is>
      </c>
      <c r="S1859" s="26">
        <f>IF(A1859=A1858,0,1)</f>
        <v>0</v>
      </c>
      <c r="T1859" s="26">
        <f>IF(COUNTIF($B$4:B1859,B1859)=1,1,0)</f>
        <v>0</v>
      </c>
    </row>
    <row r="1860">
      <c r="A1860" s="14" t="inlineStr">
        <is>
          <t>RIO DE CONTAS</t>
        </is>
      </c>
      <c r="B1860" s="26" t="n">
        <v>101</v>
      </c>
      <c r="C1860" s="26" t="n">
        <v>1163</v>
      </c>
      <c r="D1860" s="14" t="inlineStr">
        <is>
          <t>SOCIEDADE MUSICAL LIRA DOS ARTISTAS</t>
        </is>
      </c>
      <c r="E1860" s="14" t="inlineStr">
        <is>
          <t>CENTRO</t>
        </is>
      </c>
      <c r="F1860" s="14" t="inlineStr">
        <is>
          <t xml:space="preserve">RUA BARAO DE MACAUBAS, 50 - ZONA URBANA  </t>
        </is>
      </c>
      <c r="G1860" s="27" t="inlineStr">
        <is>
          <t>46170-000</t>
        </is>
      </c>
      <c r="H1860" s="15" t="n">
        <v>1</v>
      </c>
      <c r="I1860" s="28" t="inlineStr">
        <is>
          <t>SIM</t>
        </is>
      </c>
      <c r="J1860" s="29" t="n">
        <v>62.7</v>
      </c>
      <c r="K1860" s="14" t="str">
        <f>IF(J1860="","7. Acima de 2 km",IF(J1860&lt;=50,"1. Até 50 m",IF(J1860&lt;=100,"2. De 50 a 100 m",IF(J1860&lt;=200,"3. De 100 a 200 m",IF(J1860&lt;=300,"4. De 200 a 300 m",IF(J1860&lt;=500,"5. De 300 a 500 m","6. De 500 m a 2 km"))))))</f>
        <v>2. De 50 a 100 m</v>
      </c>
      <c r="L1860" s="26" t="n">
        <v>0</v>
      </c>
      <c r="M1860" s="26" t="n">
        <v>2</v>
      </c>
      <c r="N1860" s="26" t="n">
        <v>6</v>
      </c>
      <c r="O1860" s="26" t="n">
        <v>6</v>
      </c>
      <c r="P1860" s="30" t="n">
        <v>-13.5802847</v>
      </c>
      <c r="Q1860" s="30" t="n">
        <v>-41.8123662</v>
      </c>
      <c r="R1860" s="14" t="inlineStr">
        <is>
          <t>RUA JOSÉ MARIA TANAJURA, 241, CENTRO, LIVRAMENTO DE NOSSA SENHORA/BA</t>
        </is>
      </c>
      <c r="S1860" s="26">
        <f>IF(A1860=A1859,0,1)</f>
        <v>0</v>
      </c>
      <c r="T1860" s="26">
        <f>IF(COUNTIF($B$4:B1860,B1860)=1,1,0)</f>
        <v>0</v>
      </c>
    </row>
    <row r="1861">
      <c r="A1861" s="14" t="inlineStr">
        <is>
          <t>RIO DE CONTAS</t>
        </is>
      </c>
      <c r="B1861" s="26" t="n">
        <v>101</v>
      </c>
      <c r="C1861" s="26" t="n">
        <v>1180</v>
      </c>
      <c r="D1861" s="14" t="inlineStr">
        <is>
          <t>ESCOLA RURAL DE UMBUZEIRO DOS SANTOS</t>
        </is>
      </c>
      <c r="E1861" s="14" t="inlineStr">
        <is>
          <t>POVOADO UMBUZEIRO DOS SANTOS</t>
        </is>
      </c>
      <c r="F1861" s="14" t="inlineStr">
        <is>
          <t>POVOADO DE UMBUZEIRO DOS SANTOS - ZONA RURAL</t>
        </is>
      </c>
      <c r="G1861" s="27" t="inlineStr">
        <is>
          <t>46170-000</t>
        </is>
      </c>
      <c r="H1861" s="15" t="n">
        <v>2</v>
      </c>
      <c r="I1861" s="28" t="inlineStr">
        <is>
          <t>NÃO</t>
        </is>
      </c>
      <c r="J1861" s="29" t="n"/>
      <c r="K1861" s="14" t="str">
        <f>IF(J1861="","7. Acima de 2 km",IF(J1861&lt;=50,"1. Até 50 m",IF(J1861&lt;=100,"2. De 50 a 100 m",IF(J1861&lt;=200,"3. De 100 a 200 m",IF(J1861&lt;=300,"4. De 200 a 300 m",IF(J1861&lt;=500,"5. De 300 a 500 m","6. De 500 m a 2 km"))))))</f>
        <v>7. Acima de 2 km</v>
      </c>
      <c r="L1861" s="26" t="n">
        <v>0</v>
      </c>
      <c r="M1861" s="26" t="n">
        <v>0</v>
      </c>
      <c r="N1861" s="26" t="n">
        <v>0</v>
      </c>
      <c r="O1861" s="26" t="n">
        <v>0</v>
      </c>
      <c r="P1861" s="30" t="n">
        <v>-13.5311848</v>
      </c>
      <c r="Q1861" s="30" t="n">
        <v>-41.7314715</v>
      </c>
      <c r="R1861" s="14" t="inlineStr">
        <is>
          <t>RUA JOSÉ MARIA TANAJURA, 241, CENTRO, LIVRAMENTO DE NOSSA SENHORA/BA</t>
        </is>
      </c>
      <c r="S1861" s="26">
        <f>IF(A1861=A1860,0,1)</f>
        <v>0</v>
      </c>
      <c r="T1861" s="26">
        <f>IF(COUNTIF($B$4:B1861,B1861)=1,1,0)</f>
        <v>0</v>
      </c>
    </row>
    <row r="1862">
      <c r="A1862" s="14" t="inlineStr">
        <is>
          <t>RIO DE CONTAS</t>
        </is>
      </c>
      <c r="B1862" s="26" t="n">
        <v>101</v>
      </c>
      <c r="C1862" s="26" t="n">
        <v>1198</v>
      </c>
      <c r="D1862" s="14" t="inlineStr">
        <is>
          <t>TELECENTRO MUNICIPAL DE MARCOLINO MOURA</t>
        </is>
      </c>
      <c r="E1862" s="14" t="inlineStr">
        <is>
          <t>DISTRITO MARCOLINO MOURA</t>
        </is>
      </c>
      <c r="F1862" s="14" t="inlineStr">
        <is>
          <t>PRAÇA DA FEIRA, S/N - ZONA RURAL</t>
        </is>
      </c>
      <c r="G1862" s="27" t="inlineStr">
        <is>
          <t>46170-000</t>
        </is>
      </c>
      <c r="H1862" s="15" t="n">
        <v>1</v>
      </c>
      <c r="I1862" s="28" t="inlineStr">
        <is>
          <t>NÃO</t>
        </is>
      </c>
      <c r="J1862" s="29" t="n"/>
      <c r="K1862" s="14" t="str">
        <f>IF(J1862="","7. Acima de 2 km",IF(J1862&lt;=50,"1. Até 50 m",IF(J1862&lt;=100,"2. De 50 a 100 m",IF(J1862&lt;=200,"3. De 100 a 200 m",IF(J1862&lt;=300,"4. De 200 a 300 m",IF(J1862&lt;=500,"5. De 300 a 500 m","6. De 500 m a 2 km"))))))</f>
        <v>7. Acima de 2 km</v>
      </c>
      <c r="L1862" s="26" t="n">
        <v>0</v>
      </c>
      <c r="M1862" s="26" t="n">
        <v>0</v>
      </c>
      <c r="N1862" s="26" t="n">
        <v>0</v>
      </c>
      <c r="O1862" s="26" t="n">
        <v>0</v>
      </c>
      <c r="P1862" s="30" t="n">
        <v>-13.5985866</v>
      </c>
      <c r="Q1862" s="30" t="n">
        <v>-41.6908552</v>
      </c>
      <c r="R1862" s="14" t="inlineStr">
        <is>
          <t>RUA JOSÉ MARIA TANAJURA, 241, CENTRO, LIVRAMENTO DE NOSSA SENHORA/BA</t>
        </is>
      </c>
      <c r="S1862" s="26">
        <f>IF(A1862=A1861,0,1)</f>
        <v>0</v>
      </c>
      <c r="T1862" s="26">
        <f>IF(COUNTIF($B$4:B1862,B1862)=1,1,0)</f>
        <v>0</v>
      </c>
    </row>
    <row r="1863">
      <c r="A1863" s="14" t="inlineStr">
        <is>
          <t>RIO DE CONTAS</t>
        </is>
      </c>
      <c r="B1863" s="26" t="n">
        <v>101</v>
      </c>
      <c r="C1863" s="26" t="n">
        <v>1201</v>
      </c>
      <c r="D1863" s="14" t="inlineStr">
        <is>
          <t>ESCOLA ESTADUAL DE ENGENHO VELHO</t>
        </is>
      </c>
      <c r="E1863" s="14" t="inlineStr">
        <is>
          <t>POVOADO ENGENHO VELHO</t>
        </is>
      </c>
      <c r="F1863" s="14" t="inlineStr">
        <is>
          <t>PRACA DE ENGENHO VELHO - ZONA RURAL</t>
        </is>
      </c>
      <c r="G1863" s="27" t="inlineStr">
        <is>
          <t>46170-000</t>
        </is>
      </c>
      <c r="H1863" s="15" t="n">
        <v>3</v>
      </c>
      <c r="I1863" s="28" t="inlineStr">
        <is>
          <t>NÃO</t>
        </is>
      </c>
      <c r="J1863" s="29" t="n"/>
      <c r="K1863" s="14" t="str">
        <f>IF(J1863="","7. Acima de 2 km",IF(J1863&lt;=50,"1. Até 50 m",IF(J1863&lt;=100,"2. De 50 a 100 m",IF(J1863&lt;=200,"3. De 100 a 200 m",IF(J1863&lt;=300,"4. De 200 a 300 m",IF(J1863&lt;=500,"5. De 300 a 500 m","6. De 500 m a 2 km"))))))</f>
        <v>7. Acima de 2 km</v>
      </c>
      <c r="L1863" s="26" t="n">
        <v>0</v>
      </c>
      <c r="M1863" s="26" t="n">
        <v>0</v>
      </c>
      <c r="N1863" s="26" t="n">
        <v>0</v>
      </c>
      <c r="O1863" s="26" t="n">
        <v>0</v>
      </c>
      <c r="P1863" s="30" t="n">
        <v>-13.6610486</v>
      </c>
      <c r="Q1863" s="30" t="n">
        <v>-41.6540585</v>
      </c>
      <c r="R1863" s="14" t="inlineStr">
        <is>
          <t>RUA JOSÉ MARIA TANAJURA, 241, CENTRO, LIVRAMENTO DE NOSSA SENHORA/BA</t>
        </is>
      </c>
      <c r="S1863" s="26">
        <f>IF(A1863=A1862,0,1)</f>
        <v>0</v>
      </c>
      <c r="T1863" s="26">
        <f>IF(COUNTIF($B$4:B1863,B1863)=1,1,0)</f>
        <v>0</v>
      </c>
    </row>
    <row r="1864">
      <c r="A1864" s="14" t="inlineStr">
        <is>
          <t>RIO DE CONTAS</t>
        </is>
      </c>
      <c r="B1864" s="26" t="n">
        <v>101</v>
      </c>
      <c r="C1864" s="26" t="n">
        <v>1210</v>
      </c>
      <c r="D1864" s="14" t="inlineStr">
        <is>
          <t>ESCOLA RURAL DE BOA SENTENCA</t>
        </is>
      </c>
      <c r="E1864" s="14" t="inlineStr">
        <is>
          <t>POVOADO BOA SENTENÇA</t>
        </is>
      </c>
      <c r="F1864" s="14" t="inlineStr">
        <is>
          <t>PRACA DE BOA SENTENCA - ZONA RURAL</t>
        </is>
      </c>
      <c r="G1864" s="27" t="inlineStr">
        <is>
          <t>46170-000</t>
        </is>
      </c>
      <c r="H1864" s="15" t="n">
        <v>2</v>
      </c>
      <c r="I1864" s="28" t="inlineStr">
        <is>
          <t>NÃO</t>
        </is>
      </c>
      <c r="J1864" s="29" t="n"/>
      <c r="K1864" s="14" t="str">
        <f>IF(J1864="","7. Acima de 2 km",IF(J1864&lt;=50,"1. Até 50 m",IF(J1864&lt;=100,"2. De 50 a 100 m",IF(J1864&lt;=200,"3. De 100 a 200 m",IF(J1864&lt;=300,"4. De 200 a 300 m",IF(J1864&lt;=500,"5. De 300 a 500 m","6. De 500 m a 2 km"))))))</f>
        <v>7. Acima de 2 km</v>
      </c>
      <c r="L1864" s="26" t="n">
        <v>0</v>
      </c>
      <c r="M1864" s="26" t="n">
        <v>0</v>
      </c>
      <c r="N1864" s="26" t="n">
        <v>0</v>
      </c>
      <c r="O1864" s="26" t="n">
        <v>0</v>
      </c>
      <c r="P1864" s="30" t="n">
        <v>-13.8268391</v>
      </c>
      <c r="Q1864" s="30" t="n">
        <v>-41.573148</v>
      </c>
      <c r="R1864" s="14" t="inlineStr">
        <is>
          <t>RUA JOSÉ MARIA TANAJURA, 241, CENTRO, LIVRAMENTO DE NOSSA SENHORA/BA</t>
        </is>
      </c>
      <c r="S1864" s="26">
        <f>IF(A1864=A1863,0,1)</f>
        <v>0</v>
      </c>
      <c r="T1864" s="26">
        <f>IF(COUNTIF($B$4:B1864,B1864)=1,1,0)</f>
        <v>0</v>
      </c>
    </row>
    <row r="1865">
      <c r="A1865" s="14" t="inlineStr">
        <is>
          <t>RIO DE CONTAS</t>
        </is>
      </c>
      <c r="B1865" s="26" t="n">
        <v>101</v>
      </c>
      <c r="C1865" s="26" t="n">
        <v>1228</v>
      </c>
      <c r="D1865" s="14" t="inlineStr">
        <is>
          <t>ESCOLA ESTADUAL FAGUNDES VARELA</t>
        </is>
      </c>
      <c r="E1865" s="14" t="inlineStr">
        <is>
          <t>POVOADO TAMANDUÁ</t>
        </is>
      </c>
      <c r="F1865" s="14" t="inlineStr">
        <is>
          <t>PRACA DE TAMANDUA - ZONA RURAL</t>
        </is>
      </c>
      <c r="G1865" s="27" t="inlineStr">
        <is>
          <t>46170-000</t>
        </is>
      </c>
      <c r="H1865" s="15" t="n">
        <v>1</v>
      </c>
      <c r="I1865" s="28" t="inlineStr">
        <is>
          <t>NÃO</t>
        </is>
      </c>
      <c r="J1865" s="29" t="n"/>
      <c r="K1865" s="14" t="str">
        <f>IF(J1865="","7. Acima de 2 km",IF(J1865&lt;=50,"1. Até 50 m",IF(J1865&lt;=100,"2. De 50 a 100 m",IF(J1865&lt;=200,"3. De 100 a 200 m",IF(J1865&lt;=300,"4. De 200 a 300 m",IF(J1865&lt;=500,"5. De 300 a 500 m","6. De 500 m a 2 km"))))))</f>
        <v>7. Acima de 2 km</v>
      </c>
      <c r="L1865" s="26" t="n">
        <v>0</v>
      </c>
      <c r="M1865" s="26" t="n">
        <v>0</v>
      </c>
      <c r="N1865" s="26" t="n">
        <v>0</v>
      </c>
      <c r="O1865" s="26" t="n">
        <v>0</v>
      </c>
      <c r="P1865" s="30" t="n">
        <v>-13.5692149</v>
      </c>
      <c r="Q1865" s="30" t="n">
        <v>-41.7628751</v>
      </c>
      <c r="R1865" s="14" t="inlineStr">
        <is>
          <t>RUA JOSÉ MARIA TANAJURA, 241, CENTRO, LIVRAMENTO DE NOSSA SENHORA/BA</t>
        </is>
      </c>
      <c r="S1865" s="26">
        <f>IF(A1865=A1864,0,1)</f>
        <v>0</v>
      </c>
      <c r="T1865" s="26">
        <f>IF(COUNTIF($B$4:B1865,B1865)=1,1,0)</f>
        <v>0</v>
      </c>
    </row>
    <row r="1866">
      <c r="A1866" s="14" t="inlineStr">
        <is>
          <t>RIO DE CONTAS</t>
        </is>
      </c>
      <c r="B1866" s="26" t="n">
        <v>101</v>
      </c>
      <c r="C1866" s="26" t="n">
        <v>1252</v>
      </c>
      <c r="D1866" s="14" t="inlineStr">
        <is>
          <t>CLUBE RIOCONTENSE</t>
        </is>
      </c>
      <c r="E1866" s="14" t="inlineStr">
        <is>
          <t>CENTRO</t>
        </is>
      </c>
      <c r="F1866" s="14" t="inlineStr">
        <is>
          <t>RUA CORONEL RODOLFO ABREU, S/N- ZONA URBANA</t>
        </is>
      </c>
      <c r="G1866" s="27" t="inlineStr">
        <is>
          <t>46170-000</t>
        </is>
      </c>
      <c r="H1866" s="15" t="n">
        <v>3</v>
      </c>
      <c r="I1866" s="28" t="inlineStr">
        <is>
          <t>SIM</t>
        </is>
      </c>
      <c r="J1866" s="29" t="n">
        <v>20.9</v>
      </c>
      <c r="K1866" s="14" t="str">
        <f>IF(J1866="","7. Acima de 2 km",IF(J1866&lt;=50,"1. Até 50 m",IF(J1866&lt;=100,"2. De 50 a 100 m",IF(J1866&lt;=200,"3. De 100 a 200 m",IF(J1866&lt;=300,"4. De 200 a 300 m",IF(J1866&lt;=500,"5. De 300 a 500 m","6. De 500 m a 2 km"))))))</f>
        <v>1. Até 50 m</v>
      </c>
      <c r="L1866" s="26" t="n">
        <v>1</v>
      </c>
      <c r="M1866" s="26" t="n">
        <v>1</v>
      </c>
      <c r="N1866" s="26" t="n">
        <v>5</v>
      </c>
      <c r="O1866" s="26" t="n">
        <v>6</v>
      </c>
      <c r="P1866" s="30" t="n">
        <v>-13.5805823</v>
      </c>
      <c r="Q1866" s="30" t="n">
        <v>-41.811915</v>
      </c>
      <c r="R1866" s="14" t="inlineStr">
        <is>
          <t>RUA JOSÉ MARIA TANAJURA, 241, CENTRO, LIVRAMENTO DE NOSSA SENHORA/BA</t>
        </is>
      </c>
      <c r="S1866" s="26">
        <f>IF(A1866=A1865,0,1)</f>
        <v>0</v>
      </c>
      <c r="T1866" s="26">
        <f>IF(COUNTIF($B$4:B1866,B1866)=1,1,0)</f>
        <v>0</v>
      </c>
    </row>
    <row r="1867">
      <c r="A1867" s="14" t="inlineStr">
        <is>
          <t>RIO DE CONTAS</t>
        </is>
      </c>
      <c r="B1867" s="26" t="n">
        <v>101</v>
      </c>
      <c r="C1867" s="26" t="n">
        <v>1260</v>
      </c>
      <c r="D1867" s="14" t="inlineStr">
        <is>
          <t>ESCOLA MUNICIPAL AUGUSTO ALVES TEIXEIRA</t>
        </is>
      </c>
      <c r="E1867" s="14" t="inlineStr">
        <is>
          <t>POVOADO VÁRZEA</t>
        </is>
      </c>
      <c r="F1867" s="14" t="inlineStr">
        <is>
          <t>POVOADO VARZEA - ZONA RURAL</t>
        </is>
      </c>
      <c r="G1867" s="27" t="inlineStr">
        <is>
          <t>46170-000</t>
        </is>
      </c>
      <c r="H1867" s="15" t="n">
        <v>4</v>
      </c>
      <c r="I1867" s="28" t="inlineStr">
        <is>
          <t>NÃO</t>
        </is>
      </c>
      <c r="J1867" s="29" t="n"/>
      <c r="K1867" s="14" t="str">
        <f>IF(J1867="","7. Acima de 2 km",IF(J1867&lt;=50,"1. Até 50 m",IF(J1867&lt;=100,"2. De 50 a 100 m",IF(J1867&lt;=200,"3. De 100 a 200 m",IF(J1867&lt;=300,"4. De 200 a 300 m",IF(J1867&lt;=500,"5. De 300 a 500 m","6. De 500 m a 2 km"))))))</f>
        <v>7. Acima de 2 km</v>
      </c>
      <c r="L1867" s="26" t="n">
        <v>0</v>
      </c>
      <c r="M1867" s="26" t="n">
        <v>0</v>
      </c>
      <c r="N1867" s="26" t="n">
        <v>0</v>
      </c>
      <c r="O1867" s="26" t="n">
        <v>0</v>
      </c>
      <c r="P1867" s="30" t="n">
        <v>-13.5620395</v>
      </c>
      <c r="Q1867" s="30" t="n">
        <v>-41.665608</v>
      </c>
      <c r="R1867" s="14" t="inlineStr">
        <is>
          <t>RUA JOSÉ MARIA TANAJURA, 241, CENTRO, LIVRAMENTO DE NOSSA SENHORA/BA</t>
        </is>
      </c>
      <c r="S1867" s="26">
        <f>IF(A1867=A1866,0,1)</f>
        <v>0</v>
      </c>
      <c r="T1867" s="26">
        <f>IF(COUNTIF($B$4:B1867,B1867)=1,1,0)</f>
        <v>0</v>
      </c>
    </row>
    <row r="1868">
      <c r="A1868" s="14" t="inlineStr">
        <is>
          <t>RIO DE CONTAS</t>
        </is>
      </c>
      <c r="B1868" s="26" t="n">
        <v>101</v>
      </c>
      <c r="C1868" s="26" t="n">
        <v>1279</v>
      </c>
      <c r="D1868" s="14" t="inlineStr">
        <is>
          <t>ESCOLA MUNICIPAL DE CARAIBAS</t>
        </is>
      </c>
      <c r="E1868" s="14" t="inlineStr">
        <is>
          <t>POVOADO CARAÍBAS</t>
        </is>
      </c>
      <c r="F1868" s="14" t="inlineStr">
        <is>
          <t>POVOADO CARAIBAS - ZONA RURAL</t>
        </is>
      </c>
      <c r="G1868" s="27" t="inlineStr">
        <is>
          <t>46170-000</t>
        </is>
      </c>
      <c r="H1868" s="15" t="n">
        <v>1</v>
      </c>
      <c r="I1868" s="28" t="inlineStr">
        <is>
          <t>NÃO</t>
        </is>
      </c>
      <c r="J1868" s="29" t="n"/>
      <c r="K1868" s="14" t="str">
        <f>IF(J1868="","7. Acima de 2 km",IF(J1868&lt;=50,"1. Até 50 m",IF(J1868&lt;=100,"2. De 50 a 100 m",IF(J1868&lt;=200,"3. De 100 a 200 m",IF(J1868&lt;=300,"4. De 200 a 300 m",IF(J1868&lt;=500,"5. De 300 a 500 m","6. De 500 m a 2 km"))))))</f>
        <v>7. Acima de 2 km</v>
      </c>
      <c r="L1868" s="26" t="n">
        <v>0</v>
      </c>
      <c r="M1868" s="26" t="n">
        <v>0</v>
      </c>
      <c r="N1868" s="26" t="n">
        <v>0</v>
      </c>
      <c r="O1868" s="26" t="n">
        <v>0</v>
      </c>
      <c r="P1868" s="30" t="n">
        <v>-13.7259085</v>
      </c>
      <c r="Q1868" s="30" t="n">
        <v>-41.5918771</v>
      </c>
      <c r="R1868" s="14" t="inlineStr">
        <is>
          <t>RUA JOSÉ MARIA TANAJURA, 241, CENTRO, LIVRAMENTO DE NOSSA SENHORA/BA</t>
        </is>
      </c>
      <c r="S1868" s="26">
        <f>IF(A1868=A1867,0,1)</f>
        <v>0</v>
      </c>
      <c r="T1868" s="26">
        <f>IF(COUNTIF($B$4:B1868,B1868)=1,1,0)</f>
        <v>0</v>
      </c>
    </row>
    <row r="1869">
      <c r="A1869" s="14" t="inlineStr">
        <is>
          <t>RIO DE CONTAS</t>
        </is>
      </c>
      <c r="B1869" s="26" t="n">
        <v>101</v>
      </c>
      <c r="C1869" s="26" t="n">
        <v>1287</v>
      </c>
      <c r="D1869" s="14" t="inlineStr">
        <is>
          <t>CENTRO EDUCACIONAL ARAPIRANGUENSE</t>
        </is>
      </c>
      <c r="E1869" s="14" t="inlineStr">
        <is>
          <t>DISTRITO ARAPIRANGA</t>
        </is>
      </c>
      <c r="F1869" s="14" t="inlineStr">
        <is>
          <t>RUA JOSE EVARISTO, S/N - ZONA RURAL</t>
        </is>
      </c>
      <c r="G1869" s="27" t="inlineStr">
        <is>
          <t>46170-000</t>
        </is>
      </c>
      <c r="H1869" s="15" t="n">
        <v>3</v>
      </c>
      <c r="I1869" s="28" t="inlineStr">
        <is>
          <t>NÃO</t>
        </is>
      </c>
      <c r="J1869" s="29" t="n"/>
      <c r="K1869" s="14" t="str">
        <f>IF(J1869="","7. Acima de 2 km",IF(J1869&lt;=50,"1. Até 50 m",IF(J1869&lt;=100,"2. De 50 a 100 m",IF(J1869&lt;=200,"3. De 100 a 200 m",IF(J1869&lt;=300,"4. De 200 a 300 m",IF(J1869&lt;=500,"5. De 300 a 500 m","6. De 500 m a 2 km"))))))</f>
        <v>7. Acima de 2 km</v>
      </c>
      <c r="L1869" s="26" t="n">
        <v>0</v>
      </c>
      <c r="M1869" s="26" t="n">
        <v>0</v>
      </c>
      <c r="N1869" s="26" t="n">
        <v>0</v>
      </c>
      <c r="O1869" s="26" t="n">
        <v>0</v>
      </c>
      <c r="P1869" s="30" t="n">
        <v>-13.4813809</v>
      </c>
      <c r="Q1869" s="30" t="n">
        <v>-41.7699873</v>
      </c>
      <c r="R1869" s="14" t="inlineStr">
        <is>
          <t>RUA JOSÉ MARIA TANAJURA, 241, CENTRO, LIVRAMENTO DE NOSSA SENHORA/BA</t>
        </is>
      </c>
      <c r="S1869" s="26">
        <f>IF(A1869=A1868,0,1)</f>
        <v>0</v>
      </c>
      <c r="T1869" s="26">
        <f>IF(COUNTIF($B$4:B1869,B1869)=1,1,0)</f>
        <v>0</v>
      </c>
    </row>
    <row r="1870">
      <c r="A1870" s="14" t="inlineStr">
        <is>
          <t>RIO DE CONTAS</t>
        </is>
      </c>
      <c r="B1870" s="26" t="n">
        <v>101</v>
      </c>
      <c r="C1870" s="26" t="n">
        <v>1295</v>
      </c>
      <c r="D1870" s="14" t="inlineStr">
        <is>
          <t>PRÉDIO ESCOLAR LAGOA DE BARAÚNAS</t>
        </is>
      </c>
      <c r="E1870" s="14" t="inlineStr">
        <is>
          <t>POVOADO LAGOA DAS BARAÚNAS</t>
        </is>
      </c>
      <c r="F1870" s="14" t="inlineStr">
        <is>
          <t>POVOADO LAGOA DE BARAÚNAS - ZONA RURAL</t>
        </is>
      </c>
      <c r="G1870" s="27" t="inlineStr">
        <is>
          <t>46170-000</t>
        </is>
      </c>
      <c r="H1870" s="15" t="n">
        <v>1</v>
      </c>
      <c r="I1870" s="28" t="inlineStr">
        <is>
          <t>NÃO</t>
        </is>
      </c>
      <c r="J1870" s="29" t="n"/>
      <c r="K1870" s="14" t="str">
        <f>IF(J1870="","7. Acima de 2 km",IF(J1870&lt;=50,"1. Até 50 m",IF(J1870&lt;=100,"2. De 50 a 100 m",IF(J1870&lt;=200,"3. De 100 a 200 m",IF(J1870&lt;=300,"4. De 200 a 300 m",IF(J1870&lt;=500,"5. De 300 a 500 m","6. De 500 m a 2 km"))))))</f>
        <v>7. Acima de 2 km</v>
      </c>
      <c r="L1870" s="26" t="n">
        <v>0</v>
      </c>
      <c r="M1870" s="26" t="n">
        <v>0</v>
      </c>
      <c r="N1870" s="26" t="n">
        <v>0</v>
      </c>
      <c r="O1870" s="26" t="n">
        <v>0</v>
      </c>
      <c r="P1870" s="30" t="n">
        <v>-13.9097726</v>
      </c>
      <c r="Q1870" s="30" t="n">
        <v>-41.5391953</v>
      </c>
      <c r="R1870" s="14" t="inlineStr">
        <is>
          <t>RUA JOSÉ MARIA TANAJURA, 241, CENTRO, LIVRAMENTO DE NOSSA SENHORA/BA</t>
        </is>
      </c>
      <c r="S1870" s="26">
        <f>IF(A1870=A1869,0,1)</f>
        <v>0</v>
      </c>
      <c r="T1870" s="26">
        <f>IF(COUNTIF($B$4:B1870,B1870)=1,1,0)</f>
        <v>0</v>
      </c>
    </row>
    <row r="1871">
      <c r="A1871" s="14" t="inlineStr">
        <is>
          <t>RIO DE CONTAS</t>
        </is>
      </c>
      <c r="B1871" s="26" t="n">
        <v>101</v>
      </c>
      <c r="C1871" s="26" t="n">
        <v>1317</v>
      </c>
      <c r="D1871" s="14" t="inlineStr">
        <is>
          <t>ESCOLA MUNICIPAL FELICIANO PIRES</t>
        </is>
      </c>
      <c r="E1871" s="14" t="inlineStr">
        <is>
          <t>DISTRITO ARAPIRANGA</t>
        </is>
      </c>
      <c r="F1871" s="14" t="inlineStr">
        <is>
          <t>POVOADO LAGOA DE FELICIANO - ZONA RURAL</t>
        </is>
      </c>
      <c r="G1871" s="27" t="inlineStr">
        <is>
          <t>46170-000</t>
        </is>
      </c>
      <c r="H1871" s="15" t="n">
        <v>1</v>
      </c>
      <c r="I1871" s="28" t="inlineStr">
        <is>
          <t>NÃO</t>
        </is>
      </c>
      <c r="J1871" s="29" t="n"/>
      <c r="K1871" s="14" t="str">
        <f>IF(J1871="","7. Acima de 2 km",IF(J1871&lt;=50,"1. Até 50 m",IF(J1871&lt;=100,"2. De 50 a 100 m",IF(J1871&lt;=200,"3. De 100 a 200 m",IF(J1871&lt;=300,"4. De 200 a 300 m",IF(J1871&lt;=500,"5. De 300 a 500 m","6. De 500 m a 2 km"))))))</f>
        <v>7. Acima de 2 km</v>
      </c>
      <c r="L1871" s="26" t="n">
        <v>0</v>
      </c>
      <c r="M1871" s="26" t="n">
        <v>0</v>
      </c>
      <c r="N1871" s="26" t="n">
        <v>0</v>
      </c>
      <c r="O1871" s="26" t="n">
        <v>0</v>
      </c>
      <c r="P1871" s="30" t="n">
        <v>-13.5102686</v>
      </c>
      <c r="Q1871" s="30" t="n">
        <v>-41.7315319</v>
      </c>
      <c r="R1871" s="14" t="inlineStr">
        <is>
          <t>RUA JOSÉ MARIA TANAJURA, 241, CENTRO, LIVRAMENTO DE NOSSA SENHORA/BA</t>
        </is>
      </c>
      <c r="S1871" s="26">
        <f>IF(A1871=A1870,0,1)</f>
        <v>0</v>
      </c>
      <c r="T1871" s="26">
        <f>IF(COUNTIF($B$4:B1871,B1871)=1,1,0)</f>
        <v>0</v>
      </c>
    </row>
    <row r="1872">
      <c r="A1872" s="14" t="inlineStr">
        <is>
          <t>RIO DE CONTAS</t>
        </is>
      </c>
      <c r="B1872" s="26" t="n">
        <v>101</v>
      </c>
      <c r="C1872" s="26" t="n">
        <v>1325</v>
      </c>
      <c r="D1872" s="14" t="inlineStr">
        <is>
          <t>ESCOLA MUNICIPAL DE BAIXAO</t>
        </is>
      </c>
      <c r="E1872" s="14" t="inlineStr">
        <is>
          <t>POVOADO BAIXÃO</t>
        </is>
      </c>
      <c r="F1872" s="14" t="inlineStr">
        <is>
          <t>POVOADO BAIXAO - ZONA RURAL</t>
        </is>
      </c>
      <c r="G1872" s="27" t="inlineStr">
        <is>
          <t>46170-000</t>
        </is>
      </c>
      <c r="H1872" s="15" t="n">
        <v>1</v>
      </c>
      <c r="I1872" s="28" t="inlineStr">
        <is>
          <t>NÃO</t>
        </is>
      </c>
      <c r="J1872" s="29" t="n"/>
      <c r="K1872" s="14" t="str">
        <f>IF(J1872="","7. Acima de 2 km",IF(J1872&lt;=50,"1. Até 50 m",IF(J1872&lt;=100,"2. De 50 a 100 m",IF(J1872&lt;=200,"3. De 100 a 200 m",IF(J1872&lt;=300,"4. De 200 a 300 m",IF(J1872&lt;=500,"5. De 300 a 500 m","6. De 500 m a 2 km"))))))</f>
        <v>7. Acima de 2 km</v>
      </c>
      <c r="L1872" s="26" t="n">
        <v>0</v>
      </c>
      <c r="M1872" s="26" t="n">
        <v>0</v>
      </c>
      <c r="N1872" s="26" t="n">
        <v>0</v>
      </c>
      <c r="O1872" s="26" t="n">
        <v>0</v>
      </c>
      <c r="P1872" s="30" t="n">
        <v>-13.5932887</v>
      </c>
      <c r="Q1872" s="30" t="n">
        <v>-41.6362376</v>
      </c>
      <c r="R1872" s="14" t="inlineStr">
        <is>
          <t>RUA JOSÉ MARIA TANAJURA, 241, CENTRO, LIVRAMENTO DE NOSSA SENHORA/BA</t>
        </is>
      </c>
      <c r="S1872" s="26">
        <f>IF(A1872=A1871,0,1)</f>
        <v>0</v>
      </c>
      <c r="T1872" s="26">
        <f>IF(COUNTIF($B$4:B1872,B1872)=1,1,0)</f>
        <v>0</v>
      </c>
    </row>
    <row r="1873">
      <c r="A1873" s="14" t="inlineStr">
        <is>
          <t>RIO DE CONTAS</t>
        </is>
      </c>
      <c r="B1873" s="26" t="n">
        <v>101</v>
      </c>
      <c r="C1873" s="26" t="n">
        <v>1333</v>
      </c>
      <c r="D1873" s="14" t="inlineStr">
        <is>
          <t>ESCOLA MUNICIPAL D. PEDRO II</t>
        </is>
      </c>
      <c r="E1873" s="14" t="inlineStr">
        <is>
          <t>POVOADO FAZENDOLA</t>
        </is>
      </c>
      <c r="F1873" s="14" t="inlineStr">
        <is>
          <t>POVOADO FAZENDOLA - ZONA RURAL</t>
        </is>
      </c>
      <c r="G1873" s="27" t="inlineStr">
        <is>
          <t>46170-000</t>
        </is>
      </c>
      <c r="H1873" s="15" t="n">
        <v>1</v>
      </c>
      <c r="I1873" s="28" t="inlineStr">
        <is>
          <t>NÃO</t>
        </is>
      </c>
      <c r="J1873" s="29" t="n"/>
      <c r="K1873" s="14" t="str">
        <f>IF(J1873="","7. Acima de 2 km",IF(J1873&lt;=50,"1. Até 50 m",IF(J1873&lt;=100,"2. De 50 a 100 m",IF(J1873&lt;=200,"3. De 100 a 200 m",IF(J1873&lt;=300,"4. De 200 a 300 m",IF(J1873&lt;=500,"5. De 300 a 500 m","6. De 500 m a 2 km"))))))</f>
        <v>7. Acima de 2 km</v>
      </c>
      <c r="L1873" s="26" t="n">
        <v>0</v>
      </c>
      <c r="M1873" s="26" t="n">
        <v>0</v>
      </c>
      <c r="N1873" s="26" t="n">
        <v>0</v>
      </c>
      <c r="O1873" s="26" t="n">
        <v>0</v>
      </c>
      <c r="P1873" s="30" t="n">
        <v>-13.4416845</v>
      </c>
      <c r="Q1873" s="30" t="n">
        <v>-41.8695447</v>
      </c>
      <c r="R1873" s="14" t="inlineStr">
        <is>
          <t>RUA JOSÉ MARIA TANAJURA, 241, CENTRO, LIVRAMENTO DE NOSSA SENHORA/BA</t>
        </is>
      </c>
      <c r="S1873" s="26">
        <f>IF(A1873=A1872,0,1)</f>
        <v>0</v>
      </c>
      <c r="T1873" s="26">
        <f>IF(COUNTIF($B$4:B1873,B1873)=1,1,0)</f>
        <v>0</v>
      </c>
    </row>
    <row r="1874">
      <c r="A1874" s="14" t="inlineStr">
        <is>
          <t>RIO DE CONTAS</t>
        </is>
      </c>
      <c r="B1874" s="26" t="n">
        <v>101</v>
      </c>
      <c r="C1874" s="26" t="n">
        <v>1376</v>
      </c>
      <c r="D1874" s="14" t="inlineStr">
        <is>
          <t>PREDIO ESCOLAR SAO JUDAS TADEU</t>
        </is>
      </c>
      <c r="E1874" s="14" t="inlineStr">
        <is>
          <t>POVOADO GILÓ</t>
        </is>
      </c>
      <c r="F1874" s="14" t="inlineStr">
        <is>
          <t>POVOADO GILO - ZONA RURAL</t>
        </is>
      </c>
      <c r="G1874" s="27" t="inlineStr">
        <is>
          <t>46170-000</t>
        </is>
      </c>
      <c r="H1874" s="15" t="n">
        <v>2</v>
      </c>
      <c r="I1874" s="28" t="inlineStr">
        <is>
          <t>NÃO</t>
        </is>
      </c>
      <c r="J1874" s="29" t="n"/>
      <c r="K1874" s="14" t="str">
        <f>IF(J1874="","7. Acima de 2 km",IF(J1874&lt;=50,"1. Até 50 m",IF(J1874&lt;=100,"2. De 50 a 100 m",IF(J1874&lt;=200,"3. De 100 a 200 m",IF(J1874&lt;=300,"4. De 200 a 300 m",IF(J1874&lt;=500,"5. De 300 a 500 m","6. De 500 m a 2 km"))))))</f>
        <v>7. Acima de 2 km</v>
      </c>
      <c r="L1874" s="26" t="n">
        <v>0</v>
      </c>
      <c r="M1874" s="26" t="n">
        <v>0</v>
      </c>
      <c r="N1874" s="26" t="n">
        <v>0</v>
      </c>
      <c r="O1874" s="26" t="n">
        <v>0</v>
      </c>
      <c r="P1874" s="30" t="n">
        <v>-13.4928986</v>
      </c>
      <c r="Q1874" s="30" t="n">
        <v>-41.8818315</v>
      </c>
      <c r="R1874" s="14" t="inlineStr">
        <is>
          <t>RUA JOSÉ MARIA TANAJURA, 241, CENTRO, LIVRAMENTO DE NOSSA SENHORA/BA</t>
        </is>
      </c>
      <c r="S1874" s="26">
        <f>IF(A1874=A1873,0,1)</f>
        <v>0</v>
      </c>
      <c r="T1874" s="26">
        <f>IF(COUNTIF($B$4:B1874,B1874)=1,1,0)</f>
        <v>0</v>
      </c>
    </row>
    <row r="1875">
      <c r="A1875" s="14" t="inlineStr">
        <is>
          <t>SALVADOR</t>
        </is>
      </c>
      <c r="B1875" s="26" t="n">
        <v>1</v>
      </c>
      <c r="C1875" s="26" t="n">
        <v>1023</v>
      </c>
      <c r="D1875" s="14" t="inlineStr">
        <is>
          <t>CABANA DA BARRA</t>
        </is>
      </c>
      <c r="E1875" s="14" t="inlineStr">
        <is>
          <t>BARRA</t>
        </is>
      </c>
      <c r="F1875" s="14" t="inlineStr">
        <is>
          <t>AV. AFONSO CELSO 1 - ZONA URBANA</t>
        </is>
      </c>
      <c r="G1875" s="27" t="inlineStr">
        <is>
          <t>40140-080</t>
        </is>
      </c>
      <c r="H1875" s="15" t="n">
        <v>5</v>
      </c>
      <c r="I1875" s="28" t="inlineStr">
        <is>
          <t>SIM</t>
        </is>
      </c>
      <c r="J1875" s="29" t="n">
        <v>22.2</v>
      </c>
      <c r="K1875" s="14" t="str">
        <f>IF(J1875="","7. Acima de 2 km",IF(J1875&lt;=50,"1. Até 50 m",IF(J1875&lt;=100,"2. De 50 a 100 m",IF(J1875&lt;=200,"3. De 100 a 200 m",IF(J1875&lt;=300,"4. De 200 a 300 m",IF(J1875&lt;=500,"5. De 300 a 500 m","6. De 500 m a 2 km"))))))</f>
        <v>1. Até 50 m</v>
      </c>
      <c r="L1875" s="26" t="n">
        <v>3</v>
      </c>
      <c r="M1875" s="26" t="n">
        <v>8</v>
      </c>
      <c r="N1875" s="26" t="n">
        <v>12</v>
      </c>
      <c r="O1875" s="26" t="n">
        <v>14</v>
      </c>
      <c r="P1875" s="30" t="n">
        <v>-13.0089783</v>
      </c>
      <c r="Q1875" s="30" t="n">
        <v>-38.5319429</v>
      </c>
      <c r="R1875" s="14" t="inlineStr">
        <is>
          <t>CARTÓRIO DA 1ª ZONA ELEITORAL, 1ª AVENIDA DO CENTRO ADMINISTRATIVO DA BAHIA, 150, SALVADOR-BA.</t>
        </is>
      </c>
      <c r="S1875" s="26">
        <f>IF(A1875=A1874,0,1)</f>
        <v>1</v>
      </c>
      <c r="T1875" s="26">
        <f>IF(COUNTIF($B$4:B1875,B1875)=1,1,0)</f>
        <v>1</v>
      </c>
    </row>
    <row r="1876">
      <c r="A1876" s="14" t="inlineStr">
        <is>
          <t>SALVADOR</t>
        </is>
      </c>
      <c r="B1876" s="26" t="n">
        <v>1</v>
      </c>
      <c r="C1876" s="26" t="n">
        <v>1066</v>
      </c>
      <c r="D1876" s="14" t="inlineStr">
        <is>
          <t>BAHIA BRITSH CLUB (CLUBE INGLÊS)</t>
        </is>
      </c>
      <c r="E1876" s="14" t="inlineStr">
        <is>
          <t>CAMPO GRANDE</t>
        </is>
      </c>
      <c r="F1876" s="14" t="inlineStr">
        <is>
          <t>RUA BANCO DOS INGLESES 20 - ZONA URBANA</t>
        </is>
      </c>
      <c r="G1876" s="27" t="inlineStr">
        <is>
          <t>40080-040</t>
        </is>
      </c>
      <c r="H1876" s="15" t="n">
        <v>6</v>
      </c>
      <c r="I1876" s="28" t="inlineStr">
        <is>
          <t>NÃO</t>
        </is>
      </c>
      <c r="J1876" s="29" t="n">
        <v>123.3</v>
      </c>
      <c r="K1876" s="14" t="str">
        <f>IF(J1876="","7. Acima de 2 km",IF(J1876&lt;=50,"1. Até 50 m",IF(J1876&lt;=100,"2. De 50 a 100 m",IF(J1876&lt;=200,"3. De 100 a 200 m",IF(J1876&lt;=300,"4. De 200 a 300 m",IF(J1876&lt;=500,"5. De 300 a 500 m","6. De 500 m a 2 km"))))))</f>
        <v>3. De 100 a 200 m</v>
      </c>
      <c r="L1876" s="26" t="n">
        <v>0</v>
      </c>
      <c r="M1876" s="26" t="n">
        <v>0</v>
      </c>
      <c r="N1876" s="26" t="n">
        <v>5</v>
      </c>
      <c r="O1876" s="26" t="n">
        <v>12</v>
      </c>
      <c r="P1876" s="30" t="n">
        <v>-12.9871151</v>
      </c>
      <c r="Q1876" s="30" t="n">
        <v>-38.5227953</v>
      </c>
      <c r="R1876" s="14" t="inlineStr">
        <is>
          <t>CARTÓRIO DA 1ª ZONA ELEITORAL, 1ª AVENIDA DO CENTRO ADMINISTRATIVO DA BAHIA, 150, SALVADOR-BA.</t>
        </is>
      </c>
      <c r="S1876" s="26">
        <f>IF(A1876=A1875,0,1)</f>
        <v>0</v>
      </c>
      <c r="T1876" s="26">
        <f>IF(COUNTIF($B$4:B1876,B1876)=1,1,0)</f>
        <v>0</v>
      </c>
    </row>
    <row r="1877">
      <c r="A1877" s="14" t="inlineStr">
        <is>
          <t>SALVADOR</t>
        </is>
      </c>
      <c r="B1877" s="26" t="n">
        <v>1</v>
      </c>
      <c r="C1877" s="26" t="n">
        <v>1074</v>
      </c>
      <c r="D1877" s="14" t="inlineStr">
        <is>
          <t>COLÉGIO ESTADUAL DEPUTADO MANOEL NOVAES</t>
        </is>
      </c>
      <c r="E1877" s="14" t="inlineStr">
        <is>
          <t>CANELA</t>
        </is>
      </c>
      <c r="F1877" s="14" t="inlineStr">
        <is>
          <t>AV. ARAÚJO PINHO, 30 - ZONA URBANA</t>
        </is>
      </c>
      <c r="G1877" s="27" t="inlineStr">
        <is>
          <t>40110-150</t>
        </is>
      </c>
      <c r="H1877" s="15" t="n">
        <v>21</v>
      </c>
      <c r="I1877" s="28" t="inlineStr">
        <is>
          <t>NÃO</t>
        </is>
      </c>
      <c r="J1877" s="29" t="n">
        <v>124.1</v>
      </c>
      <c r="K1877" s="14" t="str">
        <f>IF(J1877="","7. Acima de 2 km",IF(J1877&lt;=50,"1. Até 50 m",IF(J1877&lt;=100,"2. De 50 a 100 m",IF(J1877&lt;=200,"3. De 100 a 200 m",IF(J1877&lt;=300,"4. De 200 a 300 m",IF(J1877&lt;=500,"5. De 300 a 500 m","6. De 500 m a 2 km"))))))</f>
        <v>3. De 100 a 200 m</v>
      </c>
      <c r="L1877" s="26" t="n">
        <v>0</v>
      </c>
      <c r="M1877" s="26" t="n">
        <v>0</v>
      </c>
      <c r="N1877" s="26" t="n">
        <v>3</v>
      </c>
      <c r="O1877" s="26" t="n">
        <v>4</v>
      </c>
      <c r="P1877" s="30" t="n">
        <v>-12.9927233</v>
      </c>
      <c r="Q1877" s="30" t="n">
        <v>-38.5216451</v>
      </c>
      <c r="R1877" s="14" t="inlineStr">
        <is>
          <t>CARTÓRIO DA 1ª ZONA ELEITORAL, 1ª AVENIDA DO CENTRO ADMINISTRATIVO DA BAHIA, 150, SALVADOR-BA.</t>
        </is>
      </c>
      <c r="S1877" s="26">
        <f>IF(A1877=A1876,0,1)</f>
        <v>0</v>
      </c>
      <c r="T1877" s="26">
        <f>IF(COUNTIF($B$4:B1877,B1877)=1,1,0)</f>
        <v>0</v>
      </c>
    </row>
    <row r="1878">
      <c r="A1878" s="14" t="inlineStr">
        <is>
          <t>SALVADOR</t>
        </is>
      </c>
      <c r="B1878" s="26" t="n">
        <v>1</v>
      </c>
      <c r="C1878" s="26" t="n">
        <v>1082</v>
      </c>
      <c r="D1878" s="14" t="inlineStr">
        <is>
          <t>PAVILHÃO DE AULAS DO CANELA - UFBA</t>
        </is>
      </c>
      <c r="E1878" s="14" t="inlineStr">
        <is>
          <t>CANELA</t>
        </is>
      </c>
      <c r="F1878" s="14" t="inlineStr">
        <is>
          <t>AV. REITOR MIGUEL CALMON, S/N- ZONA URBANA</t>
        </is>
      </c>
      <c r="G1878" s="27" t="inlineStr">
        <is>
          <t>40110-904</t>
        </is>
      </c>
      <c r="H1878" s="15" t="n">
        <v>13</v>
      </c>
      <c r="I1878" s="28" t="inlineStr">
        <is>
          <t>SIM</t>
        </is>
      </c>
      <c r="J1878" s="29" t="n">
        <v>82.40000000000001</v>
      </c>
      <c r="K1878" s="14" t="str">
        <f>IF(J1878="","7. Acima de 2 km",IF(J1878&lt;=50,"1. Até 50 m",IF(J1878&lt;=100,"2. De 50 a 100 m",IF(J1878&lt;=200,"3. De 100 a 200 m",IF(J1878&lt;=300,"4. De 200 a 300 m",IF(J1878&lt;=500,"5. De 300 a 500 m","6. De 500 m a 2 km"))))))</f>
        <v>2. De 50 a 100 m</v>
      </c>
      <c r="L1878" s="26" t="n">
        <v>0</v>
      </c>
      <c r="M1878" s="26" t="n">
        <v>2</v>
      </c>
      <c r="N1878" s="26" t="n">
        <v>5</v>
      </c>
      <c r="O1878" s="26" t="n">
        <v>7</v>
      </c>
      <c r="P1878" s="30" t="n">
        <v>-12.9955041</v>
      </c>
      <c r="Q1878" s="30" t="n">
        <v>-38.5186392</v>
      </c>
      <c r="R1878" s="14" t="inlineStr">
        <is>
          <t>CARTÓRIO DA 1ª ZONA ELEITORAL, 1ª AVENIDA DO CENTRO ADMINISTRATIVO DA BAHIA, 150, SALVADOR-BA.</t>
        </is>
      </c>
      <c r="S1878" s="26">
        <f>IF(A1878=A1877,0,1)</f>
        <v>0</v>
      </c>
      <c r="T1878" s="26">
        <f>IF(COUNTIF($B$4:B1878,B1878)=1,1,0)</f>
        <v>0</v>
      </c>
    </row>
    <row r="1879">
      <c r="A1879" s="14" t="inlineStr">
        <is>
          <t>SALVADOR</t>
        </is>
      </c>
      <c r="B1879" s="26" t="n">
        <v>1</v>
      </c>
      <c r="C1879" s="26" t="n">
        <v>1112</v>
      </c>
      <c r="D1879" s="14" t="inlineStr">
        <is>
          <t>ESCOLA DE BELAS ARTES</t>
        </is>
      </c>
      <c r="E1879" s="14" t="inlineStr">
        <is>
          <t>CANELA</t>
        </is>
      </c>
      <c r="F1879" s="14" t="inlineStr">
        <is>
          <t>AV. ARAÚJO PINHO 212 - ZONA URBANA</t>
        </is>
      </c>
      <c r="G1879" s="27" t="inlineStr">
        <is>
          <t>40110-150</t>
        </is>
      </c>
      <c r="H1879" s="15" t="n">
        <v>8</v>
      </c>
      <c r="I1879" s="28" t="inlineStr">
        <is>
          <t>NÃO</t>
        </is>
      </c>
      <c r="J1879" s="29" t="n">
        <v>131.4</v>
      </c>
      <c r="K1879" s="14" t="str">
        <f>IF(J1879="","7. Acima de 2 km",IF(J1879&lt;=50,"1. Até 50 m",IF(J1879&lt;=100,"2. De 50 a 100 m",IF(J1879&lt;=200,"3. De 100 a 200 m",IF(J1879&lt;=300,"4. De 200 a 300 m",IF(J1879&lt;=500,"5. De 300 a 500 m","6. De 500 m a 2 km"))))))</f>
        <v>3. De 100 a 200 m</v>
      </c>
      <c r="L1879" s="26" t="n">
        <v>0</v>
      </c>
      <c r="M1879" s="26" t="n">
        <v>0</v>
      </c>
      <c r="N1879" s="26" t="n">
        <v>8</v>
      </c>
      <c r="O1879" s="26" t="n">
        <v>13</v>
      </c>
      <c r="P1879" s="30" t="n">
        <v>-12.9914623</v>
      </c>
      <c r="Q1879" s="30" t="n">
        <v>-38.5213408</v>
      </c>
      <c r="R1879" s="14" t="inlineStr">
        <is>
          <t>CARTÓRIO DA 1ª ZONA ELEITORAL, 1ª AVENIDA DO CENTRO ADMINISTRATIVO DA BAHIA, 150, SALVADOR-BA.</t>
        </is>
      </c>
      <c r="S1879" s="26">
        <f>IF(A1879=A1878,0,1)</f>
        <v>0</v>
      </c>
      <c r="T1879" s="26">
        <f>IF(COUNTIF($B$4:B1879,B1879)=1,1,0)</f>
        <v>0</v>
      </c>
    </row>
    <row r="1880">
      <c r="A1880" s="14" t="inlineStr">
        <is>
          <t>SALVADOR</t>
        </is>
      </c>
      <c r="B1880" s="26" t="n">
        <v>1</v>
      </c>
      <c r="C1880" s="26" t="n">
        <v>1198</v>
      </c>
      <c r="D1880" s="14" t="inlineStr">
        <is>
          <t>FACULDADE DE DIREITO DA UFBA</t>
        </is>
      </c>
      <c r="E1880" s="14" t="inlineStr">
        <is>
          <t>GRAÇA</t>
        </is>
      </c>
      <c r="F1880" s="14" t="inlineStr">
        <is>
          <t>RUA DA PAZ S/N - ZONA URBANA</t>
        </is>
      </c>
      <c r="G1880" s="27" t="inlineStr">
        <is>
          <t>40150-140</t>
        </is>
      </c>
      <c r="H1880" s="15" t="n">
        <v>21</v>
      </c>
      <c r="I1880" s="28" t="inlineStr">
        <is>
          <t>NÃO</t>
        </is>
      </c>
      <c r="J1880" s="29" t="n">
        <v>126.7</v>
      </c>
      <c r="K1880" s="14" t="str">
        <f>IF(J1880="","7. Acima de 2 km",IF(J1880&lt;=50,"1. Até 50 m",IF(J1880&lt;=100,"2. De 50 a 100 m",IF(J1880&lt;=200,"3. De 100 a 200 m",IF(J1880&lt;=300,"4. De 200 a 300 m",IF(J1880&lt;=500,"5. De 300 a 500 m","6. De 500 m a 2 km"))))))</f>
        <v>3. De 100 a 200 m</v>
      </c>
      <c r="L1880" s="26" t="n">
        <v>0</v>
      </c>
      <c r="M1880" s="26" t="n">
        <v>0</v>
      </c>
      <c r="N1880" s="26" t="n">
        <v>3</v>
      </c>
      <c r="O1880" s="26" t="n">
        <v>9</v>
      </c>
      <c r="P1880" s="30" t="n">
        <v>-12.995861</v>
      </c>
      <c r="Q1880" s="30" t="n">
        <v>-38.5210912</v>
      </c>
      <c r="R1880" s="14" t="inlineStr">
        <is>
          <t>CARTÓRIO DA 1ª ZONA ELEITORAL, 1ª AVENIDA DO CENTRO ADMINISTRATIVO DA BAHIA, 150, SALVADOR-BA.</t>
        </is>
      </c>
      <c r="S1880" s="26">
        <f>IF(A1880=A1879,0,1)</f>
        <v>0</v>
      </c>
      <c r="T1880" s="26">
        <f>IF(COUNTIF($B$4:B1880,B1880)=1,1,0)</f>
        <v>0</v>
      </c>
    </row>
    <row r="1881">
      <c r="A1881" s="14" t="inlineStr">
        <is>
          <t>SALVADOR</t>
        </is>
      </c>
      <c r="B1881" s="26" t="n">
        <v>1</v>
      </c>
      <c r="C1881" s="26" t="n">
        <v>1201</v>
      </c>
      <c r="D1881" s="14" t="inlineStr">
        <is>
          <t>FACULDADE DE EDUCAÇÃO DA UFBA</t>
        </is>
      </c>
      <c r="E1881" s="14" t="inlineStr">
        <is>
          <t>CANELA</t>
        </is>
      </c>
      <c r="F1881" s="14" t="inlineStr">
        <is>
          <t>AV. REITOR MIGUEL CALMON, S/N - ZONA URBANA</t>
        </is>
      </c>
      <c r="G1881" s="27" t="inlineStr">
        <is>
          <t>40110-904</t>
        </is>
      </c>
      <c r="H1881" s="15" t="n">
        <v>10</v>
      </c>
      <c r="I1881" s="28" t="inlineStr">
        <is>
          <t>SIM</t>
        </is>
      </c>
      <c r="J1881" s="29" t="n">
        <v>34.7</v>
      </c>
      <c r="K1881" s="14" t="str">
        <f>IF(J1881="","7. Acima de 2 km",IF(J1881&lt;=50,"1. Até 50 m",IF(J1881&lt;=100,"2. De 50 a 100 m",IF(J1881&lt;=200,"3. De 100 a 200 m",IF(J1881&lt;=300,"4. De 200 a 300 m",IF(J1881&lt;=500,"5. De 300 a 500 m","6. De 500 m a 2 km"))))))</f>
        <v>1. Até 50 m</v>
      </c>
      <c r="L1881" s="26" t="n">
        <v>1</v>
      </c>
      <c r="M1881" s="26" t="n">
        <v>3</v>
      </c>
      <c r="N1881" s="26" t="n">
        <v>4</v>
      </c>
      <c r="O1881" s="26" t="n">
        <v>6</v>
      </c>
      <c r="P1881" s="30" t="n">
        <v>-12.9955338</v>
      </c>
      <c r="Q1881" s="30" t="n">
        <v>-38.5193865</v>
      </c>
      <c r="R1881" s="14" t="inlineStr">
        <is>
          <t>CARTÓRIO DA 1ª ZONA ELEITORAL, 1ª AVENIDA DO CENTRO ADMINISTRATIVO DA BAHIA, 150, SALVADOR-BA.</t>
        </is>
      </c>
      <c r="S1881" s="26">
        <f>IF(A1881=A1880,0,1)</f>
        <v>0</v>
      </c>
      <c r="T1881" s="26">
        <f>IF(COUNTIF($B$4:B1881,B1881)=1,1,0)</f>
        <v>0</v>
      </c>
    </row>
    <row r="1882">
      <c r="A1882" s="14" t="inlineStr">
        <is>
          <t>SALVADOR</t>
        </is>
      </c>
      <c r="B1882" s="26" t="n">
        <v>1</v>
      </c>
      <c r="C1882" s="26" t="n">
        <v>1228</v>
      </c>
      <c r="D1882" s="14" t="inlineStr">
        <is>
          <t>ESCOLA SANTA TEREZINHA</t>
        </is>
      </c>
      <c r="E1882" s="14" t="inlineStr">
        <is>
          <t>CHAME-CHAME</t>
        </is>
      </c>
      <c r="F1882" s="14" t="inlineStr">
        <is>
          <t>RUA DEOCLECIANO, N 09 - ZONA URBANA</t>
        </is>
      </c>
      <c r="G1882" s="27" t="inlineStr">
        <is>
          <t>40150-400</t>
        </is>
      </c>
      <c r="H1882" s="15" t="n">
        <v>4</v>
      </c>
      <c r="I1882" s="28" t="inlineStr">
        <is>
          <t>SIM</t>
        </is>
      </c>
      <c r="J1882" s="29" t="n">
        <v>20.8</v>
      </c>
      <c r="K1882" s="14" t="str">
        <f>IF(J1882="","7. Acima de 2 km",IF(J1882&lt;=50,"1. Até 50 m",IF(J1882&lt;=100,"2. De 50 a 100 m",IF(J1882&lt;=200,"3. De 100 a 200 m",IF(J1882&lt;=300,"4. De 200 a 300 m",IF(J1882&lt;=500,"5. De 300 a 500 m","6. De 500 m a 2 km"))))))</f>
        <v>1. Até 50 m</v>
      </c>
      <c r="L1882" s="26" t="n">
        <v>1</v>
      </c>
      <c r="M1882" s="26" t="n">
        <v>1</v>
      </c>
      <c r="N1882" s="26" t="n">
        <v>4</v>
      </c>
      <c r="O1882" s="26" t="n">
        <v>10</v>
      </c>
      <c r="P1882" s="30" t="n">
        <v>-13.0029329</v>
      </c>
      <c r="Q1882" s="30" t="n">
        <v>-38.5229625</v>
      </c>
      <c r="R1882" s="14" t="inlineStr">
        <is>
          <t>CARTÓRIO DA 1ª ZONA ELEITORAL, 1ª AVENIDA DO CENTRO ADMINISTRATIVO DA BAHIA, 150, SALVADOR-BA.</t>
        </is>
      </c>
      <c r="S1882" s="26">
        <f>IF(A1882=A1881,0,1)</f>
        <v>0</v>
      </c>
      <c r="T1882" s="26">
        <f>IF(COUNTIF($B$4:B1882,B1882)=1,1,0)</f>
        <v>0</v>
      </c>
    </row>
    <row r="1883">
      <c r="A1883" s="14" t="inlineStr">
        <is>
          <t>SALVADOR</t>
        </is>
      </c>
      <c r="B1883" s="26" t="n">
        <v>1</v>
      </c>
      <c r="C1883" s="26" t="n">
        <v>1350</v>
      </c>
      <c r="D1883" s="14" t="inlineStr">
        <is>
          <t>ESCOLA DE ADMINISTRAÇÃO DA UFBA</t>
        </is>
      </c>
      <c r="E1883" s="14" t="inlineStr">
        <is>
          <t>CANELA</t>
        </is>
      </c>
      <c r="F1883" s="14" t="inlineStr">
        <is>
          <t>AV. REITOR MIGUEL CALMON, S/N - ZONA URBANA</t>
        </is>
      </c>
      <c r="G1883" s="27" t="inlineStr">
        <is>
          <t>40110-100</t>
        </is>
      </c>
      <c r="H1883" s="15" t="n">
        <v>14</v>
      </c>
      <c r="I1883" s="28" t="inlineStr">
        <is>
          <t>SIM</t>
        </is>
      </c>
      <c r="J1883" s="29" t="n">
        <v>43.2</v>
      </c>
      <c r="K1883" s="14" t="str">
        <f>IF(J1883="","7. Acima de 2 km",IF(J1883&lt;=50,"1. Até 50 m",IF(J1883&lt;=100,"2. De 50 a 100 m",IF(J1883&lt;=200,"3. De 100 a 200 m",IF(J1883&lt;=300,"4. De 200 a 300 m",IF(J1883&lt;=500,"5. De 300 a 500 m","6. De 500 m a 2 km"))))))</f>
        <v>1. Até 50 m</v>
      </c>
      <c r="L1883" s="26" t="n">
        <v>2</v>
      </c>
      <c r="M1883" s="26" t="n">
        <v>3</v>
      </c>
      <c r="N1883" s="26" t="n">
        <v>3</v>
      </c>
      <c r="O1883" s="26" t="n">
        <v>7</v>
      </c>
      <c r="P1883" s="30" t="n">
        <v>-12.9955235</v>
      </c>
      <c r="Q1883" s="30" t="n">
        <v>-38.5202019</v>
      </c>
      <c r="R1883" s="14" t="inlineStr">
        <is>
          <t>CARTÓRIO DA 1ª ZONA ELEITORAL, 1ª AVENIDA DO CENTRO ADMINISTRATIVO DA BAHIA, 150, SALVADOR-BA.</t>
        </is>
      </c>
      <c r="S1883" s="26">
        <f>IF(A1883=A1882,0,1)</f>
        <v>0</v>
      </c>
      <c r="T1883" s="26">
        <f>IF(COUNTIF($B$4:B1883,B1883)=1,1,0)</f>
        <v>0</v>
      </c>
    </row>
    <row r="1884">
      <c r="A1884" s="14" t="inlineStr">
        <is>
          <t>SALVADOR</t>
        </is>
      </c>
      <c r="B1884" s="26" t="n">
        <v>1</v>
      </c>
      <c r="C1884" s="26" t="n">
        <v>1430</v>
      </c>
      <c r="D1884" s="14" t="inlineStr">
        <is>
          <t>COLÉGIO ESTADUAL ÚRSULA CATHARINO</t>
        </is>
      </c>
      <c r="E1884" s="14" t="inlineStr">
        <is>
          <t>CENTRO</t>
        </is>
      </c>
      <c r="F1884" s="14" t="inlineStr">
        <is>
          <t>RUA DO ROSÁRIO, 9</t>
        </is>
      </c>
      <c r="G1884" s="27" t="inlineStr">
        <is>
          <t>40020-560</t>
        </is>
      </c>
      <c r="H1884" s="15" t="n">
        <v>5</v>
      </c>
      <c r="I1884" s="28" t="inlineStr">
        <is>
          <t>SIM</t>
        </is>
      </c>
      <c r="J1884" s="29" t="n">
        <v>19</v>
      </c>
      <c r="K1884" s="14" t="str">
        <f>IF(J1884="","7. Acima de 2 km",IF(J1884&lt;=50,"1. Até 50 m",IF(J1884&lt;=100,"2. De 50 a 100 m",IF(J1884&lt;=200,"3. De 100 a 200 m",IF(J1884&lt;=300,"4. De 200 a 300 m",IF(J1884&lt;=500,"5. De 300 a 500 m","6. De 500 m a 2 km"))))))</f>
        <v>1. Até 50 m</v>
      </c>
      <c r="L1884" s="26" t="n">
        <v>1</v>
      </c>
      <c r="M1884" s="26" t="n">
        <v>1</v>
      </c>
      <c r="N1884" s="26" t="n">
        <v>10</v>
      </c>
      <c r="O1884" s="26" t="n">
        <v>18</v>
      </c>
      <c r="P1884" s="30" t="n">
        <v>-12.985959</v>
      </c>
      <c r="Q1884" s="30" t="n">
        <v>-38.5199987</v>
      </c>
      <c r="R1884" s="14" t="inlineStr">
        <is>
          <t>CARTÓRIO DA 1ª ZONA ELEITORAL, 1ª AVENIDA DO CENTRO ADMINISTRATIVO DA BAHIA, 150, SALVADOR-BA.</t>
        </is>
      </c>
      <c r="S1884" s="26">
        <f>IF(A1884=A1883,0,1)</f>
        <v>0</v>
      </c>
      <c r="T1884" s="26">
        <f>IF(COUNTIF($B$4:B1884,B1884)=1,1,0)</f>
        <v>0</v>
      </c>
    </row>
    <row r="1885">
      <c r="A1885" s="14" t="inlineStr">
        <is>
          <t>SALVADOR</t>
        </is>
      </c>
      <c r="B1885" s="26" t="n">
        <v>1</v>
      </c>
      <c r="C1885" s="26" t="n">
        <v>1449</v>
      </c>
      <c r="D1885" s="14" t="inlineStr">
        <is>
          <t>ESCOLA DE NUTRIÇÃO DA UFBA</t>
        </is>
      </c>
      <c r="E1885" s="14" t="inlineStr">
        <is>
          <t>CANELA</t>
        </is>
      </c>
      <c r="F1885" s="14" t="inlineStr">
        <is>
          <t>RUA BASILIO GAMA, S/N - ZONA URBANA</t>
        </is>
      </c>
      <c r="G1885" s="27" t="inlineStr">
        <is>
          <t>40110-040</t>
        </is>
      </c>
      <c r="H1885" s="15" t="n">
        <v>13</v>
      </c>
      <c r="I1885" s="28" t="inlineStr">
        <is>
          <t>NÃO</t>
        </is>
      </c>
      <c r="J1885" s="29" t="n">
        <v>150</v>
      </c>
      <c r="K1885" s="14" t="str">
        <f>IF(J1885="","7. Acima de 2 km",IF(J1885&lt;=50,"1. Até 50 m",IF(J1885&lt;=100,"2. De 50 a 100 m",IF(J1885&lt;=200,"3. De 100 a 200 m",IF(J1885&lt;=300,"4. De 200 a 300 m",IF(J1885&lt;=500,"5. De 300 a 500 m","6. De 500 m a 2 km"))))))</f>
        <v>3. De 100 a 200 m</v>
      </c>
      <c r="L1885" s="26" t="n">
        <v>0</v>
      </c>
      <c r="M1885" s="26" t="n">
        <v>0</v>
      </c>
      <c r="N1885" s="26" t="n">
        <v>2</v>
      </c>
      <c r="O1885" s="26" t="n">
        <v>6</v>
      </c>
      <c r="P1885" s="30" t="n">
        <v>-12.9935467</v>
      </c>
      <c r="Q1885" s="30" t="n">
        <v>-38.5213235</v>
      </c>
      <c r="R1885" s="14" t="inlineStr">
        <is>
          <t>CARTÓRIO DA 1ª ZONA ELEITORAL, 1ª AVENIDA DO CENTRO ADMINISTRATIVO DA BAHIA, 150, SALVADOR-BA.</t>
        </is>
      </c>
      <c r="S1885" s="26">
        <f>IF(A1885=A1884,0,1)</f>
        <v>0</v>
      </c>
      <c r="T1885" s="26">
        <f>IF(COUNTIF($B$4:B1885,B1885)=1,1,0)</f>
        <v>0</v>
      </c>
    </row>
    <row r="1886">
      <c r="A1886" s="14" t="inlineStr">
        <is>
          <t>SALVADOR</t>
        </is>
      </c>
      <c r="B1886" s="26" t="n">
        <v>1</v>
      </c>
      <c r="C1886" s="26" t="n">
        <v>1767</v>
      </c>
      <c r="D1886" s="14" t="inlineStr">
        <is>
          <t>ASSOCIAÇÃO ATLÉTICA DA BAHIA</t>
        </is>
      </c>
      <c r="E1886" s="14" t="inlineStr">
        <is>
          <t>BARRA</t>
        </is>
      </c>
      <c r="F1886" s="14" t="inlineStr">
        <is>
          <t>RUA BARÃO DE ITAPUÃ, N 218 - ZONA URBANA</t>
        </is>
      </c>
      <c r="G1886" s="27" t="inlineStr">
        <is>
          <t>40140-060</t>
        </is>
      </c>
      <c r="H1886" s="15" t="n">
        <v>13</v>
      </c>
      <c r="I1886" s="28" t="inlineStr">
        <is>
          <t>NÃO</t>
        </is>
      </c>
      <c r="J1886" s="29" t="n">
        <v>160.4</v>
      </c>
      <c r="K1886" s="14" t="str">
        <f>IF(J1886="","7. Acima de 2 km",IF(J1886&lt;=50,"1. Até 50 m",IF(J1886&lt;=100,"2. De 50 a 100 m",IF(J1886&lt;=200,"3. De 100 a 200 m",IF(J1886&lt;=300,"4. De 200 a 300 m",IF(J1886&lt;=500,"5. De 300 a 500 m","6. De 500 m a 2 km"))))))</f>
        <v>3. De 100 a 200 m</v>
      </c>
      <c r="L1886" s="26" t="n">
        <v>0</v>
      </c>
      <c r="M1886" s="26" t="n">
        <v>0</v>
      </c>
      <c r="N1886" s="26" t="n">
        <v>2</v>
      </c>
      <c r="O1886" s="26" t="n">
        <v>3</v>
      </c>
      <c r="P1886" s="30" t="n">
        <v>-13.0053671</v>
      </c>
      <c r="Q1886" s="30" t="n">
        <v>-38.5304607</v>
      </c>
      <c r="R1886" s="14" t="inlineStr">
        <is>
          <t>CARTÓRIO DA 1ª ZONA ELEITORAL, 1ª AVENIDA DO CENTRO ADMINISTRATIVO DA BAHIA, 150, SALVADOR-BA.</t>
        </is>
      </c>
      <c r="S1886" s="26">
        <f>IF(A1886=A1885,0,1)</f>
        <v>0</v>
      </c>
      <c r="T1886" s="26">
        <f>IF(COUNTIF($B$4:B1886,B1886)=1,1,0)</f>
        <v>0</v>
      </c>
    </row>
    <row r="1887">
      <c r="A1887" s="14" t="inlineStr">
        <is>
          <t>SALVADOR</t>
        </is>
      </c>
      <c r="B1887" s="26" t="n">
        <v>1</v>
      </c>
      <c r="C1887" s="26" t="n">
        <v>1805</v>
      </c>
      <c r="D1887" s="14" t="inlineStr">
        <is>
          <t>COLÉGIO DO SS SACRAMENTO - SACRAMENTINAS</t>
        </is>
      </c>
      <c r="E1887" s="14" t="inlineStr">
        <is>
          <t>GARCIA</t>
        </is>
      </c>
      <c r="F1887" s="14" t="inlineStr">
        <is>
          <t>AV. LEOVIGILDO FILGUEIRAS, N 1211 - ZONA URBANA</t>
        </is>
      </c>
      <c r="G1887" s="27" t="inlineStr">
        <is>
          <t>40100-000</t>
        </is>
      </c>
      <c r="H1887" s="15" t="n">
        <v>8</v>
      </c>
      <c r="I1887" s="28" t="inlineStr">
        <is>
          <t>NÃO</t>
        </is>
      </c>
      <c r="J1887" s="29" t="n">
        <v>107.6</v>
      </c>
      <c r="K1887" s="14" t="str">
        <f>IF(J1887="","7. Acima de 2 km",IF(J1887&lt;=50,"1. Até 50 m",IF(J1887&lt;=100,"2. De 50 a 100 m",IF(J1887&lt;=200,"3. De 100 a 200 m",IF(J1887&lt;=300,"4. De 200 a 300 m",IF(J1887&lt;=500,"5. De 300 a 500 m","6. De 500 m a 2 km"))))))</f>
        <v>3. De 100 a 200 m</v>
      </c>
      <c r="L1887" s="26" t="n">
        <v>0</v>
      </c>
      <c r="M1887" s="26" t="n">
        <v>0</v>
      </c>
      <c r="N1887" s="26" t="n">
        <v>2</v>
      </c>
      <c r="O1887" s="26" t="n">
        <v>5</v>
      </c>
      <c r="P1887" s="30" t="n">
        <v>-12.9900975</v>
      </c>
      <c r="Q1887" s="30" t="n">
        <v>-38.5176642</v>
      </c>
      <c r="R1887" s="14" t="inlineStr">
        <is>
          <t>CARTÓRIO DA 1ª ZONA ELEITORAL, 1ª AVENIDA DO CENTRO ADMINISTRATIVO DA BAHIA, 150, SALVADOR-BA.</t>
        </is>
      </c>
      <c r="S1887" s="26">
        <f>IF(A1887=A1886,0,1)</f>
        <v>0</v>
      </c>
      <c r="T1887" s="26">
        <f>IF(COUNTIF($B$4:B1887,B1887)=1,1,0)</f>
        <v>0</v>
      </c>
    </row>
    <row r="1888">
      <c r="A1888" s="14" t="inlineStr">
        <is>
          <t>SALVADOR</t>
        </is>
      </c>
      <c r="B1888" s="26" t="n">
        <v>1</v>
      </c>
      <c r="C1888" s="26" t="n">
        <v>1813</v>
      </c>
      <c r="D1888" s="14" t="inlineStr">
        <is>
          <t>COLÉGIO ANTÔNIO VIEIRA</t>
        </is>
      </c>
      <c r="E1888" s="14" t="inlineStr">
        <is>
          <t>GARCIA</t>
        </is>
      </c>
      <c r="F1888" s="14" t="inlineStr">
        <is>
          <t>AV. LEOVIGILDO FILGUEIRAS 683 - ZONA URBANA</t>
        </is>
      </c>
      <c r="G1888" s="27" t="inlineStr">
        <is>
          <t>40100-000</t>
        </is>
      </c>
      <c r="H1888" s="15" t="n">
        <v>25</v>
      </c>
      <c r="I1888" s="28" t="inlineStr">
        <is>
          <t>SIM</t>
        </is>
      </c>
      <c r="J1888" s="29" t="n">
        <v>69.59999999999999</v>
      </c>
      <c r="K1888" s="14" t="str">
        <f>IF(J1888="","7. Acima de 2 km",IF(J1888&lt;=50,"1. Até 50 m",IF(J1888&lt;=100,"2. De 50 a 100 m",IF(J1888&lt;=200,"3. De 100 a 200 m",IF(J1888&lt;=300,"4. De 200 a 300 m",IF(J1888&lt;=500,"5. De 300 a 500 m","6. De 500 m a 2 km"))))))</f>
        <v>2. De 50 a 100 m</v>
      </c>
      <c r="L1888" s="26" t="n">
        <v>0</v>
      </c>
      <c r="M1888" s="26" t="n">
        <v>2</v>
      </c>
      <c r="N1888" s="26" t="n">
        <v>2</v>
      </c>
      <c r="O1888" s="26" t="n">
        <v>2</v>
      </c>
      <c r="P1888" s="30" t="n">
        <v>-12.9926738</v>
      </c>
      <c r="Q1888" s="30" t="n">
        <v>-38.5151199</v>
      </c>
      <c r="R1888" s="14" t="inlineStr">
        <is>
          <t>CARTÓRIO DA 1ª ZONA ELEITORAL, 1ª AVENIDA DO CENTRO ADMINISTRATIVO DA BAHIA, 150, SALVADOR-BA.</t>
        </is>
      </c>
      <c r="S1888" s="26">
        <f>IF(A1888=A1887,0,1)</f>
        <v>0</v>
      </c>
      <c r="T1888" s="26">
        <f>IF(COUNTIF($B$4:B1888,B1888)=1,1,0)</f>
        <v>0</v>
      </c>
    </row>
    <row r="1889">
      <c r="A1889" s="14" t="inlineStr">
        <is>
          <t>SALVADOR</t>
        </is>
      </c>
      <c r="B1889" s="26" t="n">
        <v>1</v>
      </c>
      <c r="C1889" s="26" t="n">
        <v>1821</v>
      </c>
      <c r="D1889" s="14" t="inlineStr">
        <is>
          <t>CENTRO EDUCACIONAL EDGARD SANTOS</t>
        </is>
      </c>
      <c r="E1889" s="14" t="inlineStr">
        <is>
          <t>GARCIA</t>
        </is>
      </c>
      <c r="F1889" s="14" t="inlineStr">
        <is>
          <t>RUA PREDILIANO PITA S/N - ZONA URBANA</t>
        </is>
      </c>
      <c r="G1889" s="27" t="inlineStr">
        <is>
          <t>40100-200</t>
        </is>
      </c>
      <c r="H1889" s="15" t="n">
        <v>13</v>
      </c>
      <c r="I1889" s="28" t="inlineStr">
        <is>
          <t>NÃO</t>
        </is>
      </c>
      <c r="J1889" s="29" t="n">
        <v>195.4</v>
      </c>
      <c r="K1889" s="14" t="str">
        <f>IF(J1889="","7. Acima de 2 km",IF(J1889&lt;=50,"1. Até 50 m",IF(J1889&lt;=100,"2. De 50 a 100 m",IF(J1889&lt;=200,"3. De 100 a 200 m",IF(J1889&lt;=300,"4. De 200 a 300 m",IF(J1889&lt;=500,"5. De 300 a 500 m","6. De 500 m a 2 km"))))))</f>
        <v>3. De 100 a 200 m</v>
      </c>
      <c r="L1889" s="26" t="n">
        <v>0</v>
      </c>
      <c r="M1889" s="26" t="n">
        <v>0</v>
      </c>
      <c r="N1889" s="26" t="n">
        <v>2</v>
      </c>
      <c r="O1889" s="26" t="n">
        <v>4</v>
      </c>
      <c r="P1889" s="30" t="n">
        <v>-12.9939343</v>
      </c>
      <c r="Q1889" s="30" t="n">
        <v>-38.5118434</v>
      </c>
      <c r="R1889" s="14" t="inlineStr">
        <is>
          <t>CARTÓRIO DA 1ª ZONA ELEITORAL, 1ª AVENIDA DO CENTRO ADMINISTRATIVO DA BAHIA, 150, SALVADOR-BA.</t>
        </is>
      </c>
      <c r="S1889" s="26">
        <f>IF(A1889=A1888,0,1)</f>
        <v>0</v>
      </c>
      <c r="T1889" s="26">
        <f>IF(COUNTIF($B$4:B1889,B1889)=1,1,0)</f>
        <v>0</v>
      </c>
    </row>
    <row r="1890">
      <c r="A1890" s="14" t="inlineStr">
        <is>
          <t>SALVADOR</t>
        </is>
      </c>
      <c r="B1890" s="26" t="n">
        <v>1</v>
      </c>
      <c r="C1890" s="26" t="n">
        <v>1864</v>
      </c>
      <c r="D1890" s="14" t="inlineStr">
        <is>
          <t>ESCOLA MUNICIPAL SANTA ÂNGELA DAS MERCÊS</t>
        </is>
      </c>
      <c r="E1890" s="14" t="inlineStr">
        <is>
          <t>MERCÊS</t>
        </is>
      </c>
      <c r="F1890" s="14" t="inlineStr">
        <is>
          <t>AV. SETE DE SETEMBRO, N 1105 - ZONA URBANA</t>
        </is>
      </c>
      <c r="G1890" s="27" t="inlineStr">
        <is>
          <t>40020-450</t>
        </is>
      </c>
      <c r="H1890" s="15" t="n">
        <v>5</v>
      </c>
      <c r="I1890" s="28" t="inlineStr">
        <is>
          <t>SIM</t>
        </is>
      </c>
      <c r="J1890" s="29" t="n">
        <v>47.3</v>
      </c>
      <c r="K1890" s="14" t="str">
        <f>IF(J1890="","7. Acima de 2 km",IF(J1890&lt;=50,"1. Até 50 m",IF(J1890&lt;=100,"2. De 50 a 100 m",IF(J1890&lt;=200,"3. De 100 a 200 m",IF(J1890&lt;=300,"4. De 200 a 300 m",IF(J1890&lt;=500,"5. De 300 a 500 m","6. De 500 m a 2 km"))))))</f>
        <v>1. Até 50 m</v>
      </c>
      <c r="L1890" s="26" t="n">
        <v>1</v>
      </c>
      <c r="M1890" s="26" t="n">
        <v>1</v>
      </c>
      <c r="N1890" s="26" t="n">
        <v>4</v>
      </c>
      <c r="O1890" s="26" t="n">
        <v>12</v>
      </c>
      <c r="P1890" s="30" t="n">
        <v>-12.986263</v>
      </c>
      <c r="Q1890" s="30" t="n">
        <v>-38.5179778</v>
      </c>
      <c r="R1890" s="14" t="inlineStr">
        <is>
          <t>CARTÓRIO DA 1ª ZONA ELEITORAL, 1ª AVENIDA DO CENTRO ADMINISTRATIVO DA BAHIA, 150, SALVADOR-BA.</t>
        </is>
      </c>
      <c r="S1890" s="26">
        <f>IF(A1890=A1889,0,1)</f>
        <v>0</v>
      </c>
      <c r="T1890" s="26">
        <f>IF(COUNTIF($B$4:B1890,B1890)=1,1,0)</f>
        <v>0</v>
      </c>
    </row>
    <row r="1891">
      <c r="A1891" s="14" t="inlineStr">
        <is>
          <t>SALVADOR</t>
        </is>
      </c>
      <c r="B1891" s="26" t="n">
        <v>1</v>
      </c>
      <c r="C1891" s="26" t="n">
        <v>1872</v>
      </c>
      <c r="D1891" s="14" t="inlineStr">
        <is>
          <t>ESCOLA  MUNICIPAL HILDETE LOMANTO</t>
        </is>
      </c>
      <c r="E1891" s="14" t="inlineStr">
        <is>
          <t>GARCIA</t>
        </is>
      </c>
      <c r="F1891" s="14" t="inlineStr">
        <is>
          <t>RUA PREDILIANO PITTA 01 - ZONA URBANA</t>
        </is>
      </c>
      <c r="G1891" s="27" t="inlineStr">
        <is>
          <t>40100-200</t>
        </is>
      </c>
      <c r="H1891" s="15" t="n">
        <v>7</v>
      </c>
      <c r="I1891" s="28" t="inlineStr">
        <is>
          <t>NÃO</t>
        </is>
      </c>
      <c r="J1891" s="29" t="n">
        <v>200.7</v>
      </c>
      <c r="K1891" s="14" t="str">
        <f>IF(J1891="","7. Acima de 2 km",IF(J1891&lt;=50,"1. Até 50 m",IF(J1891&lt;=100,"2. De 50 a 100 m",IF(J1891&lt;=200,"3. De 100 a 200 m",IF(J1891&lt;=300,"4. De 200 a 300 m",IF(J1891&lt;=500,"5. De 300 a 500 m","6. De 500 m a 2 km"))))))</f>
        <v>4. De 200 a 300 m</v>
      </c>
      <c r="L1891" s="26" t="n">
        <v>0</v>
      </c>
      <c r="M1891" s="26" t="n">
        <v>0</v>
      </c>
      <c r="N1891" s="26" t="n">
        <v>0</v>
      </c>
      <c r="O1891" s="26" t="n">
        <v>4</v>
      </c>
      <c r="P1891" s="30" t="n">
        <v>-12.9940322</v>
      </c>
      <c r="Q1891" s="30" t="n">
        <v>-38.5119628</v>
      </c>
      <c r="R1891" s="14" t="inlineStr">
        <is>
          <t>CARTÓRIO DA 1ª ZONA ELEITORAL, 1ª AVENIDA DO CENTRO ADMINISTRATIVO DA BAHIA, 150, SALVADOR-BA.</t>
        </is>
      </c>
      <c r="S1891" s="26">
        <f>IF(A1891=A1890,0,1)</f>
        <v>0</v>
      </c>
      <c r="T1891" s="26">
        <f>IF(COUNTIF($B$4:B1891,B1891)=1,1,0)</f>
        <v>0</v>
      </c>
    </row>
    <row r="1892">
      <c r="A1892" s="14" t="inlineStr">
        <is>
          <t>SALVADOR</t>
        </is>
      </c>
      <c r="B1892" s="26" t="n">
        <v>1</v>
      </c>
      <c r="C1892" s="26" t="n">
        <v>1929</v>
      </c>
      <c r="D1892" s="14" t="inlineStr">
        <is>
          <t>SUPERINTENDÊNCIA FEDERAL DE AGRICULTURA - SFA</t>
        </is>
      </c>
      <c r="E1892" s="14" t="inlineStr">
        <is>
          <t>AFLITOS</t>
        </is>
      </c>
      <c r="F1892" s="14" t="inlineStr">
        <is>
          <t>LARGO DOS AFLITOS,S/N, ED. CERES - ZONA URBANA</t>
        </is>
      </c>
      <c r="G1892" s="27" t="inlineStr">
        <is>
          <t>40060-030</t>
        </is>
      </c>
      <c r="H1892" s="15" t="n">
        <v>5</v>
      </c>
      <c r="I1892" s="28" t="inlineStr">
        <is>
          <t>SIM</t>
        </is>
      </c>
      <c r="J1892" s="29" t="n">
        <v>17.8</v>
      </c>
      <c r="K1892" s="14" t="str">
        <f>IF(J1892="","7. Acima de 2 km",IF(J1892&lt;=50,"1. Até 50 m",IF(J1892&lt;=100,"2. De 50 a 100 m",IF(J1892&lt;=200,"3. De 100 a 200 m",IF(J1892&lt;=300,"4. De 200 a 300 m",IF(J1892&lt;=500,"5. De 300 a 500 m","6. De 500 m a 2 km"))))))</f>
        <v>1. Até 50 m</v>
      </c>
      <c r="L1892" s="26" t="n">
        <v>2</v>
      </c>
      <c r="M1892" s="26" t="n">
        <v>2</v>
      </c>
      <c r="N1892" s="26" t="n">
        <v>4</v>
      </c>
      <c r="O1892" s="26" t="n">
        <v>13</v>
      </c>
      <c r="P1892" s="30" t="n">
        <v>-12.9843018</v>
      </c>
      <c r="Q1892" s="30" t="n">
        <v>-38.5201289</v>
      </c>
      <c r="R1892" s="14" t="inlineStr">
        <is>
          <t>CARTÓRIO DA 1ª ZONA ELEITORAL, 1ª AVENIDA DO CENTRO ADMINISTRATIVO DA BAHIA, 150, SALVADOR-BA.</t>
        </is>
      </c>
      <c r="S1892" s="26">
        <f>IF(A1892=A1891,0,1)</f>
        <v>0</v>
      </c>
      <c r="T1892" s="26">
        <f>IF(COUNTIF($B$4:B1892,B1892)=1,1,0)</f>
        <v>0</v>
      </c>
    </row>
    <row r="1893">
      <c r="A1893" s="14" t="inlineStr">
        <is>
          <t>SALVADOR</t>
        </is>
      </c>
      <c r="B1893" s="26" t="n">
        <v>1</v>
      </c>
      <c r="C1893" s="26" t="n">
        <v>1937</v>
      </c>
      <c r="D1893" s="14" t="inlineStr">
        <is>
          <t>ESCOLA ESTADUAL AZEVEDO FERNANDES</t>
        </is>
      </c>
      <c r="E1893" s="14" t="inlineStr">
        <is>
          <t>PELOURINHO</t>
        </is>
      </c>
      <c r="F1893" s="14" t="inlineStr">
        <is>
          <t>LARGO DO PELOURINHO, 11 - ZONA URBANA</t>
        </is>
      </c>
      <c r="G1893" s="27" t="inlineStr">
        <is>
          <t>40026-280</t>
        </is>
      </c>
      <c r="H1893" s="15" t="n">
        <v>4</v>
      </c>
      <c r="I1893" s="28" t="inlineStr">
        <is>
          <t>SIM</t>
        </is>
      </c>
      <c r="J1893" s="29" t="n">
        <v>51.1</v>
      </c>
      <c r="K1893" s="14" t="str">
        <f>IF(J1893="","7. Acima de 2 km",IF(J1893&lt;=50,"1. Até 50 m",IF(J1893&lt;=100,"2. De 50 a 100 m",IF(J1893&lt;=200,"3. De 100 a 200 m",IF(J1893&lt;=300,"4. De 200 a 300 m",IF(J1893&lt;=500,"5. De 300 a 500 m","6. De 500 m a 2 km"))))))</f>
        <v>2. De 50 a 100 m</v>
      </c>
      <c r="L1893" s="26" t="n">
        <v>0</v>
      </c>
      <c r="M1893" s="26" t="n">
        <v>2</v>
      </c>
      <c r="N1893" s="26" t="n">
        <v>8</v>
      </c>
      <c r="O1893" s="26" t="n">
        <v>11</v>
      </c>
      <c r="P1893" s="30" t="n">
        <v>-12.9716622</v>
      </c>
      <c r="Q1893" s="30" t="n">
        <v>-38.5082903</v>
      </c>
      <c r="R1893" s="14" t="inlineStr">
        <is>
          <t>CARTÓRIO DA 1ª ZONA ELEITORAL, 1ª AVENIDA DO CENTRO ADMINISTRATIVO DA BAHIA, 150, SALVADOR-BA.</t>
        </is>
      </c>
      <c r="S1893" s="26">
        <f>IF(A1893=A1892,0,1)</f>
        <v>0</v>
      </c>
      <c r="T1893" s="26">
        <f>IF(COUNTIF($B$4:B1893,B1893)=1,1,0)</f>
        <v>0</v>
      </c>
    </row>
    <row r="1894">
      <c r="A1894" s="14" t="inlineStr">
        <is>
          <t>SALVADOR</t>
        </is>
      </c>
      <c r="B1894" s="26" t="n">
        <v>1</v>
      </c>
      <c r="C1894" s="26" t="n">
        <v>1945</v>
      </c>
      <c r="D1894" s="14" t="inlineStr">
        <is>
          <t>ESCOLA MUNICIPAL VIVALDO DA COSTA LIMA</t>
        </is>
      </c>
      <c r="E1894" s="14" t="inlineStr">
        <is>
          <t>PELOURINHO</t>
        </is>
      </c>
      <c r="F1894" s="14" t="inlineStr">
        <is>
          <t>RUA DO PASSO, N 57 - LARGO DO CARMO - ZONA URBANA</t>
        </is>
      </c>
      <c r="G1894" s="27" t="inlineStr">
        <is>
          <t>40301-408</t>
        </is>
      </c>
      <c r="H1894" s="15" t="n">
        <v>2</v>
      </c>
      <c r="I1894" s="28" t="inlineStr">
        <is>
          <t>NÃO</t>
        </is>
      </c>
      <c r="J1894" s="29" t="n">
        <v>141.7</v>
      </c>
      <c r="K1894" s="14" t="str">
        <f>IF(J1894="","7. Acima de 2 km",IF(J1894&lt;=50,"1. Até 50 m",IF(J1894&lt;=100,"2. De 50 a 100 m",IF(J1894&lt;=200,"3. De 100 a 200 m",IF(J1894&lt;=300,"4. De 200 a 300 m",IF(J1894&lt;=500,"5. De 300 a 500 m","6. De 500 m a 2 km"))))))</f>
        <v>3. De 100 a 200 m</v>
      </c>
      <c r="L1894" s="26" t="n">
        <v>0</v>
      </c>
      <c r="M1894" s="26" t="n">
        <v>0</v>
      </c>
      <c r="N1894" s="26" t="n">
        <v>6</v>
      </c>
      <c r="O1894" s="26" t="n">
        <v>9</v>
      </c>
      <c r="P1894" s="30" t="n">
        <v>-12.9692353</v>
      </c>
      <c r="Q1894" s="30" t="n">
        <v>-38.5077056</v>
      </c>
      <c r="R1894" s="14" t="inlineStr">
        <is>
          <t>CARTÓRIO DA 1ª ZONA ELEITORAL, 1ª AVENIDA DO CENTRO ADMINISTRATIVO DA BAHIA, 150, SALVADOR-BA.</t>
        </is>
      </c>
      <c r="S1894" s="26">
        <f>IF(A1894=A1893,0,1)</f>
        <v>0</v>
      </c>
      <c r="T1894" s="26">
        <f>IF(COUNTIF($B$4:B1894,B1894)=1,1,0)</f>
        <v>0</v>
      </c>
    </row>
    <row r="1895">
      <c r="A1895" s="14" t="inlineStr">
        <is>
          <t>SALVADOR</t>
        </is>
      </c>
      <c r="B1895" s="26" t="n">
        <v>1</v>
      </c>
      <c r="C1895" s="26" t="n">
        <v>1961</v>
      </c>
      <c r="D1895" s="14" t="inlineStr">
        <is>
          <t>COLÉGIO DE SÃO BENTO</t>
        </is>
      </c>
      <c r="E1895" s="14" t="inlineStr">
        <is>
          <t>SÃO PEDRO</t>
        </is>
      </c>
      <c r="F1895" s="14" t="inlineStr">
        <is>
          <t>RUA DO PARAISO, 149 - ZONA URBANA</t>
        </is>
      </c>
      <c r="G1895" s="27" t="inlineStr">
        <is>
          <t>40060-010</t>
        </is>
      </c>
      <c r="H1895" s="15" t="n">
        <v>6</v>
      </c>
      <c r="I1895" s="28" t="inlineStr">
        <is>
          <t>SIM</t>
        </is>
      </c>
      <c r="J1895" s="29" t="n">
        <v>23.4</v>
      </c>
      <c r="K1895" s="14" t="str">
        <f>IF(J1895="","7. Acima de 2 km",IF(J1895&lt;=50,"1. Até 50 m",IF(J1895&lt;=100,"2. De 50 a 100 m",IF(J1895&lt;=200,"3. De 100 a 200 m",IF(J1895&lt;=300,"4. De 200 a 300 m",IF(J1895&lt;=500,"5. De 300 a 500 m","6. De 500 m a 2 km"))))))</f>
        <v>1. Até 50 m</v>
      </c>
      <c r="L1895" s="26" t="n">
        <v>3</v>
      </c>
      <c r="M1895" s="26" t="n">
        <v>6</v>
      </c>
      <c r="N1895" s="26" t="n">
        <v>13</v>
      </c>
      <c r="O1895" s="26" t="n">
        <v>22</v>
      </c>
      <c r="P1895" s="30" t="n">
        <v>-12.979519</v>
      </c>
      <c r="Q1895" s="30" t="n">
        <v>-38.5142334</v>
      </c>
      <c r="R1895" s="14" t="inlineStr">
        <is>
          <t>CARTÓRIO DA 1ª ZONA ELEITORAL, 1ª AVENIDA DO CENTRO ADMINISTRATIVO DA BAHIA, 150, SALVADOR-BA.</t>
        </is>
      </c>
      <c r="S1895" s="26">
        <f>IF(A1895=A1894,0,1)</f>
        <v>0</v>
      </c>
      <c r="T1895" s="26">
        <f>IF(COUNTIF($B$4:B1895,B1895)=1,1,0)</f>
        <v>0</v>
      </c>
    </row>
    <row r="1896">
      <c r="A1896" s="14" t="inlineStr">
        <is>
          <t>SALVADOR</t>
        </is>
      </c>
      <c r="B1896" s="26" t="n">
        <v>1</v>
      </c>
      <c r="C1896" s="26" t="n">
        <v>1970</v>
      </c>
      <c r="D1896" s="14" t="inlineStr">
        <is>
          <t>FACULDADE DE CIÊNCIAS ECONÔMICAS DA UFBA</t>
        </is>
      </c>
      <c r="E1896" s="14" t="inlineStr">
        <is>
          <t>PIEDADE</t>
        </is>
      </c>
      <c r="F1896" s="14" t="inlineStr">
        <is>
          <t>PRAÇA DA PIEDADE, 13 - ZONA URBANA</t>
        </is>
      </c>
      <c r="G1896" s="27" t="inlineStr">
        <is>
          <t>40060-300</t>
        </is>
      </c>
      <c r="H1896" s="15" t="n">
        <v>4</v>
      </c>
      <c r="I1896" s="28" t="inlineStr">
        <is>
          <t>SIM</t>
        </is>
      </c>
      <c r="J1896" s="29" t="n">
        <v>74.5</v>
      </c>
      <c r="K1896" s="14" t="str">
        <f>IF(J1896="","7. Acima de 2 km",IF(J1896&lt;=50,"1. Até 50 m",IF(J1896&lt;=100,"2. De 50 a 100 m",IF(J1896&lt;=200,"3. De 100 a 200 m",IF(J1896&lt;=300,"4. De 200 a 300 m",IF(J1896&lt;=500,"5. De 300 a 500 m","6. De 500 m a 2 km"))))))</f>
        <v>2. De 50 a 100 m</v>
      </c>
      <c r="L1896" s="26" t="n">
        <v>0</v>
      </c>
      <c r="M1896" s="26" t="n">
        <v>4</v>
      </c>
      <c r="N1896" s="26" t="n">
        <v>9</v>
      </c>
      <c r="O1896" s="26" t="n">
        <v>18</v>
      </c>
      <c r="P1896" s="30" t="n">
        <v>-12.983648</v>
      </c>
      <c r="Q1896" s="30" t="n">
        <v>-38.5152453</v>
      </c>
      <c r="R1896" s="14" t="inlineStr">
        <is>
          <t>CARTÓRIO DA 1ª ZONA ELEITORAL, 1ª AVENIDA DO CENTRO ADMINISTRATIVO DA BAHIA, 150, SALVADOR-BA.</t>
        </is>
      </c>
      <c r="S1896" s="26">
        <f>IF(A1896=A1895,0,1)</f>
        <v>0</v>
      </c>
      <c r="T1896" s="26">
        <f>IF(COUNTIF($B$4:B1896,B1896)=1,1,0)</f>
        <v>0</v>
      </c>
    </row>
    <row r="1897">
      <c r="A1897" s="14" t="inlineStr">
        <is>
          <t>SALVADOR</t>
        </is>
      </c>
      <c r="B1897" s="26" t="n">
        <v>1</v>
      </c>
      <c r="C1897" s="26" t="n">
        <v>1988</v>
      </c>
      <c r="D1897" s="14" t="inlineStr">
        <is>
          <t>CLUBE ESPANHOL</t>
        </is>
      </c>
      <c r="E1897" s="14" t="inlineStr">
        <is>
          <t>BARRA</t>
        </is>
      </c>
      <c r="F1897" s="14" t="inlineStr">
        <is>
          <t>AV. OCEÂNICA, 1404 - ZONA URBANA</t>
        </is>
      </c>
      <c r="G1897" s="27" t="inlineStr">
        <is>
          <t>40150-140</t>
        </is>
      </c>
      <c r="H1897" s="15" t="n">
        <v>12</v>
      </c>
      <c r="I1897" s="28" t="inlineStr">
        <is>
          <t>SIM</t>
        </is>
      </c>
      <c r="J1897" s="29" t="n">
        <v>36.1</v>
      </c>
      <c r="K1897" s="14" t="str">
        <f>IF(J1897="","7. Acima de 2 km",IF(J1897&lt;=50,"1. Até 50 m",IF(J1897&lt;=100,"2. De 50 a 100 m",IF(J1897&lt;=200,"3. De 100 a 200 m",IF(J1897&lt;=300,"4. De 200 a 300 m",IF(J1897&lt;=500,"5. De 300 a 500 m","6. De 500 m a 2 km"))))))</f>
        <v>1. Até 50 m</v>
      </c>
      <c r="L1897" s="26" t="n">
        <v>2</v>
      </c>
      <c r="M1897" s="26" t="n">
        <v>3</v>
      </c>
      <c r="N1897" s="26" t="n">
        <v>4</v>
      </c>
      <c r="O1897" s="26" t="n">
        <v>5</v>
      </c>
      <c r="P1897" s="30" t="n">
        <v>-13.0087207</v>
      </c>
      <c r="Q1897" s="30" t="n">
        <v>-38.5201207</v>
      </c>
      <c r="R1897" s="14" t="inlineStr">
        <is>
          <t>CARTÓRIO DA 1ª ZONA ELEITORAL, 1ª AVENIDA DO CENTRO ADMINISTRATIVO DA BAHIA, 150, SALVADOR-BA.</t>
        </is>
      </c>
      <c r="S1897" s="26">
        <f>IF(A1897=A1896,0,1)</f>
        <v>0</v>
      </c>
      <c r="T1897" s="26">
        <f>IF(COUNTIF($B$4:B1897,B1897)=1,1,0)</f>
        <v>0</v>
      </c>
    </row>
    <row r="1898">
      <c r="A1898" s="14" t="inlineStr">
        <is>
          <t>SALVADOR</t>
        </is>
      </c>
      <c r="B1898" s="26" t="n">
        <v>2</v>
      </c>
      <c r="C1898" s="26" t="n">
        <v>1031</v>
      </c>
      <c r="D1898" s="14" t="inlineStr">
        <is>
          <t>COLÉGIO ESTADUAL MANOEL DEVOTO</t>
        </is>
      </c>
      <c r="E1898" s="14" t="inlineStr">
        <is>
          <t>RIO VERMELHO</t>
        </is>
      </c>
      <c r="F1898" s="14" t="inlineStr">
        <is>
          <t>RUA OSWALDO CRUZ S/N - ZONA URBANA, RIO VERMELHO</t>
        </is>
      </c>
      <c r="G1898" s="27" t="inlineStr">
        <is>
          <t>41940-000</t>
        </is>
      </c>
      <c r="H1898" s="15" t="n">
        <v>31</v>
      </c>
      <c r="I1898" s="28" t="inlineStr">
        <is>
          <t>SIM</t>
        </is>
      </c>
      <c r="J1898" s="29" t="n">
        <v>76.40000000000001</v>
      </c>
      <c r="K1898" s="14" t="str">
        <f>IF(J1898="","7. Acima de 2 km",IF(J1898&lt;=50,"1. Até 50 m",IF(J1898&lt;=100,"2. De 50 a 100 m",IF(J1898&lt;=200,"3. De 100 a 200 m",IF(J1898&lt;=300,"4. De 200 a 300 m",IF(J1898&lt;=500,"5. De 300 a 500 m","6. De 500 m a 2 km"))))))</f>
        <v>2. De 50 a 100 m</v>
      </c>
      <c r="L1898" s="26" t="n">
        <v>0</v>
      </c>
      <c r="M1898" s="26" t="n">
        <v>7</v>
      </c>
      <c r="N1898" s="26" t="n">
        <v>7</v>
      </c>
      <c r="O1898" s="26" t="n">
        <v>8</v>
      </c>
      <c r="P1898" s="30" t="n">
        <v>-13.0121116</v>
      </c>
      <c r="Q1898" s="30" t="n">
        <v>-38.4826087</v>
      </c>
      <c r="R1898" s="14" t="inlineStr">
        <is>
          <t>CARTÓRIO DA 2ª ZONA ELEITORAL, 1ª AVENIDA DO CENTRO ADMINISTRATIVO DA BAHIA, 150, SALVADOR-BA.</t>
        </is>
      </c>
      <c r="S1898" s="26">
        <f>IF(A1898=A1897,0,1)</f>
        <v>0</v>
      </c>
      <c r="T1898" s="26">
        <f>IF(COUNTIF($B$4:B1898,B1898)=1,1,0)</f>
        <v>1</v>
      </c>
    </row>
    <row r="1899">
      <c r="A1899" s="14" t="inlineStr">
        <is>
          <t>SALVADOR</t>
        </is>
      </c>
      <c r="B1899" s="26" t="n">
        <v>2</v>
      </c>
      <c r="C1899" s="26" t="n">
        <v>1082</v>
      </c>
      <c r="D1899" s="14" t="inlineStr">
        <is>
          <t>ESCOLA MUNICIPAL OSVALDO CRUZ</t>
        </is>
      </c>
      <c r="E1899" s="14" t="inlineStr">
        <is>
          <t>RIO VERMELHO</t>
        </is>
      </c>
      <c r="F1899" s="14" t="inlineStr">
        <is>
          <t>RUA DO MEIO, N 13 - ZONA URBANA, RIO VERMELHO</t>
        </is>
      </c>
      <c r="G1899" s="27" t="inlineStr">
        <is>
          <t>41940-426</t>
        </is>
      </c>
      <c r="H1899" s="15" t="n">
        <v>8</v>
      </c>
      <c r="I1899" s="28" t="inlineStr">
        <is>
          <t>SIM</t>
        </is>
      </c>
      <c r="J1899" s="29" t="n">
        <v>83.09999999999999</v>
      </c>
      <c r="K1899" s="14" t="str">
        <f>IF(J1899="","7. Acima de 2 km",IF(J1899&lt;=50,"1. Até 50 m",IF(J1899&lt;=100,"2. De 50 a 100 m",IF(J1899&lt;=200,"3. De 100 a 200 m",IF(J1899&lt;=300,"4. De 200 a 300 m",IF(J1899&lt;=500,"5. De 300 a 500 m","6. De 500 m a 2 km"))))))</f>
        <v>2. De 50 a 100 m</v>
      </c>
      <c r="L1899" s="26" t="n">
        <v>0</v>
      </c>
      <c r="M1899" s="26" t="n">
        <v>1</v>
      </c>
      <c r="N1899" s="26" t="n">
        <v>3</v>
      </c>
      <c r="O1899" s="26" t="n">
        <v>3</v>
      </c>
      <c r="P1899" s="30" t="n">
        <v>-13.0131923</v>
      </c>
      <c r="Q1899" s="30" t="n">
        <v>-38.4874282</v>
      </c>
      <c r="R1899" s="14" t="inlineStr">
        <is>
          <t>CARTÓRIO DA 2ª ZONA ELEITORAL, 1ª AVENIDA DO CENTRO ADMINISTRATIVO DA BAHIA, 150, SALVADOR-BA.</t>
        </is>
      </c>
      <c r="S1899" s="26">
        <f>IF(A1899=A1898,0,1)</f>
        <v>0</v>
      </c>
      <c r="T1899" s="26">
        <f>IF(COUNTIF($B$4:B1899,B1899)=1,1,0)</f>
        <v>0</v>
      </c>
    </row>
    <row r="1900">
      <c r="A1900" s="14" t="inlineStr">
        <is>
          <t>SALVADOR</t>
        </is>
      </c>
      <c r="B1900" s="26" t="n">
        <v>2</v>
      </c>
      <c r="C1900" s="26" t="n">
        <v>1090</v>
      </c>
      <c r="D1900" s="14" t="inlineStr">
        <is>
          <t>ESCOLA ALFREDO MAGALHÃES</t>
        </is>
      </c>
      <c r="E1900" s="14" t="inlineStr">
        <is>
          <t>RIO VERMELHO</t>
        </is>
      </c>
      <c r="F1900" s="14" t="inlineStr">
        <is>
          <t>RUA IPIRÁ S/N - ZONA URBANA, RIO VERMELHO</t>
        </is>
      </c>
      <c r="G1900" s="27" t="inlineStr">
        <is>
          <t>41940-230</t>
        </is>
      </c>
      <c r="H1900" s="15" t="n">
        <v>16</v>
      </c>
      <c r="I1900" s="28" t="inlineStr">
        <is>
          <t>NÃO</t>
        </is>
      </c>
      <c r="J1900" s="29" t="n">
        <v>105.4</v>
      </c>
      <c r="K1900" s="14" t="str">
        <f>IF(J1900="","7. Acima de 2 km",IF(J1900&lt;=50,"1. Até 50 m",IF(J1900&lt;=100,"2. De 50 a 100 m",IF(J1900&lt;=200,"3. De 100 a 200 m",IF(J1900&lt;=300,"4. De 200 a 300 m",IF(J1900&lt;=500,"5. De 300 a 500 m","6. De 500 m a 2 km"))))))</f>
        <v>3. De 100 a 200 m</v>
      </c>
      <c r="L1900" s="26" t="n">
        <v>0</v>
      </c>
      <c r="M1900" s="26" t="n">
        <v>0</v>
      </c>
      <c r="N1900" s="26" t="n">
        <v>3</v>
      </c>
      <c r="O1900" s="26" t="n">
        <v>7</v>
      </c>
      <c r="P1900" s="30" t="n">
        <v>-13.007055</v>
      </c>
      <c r="Q1900" s="30" t="n">
        <v>-38.4859307</v>
      </c>
      <c r="R1900" s="14" t="inlineStr">
        <is>
          <t>CARTÓRIO DA 2ª ZONA ELEITORAL, 1ª AVENIDA DO CENTRO ADMINISTRATIVO DA BAHIA, 150, SALVADOR-BA.</t>
        </is>
      </c>
      <c r="S1900" s="26">
        <f>IF(A1900=A1899,0,1)</f>
        <v>0</v>
      </c>
      <c r="T1900" s="26">
        <f>IF(COUNTIF($B$4:B1900,B1900)=1,1,0)</f>
        <v>0</v>
      </c>
    </row>
    <row r="1901">
      <c r="A1901" s="14" t="inlineStr">
        <is>
          <t>SALVADOR</t>
        </is>
      </c>
      <c r="B1901" s="26" t="n">
        <v>2</v>
      </c>
      <c r="C1901" s="26" t="n">
        <v>1457</v>
      </c>
      <c r="D1901" s="14" t="inlineStr">
        <is>
          <t>COLÉGIO ESTADUAL EURICLES DE MATOS</t>
        </is>
      </c>
      <c r="E1901" s="14" t="inlineStr">
        <is>
          <t>RIO VERMELHO</t>
        </is>
      </c>
      <c r="F1901" s="14" t="inlineStr">
        <is>
          <t>RUA OSWALDO CRUZ 16 - ZONA URBANA, RIO VERMELHO</t>
        </is>
      </c>
      <c r="G1901" s="27" t="inlineStr">
        <is>
          <t>41940-000</t>
        </is>
      </c>
      <c r="H1901" s="15" t="n">
        <v>13</v>
      </c>
      <c r="I1901" s="28" t="inlineStr">
        <is>
          <t>NÃO</t>
        </is>
      </c>
      <c r="J1901" s="29" t="n">
        <v>118.7</v>
      </c>
      <c r="K1901" s="14" t="str">
        <f>IF(J1901="","7. Acima de 2 km",IF(J1901&lt;=50,"1. Até 50 m",IF(J1901&lt;=100,"2. De 50 a 100 m",IF(J1901&lt;=200,"3. De 100 a 200 m",IF(J1901&lt;=300,"4. De 200 a 300 m",IF(J1901&lt;=500,"5. De 300 a 500 m","6. De 500 m a 2 km"))))))</f>
        <v>3. De 100 a 200 m</v>
      </c>
      <c r="L1901" s="26" t="n">
        <v>0</v>
      </c>
      <c r="M1901" s="26" t="n">
        <v>0</v>
      </c>
      <c r="N1901" s="26" t="n">
        <v>2</v>
      </c>
      <c r="O1901" s="26" t="n">
        <v>3</v>
      </c>
      <c r="P1901" s="30" t="n">
        <v>-13.0126737</v>
      </c>
      <c r="Q1901" s="30" t="n">
        <v>-38.4873768</v>
      </c>
      <c r="R1901" s="14" t="inlineStr">
        <is>
          <t>CARTÓRIO DA 2ª ZONA ELEITORAL, 1ª AVENIDA DO CENTRO ADMINISTRATIVO DA BAHIA, 150, SALVADOR-BA.</t>
        </is>
      </c>
      <c r="S1901" s="26">
        <f>IF(A1901=A1900,0,1)</f>
        <v>0</v>
      </c>
      <c r="T1901" s="26">
        <f>IF(COUNTIF($B$4:B1901,B1901)=1,1,0)</f>
        <v>0</v>
      </c>
    </row>
    <row r="1902">
      <c r="A1902" s="14" t="inlineStr">
        <is>
          <t>SALVADOR</t>
        </is>
      </c>
      <c r="B1902" s="26" t="n">
        <v>2</v>
      </c>
      <c r="C1902" s="26" t="n">
        <v>1686</v>
      </c>
      <c r="D1902" s="14" t="inlineStr">
        <is>
          <t>COLÉGIO ESTADUAL MÁRIO COSTA NETO</t>
        </is>
      </c>
      <c r="E1902" s="14" t="inlineStr">
        <is>
          <t>FEDERAÇÃO</t>
        </is>
      </c>
      <c r="F1902" s="14" t="inlineStr">
        <is>
          <t>RUA ENG. JAIME ZAVERUCHA S/N, PARQUE SÃO BRAZ - ZONA URBANA, FEDERAÇÃO</t>
        </is>
      </c>
      <c r="G1902" s="27" t="inlineStr">
        <is>
          <t>40230-320</t>
        </is>
      </c>
      <c r="H1902" s="15" t="n">
        <v>8</v>
      </c>
      <c r="I1902" s="28" t="inlineStr">
        <is>
          <t>SIM</t>
        </is>
      </c>
      <c r="J1902" s="29" t="n">
        <v>50.2</v>
      </c>
      <c r="K1902" s="14" t="str">
        <f>IF(J1902="","7. Acima de 2 km",IF(J1902&lt;=50,"1. Até 50 m",IF(J1902&lt;=100,"2. De 50 a 100 m",IF(J1902&lt;=200,"3. De 100 a 200 m",IF(J1902&lt;=300,"4. De 200 a 300 m",IF(J1902&lt;=500,"5. De 300 a 500 m","6. De 500 m a 2 km"))))))</f>
        <v>2. De 50 a 100 m</v>
      </c>
      <c r="L1902" s="26" t="n">
        <v>0</v>
      </c>
      <c r="M1902" s="26" t="n">
        <v>1</v>
      </c>
      <c r="N1902" s="26" t="n">
        <v>2</v>
      </c>
      <c r="O1902" s="26" t="n">
        <v>6</v>
      </c>
      <c r="P1902" s="30" t="n">
        <v>-12.9969937</v>
      </c>
      <c r="Q1902" s="30" t="n">
        <v>-38.5026509</v>
      </c>
      <c r="R1902" s="14" t="inlineStr">
        <is>
          <t>CARTÓRIO DA 2ª ZONA ELEITORAL, 1ª AVENIDA DO CENTRO ADMINISTRATIVO DA BAHIA, 150, SALVADOR-BA.</t>
        </is>
      </c>
      <c r="S1902" s="26">
        <f>IF(A1902=A1901,0,1)</f>
        <v>0</v>
      </c>
      <c r="T1902" s="26">
        <f>IF(COUNTIF($B$4:B1902,B1902)=1,1,0)</f>
        <v>0</v>
      </c>
    </row>
    <row r="1903">
      <c r="A1903" s="14" t="inlineStr">
        <is>
          <t>SALVADOR</t>
        </is>
      </c>
      <c r="B1903" s="26" t="n">
        <v>2</v>
      </c>
      <c r="C1903" s="26" t="n">
        <v>1694</v>
      </c>
      <c r="D1903" s="14" t="inlineStr">
        <is>
          <t>CAPE-CENTRO DE APOIO PEDAGÓGICO ESPECIALIZADO DA BAHIA (ANTIGO CEEBA)</t>
        </is>
      </c>
      <c r="E1903" s="14" t="inlineStr">
        <is>
          <t>ONDINA</t>
        </is>
      </c>
      <c r="F1903" s="14" t="inlineStr">
        <is>
          <t>RUA RAYMUNDO PEREIRA DE MAGALHÃES, S/N - ZONA URBANA, ONDINA</t>
        </is>
      </c>
      <c r="G1903" s="27" t="inlineStr">
        <is>
          <t>40170-155</t>
        </is>
      </c>
      <c r="H1903" s="15" t="n">
        <v>15</v>
      </c>
      <c r="I1903" s="28" t="inlineStr">
        <is>
          <t>SIM</t>
        </is>
      </c>
      <c r="J1903" s="29" t="n">
        <v>97</v>
      </c>
      <c r="K1903" s="14" t="str">
        <f>IF(J1903="","7. Acima de 2 km",IF(J1903&lt;=50,"1. Até 50 m",IF(J1903&lt;=100,"2. De 50 a 100 m",IF(J1903&lt;=200,"3. De 100 a 200 m",IF(J1903&lt;=300,"4. De 200 a 300 m",IF(J1903&lt;=500,"5. De 300 a 500 m","6. De 500 m a 2 km"))))))</f>
        <v>2. De 50 a 100 m</v>
      </c>
      <c r="L1903" s="26" t="n">
        <v>0</v>
      </c>
      <c r="M1903" s="26" t="n">
        <v>1</v>
      </c>
      <c r="N1903" s="26" t="n">
        <v>3</v>
      </c>
      <c r="O1903" s="26" t="n">
        <v>5</v>
      </c>
      <c r="P1903" s="30" t="n">
        <v>-13.0064278</v>
      </c>
      <c r="Q1903" s="30" t="n">
        <v>-38.5080366</v>
      </c>
      <c r="R1903" s="14" t="inlineStr">
        <is>
          <t>CARTÓRIO DA 2ª ZONA ELEITORAL, 1ª AVENIDA DO CENTRO ADMINISTRATIVO DA BAHIA, 150, SALVADOR-BA.</t>
        </is>
      </c>
      <c r="S1903" s="26">
        <f>IF(A1903=A1902,0,1)</f>
        <v>0</v>
      </c>
      <c r="T1903" s="26">
        <f>IF(COUNTIF($B$4:B1903,B1903)=1,1,0)</f>
        <v>0</v>
      </c>
    </row>
    <row r="1904">
      <c r="A1904" s="14" t="inlineStr">
        <is>
          <t>SALVADOR</t>
        </is>
      </c>
      <c r="B1904" s="26" t="n">
        <v>2</v>
      </c>
      <c r="C1904" s="26" t="n">
        <v>1740</v>
      </c>
      <c r="D1904" s="14" t="inlineStr">
        <is>
          <t>ESCOLA MUNICIPAL IACY VAZ FAGUNDES</t>
        </is>
      </c>
      <c r="E1904" s="14" t="inlineStr">
        <is>
          <t>FEDERAÇÃO</t>
        </is>
      </c>
      <c r="F1904" s="14" t="inlineStr">
        <is>
          <t>RUA SÉRGIO DE CARVALHO,128-E - ZONA URBANA, FEDERAÇÃO</t>
        </is>
      </c>
      <c r="G1904" s="27" t="inlineStr">
        <is>
          <t>40230-680</t>
        </is>
      </c>
      <c r="H1904" s="15" t="n">
        <v>9</v>
      </c>
      <c r="I1904" s="28" t="inlineStr">
        <is>
          <t>NÃO</t>
        </is>
      </c>
      <c r="J1904" s="29" t="n">
        <v>412.2</v>
      </c>
      <c r="K1904" s="14" t="str">
        <f>IF(J1904="","7. Acima de 2 km",IF(J1904&lt;=50,"1. Até 50 m",IF(J1904&lt;=100,"2. De 50 a 100 m",IF(J1904&lt;=200,"3. De 100 a 200 m",IF(J1904&lt;=300,"4. De 200 a 300 m",IF(J1904&lt;=500,"5. De 300 a 500 m","6. De 500 m a 2 km"))))))</f>
        <v>5. De 300 a 500 m</v>
      </c>
      <c r="L1904" s="26" t="n">
        <v>0</v>
      </c>
      <c r="M1904" s="26" t="n">
        <v>0</v>
      </c>
      <c r="N1904" s="26" t="n">
        <v>0</v>
      </c>
      <c r="O1904" s="26" t="n">
        <v>0</v>
      </c>
      <c r="P1904" s="30" t="n">
        <v>-12.9990955</v>
      </c>
      <c r="Q1904" s="30" t="n">
        <v>-38.4984134</v>
      </c>
      <c r="R1904" s="14" t="inlineStr">
        <is>
          <t>CARTÓRIO DA 2ª ZONA ELEITORAL, 1ª AVENIDA DO CENTRO ADMINISTRATIVO DA BAHIA, 150, SALVADOR-BA.</t>
        </is>
      </c>
      <c r="S1904" s="26">
        <f>IF(A1904=A1903,0,1)</f>
        <v>0</v>
      </c>
      <c r="T1904" s="26">
        <f>IF(COUNTIF($B$4:B1904,B1904)=1,1,0)</f>
        <v>0</v>
      </c>
    </row>
    <row r="1905">
      <c r="A1905" s="14" t="inlineStr">
        <is>
          <t>SALVADOR</t>
        </is>
      </c>
      <c r="B1905" s="26" t="n">
        <v>2</v>
      </c>
      <c r="C1905" s="26" t="n">
        <v>1767</v>
      </c>
      <c r="D1905" s="14" t="inlineStr">
        <is>
          <t>UFBA - FEDERAÇÃO - PAVILHÃO DE AULAS DA FEDERAÇÃO - PAF 6</t>
        </is>
      </c>
      <c r="E1905" s="14" t="inlineStr">
        <is>
          <t>FEDERAÇÃO</t>
        </is>
      </c>
      <c r="F1905" s="14" t="inlineStr">
        <is>
          <t>RUA CAETANO MOURA, S/N - ZONA URBANA, FEDERAÇÃO</t>
        </is>
      </c>
      <c r="G1905" s="27" t="inlineStr">
        <is>
          <t>40210-341</t>
        </is>
      </c>
      <c r="H1905" s="15" t="n">
        <v>17</v>
      </c>
      <c r="I1905" s="28" t="inlineStr">
        <is>
          <t>SIM</t>
        </is>
      </c>
      <c r="J1905" s="29" t="n">
        <v>29.7</v>
      </c>
      <c r="K1905" s="14" t="str">
        <f>IF(J1905="","7. Acima de 2 km",IF(J1905&lt;=50,"1. Até 50 m",IF(J1905&lt;=100,"2. De 50 a 100 m",IF(J1905&lt;=200,"3. De 100 a 200 m",IF(J1905&lt;=300,"4. De 200 a 300 m",IF(J1905&lt;=500,"5. De 300 a 500 m","6. De 500 m a 2 km"))))))</f>
        <v>1. Até 50 m</v>
      </c>
      <c r="L1905" s="26" t="n">
        <v>1</v>
      </c>
      <c r="M1905" s="26" t="n">
        <v>1</v>
      </c>
      <c r="N1905" s="26" t="n">
        <v>1</v>
      </c>
      <c r="O1905" s="26" t="n">
        <v>3</v>
      </c>
      <c r="P1905" s="30" t="n">
        <v>-13.0028586</v>
      </c>
      <c r="Q1905" s="30" t="n">
        <v>-38.5009226</v>
      </c>
      <c r="R1905" s="14" t="inlineStr">
        <is>
          <t>CARTÓRIO DA 2ª ZONA ELEITORAL, 1ª AVENIDA DO CENTRO ADMINISTRATIVO DA BAHIA, 150, SALVADOR-BA.</t>
        </is>
      </c>
      <c r="S1905" s="26">
        <f>IF(A1905=A1904,0,1)</f>
        <v>0</v>
      </c>
      <c r="T1905" s="26">
        <f>IF(COUNTIF($B$4:B1905,B1905)=1,1,0)</f>
        <v>0</v>
      </c>
    </row>
    <row r="1906">
      <c r="A1906" s="14" t="inlineStr">
        <is>
          <t>SALVADOR</t>
        </is>
      </c>
      <c r="B1906" s="26" t="n">
        <v>2</v>
      </c>
      <c r="C1906" s="26" t="n">
        <v>1775</v>
      </c>
      <c r="D1906" s="14" t="inlineStr">
        <is>
          <t>ESCOLA MUNICIPAL CIDADE DE JEQUIÉ</t>
        </is>
      </c>
      <c r="E1906" s="14" t="inlineStr">
        <is>
          <t>FEDERAÇÃO</t>
        </is>
      </c>
      <c r="F1906" s="14" t="inlineStr">
        <is>
          <t>AV. CARDEAL DA SILVA 152 - ZONA URBANA, FEDERAÇÃO</t>
        </is>
      </c>
      <c r="G1906" s="27" t="inlineStr">
        <is>
          <t>40220-141</t>
        </is>
      </c>
      <c r="H1906" s="15" t="n">
        <v>6</v>
      </c>
      <c r="I1906" s="28" t="inlineStr">
        <is>
          <t>NÃO</t>
        </is>
      </c>
      <c r="J1906" s="29" t="n">
        <v>209.9</v>
      </c>
      <c r="K1906" s="14" t="str">
        <f>IF(J1906="","7. Acima de 2 km",IF(J1906&lt;=50,"1. Até 50 m",IF(J1906&lt;=100,"2. De 50 a 100 m",IF(J1906&lt;=200,"3. De 100 a 200 m",IF(J1906&lt;=300,"4. De 200 a 300 m",IF(J1906&lt;=500,"5. De 300 a 500 m","6. De 500 m a 2 km"))))))</f>
        <v>4. De 200 a 300 m</v>
      </c>
      <c r="L1906" s="26" t="n">
        <v>0</v>
      </c>
      <c r="M1906" s="26" t="n">
        <v>0</v>
      </c>
      <c r="N1906" s="26" t="n">
        <v>0</v>
      </c>
      <c r="O1906" s="26" t="n">
        <v>3</v>
      </c>
      <c r="P1906" s="30" t="n">
        <v>-13.0008994</v>
      </c>
      <c r="Q1906" s="30" t="n">
        <v>-38.50204</v>
      </c>
      <c r="R1906" s="14" t="inlineStr">
        <is>
          <t>CARTÓRIO DA 2ª ZONA ELEITORAL, 1ª AVENIDA DO CENTRO ADMINISTRATIVO DA BAHIA, 150, SALVADOR-BA.</t>
        </is>
      </c>
      <c r="S1906" s="26">
        <f>IF(A1906=A1905,0,1)</f>
        <v>0</v>
      </c>
      <c r="T1906" s="26">
        <f>IF(COUNTIF($B$4:B1906,B1906)=1,1,0)</f>
        <v>0</v>
      </c>
    </row>
    <row r="1907">
      <c r="A1907" s="14" t="inlineStr">
        <is>
          <t>SALVADOR</t>
        </is>
      </c>
      <c r="B1907" s="26" t="n">
        <v>2</v>
      </c>
      <c r="C1907" s="26" t="n">
        <v>1783</v>
      </c>
      <c r="D1907" s="14" t="inlineStr">
        <is>
          <t>COLÉGIO ESTADUAL EVARISTO DA VÊIGA</t>
        </is>
      </c>
      <c r="E1907" s="14" t="inlineStr">
        <is>
          <t>ONDINA</t>
        </is>
      </c>
      <c r="F1907" s="14" t="inlineStr">
        <is>
          <t>AV. GARIBALDI 393 - ZONA URBANA, ONDINA</t>
        </is>
      </c>
      <c r="G1907" s="27" t="inlineStr">
        <is>
          <t>40170-130</t>
        </is>
      </c>
      <c r="H1907" s="15" t="n">
        <v>15</v>
      </c>
      <c r="I1907" s="28" t="inlineStr">
        <is>
          <t>SIM</t>
        </is>
      </c>
      <c r="J1907" s="29" t="n">
        <v>68.2</v>
      </c>
      <c r="K1907" s="14" t="str">
        <f>IF(J1907="","7. Acima de 2 km",IF(J1907&lt;=50,"1. Até 50 m",IF(J1907&lt;=100,"2. De 50 a 100 m",IF(J1907&lt;=200,"3. De 100 a 200 m",IF(J1907&lt;=300,"4. De 200 a 300 m",IF(J1907&lt;=500,"5. De 300 a 500 m","6. De 500 m a 2 km"))))))</f>
        <v>2. De 50 a 100 m</v>
      </c>
      <c r="L1907" s="26" t="n">
        <v>0</v>
      </c>
      <c r="M1907" s="26" t="n">
        <v>1</v>
      </c>
      <c r="N1907" s="26" t="n">
        <v>3</v>
      </c>
      <c r="O1907" s="26" t="n">
        <v>4</v>
      </c>
      <c r="P1907" s="30" t="n">
        <v>-13.0053884</v>
      </c>
      <c r="Q1907" s="30" t="n">
        <v>-38.5028698</v>
      </c>
      <c r="R1907" s="14" t="inlineStr">
        <is>
          <t>CARTÓRIO DA 2ª ZONA ELEITORAL, 1ª AVENIDA DO CENTRO ADMINISTRATIVO DA BAHIA, 150, SALVADOR-BA.</t>
        </is>
      </c>
      <c r="S1907" s="26">
        <f>IF(A1907=A1906,0,1)</f>
        <v>0</v>
      </c>
      <c r="T1907" s="26">
        <f>IF(COUNTIF($B$4:B1907,B1907)=1,1,0)</f>
        <v>0</v>
      </c>
    </row>
    <row r="1908">
      <c r="A1908" s="14" t="inlineStr">
        <is>
          <t>SALVADOR</t>
        </is>
      </c>
      <c r="B1908" s="26" t="n">
        <v>2</v>
      </c>
      <c r="C1908" s="26" t="n">
        <v>1791</v>
      </c>
      <c r="D1908" s="14" t="inlineStr">
        <is>
          <t>COLÉGIO ESTADUAL HENRIQUETA MARTINS CATHARINO</t>
        </is>
      </c>
      <c r="E1908" s="14" t="inlineStr">
        <is>
          <t>FEDERAÇÃO</t>
        </is>
      </c>
      <c r="F1908" s="14" t="inlineStr">
        <is>
          <t>RUA HENRIQUETA MARTINS CATHARINO,158 - ZONA URBANA, FEDERAÇÃO</t>
        </is>
      </c>
      <c r="G1908" s="27" t="inlineStr">
        <is>
          <t>40230-101</t>
        </is>
      </c>
      <c r="H1908" s="15" t="n">
        <v>13</v>
      </c>
      <c r="I1908" s="28" t="inlineStr">
        <is>
          <t>NÃO</t>
        </is>
      </c>
      <c r="J1908" s="29" t="n">
        <v>111.8</v>
      </c>
      <c r="K1908" s="14" t="str">
        <f>IF(J1908="","7. Acima de 2 km",IF(J1908&lt;=50,"1. Até 50 m",IF(J1908&lt;=100,"2. De 50 a 100 m",IF(J1908&lt;=200,"3. De 100 a 200 m",IF(J1908&lt;=300,"4. De 200 a 300 m",IF(J1908&lt;=500,"5. De 300 a 500 m","6. De 500 m a 2 km"))))))</f>
        <v>3. De 100 a 200 m</v>
      </c>
      <c r="L1908" s="26" t="n">
        <v>0</v>
      </c>
      <c r="M1908" s="26" t="n">
        <v>0</v>
      </c>
      <c r="N1908" s="26" t="n">
        <v>1</v>
      </c>
      <c r="O1908" s="26" t="n">
        <v>2</v>
      </c>
      <c r="P1908" s="30" t="n">
        <v>-13.0016094</v>
      </c>
      <c r="Q1908" s="30" t="n">
        <v>-38.5007454</v>
      </c>
      <c r="R1908" s="14" t="inlineStr">
        <is>
          <t>CARTÓRIO DA 2ª ZONA ELEITORAL, 1ª AVENIDA DO CENTRO ADMINISTRATIVO DA BAHIA, 150, SALVADOR-BA.</t>
        </is>
      </c>
      <c r="S1908" s="26">
        <f>IF(A1908=A1907,0,1)</f>
        <v>0</v>
      </c>
      <c r="T1908" s="26">
        <f>IF(COUNTIF($B$4:B1908,B1908)=1,1,0)</f>
        <v>0</v>
      </c>
    </row>
    <row r="1909">
      <c r="A1909" s="14" t="inlineStr">
        <is>
          <t>SALVADOR</t>
        </is>
      </c>
      <c r="B1909" s="26" t="n">
        <v>2</v>
      </c>
      <c r="C1909" s="26" t="n">
        <v>1805</v>
      </c>
      <c r="D1909" s="14" t="inlineStr">
        <is>
          <t>ESCOLA MEDALHA MILAGROSA</t>
        </is>
      </c>
      <c r="E1909" s="14" t="inlineStr">
        <is>
          <t>RIO VERMELHO</t>
        </is>
      </c>
      <c r="F1909" s="14" t="inlineStr">
        <is>
          <t>TV. LIDYO MESQUITA 15 - ZONA URBANA, RIO VERMELHO</t>
        </is>
      </c>
      <c r="G1909" s="27" t="inlineStr">
        <is>
          <t>41950-420</t>
        </is>
      </c>
      <c r="H1909" s="15" t="n">
        <v>5</v>
      </c>
      <c r="I1909" s="28" t="inlineStr">
        <is>
          <t>NÃO</t>
        </is>
      </c>
      <c r="J1909" s="29" t="n">
        <v>146.1</v>
      </c>
      <c r="K1909" s="14" t="str">
        <f>IF(J1909="","7. Acima de 2 km",IF(J1909&lt;=50,"1. Até 50 m",IF(J1909&lt;=100,"2. De 50 a 100 m",IF(J1909&lt;=200,"3. De 100 a 200 m",IF(J1909&lt;=300,"4. De 200 a 300 m",IF(J1909&lt;=500,"5. De 300 a 500 m","6. De 500 m a 2 km"))))))</f>
        <v>3. De 100 a 200 m</v>
      </c>
      <c r="L1909" s="26" t="n">
        <v>0</v>
      </c>
      <c r="M1909" s="26" t="n">
        <v>0</v>
      </c>
      <c r="N1909" s="26" t="n">
        <v>2</v>
      </c>
      <c r="O1909" s="26" t="n">
        <v>6</v>
      </c>
      <c r="P1909" s="30" t="n">
        <v>-13.0104569</v>
      </c>
      <c r="Q1909" s="30" t="n">
        <v>-38.4937277</v>
      </c>
      <c r="R1909" s="14" t="inlineStr">
        <is>
          <t>CARTÓRIO DA 2ª ZONA ELEITORAL, 1ª AVENIDA DO CENTRO ADMINISTRATIVO DA BAHIA, 150, SALVADOR-BA.</t>
        </is>
      </c>
      <c r="S1909" s="26">
        <f>IF(A1909=A1908,0,1)</f>
        <v>0</v>
      </c>
      <c r="T1909" s="26">
        <f>IF(COUNTIF($B$4:B1909,B1909)=1,1,0)</f>
        <v>0</v>
      </c>
    </row>
    <row r="1910">
      <c r="A1910" s="14" t="inlineStr">
        <is>
          <t>SALVADOR</t>
        </is>
      </c>
      <c r="B1910" s="26" t="n">
        <v>2</v>
      </c>
      <c r="C1910" s="26" t="n">
        <v>1821</v>
      </c>
      <c r="D1910" s="14" t="inlineStr">
        <is>
          <t>FACULDADE DE ARQUITETURA DA UFBA</t>
        </is>
      </c>
      <c r="E1910" s="14" t="inlineStr">
        <is>
          <t>FEDERAÇÃO</t>
        </is>
      </c>
      <c r="F1910" s="14" t="inlineStr">
        <is>
          <t>RUA CAETANO MOURA 121 - ZONA URBANA, FEDERAÇÃO</t>
        </is>
      </c>
      <c r="G1910" s="27" t="inlineStr">
        <is>
          <t>40210-905</t>
        </is>
      </c>
      <c r="H1910" s="15" t="n">
        <v>14</v>
      </c>
      <c r="I1910" s="28" t="inlineStr">
        <is>
          <t>NÃO</t>
        </is>
      </c>
      <c r="J1910" s="29" t="n">
        <v>120.6</v>
      </c>
      <c r="K1910" s="14" t="str">
        <f>IF(J1910="","7. Acima de 2 km",IF(J1910&lt;=50,"1. Até 50 m",IF(J1910&lt;=100,"2. De 50 a 100 m",IF(J1910&lt;=200,"3. De 100 a 200 m",IF(J1910&lt;=300,"4. De 200 a 300 m",IF(J1910&lt;=500,"5. De 300 a 500 m","6. De 500 m a 2 km"))))))</f>
        <v>3. De 100 a 200 m</v>
      </c>
      <c r="L1910" s="26" t="n">
        <v>0</v>
      </c>
      <c r="M1910" s="26" t="n">
        <v>0</v>
      </c>
      <c r="N1910" s="26" t="n">
        <v>1</v>
      </c>
      <c r="O1910" s="26" t="n">
        <v>2</v>
      </c>
      <c r="P1910" s="30" t="n">
        <v>-12.9975986</v>
      </c>
      <c r="Q1910" s="30" t="n">
        <v>-38.508134</v>
      </c>
      <c r="R1910" s="14" t="inlineStr">
        <is>
          <t>CARTÓRIO DA 2ª ZONA ELEITORAL, 1ª AVENIDA DO CENTRO ADMINISTRATIVO DA BAHIA, 150, SALVADOR-BA.</t>
        </is>
      </c>
      <c r="S1910" s="26">
        <f>IF(A1910=A1909,0,1)</f>
        <v>0</v>
      </c>
      <c r="T1910" s="26">
        <f>IF(COUNTIF($B$4:B1910,B1910)=1,1,0)</f>
        <v>0</v>
      </c>
    </row>
    <row r="1911">
      <c r="A1911" s="14" t="inlineStr">
        <is>
          <t>SALVADOR</t>
        </is>
      </c>
      <c r="B1911" s="26" t="n">
        <v>2</v>
      </c>
      <c r="C1911" s="26" t="n">
        <v>1830</v>
      </c>
      <c r="D1911" s="14" t="inlineStr">
        <is>
          <t>ESCOLA POLITÉCNICA DA UFBA</t>
        </is>
      </c>
      <c r="E1911" s="14" t="inlineStr">
        <is>
          <t>FEDERAÇÃO</t>
        </is>
      </c>
      <c r="F1911" s="14" t="inlineStr">
        <is>
          <t>RUA PROFESSOR ARISTIDES NOVIS, N 02 - ZONA URBANA, FEDERAÇÃO</t>
        </is>
      </c>
      <c r="G1911" s="27" t="inlineStr">
        <is>
          <t>40170-160</t>
        </is>
      </c>
      <c r="H1911" s="15" t="n">
        <v>13</v>
      </c>
      <c r="I1911" s="28" t="inlineStr">
        <is>
          <t>SIM</t>
        </is>
      </c>
      <c r="J1911" s="29" t="n">
        <v>99.40000000000001</v>
      </c>
      <c r="K1911" s="14" t="str">
        <f>IF(J1911="","7. Acima de 2 km",IF(J1911&lt;=50,"1. Até 50 m",IF(J1911&lt;=100,"2. De 50 a 100 m",IF(J1911&lt;=200,"3. De 100 a 200 m",IF(J1911&lt;=300,"4. De 200 a 300 m",IF(J1911&lt;=500,"5. De 300 a 500 m","6. De 500 m a 2 km"))))))</f>
        <v>2. De 50 a 100 m</v>
      </c>
      <c r="L1911" s="26" t="n">
        <v>0</v>
      </c>
      <c r="M1911" s="26" t="n">
        <v>1</v>
      </c>
      <c r="N1911" s="26" t="n">
        <v>1</v>
      </c>
      <c r="O1911" s="26" t="n">
        <v>1</v>
      </c>
      <c r="P1911" s="30" t="n">
        <v>-12.9998825</v>
      </c>
      <c r="Q1911" s="30" t="n">
        <v>-38.511062</v>
      </c>
      <c r="R1911" s="14" t="inlineStr">
        <is>
          <t>CARTÓRIO DA 2ª ZONA ELEITORAL, 1ª AVENIDA DO CENTRO ADMINISTRATIVO DA BAHIA, 150, SALVADOR-BA.</t>
        </is>
      </c>
      <c r="S1911" s="26">
        <f>IF(A1911=A1910,0,1)</f>
        <v>0</v>
      </c>
      <c r="T1911" s="26">
        <f>IF(COUNTIF($B$4:B1911,B1911)=1,1,0)</f>
        <v>0</v>
      </c>
    </row>
    <row r="1912">
      <c r="A1912" s="14" t="inlineStr">
        <is>
          <t>SALVADOR</t>
        </is>
      </c>
      <c r="B1912" s="26" t="n">
        <v>2</v>
      </c>
      <c r="C1912" s="26" t="n">
        <v>1856</v>
      </c>
      <c r="D1912" s="14" t="inlineStr">
        <is>
          <t>ESCOLA MUNICIPAL CASA DA AMIZADE</t>
        </is>
      </c>
      <c r="E1912" s="14" t="inlineStr">
        <is>
          <t>ONDINA</t>
        </is>
      </c>
      <c r="F1912" s="14" t="inlineStr">
        <is>
          <t>RUA QUINTINO DE CARVALHO, 45 - ZONA URBANA, JARDIM APIPEMA</t>
        </is>
      </c>
      <c r="G1912" s="27" t="inlineStr">
        <is>
          <t>40155-280</t>
        </is>
      </c>
      <c r="H1912" s="15" t="n">
        <v>9</v>
      </c>
      <c r="I1912" s="28" t="inlineStr">
        <is>
          <t>NÃO</t>
        </is>
      </c>
      <c r="J1912" s="29" t="n">
        <v>155.6</v>
      </c>
      <c r="K1912" s="14" t="str">
        <f>IF(J1912="","7. Acima de 2 km",IF(J1912&lt;=50,"1. Até 50 m",IF(J1912&lt;=100,"2. De 50 a 100 m",IF(J1912&lt;=200,"3. De 100 a 200 m",IF(J1912&lt;=300,"4. De 200 a 300 m",IF(J1912&lt;=500,"5. De 300 a 500 m","6. De 500 m a 2 km"))))))</f>
        <v>3. De 100 a 200 m</v>
      </c>
      <c r="L1912" s="26" t="n">
        <v>0</v>
      </c>
      <c r="M1912" s="26" t="n">
        <v>0</v>
      </c>
      <c r="N1912" s="26" t="n">
        <v>1</v>
      </c>
      <c r="O1912" s="26" t="n">
        <v>2</v>
      </c>
      <c r="P1912" s="30" t="n">
        <v>-13.0030259</v>
      </c>
      <c r="Q1912" s="30" t="n">
        <v>-38.5179156</v>
      </c>
      <c r="R1912" s="14" t="inlineStr">
        <is>
          <t>CARTÓRIO DA 2ª ZONA ELEITORAL, 1ª AVENIDA DO CENTRO ADMINISTRATIVO DA BAHIA, 150, SALVADOR-BA.</t>
        </is>
      </c>
      <c r="S1912" s="26">
        <f>IF(A1912=A1911,0,1)</f>
        <v>0</v>
      </c>
      <c r="T1912" s="26">
        <f>IF(COUNTIF($B$4:B1912,B1912)=1,1,0)</f>
        <v>0</v>
      </c>
    </row>
    <row r="1913">
      <c r="A1913" s="14" t="inlineStr">
        <is>
          <t>SALVADOR</t>
        </is>
      </c>
      <c r="B1913" s="26" t="n">
        <v>2</v>
      </c>
      <c r="C1913" s="26" t="n">
        <v>1872</v>
      </c>
      <c r="D1913" s="14" t="inlineStr">
        <is>
          <t>UFBA - ONDINA - PAVILHÃO DE AULAS DA FEDERAÇÃO- PAF 1</t>
        </is>
      </c>
      <c r="E1913" s="14" t="inlineStr">
        <is>
          <t>ONDINA</t>
        </is>
      </c>
      <c r="F1913" s="14" t="inlineStr">
        <is>
          <t>AV. MILTON SANTOS, S/N - ZONA URBANA , ONDINA</t>
        </is>
      </c>
      <c r="G1913" s="27" t="inlineStr">
        <is>
          <t>40170-115</t>
        </is>
      </c>
      <c r="H1913" s="15" t="n">
        <v>28</v>
      </c>
      <c r="I1913" s="28" t="inlineStr">
        <is>
          <t>NÃO</t>
        </is>
      </c>
      <c r="J1913" s="29" t="n">
        <v>188.8</v>
      </c>
      <c r="K1913" s="14" t="str">
        <f>IF(J1913="","7. Acima de 2 km",IF(J1913&lt;=50,"1. Até 50 m",IF(J1913&lt;=100,"2. De 50 a 100 m",IF(J1913&lt;=200,"3. De 100 a 200 m",IF(J1913&lt;=300,"4. De 200 a 300 m",IF(J1913&lt;=500,"5. De 300 a 500 m","6. De 500 m a 2 km"))))))</f>
        <v>3. De 100 a 200 m</v>
      </c>
      <c r="L1913" s="26" t="n">
        <v>0</v>
      </c>
      <c r="M1913" s="26" t="n">
        <v>0</v>
      </c>
      <c r="N1913" s="26" t="n">
        <v>1</v>
      </c>
      <c r="O1913" s="26" t="n">
        <v>1</v>
      </c>
      <c r="P1913" s="30" t="n">
        <v>-13.0009371</v>
      </c>
      <c r="Q1913" s="30" t="n">
        <v>-38.5077536</v>
      </c>
      <c r="R1913" s="14" t="inlineStr">
        <is>
          <t>CARTÓRIO DA 2ª ZONA ELEITORAL, 1ª AVENIDA DO CENTRO ADMINISTRATIVO DA BAHIA, 150, SALVADOR-BA.</t>
        </is>
      </c>
      <c r="S1913" s="26">
        <f>IF(A1913=A1912,0,1)</f>
        <v>0</v>
      </c>
      <c r="T1913" s="26">
        <f>IF(COUNTIF($B$4:B1913,B1913)=1,1,0)</f>
        <v>0</v>
      </c>
    </row>
    <row r="1914">
      <c r="A1914" s="14" t="inlineStr">
        <is>
          <t>SALVADOR</t>
        </is>
      </c>
      <c r="B1914" s="26" t="n">
        <v>2</v>
      </c>
      <c r="C1914" s="26" t="n">
        <v>1880</v>
      </c>
      <c r="D1914" s="14" t="inlineStr">
        <is>
          <t>UFBA - ONDINA - PAVILHÃO DE AULAS DA FEDERAÇÃO- PAF 3</t>
        </is>
      </c>
      <c r="E1914" s="14" t="inlineStr">
        <is>
          <t>ONDINA</t>
        </is>
      </c>
      <c r="F1914" s="14" t="inlineStr">
        <is>
          <t>AV. MILTON SANTOS, S/N - ZONA URBANA, ONDINA</t>
        </is>
      </c>
      <c r="G1914" s="27" t="inlineStr">
        <is>
          <t>40170-115</t>
        </is>
      </c>
      <c r="H1914" s="15" t="n">
        <v>37</v>
      </c>
      <c r="I1914" s="28" t="inlineStr">
        <is>
          <t>NÃO</t>
        </is>
      </c>
      <c r="J1914" s="29" t="n">
        <v>256.1</v>
      </c>
      <c r="K1914" s="14" t="str">
        <f>IF(J1914="","7. Acima de 2 km",IF(J1914&lt;=50,"1. Até 50 m",IF(J1914&lt;=100,"2. De 50 a 100 m",IF(J1914&lt;=200,"3. De 100 a 200 m",IF(J1914&lt;=300,"4. De 200 a 300 m",IF(J1914&lt;=500,"5. De 300 a 500 m","6. De 500 m a 2 km"))))))</f>
        <v>4. De 200 a 300 m</v>
      </c>
      <c r="L1914" s="26" t="n">
        <v>0</v>
      </c>
      <c r="M1914" s="26" t="n">
        <v>0</v>
      </c>
      <c r="N1914" s="26" t="n">
        <v>0</v>
      </c>
      <c r="O1914" s="26" t="n">
        <v>1</v>
      </c>
      <c r="P1914" s="30" t="n">
        <v>-13.0026219</v>
      </c>
      <c r="Q1914" s="30" t="n">
        <v>-38.5095441</v>
      </c>
      <c r="R1914" s="14" t="inlineStr">
        <is>
          <t>CARTÓRIO DA 2ª ZONA ELEITORAL, 1ª AVENIDA DO CENTRO ADMINISTRATIVO DA BAHIA, 150, SALVADOR-BA.</t>
        </is>
      </c>
      <c r="S1914" s="26">
        <f>IF(A1914=A1913,0,1)</f>
        <v>0</v>
      </c>
      <c r="T1914" s="26">
        <f>IF(COUNTIF($B$4:B1914,B1914)=1,1,0)</f>
        <v>0</v>
      </c>
    </row>
    <row r="1915">
      <c r="A1915" s="14" t="inlineStr">
        <is>
          <t>SALVADOR</t>
        </is>
      </c>
      <c r="B1915" s="26" t="n">
        <v>3</v>
      </c>
      <c r="C1915" s="26" t="n">
        <v>1155</v>
      </c>
      <c r="D1915" s="14" t="inlineStr">
        <is>
          <t>CECR - CLASSE I</t>
        </is>
      </c>
      <c r="E1915" s="14" t="inlineStr">
        <is>
          <t>PERO VAZ</t>
        </is>
      </c>
      <c r="F1915" s="14" t="inlineStr">
        <is>
          <t>RUA DO PERO VAZ, 148 - ZONA URBANA</t>
        </is>
      </c>
      <c r="G1915" s="27" t="inlineStr">
        <is>
          <t>40335-000</t>
        </is>
      </c>
      <c r="H1915" s="15" t="n">
        <v>13</v>
      </c>
      <c r="I1915" s="28" t="inlineStr">
        <is>
          <t>NÃO</t>
        </is>
      </c>
      <c r="J1915" s="29" t="n">
        <v>436.9</v>
      </c>
      <c r="K1915" s="14" t="str">
        <f>IF(J1915="","7. Acima de 2 km",IF(J1915&lt;=50,"1. Até 50 m",IF(J1915&lt;=100,"2. De 50 a 100 m",IF(J1915&lt;=200,"3. De 100 a 200 m",IF(J1915&lt;=300,"4. De 200 a 300 m",IF(J1915&lt;=500,"5. De 300 a 500 m","6. De 500 m a 2 km"))))))</f>
        <v>5. De 300 a 500 m</v>
      </c>
      <c r="L1915" s="26" t="n">
        <v>0</v>
      </c>
      <c r="M1915" s="26" t="n">
        <v>0</v>
      </c>
      <c r="N1915" s="26" t="n">
        <v>0</v>
      </c>
      <c r="O1915" s="26" t="n">
        <v>0</v>
      </c>
      <c r="P1915" s="30" t="n">
        <v>-12.95181952</v>
      </c>
      <c r="Q1915" s="30" t="n">
        <v>-38.49097861</v>
      </c>
      <c r="R1915" s="14" t="inlineStr">
        <is>
          <t>CARTÓRIO DA 3ª ZONA ELEITORAL, 1ª AVENIDA DO CENTRO ADMINISTRATIVO DA BAHIA, 150, SALVADOR-BA.</t>
        </is>
      </c>
      <c r="S1915" s="26">
        <f>IF(A1915=A1914,0,1)</f>
        <v>0</v>
      </c>
      <c r="T1915" s="26">
        <f>IF(COUNTIF($B$4:B1915,B1915)=1,1,0)</f>
        <v>1</v>
      </c>
    </row>
    <row r="1916">
      <c r="A1916" s="14" t="inlineStr">
        <is>
          <t>SALVADOR</t>
        </is>
      </c>
      <c r="B1916" s="26" t="n">
        <v>3</v>
      </c>
      <c r="C1916" s="26" t="n">
        <v>1163</v>
      </c>
      <c r="D1916" s="14" t="inlineStr">
        <is>
          <t>CECR - CLASSE II</t>
        </is>
      </c>
      <c r="E1916" s="14" t="inlineStr">
        <is>
          <t>PERO VAZ</t>
        </is>
      </c>
      <c r="F1916" s="14" t="inlineStr">
        <is>
          <t>RUA VÍTOR SERRA, FIM DE LINHA DO PERO VAZ - ZONA URBANA</t>
        </is>
      </c>
      <c r="G1916" s="27" t="inlineStr">
        <is>
          <t>40340-290</t>
        </is>
      </c>
      <c r="H1916" s="15" t="n">
        <v>25</v>
      </c>
      <c r="I1916" s="28" t="inlineStr">
        <is>
          <t>NÃO</t>
        </is>
      </c>
      <c r="J1916" s="29" t="n">
        <v>180.9</v>
      </c>
      <c r="K1916" s="14" t="str">
        <f>IF(J1916="","7. Acima de 2 km",IF(J1916&lt;=50,"1. Até 50 m",IF(J1916&lt;=100,"2. De 50 a 100 m",IF(J1916&lt;=200,"3. De 100 a 200 m",IF(J1916&lt;=300,"4. De 200 a 300 m",IF(J1916&lt;=500,"5. De 300 a 500 m","6. De 500 m a 2 km"))))))</f>
        <v>3. De 100 a 200 m</v>
      </c>
      <c r="L1916" s="26" t="n">
        <v>0</v>
      </c>
      <c r="M1916" s="26" t="n">
        <v>0</v>
      </c>
      <c r="N1916" s="26" t="n">
        <v>1</v>
      </c>
      <c r="O1916" s="26" t="n">
        <v>1</v>
      </c>
      <c r="P1916" s="30" t="n">
        <v>-12.9554388</v>
      </c>
      <c r="Q1916" s="30" t="n">
        <v>-38.48645107</v>
      </c>
      <c r="R1916" s="14" t="inlineStr">
        <is>
          <t>CARTÓRIO DA 3ª ZONA ELEITORAL, 1ª AVENIDA DO CENTRO ADMINISTRATIVO DA BAHIA, 150, SALVADOR-BA.</t>
        </is>
      </c>
      <c r="S1916" s="26">
        <f>IF(A1916=A1915,0,1)</f>
        <v>0</v>
      </c>
      <c r="T1916" s="26">
        <f>IF(COUNTIF($B$4:B1916,B1916)=1,1,0)</f>
        <v>0</v>
      </c>
    </row>
    <row r="1917">
      <c r="A1917" s="14" t="inlineStr">
        <is>
          <t>SALVADOR</t>
        </is>
      </c>
      <c r="B1917" s="26" t="n">
        <v>3</v>
      </c>
      <c r="C1917" s="26" t="n">
        <v>1260</v>
      </c>
      <c r="D1917" s="14" t="inlineStr">
        <is>
          <t>ESCOLA MUNICIPAL CARDEAL DA SILVA</t>
        </is>
      </c>
      <c r="E1917" s="14" t="inlineStr">
        <is>
          <t>IAPI</t>
        </is>
      </c>
      <c r="F1917" s="14" t="inlineStr">
        <is>
          <t>RUA DO LIMITE, 140 IAPI - ZONA URBANA</t>
        </is>
      </c>
      <c r="G1917" s="27" t="inlineStr">
        <is>
          <t>40330-515</t>
        </is>
      </c>
      <c r="H1917" s="15" t="n">
        <v>14</v>
      </c>
      <c r="I1917" s="28" t="inlineStr">
        <is>
          <t>NÃO</t>
        </is>
      </c>
      <c r="J1917" s="29" t="n">
        <v>210.7</v>
      </c>
      <c r="K1917" s="14" t="str">
        <f>IF(J1917="","7. Acima de 2 km",IF(J1917&lt;=50,"1. Até 50 m",IF(J1917&lt;=100,"2. De 50 a 100 m",IF(J1917&lt;=200,"3. De 100 a 200 m",IF(J1917&lt;=300,"4. De 200 a 300 m",IF(J1917&lt;=500,"5. De 300 a 500 m","6. De 500 m a 2 km"))))))</f>
        <v>4. De 200 a 300 m</v>
      </c>
      <c r="L1917" s="26" t="n">
        <v>0</v>
      </c>
      <c r="M1917" s="26" t="n">
        <v>0</v>
      </c>
      <c r="N1917" s="26" t="n">
        <v>0</v>
      </c>
      <c r="O1917" s="26" t="n">
        <v>1</v>
      </c>
      <c r="P1917" s="30" t="n">
        <v>-12.95396162</v>
      </c>
      <c r="Q1917" s="30" t="n">
        <v>-38.47938739</v>
      </c>
      <c r="R1917" s="14" t="inlineStr">
        <is>
          <t>CARTÓRIO DA 3ª ZONA ELEITORAL, 1ª AVENIDA DO CENTRO ADMINISTRATIVO DA BAHIA, 150, SALVADOR-BA.</t>
        </is>
      </c>
      <c r="S1917" s="26">
        <f>IF(A1917=A1916,0,1)</f>
        <v>0</v>
      </c>
      <c r="T1917" s="26">
        <f>IF(COUNTIF($B$4:B1917,B1917)=1,1,0)</f>
        <v>0</v>
      </c>
    </row>
    <row r="1918">
      <c r="A1918" s="14" t="inlineStr">
        <is>
          <t>SALVADOR</t>
        </is>
      </c>
      <c r="B1918" s="26" t="n">
        <v>3</v>
      </c>
      <c r="C1918" s="26" t="n">
        <v>1279</v>
      </c>
      <c r="D1918" s="14" t="inlineStr">
        <is>
          <t>SESI-RETIRO - ESCOLA REITOR MIGUEL CALMON</t>
        </is>
      </c>
      <c r="E1918" s="14" t="inlineStr">
        <is>
          <t>FAZENDA GRANDE DO RETIRO</t>
        </is>
      </c>
      <c r="F1918" s="14" t="inlineStr">
        <is>
          <t>PRAÇA VISCONDE DE MONTE ALEGRE S/N LARGO DO RETIRO - ZONA URBANA</t>
        </is>
      </c>
      <c r="G1918" s="27" t="inlineStr">
        <is>
          <t>40354-190</t>
        </is>
      </c>
      <c r="H1918" s="15" t="n">
        <v>15</v>
      </c>
      <c r="I1918" s="28" t="inlineStr">
        <is>
          <t>SIM</t>
        </is>
      </c>
      <c r="J1918" s="29" t="n">
        <v>41.7</v>
      </c>
      <c r="K1918" s="14" t="str">
        <f>IF(J1918="","7. Acima de 2 km",IF(J1918&lt;=50,"1. Até 50 m",IF(J1918&lt;=100,"2. De 50 a 100 m",IF(J1918&lt;=200,"3. De 100 a 200 m",IF(J1918&lt;=300,"4. De 200 a 300 m",IF(J1918&lt;=500,"5. De 300 a 500 m","6. De 500 m a 2 km"))))))</f>
        <v>1. Até 50 m</v>
      </c>
      <c r="L1918" s="26" t="n">
        <v>1</v>
      </c>
      <c r="M1918" s="26" t="n">
        <v>1</v>
      </c>
      <c r="N1918" s="26" t="n">
        <v>2</v>
      </c>
      <c r="O1918" s="26" t="n">
        <v>2</v>
      </c>
      <c r="P1918" s="30" t="n">
        <v>-12.95099351</v>
      </c>
      <c r="Q1918" s="30" t="n">
        <v>-38.47556686</v>
      </c>
      <c r="R1918" s="14" t="inlineStr">
        <is>
          <t>CARTÓRIO DA 3ª ZONA ELEITORAL, 1ª AVENIDA DO CENTRO ADMINISTRATIVO DA BAHIA, 150, SALVADOR-BA.</t>
        </is>
      </c>
      <c r="S1918" s="26">
        <f>IF(A1918=A1917,0,1)</f>
        <v>0</v>
      </c>
      <c r="T1918" s="26">
        <f>IF(COUNTIF($B$4:B1918,B1918)=1,1,0)</f>
        <v>0</v>
      </c>
    </row>
    <row r="1919">
      <c r="A1919" s="14" t="inlineStr">
        <is>
          <t>SALVADOR</t>
        </is>
      </c>
      <c r="B1919" s="26" t="n">
        <v>3</v>
      </c>
      <c r="C1919" s="26" t="n">
        <v>1368</v>
      </c>
      <c r="D1919" s="14" t="inlineStr">
        <is>
          <t>COLÉGIO ESTADUAL HELENA CELESTINO MAGALHÃES</t>
        </is>
      </c>
      <c r="E1919" s="14" t="inlineStr">
        <is>
          <t>IAPI</t>
        </is>
      </c>
      <c r="F1919" s="14" t="inlineStr">
        <is>
          <t>RUA DESEMBARGADOR JOSÉ MACIEL DOS SANTOS, S/N, IAPI - ZONA URBANA</t>
        </is>
      </c>
      <c r="G1919" s="27" t="inlineStr">
        <is>
          <t>40330-475</t>
        </is>
      </c>
      <c r="H1919" s="15" t="n">
        <v>9</v>
      </c>
      <c r="I1919" s="28" t="inlineStr">
        <is>
          <t>NÃO</t>
        </is>
      </c>
      <c r="J1919" s="29" t="n">
        <v>368.2</v>
      </c>
      <c r="K1919" s="14" t="str">
        <f>IF(J1919="","7. Acima de 2 km",IF(J1919&lt;=50,"1. Até 50 m",IF(J1919&lt;=100,"2. De 50 a 100 m",IF(J1919&lt;=200,"3. De 100 a 200 m",IF(J1919&lt;=300,"4. De 200 a 300 m",IF(J1919&lt;=500,"5. De 300 a 500 m","6. De 500 m a 2 km"))))))</f>
        <v>5. De 300 a 500 m</v>
      </c>
      <c r="L1919" s="26" t="n">
        <v>0</v>
      </c>
      <c r="M1919" s="26" t="n">
        <v>0</v>
      </c>
      <c r="N1919" s="26" t="n">
        <v>0</v>
      </c>
      <c r="O1919" s="26" t="n">
        <v>0</v>
      </c>
      <c r="P1919" s="30" t="n">
        <v>-12.95305702</v>
      </c>
      <c r="Q1919" s="30" t="n">
        <v>-38.47813541</v>
      </c>
      <c r="R1919" s="14" t="inlineStr">
        <is>
          <t>CARTÓRIO DA 3ª ZONA ELEITORAL, 1ª AVENIDA DO CENTRO ADMINISTRATIVO DA BAHIA, 150, SALVADOR-BA.</t>
        </is>
      </c>
      <c r="S1919" s="26">
        <f>IF(A1919=A1918,0,1)</f>
        <v>0</v>
      </c>
      <c r="T1919" s="26">
        <f>IF(COUNTIF($B$4:B1919,B1919)=1,1,0)</f>
        <v>0</v>
      </c>
    </row>
    <row r="1920">
      <c r="A1920" s="14" t="inlineStr">
        <is>
          <t>SALVADOR</t>
        </is>
      </c>
      <c r="B1920" s="26" t="n">
        <v>3</v>
      </c>
      <c r="C1920" s="26" t="n">
        <v>1384</v>
      </c>
      <c r="D1920" s="14" t="inlineStr">
        <is>
          <t>CENTRO EDUCACIONAL EMMANUEL KANT</t>
        </is>
      </c>
      <c r="E1920" s="14" t="inlineStr">
        <is>
          <t>IAPI</t>
        </is>
      </c>
      <c r="F1920" s="14" t="inlineStr">
        <is>
          <t>RUA CONDE PORTO ALEGRE, 154 - ZONA URBANA</t>
        </is>
      </c>
      <c r="G1920" s="27" t="inlineStr">
        <is>
          <t>40330-200</t>
        </is>
      </c>
      <c r="H1920" s="15" t="n">
        <v>11</v>
      </c>
      <c r="I1920" s="28" t="inlineStr">
        <is>
          <t>SIM</t>
        </is>
      </c>
      <c r="J1920" s="29" t="n">
        <v>65.7</v>
      </c>
      <c r="K1920" s="14" t="str">
        <f>IF(J1920="","7. Acima de 2 km",IF(J1920&lt;=50,"1. Até 50 m",IF(J1920&lt;=100,"2. De 50 a 100 m",IF(J1920&lt;=200,"3. De 100 a 200 m",IF(J1920&lt;=300,"4. De 200 a 300 m",IF(J1920&lt;=500,"5. De 300 a 500 m","6. De 500 m a 2 km"))))))</f>
        <v>2. De 50 a 100 m</v>
      </c>
      <c r="L1920" s="26" t="n">
        <v>0</v>
      </c>
      <c r="M1920" s="26" t="n">
        <v>1</v>
      </c>
      <c r="N1920" s="26" t="n">
        <v>1</v>
      </c>
      <c r="O1920" s="26" t="n">
        <v>2</v>
      </c>
      <c r="P1920" s="30" t="n">
        <v>-12.95516176</v>
      </c>
      <c r="Q1920" s="30" t="n">
        <v>-38.48430214</v>
      </c>
      <c r="R1920" s="14" t="inlineStr">
        <is>
          <t>CARTÓRIO DA 3ª ZONA ELEITORAL, 1ª AVENIDA DO CENTRO ADMINISTRATIVO DA BAHIA, 150, SALVADOR-BA.</t>
        </is>
      </c>
      <c r="S1920" s="26">
        <f>IF(A1920=A1919,0,1)</f>
        <v>0</v>
      </c>
      <c r="T1920" s="26">
        <f>IF(COUNTIF($B$4:B1920,B1920)=1,1,0)</f>
        <v>0</v>
      </c>
    </row>
    <row r="1921">
      <c r="A1921" s="14" t="inlineStr">
        <is>
          <t>SALVADOR</t>
        </is>
      </c>
      <c r="B1921" s="26" t="n">
        <v>3</v>
      </c>
      <c r="C1921" s="26" t="n">
        <v>1414</v>
      </c>
      <c r="D1921" s="14" t="inlineStr">
        <is>
          <t>COLÉGIO ESTADUAL MARQUÊS DE MARICÁ</t>
        </is>
      </c>
      <c r="E1921" s="14" t="inlineStr">
        <is>
          <t>PAU MIÚDO</t>
        </is>
      </c>
      <c r="F1921" s="14" t="inlineStr">
        <is>
          <t>RUA MARQUÊS DE MARICÁ S/N - ZONA URBANA</t>
        </is>
      </c>
      <c r="G1921" s="27" t="inlineStr">
        <is>
          <t>40310-000</t>
        </is>
      </c>
      <c r="H1921" s="15" t="n">
        <v>10</v>
      </c>
      <c r="I1921" s="28" t="inlineStr">
        <is>
          <t>NÃO</t>
        </is>
      </c>
      <c r="J1921" s="29" t="n">
        <v>310.3</v>
      </c>
      <c r="K1921" s="14" t="str">
        <f>IF(J1921="","7. Acima de 2 km",IF(J1921&lt;=50,"1. Até 50 m",IF(J1921&lt;=100,"2. De 50 a 100 m",IF(J1921&lt;=200,"3. De 100 a 200 m",IF(J1921&lt;=300,"4. De 200 a 300 m",IF(J1921&lt;=500,"5. De 300 a 500 m","6. De 500 m a 2 km"))))))</f>
        <v>5. De 300 a 500 m</v>
      </c>
      <c r="L1921" s="26" t="n">
        <v>0</v>
      </c>
      <c r="M1921" s="26" t="n">
        <v>0</v>
      </c>
      <c r="N1921" s="26" t="n">
        <v>0</v>
      </c>
      <c r="O1921" s="26" t="n">
        <v>0</v>
      </c>
      <c r="P1921" s="30" t="n">
        <v>-12.96103933</v>
      </c>
      <c r="Q1921" s="30" t="n">
        <v>-38.48101363</v>
      </c>
      <c r="R1921" s="14" t="inlineStr">
        <is>
          <t>CARTÓRIO DA 3ª ZONA ELEITORAL, 1ª AVENIDA DO CENTRO ADMINISTRATIVO DA BAHIA, 150, SALVADOR-BA.</t>
        </is>
      </c>
      <c r="S1921" s="26">
        <f>IF(A1921=A1920,0,1)</f>
        <v>0</v>
      </c>
      <c r="T1921" s="26">
        <f>IF(COUNTIF($B$4:B1921,B1921)=1,1,0)</f>
        <v>0</v>
      </c>
    </row>
    <row r="1922">
      <c r="A1922" s="14" t="inlineStr">
        <is>
          <t>SALVADOR</t>
        </is>
      </c>
      <c r="B1922" s="26" t="n">
        <v>3</v>
      </c>
      <c r="C1922" s="26" t="n">
        <v>1449</v>
      </c>
      <c r="D1922" s="14" t="inlineStr">
        <is>
          <t>ESCOLA PROFESSORA CANDOLINA</t>
        </is>
      </c>
      <c r="E1922" s="14" t="inlineStr">
        <is>
          <t>PAU MIÚDO</t>
        </is>
      </c>
      <c r="F1922" s="14" t="inlineStr">
        <is>
          <t>RUA MARQUÊS DE MARICÁ S/N - ZONA URBANA</t>
        </is>
      </c>
      <c r="G1922" s="27" t="inlineStr">
        <is>
          <t>40310-300</t>
        </is>
      </c>
      <c r="H1922" s="15" t="n">
        <v>12</v>
      </c>
      <c r="I1922" s="28" t="inlineStr">
        <is>
          <t>NÃO</t>
        </is>
      </c>
      <c r="J1922" s="29" t="n">
        <v>111.4</v>
      </c>
      <c r="K1922" s="14" t="str">
        <f>IF(J1922="","7. Acima de 2 km",IF(J1922&lt;=50,"1. Até 50 m",IF(J1922&lt;=100,"2. De 50 a 100 m",IF(J1922&lt;=200,"3. De 100 a 200 m",IF(J1922&lt;=300,"4. De 200 a 300 m",IF(J1922&lt;=500,"5. De 300 a 500 m","6. De 500 m a 2 km"))))))</f>
        <v>3. De 100 a 200 m</v>
      </c>
      <c r="L1922" s="26" t="n">
        <v>0</v>
      </c>
      <c r="M1922" s="26" t="n">
        <v>0</v>
      </c>
      <c r="N1922" s="26" t="n">
        <v>1</v>
      </c>
      <c r="O1922" s="26" t="n">
        <v>1</v>
      </c>
      <c r="P1922" s="30" t="n">
        <v>-12.96002167</v>
      </c>
      <c r="Q1922" s="30" t="n">
        <v>-38.48408017</v>
      </c>
      <c r="R1922" s="14" t="inlineStr">
        <is>
          <t>CARTÓRIO DA 3ª ZONA ELEITORAL, 1ª AVENIDA DO CENTRO ADMINISTRATIVO DA BAHIA, 150, SALVADOR-BA.</t>
        </is>
      </c>
      <c r="S1922" s="26">
        <f>IF(A1922=A1921,0,1)</f>
        <v>0</v>
      </c>
      <c r="T1922" s="26">
        <f>IF(COUNTIF($B$4:B1922,B1922)=1,1,0)</f>
        <v>0</v>
      </c>
    </row>
    <row r="1923">
      <c r="A1923" s="14" t="inlineStr">
        <is>
          <t>SALVADOR</t>
        </is>
      </c>
      <c r="B1923" s="26" t="n">
        <v>3</v>
      </c>
      <c r="C1923" s="26" t="n">
        <v>1473</v>
      </c>
      <c r="D1923" s="14" t="inlineStr">
        <is>
          <t>ESCOLA MUNICIPAL JULIETA VIANA</t>
        </is>
      </c>
      <c r="E1923" s="14" t="inlineStr">
        <is>
          <t>PAU MIÚDO</t>
        </is>
      </c>
      <c r="F1923" s="14" t="inlineStr">
        <is>
          <t>AVENIDA BARROS REIS, 257 - ZONA URBANA</t>
        </is>
      </c>
      <c r="G1923" s="27" t="inlineStr">
        <is>
          <t>40310-010</t>
        </is>
      </c>
      <c r="H1923" s="15" t="n">
        <v>8</v>
      </c>
      <c r="I1923" s="28" t="inlineStr">
        <is>
          <t>NÃO</t>
        </is>
      </c>
      <c r="J1923" s="29" t="n">
        <v>298.3</v>
      </c>
      <c r="K1923" s="14" t="str">
        <f>IF(J1923="","7. Acima de 2 km",IF(J1923&lt;=50,"1. Até 50 m",IF(J1923&lt;=100,"2. De 50 a 100 m",IF(J1923&lt;=200,"3. De 100 a 200 m",IF(J1923&lt;=300,"4. De 200 a 300 m",IF(J1923&lt;=500,"5. De 300 a 500 m","6. De 500 m a 2 km"))))))</f>
        <v>4. De 200 a 300 m</v>
      </c>
      <c r="L1923" s="26" t="n">
        <v>0</v>
      </c>
      <c r="M1923" s="26" t="n">
        <v>0</v>
      </c>
      <c r="N1923" s="26" t="n">
        <v>0</v>
      </c>
      <c r="O1923" s="26" t="n">
        <v>1</v>
      </c>
      <c r="P1923" s="30" t="n">
        <v>-12.96689376</v>
      </c>
      <c r="Q1923" s="30" t="n">
        <v>-38.48038921</v>
      </c>
      <c r="R1923" s="14" t="inlineStr">
        <is>
          <t>CARTÓRIO DA 3ª ZONA ELEITORAL, 1ª AVENIDA DO CENTRO ADMINISTRATIVO DA BAHIA, 150, SALVADOR-BA.</t>
        </is>
      </c>
      <c r="S1923" s="26">
        <f>IF(A1923=A1922,0,1)</f>
        <v>0</v>
      </c>
      <c r="T1923" s="26">
        <f>IF(COUNTIF($B$4:B1923,B1923)=1,1,0)</f>
        <v>0</v>
      </c>
    </row>
    <row r="1924">
      <c r="A1924" s="14" t="inlineStr">
        <is>
          <t>SALVADOR</t>
        </is>
      </c>
      <c r="B1924" s="26" t="n">
        <v>3</v>
      </c>
      <c r="C1924" s="26" t="n">
        <v>1490</v>
      </c>
      <c r="D1924" s="14" t="inlineStr">
        <is>
          <t>COLÉGIO ESTADUAL PRINCESA IZABEL</t>
        </is>
      </c>
      <c r="E1924" s="14" t="inlineStr">
        <is>
          <t>CIDADE NOVA</t>
        </is>
      </c>
      <c r="F1924" s="14" t="inlineStr">
        <is>
          <t>RUA PRIMEIRO DE JANEIRO, 37 - ZONA URBANA</t>
        </is>
      </c>
      <c r="G1924" s="27" t="inlineStr">
        <is>
          <t>40313-120</t>
        </is>
      </c>
      <c r="H1924" s="15" t="n">
        <v>14</v>
      </c>
      <c r="I1924" s="28" t="inlineStr">
        <is>
          <t>NÃO</t>
        </is>
      </c>
      <c r="J1924" s="29" t="n">
        <v>223</v>
      </c>
      <c r="K1924" s="14" t="str">
        <f>IF(J1924="","7. Acima de 2 km",IF(J1924&lt;=50,"1. Até 50 m",IF(J1924&lt;=100,"2. De 50 a 100 m",IF(J1924&lt;=200,"3. De 100 a 200 m",IF(J1924&lt;=300,"4. De 200 a 300 m",IF(J1924&lt;=500,"5. De 300 a 500 m","6. De 500 m a 2 km"))))))</f>
        <v>4. De 200 a 300 m</v>
      </c>
      <c r="L1924" s="26" t="n">
        <v>0</v>
      </c>
      <c r="M1924" s="26" t="n">
        <v>0</v>
      </c>
      <c r="N1924" s="26" t="n">
        <v>0</v>
      </c>
      <c r="O1924" s="26" t="n">
        <v>1</v>
      </c>
      <c r="P1924" s="30" t="n">
        <v>-12.96550517</v>
      </c>
      <c r="Q1924" s="30" t="n">
        <v>-38.48443433</v>
      </c>
      <c r="R1924" s="14" t="inlineStr">
        <is>
          <t>CARTÓRIO DA 3ª ZONA ELEITORAL, 1ª AVENIDA DO CENTRO ADMINISTRATIVO DA BAHIA, 150, SALVADOR-BA.</t>
        </is>
      </c>
      <c r="S1924" s="26">
        <f>IF(A1924=A1923,0,1)</f>
        <v>0</v>
      </c>
      <c r="T1924" s="26">
        <f>IF(COUNTIF($B$4:B1924,B1924)=1,1,0)</f>
        <v>0</v>
      </c>
    </row>
    <row r="1925">
      <c r="A1925" s="14" t="inlineStr">
        <is>
          <t>SALVADOR</t>
        </is>
      </c>
      <c r="B1925" s="26" t="n">
        <v>3</v>
      </c>
      <c r="C1925" s="26" t="n">
        <v>1520</v>
      </c>
      <c r="D1925" s="14" t="inlineStr">
        <is>
          <t>ESCOLA MUNICIPAL DO PAU MIÚDO</t>
        </is>
      </c>
      <c r="E1925" s="14" t="inlineStr">
        <is>
          <t>PAU MIÚDO</t>
        </is>
      </c>
      <c r="F1925" s="14" t="inlineStr">
        <is>
          <t>RUA VINTE DE AGOSTO, S/N - ZONA URBANA</t>
        </is>
      </c>
      <c r="G1925" s="27" t="inlineStr">
        <is>
          <t>40310-610</t>
        </is>
      </c>
      <c r="H1925" s="15" t="n">
        <v>7</v>
      </c>
      <c r="I1925" s="28" t="inlineStr">
        <is>
          <t>NÃO</t>
        </is>
      </c>
      <c r="J1925" s="29" t="n">
        <v>337</v>
      </c>
      <c r="K1925" s="14" t="str">
        <f>IF(J1925="","7. Acima de 2 km",IF(J1925&lt;=50,"1. Até 50 m",IF(J1925&lt;=100,"2. De 50 a 100 m",IF(J1925&lt;=200,"3. De 100 a 200 m",IF(J1925&lt;=300,"4. De 200 a 300 m",IF(J1925&lt;=500,"5. De 300 a 500 m","6. De 500 m a 2 km"))))))</f>
        <v>5. De 300 a 500 m</v>
      </c>
      <c r="L1925" s="26" t="n">
        <v>0</v>
      </c>
      <c r="M1925" s="26" t="n">
        <v>0</v>
      </c>
      <c r="N1925" s="26" t="n">
        <v>0</v>
      </c>
      <c r="O1925" s="26" t="n">
        <v>0</v>
      </c>
      <c r="P1925" s="30" t="n">
        <v>-12.96164199</v>
      </c>
      <c r="Q1925" s="30" t="n">
        <v>-38.48196644</v>
      </c>
      <c r="R1925" s="14" t="inlineStr">
        <is>
          <t>CARTÓRIO DA 3ª ZONA ELEITORAL, 1ª AVENIDA DO CENTRO ADMINISTRATIVO DA BAHIA, 150, SALVADOR-BA.</t>
        </is>
      </c>
      <c r="S1925" s="26">
        <f>IF(A1925=A1924,0,1)</f>
        <v>0</v>
      </c>
      <c r="T1925" s="26">
        <f>IF(COUNTIF($B$4:B1925,B1925)=1,1,0)</f>
        <v>0</v>
      </c>
    </row>
    <row r="1926">
      <c r="A1926" s="14" t="inlineStr">
        <is>
          <t>SALVADOR</t>
        </is>
      </c>
      <c r="B1926" s="26" t="n">
        <v>3</v>
      </c>
      <c r="C1926" s="26" t="n">
        <v>1554</v>
      </c>
      <c r="D1926" s="14" t="inlineStr">
        <is>
          <t>CECR - ESCOLA CLASSE III</t>
        </is>
      </c>
      <c r="E1926" s="14" t="inlineStr">
        <is>
          <t>PAU MIÚDO</t>
        </is>
      </c>
      <c r="F1926" s="14" t="inlineStr">
        <is>
          <t>RUA MARQUÊS DE MARICÁ, 195 - ZONA URBANA</t>
        </is>
      </c>
      <c r="G1926" s="27" t="inlineStr">
        <is>
          <t>40310-000</t>
        </is>
      </c>
      <c r="H1926" s="15" t="n">
        <v>14</v>
      </c>
      <c r="I1926" s="28" t="inlineStr">
        <is>
          <t>NÃO</t>
        </is>
      </c>
      <c r="J1926" s="29" t="n">
        <v>356.8</v>
      </c>
      <c r="K1926" s="14" t="str">
        <f>IF(J1926="","7. Acima de 2 km",IF(J1926&lt;=50,"1. Até 50 m",IF(J1926&lt;=100,"2. De 50 a 100 m",IF(J1926&lt;=200,"3. De 100 a 200 m",IF(J1926&lt;=300,"4. De 200 a 300 m",IF(J1926&lt;=500,"5. De 300 a 500 m","6. De 500 m a 2 km"))))))</f>
        <v>5. De 300 a 500 m</v>
      </c>
      <c r="L1926" s="26" t="n">
        <v>0</v>
      </c>
      <c r="M1926" s="26" t="n">
        <v>0</v>
      </c>
      <c r="N1926" s="26" t="n">
        <v>0</v>
      </c>
      <c r="O1926" s="26" t="n">
        <v>0</v>
      </c>
      <c r="P1926" s="30" t="n">
        <v>-12.96094485</v>
      </c>
      <c r="Q1926" s="30" t="n">
        <v>-38.48196345</v>
      </c>
      <c r="R1926" s="14" t="inlineStr">
        <is>
          <t>CARTÓRIO DA 3ª ZONA ELEITORAL, 1ª AVENIDA DO CENTRO ADMINISTRATIVO DA BAHIA, 150, SALVADOR-BA.</t>
        </is>
      </c>
      <c r="S1926" s="26">
        <f>IF(A1926=A1925,0,1)</f>
        <v>0</v>
      </c>
      <c r="T1926" s="26">
        <f>IF(COUNTIF($B$4:B1926,B1926)=1,1,0)</f>
        <v>0</v>
      </c>
    </row>
    <row r="1927">
      <c r="A1927" s="14" t="inlineStr">
        <is>
          <t>SALVADOR</t>
        </is>
      </c>
      <c r="B1927" s="26" t="n">
        <v>3</v>
      </c>
      <c r="C1927" s="26" t="n">
        <v>1570</v>
      </c>
      <c r="D1927" s="14" t="inlineStr">
        <is>
          <t>ESCOLA MUNICIPAL DA CIDADE NOVA</t>
        </is>
      </c>
      <c r="E1927" s="14" t="inlineStr">
        <is>
          <t>CIDADE NOVA</t>
        </is>
      </c>
      <c r="F1927" s="14" t="inlineStr">
        <is>
          <t>RUA WANDERLEI DE ALMEIDA, 19 - ZONA URBANA</t>
        </is>
      </c>
      <c r="G1927" s="27" t="inlineStr">
        <is>
          <t>40313-710</t>
        </is>
      </c>
      <c r="H1927" s="15" t="n">
        <v>12</v>
      </c>
      <c r="I1927" s="28" t="inlineStr">
        <is>
          <t>NÃO</t>
        </is>
      </c>
      <c r="J1927" s="29" t="n">
        <v>251.3</v>
      </c>
      <c r="K1927" s="14" t="str">
        <f>IF(J1927="","7. Acima de 2 km",IF(J1927&lt;=50,"1. Até 50 m",IF(J1927&lt;=100,"2. De 50 a 100 m",IF(J1927&lt;=200,"3. De 100 a 200 m",IF(J1927&lt;=300,"4. De 200 a 300 m",IF(J1927&lt;=500,"5. De 300 a 500 m","6. De 500 m a 2 km"))))))</f>
        <v>4. De 200 a 300 m</v>
      </c>
      <c r="L1927" s="26" t="n">
        <v>0</v>
      </c>
      <c r="M1927" s="26" t="n">
        <v>0</v>
      </c>
      <c r="N1927" s="26" t="n">
        <v>0</v>
      </c>
      <c r="O1927" s="26" t="n">
        <v>1</v>
      </c>
      <c r="P1927" s="30" t="n">
        <v>-12.96305279</v>
      </c>
      <c r="Q1927" s="30" t="n">
        <v>-38.48453807</v>
      </c>
      <c r="R1927" s="14" t="inlineStr">
        <is>
          <t>CARTÓRIO DA 3ª ZONA ELEITORAL, 1ª AVENIDA DO CENTRO ADMINISTRATIVO DA BAHIA, 150, SALVADOR-BA.</t>
        </is>
      </c>
      <c r="S1927" s="26">
        <f>IF(A1927=A1926,0,1)</f>
        <v>0</v>
      </c>
      <c r="T1927" s="26">
        <f>IF(COUNTIF($B$4:B1927,B1927)=1,1,0)</f>
        <v>0</v>
      </c>
    </row>
    <row r="1928">
      <c r="A1928" s="14" t="inlineStr">
        <is>
          <t>SALVADOR</t>
        </is>
      </c>
      <c r="B1928" s="26" t="n">
        <v>3</v>
      </c>
      <c r="C1928" s="26" t="n">
        <v>1589</v>
      </c>
      <c r="D1928" s="14" t="inlineStr">
        <is>
          <t>ESCOLA MUNICIPAL JAQUEIRA DO CARNEIRO</t>
        </is>
      </c>
      <c r="E1928" s="14" t="inlineStr">
        <is>
          <t>FAZENDA GRANDE DO RETIRO</t>
        </is>
      </c>
      <c r="F1928" s="14" t="inlineStr">
        <is>
          <t>RUA JAQUEIRA DO CARNEIRO, 83 FAZ GRANDE DO RETIRO - ZONA URBANA</t>
        </is>
      </c>
      <c r="G1928" s="27" t="inlineStr">
        <is>
          <t>40353-000</t>
        </is>
      </c>
      <c r="H1928" s="15" t="n">
        <v>8</v>
      </c>
      <c r="I1928" s="28" t="inlineStr">
        <is>
          <t>NÃO</t>
        </is>
      </c>
      <c r="J1928" s="29" t="n">
        <v>228.9</v>
      </c>
      <c r="K1928" s="14" t="str">
        <f>IF(J1928="","7. Acima de 2 km",IF(J1928&lt;=50,"1. Até 50 m",IF(J1928&lt;=100,"2. De 50 a 100 m",IF(J1928&lt;=200,"3. De 100 a 200 m",IF(J1928&lt;=300,"4. De 200 a 300 m",IF(J1928&lt;=500,"5. De 300 a 500 m","6. De 500 m a 2 km"))))))</f>
        <v>4. De 200 a 300 m</v>
      </c>
      <c r="L1928" s="26" t="n">
        <v>0</v>
      </c>
      <c r="M1928" s="26" t="n">
        <v>0</v>
      </c>
      <c r="N1928" s="26" t="n">
        <v>0</v>
      </c>
      <c r="O1928" s="26" t="n">
        <v>2</v>
      </c>
      <c r="P1928" s="30" t="n">
        <v>-12.9475252</v>
      </c>
      <c r="Q1928" s="30" t="n">
        <v>-38.47360215</v>
      </c>
      <c r="R1928" s="14" t="inlineStr">
        <is>
          <t>CARTÓRIO DA 3ª ZONA ELEITORAL, 1ª AVENIDA DO CENTRO ADMINISTRATIVO DA BAHIA, 150, SALVADOR-BA.</t>
        </is>
      </c>
      <c r="S1928" s="26">
        <f>IF(A1928=A1927,0,1)</f>
        <v>0</v>
      </c>
      <c r="T1928" s="26">
        <f>IF(COUNTIF($B$4:B1928,B1928)=1,1,0)</f>
        <v>0</v>
      </c>
    </row>
    <row r="1929">
      <c r="A1929" s="14" t="inlineStr">
        <is>
          <t>SALVADOR</t>
        </is>
      </c>
      <c r="B1929" s="26" t="n">
        <v>3</v>
      </c>
      <c r="C1929" s="26" t="n">
        <v>1597</v>
      </c>
      <c r="D1929" s="14" t="inlineStr">
        <is>
          <t>COLÉGIO ESTADUAL RUBEN DARIO</t>
        </is>
      </c>
      <c r="E1929" s="14" t="inlineStr">
        <is>
          <t>SAN MARTIN</t>
        </is>
      </c>
      <c r="F1929" s="14" t="inlineStr">
        <is>
          <t>AVENIDA GENERAL SAN MARTIN, 342 - ZONA URBANA</t>
        </is>
      </c>
      <c r="G1929" s="27" t="inlineStr">
        <is>
          <t>40354-185</t>
        </is>
      </c>
      <c r="H1929" s="15" t="n">
        <v>17</v>
      </c>
      <c r="I1929" s="28" t="inlineStr">
        <is>
          <t>NÃO</t>
        </is>
      </c>
      <c r="J1929" s="29" t="n">
        <v>183.9</v>
      </c>
      <c r="K1929" s="14" t="str">
        <f>IF(J1929="","7. Acima de 2 km",IF(J1929&lt;=50,"1. Até 50 m",IF(J1929&lt;=100,"2. De 50 a 100 m",IF(J1929&lt;=200,"3. De 100 a 200 m",IF(J1929&lt;=300,"4. De 200 a 300 m",IF(J1929&lt;=500,"5. De 300 a 500 m","6. De 500 m a 2 km"))))))</f>
        <v>3. De 100 a 200 m</v>
      </c>
      <c r="L1929" s="26" t="n">
        <v>0</v>
      </c>
      <c r="M1929" s="26" t="n">
        <v>0</v>
      </c>
      <c r="N1929" s="26" t="n">
        <v>1</v>
      </c>
      <c r="O1929" s="26" t="n">
        <v>1</v>
      </c>
      <c r="P1929" s="30" t="n">
        <v>-12.94164128</v>
      </c>
      <c r="Q1929" s="30" t="n">
        <v>-38.48626934</v>
      </c>
      <c r="R1929" s="14" t="inlineStr">
        <is>
          <t>CARTÓRIO DA 3ª ZONA ELEITORAL, 1ª AVENIDA DO CENTRO ADMINISTRATIVO DA BAHIA, 150, SALVADOR-BA.</t>
        </is>
      </c>
      <c r="S1929" s="26">
        <f>IF(A1929=A1928,0,1)</f>
        <v>0</v>
      </c>
      <c r="T1929" s="26">
        <f>IF(COUNTIF($B$4:B1929,B1929)=1,1,0)</f>
        <v>0</v>
      </c>
    </row>
    <row r="1930">
      <c r="A1930" s="14" t="inlineStr">
        <is>
          <t>SALVADOR</t>
        </is>
      </c>
      <c r="B1930" s="26" t="n">
        <v>3</v>
      </c>
      <c r="C1930" s="26" t="n">
        <v>1619</v>
      </c>
      <c r="D1930" s="14" t="inlineStr">
        <is>
          <t>COLÉGIO ESTADUAL DOIS DE JULHO</t>
        </is>
      </c>
      <c r="E1930" s="14" t="inlineStr">
        <is>
          <t>FAZENDA GRANDE DO RETIRO</t>
        </is>
      </c>
      <c r="F1930" s="14" t="inlineStr">
        <is>
          <t>RUA MELO MORAES FILHO, 311, FAZ GRANDE DO RETIRO - ZONA URBANA</t>
        </is>
      </c>
      <c r="G1930" s="27" t="inlineStr">
        <is>
          <t>40352-000</t>
        </is>
      </c>
      <c r="H1930" s="15" t="n">
        <v>16</v>
      </c>
      <c r="I1930" s="28" t="inlineStr">
        <is>
          <t>NÃO</t>
        </is>
      </c>
      <c r="J1930" s="29" t="n">
        <v>104.3</v>
      </c>
      <c r="K1930" s="14" t="str">
        <f>IF(J1930="","7. Acima de 2 km",IF(J1930&lt;=50,"1. Até 50 m",IF(J1930&lt;=100,"2. De 50 a 100 m",IF(J1930&lt;=200,"3. De 100 a 200 m",IF(J1930&lt;=300,"4. De 200 a 300 m",IF(J1930&lt;=500,"5. De 300 a 500 m","6. De 500 m a 2 km"))))))</f>
        <v>3. De 100 a 200 m</v>
      </c>
      <c r="L1930" s="26" t="n">
        <v>0</v>
      </c>
      <c r="M1930" s="26" t="n">
        <v>0</v>
      </c>
      <c r="N1930" s="26" t="n">
        <v>2</v>
      </c>
      <c r="O1930" s="26" t="n">
        <v>2</v>
      </c>
      <c r="P1930" s="30" t="n">
        <v>-12.94245055</v>
      </c>
      <c r="Q1930" s="30" t="n">
        <v>-38.47917102</v>
      </c>
      <c r="R1930" s="14" t="inlineStr">
        <is>
          <t>CARTÓRIO DA 3ª ZONA ELEITORAL, 1ª AVENIDA DO CENTRO ADMINISTRATIVO DA BAHIA, 150, SALVADOR-BA.</t>
        </is>
      </c>
      <c r="S1930" s="26">
        <f>IF(A1930=A1929,0,1)</f>
        <v>0</v>
      </c>
      <c r="T1930" s="26">
        <f>IF(COUNTIF($B$4:B1930,B1930)=1,1,0)</f>
        <v>0</v>
      </c>
    </row>
    <row r="1931">
      <c r="A1931" s="14" t="inlineStr">
        <is>
          <t>SALVADOR</t>
        </is>
      </c>
      <c r="B1931" s="26" t="n">
        <v>3</v>
      </c>
      <c r="C1931" s="26" t="n">
        <v>1627</v>
      </c>
      <c r="D1931" s="14" t="inlineStr">
        <is>
          <t>COLÉGIO ESTADUAL BENTO GONÇALVES</t>
        </is>
      </c>
      <c r="E1931" s="14" t="inlineStr">
        <is>
          <t>FAZENDA GRANDE DO RETIRO</t>
        </is>
      </c>
      <c r="F1931" s="14" t="inlineStr">
        <is>
          <t>RUA MELO MORAES FILHO, 536, FAZ GRANDE DO RETIRO - ZONA URBANA</t>
        </is>
      </c>
      <c r="G1931" s="27" t="inlineStr">
        <is>
          <t>40352-000</t>
        </is>
      </c>
      <c r="H1931" s="15" t="n">
        <v>15</v>
      </c>
      <c r="I1931" s="28" t="inlineStr">
        <is>
          <t>NÃO</t>
        </is>
      </c>
      <c r="J1931" s="29" t="n">
        <v>258.9</v>
      </c>
      <c r="K1931" s="14" t="str">
        <f>IF(J1931="","7. Acima de 2 km",IF(J1931&lt;=50,"1. Até 50 m",IF(J1931&lt;=100,"2. De 50 a 100 m",IF(J1931&lt;=200,"3. De 100 a 200 m",IF(J1931&lt;=300,"4. De 200 a 300 m",IF(J1931&lt;=500,"5. De 300 a 500 m","6. De 500 m a 2 km"))))))</f>
        <v>4. De 200 a 300 m</v>
      </c>
      <c r="L1931" s="26" t="n">
        <v>0</v>
      </c>
      <c r="M1931" s="26" t="n">
        <v>0</v>
      </c>
      <c r="N1931" s="26" t="n">
        <v>0</v>
      </c>
      <c r="O1931" s="26" t="n">
        <v>1</v>
      </c>
      <c r="P1931" s="30" t="n">
        <v>-12.93633449</v>
      </c>
      <c r="Q1931" s="30" t="n">
        <v>-38.48267822</v>
      </c>
      <c r="R1931" s="14" t="inlineStr">
        <is>
          <t>CARTÓRIO DA 3ª ZONA ELEITORAL, 1ª AVENIDA DO CENTRO ADMINISTRATIVO DA BAHIA, 150, SALVADOR-BA.</t>
        </is>
      </c>
      <c r="S1931" s="26">
        <f>IF(A1931=A1930,0,1)</f>
        <v>0</v>
      </c>
      <c r="T1931" s="26">
        <f>IF(COUNTIF($B$4:B1931,B1931)=1,1,0)</f>
        <v>0</v>
      </c>
    </row>
    <row r="1932">
      <c r="A1932" s="14" t="inlineStr">
        <is>
          <t>SALVADOR</t>
        </is>
      </c>
      <c r="B1932" s="26" t="n">
        <v>3</v>
      </c>
      <c r="C1932" s="26" t="n">
        <v>1635</v>
      </c>
      <c r="D1932" s="14" t="inlineStr">
        <is>
          <t>COLÉGIO ESTADUAL DOM AVELAR BRANDÃO VILELA</t>
        </is>
      </c>
      <c r="E1932" s="14" t="inlineStr">
        <is>
          <t>FAZENDA GRANDE DO RETIRO</t>
        </is>
      </c>
      <c r="F1932" s="14" t="inlineStr">
        <is>
          <t>RUA MELO MORAES FILHO 423 FAZ GRANDE DO RETIRO - ZONA URBANA</t>
        </is>
      </c>
      <c r="G1932" s="27" t="inlineStr">
        <is>
          <t>40352-000</t>
        </is>
      </c>
      <c r="H1932" s="15" t="n">
        <v>15</v>
      </c>
      <c r="I1932" s="28" t="inlineStr">
        <is>
          <t>NÃO</t>
        </is>
      </c>
      <c r="J1932" s="29" t="n">
        <v>270.9</v>
      </c>
      <c r="K1932" s="14" t="str">
        <f>IF(J1932="","7. Acima de 2 km",IF(J1932&lt;=50,"1. Até 50 m",IF(J1932&lt;=100,"2. De 50 a 100 m",IF(J1932&lt;=200,"3. De 100 a 200 m",IF(J1932&lt;=300,"4. De 200 a 300 m",IF(J1932&lt;=500,"5. De 300 a 500 m","6. De 500 m a 2 km"))))))</f>
        <v>4. De 200 a 300 m</v>
      </c>
      <c r="L1932" s="26" t="n">
        <v>0</v>
      </c>
      <c r="M1932" s="26" t="n">
        <v>0</v>
      </c>
      <c r="N1932" s="26" t="n">
        <v>0</v>
      </c>
      <c r="O1932" s="26" t="n">
        <v>2</v>
      </c>
      <c r="P1932" s="30" t="n">
        <v>-12.93974714</v>
      </c>
      <c r="Q1932" s="30" t="n">
        <v>-38.48050631</v>
      </c>
      <c r="R1932" s="14" t="inlineStr">
        <is>
          <t>CARTÓRIO DA 3ª ZONA ELEITORAL, 1ª AVENIDA DO CENTRO ADMINISTRATIVO DA BAHIA, 150, SALVADOR-BA.</t>
        </is>
      </c>
      <c r="S1932" s="26">
        <f>IF(A1932=A1931,0,1)</f>
        <v>0</v>
      </c>
      <c r="T1932" s="26">
        <f>IF(COUNTIF($B$4:B1932,B1932)=1,1,0)</f>
        <v>0</v>
      </c>
    </row>
    <row r="1933">
      <c r="A1933" s="14" t="inlineStr">
        <is>
          <t>SALVADOR</t>
        </is>
      </c>
      <c r="B1933" s="26" t="n">
        <v>3</v>
      </c>
      <c r="C1933" s="26" t="n">
        <v>1643</v>
      </c>
      <c r="D1933" s="14" t="inlineStr">
        <is>
          <t>ESCOLA MUNICIPAL DE FAZENDA GRANDE</t>
        </is>
      </c>
      <c r="E1933" s="14" t="inlineStr">
        <is>
          <t>FAZENDA GRANDE DO RETIRO</t>
        </is>
      </c>
      <c r="F1933" s="14" t="inlineStr">
        <is>
          <t>RUA OROZI, S/N, FIM DE LINHA FAZ GRANDE RETIRO ZONA URBANA</t>
        </is>
      </c>
      <c r="G1933" s="27" t="inlineStr">
        <is>
          <t>40353-165</t>
        </is>
      </c>
      <c r="H1933" s="15" t="n">
        <v>12</v>
      </c>
      <c r="I1933" s="28" t="inlineStr">
        <is>
          <t>SIM</t>
        </is>
      </c>
      <c r="J1933" s="29" t="n">
        <v>15.2</v>
      </c>
      <c r="K1933" s="14" t="str">
        <f>IF(J1933="","7. Acima de 2 km",IF(J1933&lt;=50,"1. Até 50 m",IF(J1933&lt;=100,"2. De 50 a 100 m",IF(J1933&lt;=200,"3. De 100 a 200 m",IF(J1933&lt;=300,"4. De 200 a 300 m",IF(J1933&lt;=500,"5. De 300 a 500 m","6. De 500 m a 2 km"))))))</f>
        <v>1. Até 50 m</v>
      </c>
      <c r="L1933" s="26" t="n">
        <v>1</v>
      </c>
      <c r="M1933" s="26" t="n">
        <v>1</v>
      </c>
      <c r="N1933" s="26" t="n">
        <v>1</v>
      </c>
      <c r="O1933" s="26" t="n">
        <v>4</v>
      </c>
      <c r="P1933" s="30" t="n">
        <v>-12.94333487</v>
      </c>
      <c r="Q1933" s="30" t="n">
        <v>-38.47365472</v>
      </c>
      <c r="R1933" s="14" t="inlineStr">
        <is>
          <t>CARTÓRIO DA 3ª ZONA ELEITORAL, 1ª AVENIDA DO CENTRO ADMINISTRATIVO DA BAHIA, 150, SALVADOR-BA.</t>
        </is>
      </c>
      <c r="S1933" s="26">
        <f>IF(A1933=A1932,0,1)</f>
        <v>0</v>
      </c>
      <c r="T1933" s="26">
        <f>IF(COUNTIF($B$4:B1933,B1933)=1,1,0)</f>
        <v>0</v>
      </c>
    </row>
    <row r="1934">
      <c r="A1934" s="14" t="inlineStr">
        <is>
          <t>SALVADOR</t>
        </is>
      </c>
      <c r="B1934" s="26" t="n">
        <v>3</v>
      </c>
      <c r="C1934" s="26" t="n">
        <v>1651</v>
      </c>
      <c r="D1934" s="14" t="inlineStr">
        <is>
          <t>CETI PAULO FREIRE</t>
        </is>
      </c>
      <c r="E1934" s="14" t="inlineStr">
        <is>
          <t>FAZENDA GRANDE DO RETIRO</t>
        </is>
      </c>
      <c r="F1934" s="14" t="inlineStr">
        <is>
          <t>AVENIDA GENERAL SAN MARTIN S/N FAZ GRANDE DO RETIRO- ZONA URBANA</t>
        </is>
      </c>
      <c r="G1934" s="27" t="inlineStr">
        <is>
          <t>40355-000</t>
        </is>
      </c>
      <c r="H1934" s="15" t="n">
        <v>28</v>
      </c>
      <c r="I1934" s="28" t="inlineStr">
        <is>
          <t>NÃO</t>
        </is>
      </c>
      <c r="J1934" s="29" t="n">
        <v>110.6</v>
      </c>
      <c r="K1934" s="14" t="str">
        <f>IF(J1934="","7. Acima de 2 km",IF(J1934&lt;=50,"1. Até 50 m",IF(J1934&lt;=100,"2. De 50 a 100 m",IF(J1934&lt;=200,"3. De 100 a 200 m",IF(J1934&lt;=300,"4. De 200 a 300 m",IF(J1934&lt;=500,"5. De 300 a 500 m","6. De 500 m a 2 km"))))))</f>
        <v>3. De 100 a 200 m</v>
      </c>
      <c r="L1934" s="26" t="n">
        <v>0</v>
      </c>
      <c r="M1934" s="26" t="n">
        <v>0</v>
      </c>
      <c r="N1934" s="26" t="n">
        <v>1</v>
      </c>
      <c r="O1934" s="26" t="n">
        <v>1</v>
      </c>
      <c r="P1934" s="30" t="n">
        <v>-12.94816786</v>
      </c>
      <c r="Q1934" s="30" t="n">
        <v>-38.47885614</v>
      </c>
      <c r="R1934" s="14" t="inlineStr">
        <is>
          <t>CARTÓRIO DA 3ª ZONA ELEITORAL, 1ª AVENIDA DO CENTRO ADMINISTRATIVO DA BAHIA, 150, SALVADOR-BA.</t>
        </is>
      </c>
      <c r="S1934" s="26">
        <f>IF(A1934=A1933,0,1)</f>
        <v>0</v>
      </c>
      <c r="T1934" s="26">
        <f>IF(COUNTIF($B$4:B1934,B1934)=1,1,0)</f>
        <v>0</v>
      </c>
    </row>
    <row r="1935">
      <c r="A1935" s="14" t="inlineStr">
        <is>
          <t>SALVADOR</t>
        </is>
      </c>
      <c r="B1935" s="26" t="n">
        <v>3</v>
      </c>
      <c r="C1935" s="26" t="n">
        <v>1678</v>
      </c>
      <c r="D1935" s="14" t="inlineStr">
        <is>
          <t>ESCOLA MUNICIPAL 15 DE OUTUBRO</t>
        </is>
      </c>
      <c r="E1935" s="14" t="inlineStr">
        <is>
          <t>FAZENDA GRANDE DO RETIRO</t>
        </is>
      </c>
      <c r="F1935" s="14" t="inlineStr">
        <is>
          <t>RUA DO CALAFATE, 02 - PX GUARDA MUNICIPAL</t>
        </is>
      </c>
      <c r="G1935" s="27" t="inlineStr">
        <is>
          <t>40354-100</t>
        </is>
      </c>
      <c r="H1935" s="15" t="n">
        <v>4</v>
      </c>
      <c r="I1935" s="28" t="inlineStr">
        <is>
          <t>NÃO</t>
        </is>
      </c>
      <c r="J1935" s="29" t="n">
        <v>269.9</v>
      </c>
      <c r="K1935" s="14" t="str">
        <f>IF(J1935="","7. Acima de 2 km",IF(J1935&lt;=50,"1. Até 50 m",IF(J1935&lt;=100,"2. De 50 a 100 m",IF(J1935&lt;=200,"3. De 100 a 200 m",IF(J1935&lt;=300,"4. De 200 a 300 m",IF(J1935&lt;=500,"5. De 300 a 500 m","6. De 500 m a 2 km"))))))</f>
        <v>4. De 200 a 300 m</v>
      </c>
      <c r="L1935" s="26" t="n">
        <v>0</v>
      </c>
      <c r="M1935" s="26" t="n">
        <v>0</v>
      </c>
      <c r="N1935" s="26" t="n">
        <v>0</v>
      </c>
      <c r="O1935" s="26" t="n">
        <v>1</v>
      </c>
      <c r="P1935" s="30" t="n">
        <v>-12.9451817</v>
      </c>
      <c r="Q1935" s="30" t="n">
        <v>-38.478927</v>
      </c>
      <c r="R1935" s="14" t="inlineStr">
        <is>
          <t>CARTÓRIO DA 3ª ZONA ELEITORAL, 1ª AVENIDA DO CENTRO ADMINISTRATIVO DA BAHIA, 150, SALVADOR-BA.</t>
        </is>
      </c>
      <c r="S1935" s="26">
        <f>IF(A1935=A1934,0,1)</f>
        <v>0</v>
      </c>
      <c r="T1935" s="26">
        <f>IF(COUNTIF($B$4:B1935,B1935)=1,1,0)</f>
        <v>0</v>
      </c>
    </row>
    <row r="1936">
      <c r="A1936" s="14" t="inlineStr">
        <is>
          <t>SALVADOR</t>
        </is>
      </c>
      <c r="B1936" s="26" t="n">
        <v>5</v>
      </c>
      <c r="C1936" s="26" t="n">
        <v>1066</v>
      </c>
      <c r="D1936" s="14" t="inlineStr">
        <is>
          <t>COLÉGIO ESTADUAL GOVERNADOR ROBERTO SANTOS</t>
        </is>
      </c>
      <c r="E1936" s="14" t="inlineStr">
        <is>
          <t>CABULA</t>
        </is>
      </c>
      <c r="F1936" s="14" t="inlineStr">
        <is>
          <t>RUA SILVEIRA MARTINS, S/N - ZONA URBANA</t>
        </is>
      </c>
      <c r="G1936" s="27" t="inlineStr">
        <is>
          <t>41150-000</t>
        </is>
      </c>
      <c r="H1936" s="15" t="n">
        <v>23</v>
      </c>
      <c r="I1936" s="28" t="inlineStr">
        <is>
          <t>NÃO</t>
        </is>
      </c>
      <c r="J1936" s="29" t="n">
        <v>177.5</v>
      </c>
      <c r="K1936" s="14" t="str">
        <f>IF(J1936="","7. Acima de 2 km",IF(J1936&lt;=50,"1. Até 50 m",IF(J1936&lt;=100,"2. De 50 a 100 m",IF(J1936&lt;=200,"3. De 100 a 200 m",IF(J1936&lt;=300,"4. De 200 a 300 m",IF(J1936&lt;=500,"5. De 300 a 500 m","6. De 500 m a 2 km"))))))</f>
        <v>3. De 100 a 200 m</v>
      </c>
      <c r="L1936" s="26" t="n">
        <v>0</v>
      </c>
      <c r="M1936" s="26" t="n">
        <v>0</v>
      </c>
      <c r="N1936" s="26" t="n">
        <v>1</v>
      </c>
      <c r="O1936" s="26" t="n">
        <v>1</v>
      </c>
      <c r="P1936" s="30" t="n">
        <v>-12.957614</v>
      </c>
      <c r="Q1936" s="30" t="n">
        <v>-38.455559</v>
      </c>
      <c r="R1936" s="14" t="inlineStr">
        <is>
          <t>CARTÓRIO DA 5ª ZONA ELEITORAL, 1ª AVENIDA DO CENTRO ADMINISTRATIVO DA BAHIA, 150, SALVADOR-BA.</t>
        </is>
      </c>
      <c r="S1936" s="26">
        <f>IF(A1936=A1935,0,1)</f>
        <v>0</v>
      </c>
      <c r="T1936" s="26">
        <f>IF(COUNTIF($B$4:B1936,B1936)=1,1,0)</f>
        <v>1</v>
      </c>
    </row>
    <row r="1937">
      <c r="A1937" s="14" t="inlineStr">
        <is>
          <t>SALVADOR</t>
        </is>
      </c>
      <c r="B1937" s="26" t="n">
        <v>5</v>
      </c>
      <c r="C1937" s="26" t="n">
        <v>1074</v>
      </c>
      <c r="D1937" s="14" t="inlineStr">
        <is>
          <t>ESCOLA DE 1º GRAU GOVERNADOR ROBERTO SANTOS</t>
        </is>
      </c>
      <c r="E1937" s="14" t="inlineStr">
        <is>
          <t>CABULA</t>
        </is>
      </c>
      <c r="F1937" s="14" t="inlineStr">
        <is>
          <t>RUA SILVEIRA MARTINS, S/N - ZONA URBANA</t>
        </is>
      </c>
      <c r="G1937" s="27" t="inlineStr">
        <is>
          <t>41150-000</t>
        </is>
      </c>
      <c r="H1937" s="15" t="n">
        <v>2</v>
      </c>
      <c r="I1937" s="28" t="inlineStr">
        <is>
          <t>SIM</t>
        </is>
      </c>
      <c r="J1937" s="29" t="n">
        <v>92.5</v>
      </c>
      <c r="K1937" s="14" t="str">
        <f>IF(J1937="","7. Acima de 2 km",IF(J1937&lt;=50,"1. Até 50 m",IF(J1937&lt;=100,"2. De 50 a 100 m",IF(J1937&lt;=200,"3. De 100 a 200 m",IF(J1937&lt;=300,"4. De 200 a 300 m",IF(J1937&lt;=500,"5. De 300 a 500 m","6. De 500 m a 2 km"))))))</f>
        <v>2. De 50 a 100 m</v>
      </c>
      <c r="L1937" s="26" t="n">
        <v>0</v>
      </c>
      <c r="M1937" s="26" t="n">
        <v>1</v>
      </c>
      <c r="N1937" s="26" t="n">
        <v>1</v>
      </c>
      <c r="O1937" s="26" t="n">
        <v>2</v>
      </c>
      <c r="P1937" s="30" t="n">
        <v>-12.9579864</v>
      </c>
      <c r="Q1937" s="30" t="n">
        <v>-38.4547639</v>
      </c>
      <c r="R1937" s="14" t="inlineStr">
        <is>
          <t>CARTÓRIO DA 5ª ZONA ELEITORAL, 1ª AVENIDA DO CENTRO ADMINISTRATIVO DA BAHIA, 150, SALVADOR-BA.</t>
        </is>
      </c>
      <c r="S1937" s="26">
        <f>IF(A1937=A1936,0,1)</f>
        <v>0</v>
      </c>
      <c r="T1937" s="26">
        <f>IF(COUNTIF($B$4:B1937,B1937)=1,1,0)</f>
        <v>0</v>
      </c>
    </row>
    <row r="1938">
      <c r="A1938" s="14" t="inlineStr">
        <is>
          <t>SALVADOR</t>
        </is>
      </c>
      <c r="B1938" s="26" t="n">
        <v>5</v>
      </c>
      <c r="C1938" s="26" t="n">
        <v>1082</v>
      </c>
      <c r="D1938" s="14" t="inlineStr">
        <is>
          <t>ESCOLA ADROALDO RIBEIRO COSTA</t>
        </is>
      </c>
      <c r="E1938" s="14" t="inlineStr">
        <is>
          <t>RESGATE</t>
        </is>
      </c>
      <c r="F1938" s="14" t="inlineStr">
        <is>
          <t>RUA NOSSA SENHORA DO RESGATE, S/N, FIM DE LINHA - ZONA URBANA</t>
        </is>
      </c>
      <c r="G1938" s="27" t="inlineStr">
        <is>
          <t>41150-100</t>
        </is>
      </c>
      <c r="H1938" s="15" t="n">
        <v>12</v>
      </c>
      <c r="I1938" s="28" t="inlineStr">
        <is>
          <t>NÃO</t>
        </is>
      </c>
      <c r="J1938" s="29" t="n">
        <v>255.4</v>
      </c>
      <c r="K1938" s="14" t="str">
        <f>IF(J1938="","7. Acima de 2 km",IF(J1938&lt;=50,"1. Até 50 m",IF(J1938&lt;=100,"2. De 50 a 100 m",IF(J1938&lt;=200,"3. De 100 a 200 m",IF(J1938&lt;=300,"4. De 200 a 300 m",IF(J1938&lt;=500,"5. De 300 a 500 m","6. De 500 m a 2 km"))))))</f>
        <v>4. De 200 a 300 m</v>
      </c>
      <c r="L1938" s="26" t="n">
        <v>0</v>
      </c>
      <c r="M1938" s="26" t="n">
        <v>0</v>
      </c>
      <c r="N1938" s="26" t="n">
        <v>0</v>
      </c>
      <c r="O1938" s="26" t="n">
        <v>1</v>
      </c>
      <c r="P1938" s="30" t="n">
        <v>-12.9632059</v>
      </c>
      <c r="Q1938" s="30" t="n">
        <v>-38.4599615</v>
      </c>
      <c r="R1938" s="14" t="inlineStr">
        <is>
          <t>CARTÓRIO DA 5ª ZONA ELEITORAL, 1ª AVENIDA DO CENTRO ADMINISTRATIVO DA BAHIA, 150, SALVADOR-BA.</t>
        </is>
      </c>
      <c r="S1938" s="26">
        <f>IF(A1938=A1937,0,1)</f>
        <v>0</v>
      </c>
      <c r="T1938" s="26">
        <f>IF(COUNTIF($B$4:B1938,B1938)=1,1,0)</f>
        <v>0</v>
      </c>
    </row>
    <row r="1939">
      <c r="A1939" s="14" t="inlineStr">
        <is>
          <t>SALVADOR</t>
        </is>
      </c>
      <c r="B1939" s="26" t="n">
        <v>5</v>
      </c>
      <c r="C1939" s="26" t="n">
        <v>1112</v>
      </c>
      <c r="D1939" s="14" t="inlineStr">
        <is>
          <t>CEEINFOR-CENTRO DE EDUCAÇÃO, INOVAÇÃO E FORMAÇÃO MÃE STELLA</t>
        </is>
      </c>
      <c r="E1939" s="14" t="inlineStr">
        <is>
          <t>CABULA</t>
        </is>
      </c>
      <c r="F1939" s="14" t="inlineStr">
        <is>
          <t>RUA SILVEIRA MARTINS, S/N - ZONA URBANA</t>
        </is>
      </c>
      <c r="G1939" s="27" t="inlineStr">
        <is>
          <t>40000-000</t>
        </is>
      </c>
      <c r="H1939" s="15" t="n">
        <v>18</v>
      </c>
      <c r="I1939" s="28" t="inlineStr">
        <is>
          <t>NÃO</t>
        </is>
      </c>
      <c r="J1939" s="29" t="n">
        <v>126.9</v>
      </c>
      <c r="K1939" s="14" t="str">
        <f>IF(J1939="","7. Acima de 2 km",IF(J1939&lt;=50,"1. Até 50 m",IF(J1939&lt;=100,"2. De 50 a 100 m",IF(J1939&lt;=200,"3. De 100 a 200 m",IF(J1939&lt;=300,"4. De 200 a 300 m",IF(J1939&lt;=500,"5. De 300 a 500 m","6. De 500 m a 2 km"))))))</f>
        <v>3. De 100 a 200 m</v>
      </c>
      <c r="L1939" s="26" t="n">
        <v>0</v>
      </c>
      <c r="M1939" s="26" t="n">
        <v>0</v>
      </c>
      <c r="N1939" s="26" t="n">
        <v>1</v>
      </c>
      <c r="O1939" s="26" t="n">
        <v>5</v>
      </c>
      <c r="P1939" s="30" t="n">
        <v>-12.9630716</v>
      </c>
      <c r="Q1939" s="30" t="n">
        <v>-38.4722324</v>
      </c>
      <c r="R1939" s="14" t="inlineStr">
        <is>
          <t>CARTÓRIO DA 5ª ZONA ELEITORAL, 1ª AVENIDA DO CENTRO ADMINISTRATIVO DA BAHIA, 150, SALVADOR-BA.</t>
        </is>
      </c>
      <c r="S1939" s="26">
        <f>IF(A1939=A1938,0,1)</f>
        <v>0</v>
      </c>
      <c r="T1939" s="26">
        <f>IF(COUNTIF($B$4:B1939,B1939)=1,1,0)</f>
        <v>0</v>
      </c>
    </row>
    <row r="1940">
      <c r="A1940" s="14" t="inlineStr">
        <is>
          <t>SALVADOR</t>
        </is>
      </c>
      <c r="B1940" s="26" t="n">
        <v>5</v>
      </c>
      <c r="C1940" s="26" t="n">
        <v>1120</v>
      </c>
      <c r="D1940" s="14" t="inlineStr">
        <is>
          <t>CENTRO EDUCACIONAL NOSSA SENHORA DO RESGATE</t>
        </is>
      </c>
      <c r="E1940" s="14" t="inlineStr">
        <is>
          <t>CABULA</t>
        </is>
      </c>
      <c r="F1940" s="14" t="inlineStr">
        <is>
          <t>RUA SILVEIRA MARTINS, 1 - ZONA URBANA</t>
        </is>
      </c>
      <c r="G1940" s="27" t="inlineStr">
        <is>
          <t>41150-000</t>
        </is>
      </c>
      <c r="H1940" s="15" t="n">
        <v>10</v>
      </c>
      <c r="I1940" s="28" t="inlineStr">
        <is>
          <t>NÃO</t>
        </is>
      </c>
      <c r="J1940" s="29" t="n">
        <v>100.7</v>
      </c>
      <c r="K1940" s="14" t="str">
        <f>IF(J1940="","7. Acima de 2 km",IF(J1940&lt;=50,"1. Até 50 m",IF(J1940&lt;=100,"2. De 50 a 100 m",IF(J1940&lt;=200,"3. De 100 a 200 m",IF(J1940&lt;=300,"4. De 200 a 300 m",IF(J1940&lt;=500,"5. De 300 a 500 m","6. De 500 m a 2 km"))))))</f>
        <v>3. De 100 a 200 m</v>
      </c>
      <c r="L1940" s="26" t="n">
        <v>0</v>
      </c>
      <c r="M1940" s="26" t="n">
        <v>0</v>
      </c>
      <c r="N1940" s="26" t="n">
        <v>4</v>
      </c>
      <c r="O1940" s="26" t="n">
        <v>5</v>
      </c>
      <c r="P1940" s="30" t="n">
        <v>-12.9643257</v>
      </c>
      <c r="Q1940" s="30" t="n">
        <v>-38.4726573</v>
      </c>
      <c r="R1940" s="14" t="inlineStr">
        <is>
          <t>CARTÓRIO DA 5ª ZONA ELEITORAL, 1ª AVENIDA DO CENTRO ADMINISTRATIVO DA BAHIA, 150, SALVADOR-BA.</t>
        </is>
      </c>
      <c r="S1940" s="26">
        <f>IF(A1940=A1939,0,1)</f>
        <v>0</v>
      </c>
      <c r="T1940" s="26">
        <f>IF(COUNTIF($B$4:B1940,B1940)=1,1,0)</f>
        <v>0</v>
      </c>
    </row>
    <row r="1941">
      <c r="A1941" s="14" t="inlineStr">
        <is>
          <t>SALVADOR</t>
        </is>
      </c>
      <c r="B1941" s="26" t="n">
        <v>5</v>
      </c>
      <c r="C1941" s="26" t="n">
        <v>1317</v>
      </c>
      <c r="D1941" s="14" t="inlineStr">
        <is>
          <t>COLÉGIO ESTADUAL FRANCISCO DA CONCEIÇÃO MENEZES</t>
        </is>
      </c>
      <c r="E1941" s="14" t="inlineStr">
        <is>
          <t>CABULA</t>
        </is>
      </c>
      <c r="F1941" s="14" t="inlineStr">
        <is>
          <t>RUA SILVEIRA MARTINS - AO LADO DO COLÉGIO ROBERTO SANTOS - ZONA URBANA</t>
        </is>
      </c>
      <c r="G1941" s="27" t="inlineStr">
        <is>
          <t>41150-000</t>
        </is>
      </c>
      <c r="H1941" s="15" t="n">
        <v>3</v>
      </c>
      <c r="I1941" s="28" t="inlineStr">
        <is>
          <t>SIM</t>
        </is>
      </c>
      <c r="J1941" s="29" t="n">
        <v>58.4</v>
      </c>
      <c r="K1941" s="14" t="str">
        <f>IF(J1941="","7. Acima de 2 km",IF(J1941&lt;=50,"1. Até 50 m",IF(J1941&lt;=100,"2. De 50 a 100 m",IF(J1941&lt;=200,"3. De 100 a 200 m",IF(J1941&lt;=300,"4. De 200 a 300 m",IF(J1941&lt;=500,"5. De 300 a 500 m","6. De 500 m a 2 km"))))))</f>
        <v>2. De 50 a 100 m</v>
      </c>
      <c r="L1941" s="26" t="n">
        <v>0</v>
      </c>
      <c r="M1941" s="26" t="n">
        <v>1</v>
      </c>
      <c r="N1941" s="26" t="n">
        <v>1</v>
      </c>
      <c r="O1941" s="26" t="n">
        <v>2</v>
      </c>
      <c r="P1941" s="30" t="n">
        <v>-12.9576249</v>
      </c>
      <c r="Q1941" s="30" t="n">
        <v>-38.4544412</v>
      </c>
      <c r="R1941" s="14" t="inlineStr">
        <is>
          <t>CARTÓRIO DA 5ª ZONA ELEITORAL, 1ª AVENIDA DO CENTRO ADMINISTRATIVO DA BAHIA, 150, SALVADOR-BA.</t>
        </is>
      </c>
      <c r="S1941" s="26">
        <f>IF(A1941=A1940,0,1)</f>
        <v>0</v>
      </c>
      <c r="T1941" s="26">
        <f>IF(COUNTIF($B$4:B1941,B1941)=1,1,0)</f>
        <v>0</v>
      </c>
    </row>
    <row r="1942">
      <c r="A1942" s="14" t="inlineStr">
        <is>
          <t>SALVADOR</t>
        </is>
      </c>
      <c r="B1942" s="26" t="n">
        <v>5</v>
      </c>
      <c r="C1942" s="26" t="n">
        <v>1406</v>
      </c>
      <c r="D1942" s="14" t="inlineStr">
        <is>
          <t>ESCOLA ESTADUAL VISCONDE DE ITAPARICA</t>
        </is>
      </c>
      <c r="E1942" s="14" t="inlineStr">
        <is>
          <t>CABULA</t>
        </is>
      </c>
      <c r="F1942" s="14" t="inlineStr">
        <is>
          <t>RUA SILVEIRA MARTINS, S/N, AO LADO DO 19 BC ZONA URBANA</t>
        </is>
      </c>
      <c r="G1942" s="27" t="inlineStr">
        <is>
          <t>41150-000</t>
        </is>
      </c>
      <c r="H1942" s="15" t="n">
        <v>6</v>
      </c>
      <c r="I1942" s="28" t="inlineStr">
        <is>
          <t>NÃO</t>
        </is>
      </c>
      <c r="J1942" s="29" t="n">
        <v>320.8</v>
      </c>
      <c r="K1942" s="14" t="str">
        <f>IF(J1942="","7. Acima de 2 km",IF(J1942&lt;=50,"1. Até 50 m",IF(J1942&lt;=100,"2. De 50 a 100 m",IF(J1942&lt;=200,"3. De 100 a 200 m",IF(J1942&lt;=300,"4. De 200 a 300 m",IF(J1942&lt;=500,"5. De 300 a 500 m","6. De 500 m a 2 km"))))))</f>
        <v>5. De 300 a 500 m</v>
      </c>
      <c r="L1942" s="26" t="n">
        <v>0</v>
      </c>
      <c r="M1942" s="26" t="n">
        <v>0</v>
      </c>
      <c r="N1942" s="26" t="n">
        <v>0</v>
      </c>
      <c r="O1942" s="26" t="n">
        <v>0</v>
      </c>
      <c r="P1942" s="30" t="n">
        <v>-12.9572559</v>
      </c>
      <c r="Q1942" s="30" t="n">
        <v>-38.4644889</v>
      </c>
      <c r="R1942" s="14" t="inlineStr">
        <is>
          <t>CARTÓRIO DA 5ª ZONA ELEITORAL, 1ª AVENIDA DO CENTRO ADMINISTRATIVO DA BAHIA, 150, SALVADOR-BA.</t>
        </is>
      </c>
      <c r="S1942" s="26">
        <f>IF(A1942=A1941,0,1)</f>
        <v>0</v>
      </c>
      <c r="T1942" s="26">
        <f>IF(COUNTIF($B$4:B1942,B1942)=1,1,0)</f>
        <v>0</v>
      </c>
    </row>
    <row r="1943">
      <c r="A1943" s="14" t="inlineStr">
        <is>
          <t>SALVADOR</t>
        </is>
      </c>
      <c r="B1943" s="26" t="n">
        <v>5</v>
      </c>
      <c r="C1943" s="26" t="n">
        <v>1473</v>
      </c>
      <c r="D1943" s="14" t="inlineStr">
        <is>
          <t>ESCOLA MUNICIPAL SÃO GONÇALO DO RETIRO</t>
        </is>
      </c>
      <c r="E1943" s="14" t="inlineStr">
        <is>
          <t>SÃO GONÇALO</t>
        </is>
      </c>
      <c r="F1943" s="14" t="inlineStr">
        <is>
          <t>ESTRADA SÃO GONÇALO DO RETIRO, S/N - ZONA URBANA</t>
        </is>
      </c>
      <c r="G1943" s="27" t="inlineStr">
        <is>
          <t>41190-000</t>
        </is>
      </c>
      <c r="H1943" s="15" t="n">
        <v>8</v>
      </c>
      <c r="I1943" s="28" t="inlineStr">
        <is>
          <t>NÃO</t>
        </is>
      </c>
      <c r="J1943" s="29" t="n">
        <v>555.9</v>
      </c>
      <c r="K1943" s="14" t="str">
        <f>IF(J1943="","7. Acima de 2 km",IF(J1943&lt;=50,"1. Até 50 m",IF(J1943&lt;=100,"2. De 50 a 100 m",IF(J1943&lt;=200,"3. De 100 a 200 m",IF(J1943&lt;=300,"4. De 200 a 300 m",IF(J1943&lt;=500,"5. De 300 a 500 m","6. De 500 m a 2 km"))))))</f>
        <v>6. De 500 m a 2 km</v>
      </c>
      <c r="L1943" s="26" t="n">
        <v>0</v>
      </c>
      <c r="M1943" s="26" t="n">
        <v>0</v>
      </c>
      <c r="N1943" s="26" t="n">
        <v>0</v>
      </c>
      <c r="O1943" s="26" t="n">
        <v>0</v>
      </c>
      <c r="P1943" s="30" t="n">
        <v>-12.9496816</v>
      </c>
      <c r="Q1943" s="30" t="n">
        <v>-38.4652218</v>
      </c>
      <c r="R1943" s="14" t="inlineStr">
        <is>
          <t>CARTÓRIO DA 5ª ZONA ELEITORAL, 1ª AVENIDA DO CENTRO ADMINISTRATIVO DA BAHIA, 150, SALVADOR-BA.</t>
        </is>
      </c>
      <c r="S1943" s="26">
        <f>IF(A1943=A1942,0,1)</f>
        <v>0</v>
      </c>
      <c r="T1943" s="26">
        <f>IF(COUNTIF($B$4:B1943,B1943)=1,1,0)</f>
        <v>0</v>
      </c>
    </row>
    <row r="1944">
      <c r="A1944" s="14" t="inlineStr">
        <is>
          <t>SALVADOR</t>
        </is>
      </c>
      <c r="B1944" s="26" t="n">
        <v>5</v>
      </c>
      <c r="C1944" s="26" t="n">
        <v>1481</v>
      </c>
      <c r="D1944" s="14" t="inlineStr">
        <is>
          <t>ESCOLA ESTADUAL ALBERTO VALENÇA</t>
        </is>
      </c>
      <c r="E1944" s="14" t="inlineStr">
        <is>
          <t>SÃO GONÇALO DO RETIRO</t>
        </is>
      </c>
      <c r="F1944" s="14" t="inlineStr">
        <is>
          <t>RUA MILTON GOMES COSTA, N. 18/19 - ZONA URBANA</t>
        </is>
      </c>
      <c r="G1944" s="27" t="inlineStr">
        <is>
          <t>41100-183</t>
        </is>
      </c>
      <c r="H1944" s="15" t="n">
        <v>14</v>
      </c>
      <c r="I1944" s="28" t="inlineStr">
        <is>
          <t>NÃO</t>
        </is>
      </c>
      <c r="J1944" s="29" t="n">
        <v>403.4</v>
      </c>
      <c r="K1944" s="14" t="str">
        <f>IF(J1944="","7. Acima de 2 km",IF(J1944&lt;=50,"1. Até 50 m",IF(J1944&lt;=100,"2. De 50 a 100 m",IF(J1944&lt;=200,"3. De 100 a 200 m",IF(J1944&lt;=300,"4. De 200 a 300 m",IF(J1944&lt;=500,"5. De 300 a 500 m","6. De 500 m a 2 km"))))))</f>
        <v>5. De 300 a 500 m</v>
      </c>
      <c r="L1944" s="26" t="n">
        <v>0</v>
      </c>
      <c r="M1944" s="26" t="n">
        <v>0</v>
      </c>
      <c r="N1944" s="26" t="n">
        <v>0</v>
      </c>
      <c r="O1944" s="26" t="n">
        <v>0</v>
      </c>
      <c r="P1944" s="30" t="n">
        <v>-12.9476041</v>
      </c>
      <c r="Q1944" s="30" t="n">
        <v>-38.4684735</v>
      </c>
      <c r="R1944" s="14" t="inlineStr">
        <is>
          <t>CARTÓRIO DA 5ª ZONA ELEITORAL, 1ª AVENIDA DO CENTRO ADMINISTRATIVO DA BAHIA, 150, SALVADOR-BA.</t>
        </is>
      </c>
      <c r="S1944" s="26">
        <f>IF(A1944=A1943,0,1)</f>
        <v>0</v>
      </c>
      <c r="T1944" s="26">
        <f>IF(COUNTIF($B$4:B1944,B1944)=1,1,0)</f>
        <v>0</v>
      </c>
    </row>
    <row r="1945">
      <c r="A1945" s="14" t="inlineStr">
        <is>
          <t>SALVADOR</t>
        </is>
      </c>
      <c r="B1945" s="26" t="n">
        <v>5</v>
      </c>
      <c r="C1945" s="26" t="n">
        <v>1490</v>
      </c>
      <c r="D1945" s="14" t="inlineStr">
        <is>
          <t>ESCOLA MUNICIPAL MURILO CELESTINO COSTA</t>
        </is>
      </c>
      <c r="E1945" s="14" t="inlineStr">
        <is>
          <t>SÃO GONÇALO DO RETIRO</t>
        </is>
      </c>
      <c r="F1945" s="14" t="inlineStr">
        <is>
          <t>RUA MILTON GOMES COSTA, 18/19 - ZONA URBANA</t>
        </is>
      </c>
      <c r="G1945" s="27" t="inlineStr">
        <is>
          <t>41190-200</t>
        </is>
      </c>
      <c r="H1945" s="15" t="n">
        <v>4</v>
      </c>
      <c r="I1945" s="28" t="inlineStr">
        <is>
          <t>NÃO</t>
        </is>
      </c>
      <c r="J1945" s="29" t="n">
        <v>387.9</v>
      </c>
      <c r="K1945" s="14" t="str">
        <f>IF(J1945="","7. Acima de 2 km",IF(J1945&lt;=50,"1. Até 50 m",IF(J1945&lt;=100,"2. De 50 a 100 m",IF(J1945&lt;=200,"3. De 100 a 200 m",IF(J1945&lt;=300,"4. De 200 a 300 m",IF(J1945&lt;=500,"5. De 300 a 500 m","6. De 500 m a 2 km"))))))</f>
        <v>5. De 300 a 500 m</v>
      </c>
      <c r="L1945" s="26" t="n">
        <v>0</v>
      </c>
      <c r="M1945" s="26" t="n">
        <v>0</v>
      </c>
      <c r="N1945" s="26" t="n">
        <v>0</v>
      </c>
      <c r="O1945" s="26" t="n">
        <v>0</v>
      </c>
      <c r="P1945" s="30" t="n">
        <v>-12.9475665</v>
      </c>
      <c r="Q1945" s="30" t="n">
        <v>-38.4686401</v>
      </c>
      <c r="R1945" s="14" t="inlineStr">
        <is>
          <t>CARTÓRIO DA 5ª ZONA ELEITORAL, 1ª AVENIDA DO CENTRO ADMINISTRATIVO DA BAHIA, 150, SALVADOR-BA.</t>
        </is>
      </c>
      <c r="S1945" s="26">
        <f>IF(A1945=A1944,0,1)</f>
        <v>0</v>
      </c>
      <c r="T1945" s="26">
        <f>IF(COUNTIF($B$4:B1945,B1945)=1,1,0)</f>
        <v>0</v>
      </c>
    </row>
    <row r="1946">
      <c r="A1946" s="14" t="inlineStr">
        <is>
          <t>SALVADOR</t>
        </is>
      </c>
      <c r="B1946" s="26" t="n">
        <v>5</v>
      </c>
      <c r="C1946" s="26" t="n">
        <v>1511</v>
      </c>
      <c r="D1946" s="14" t="inlineStr">
        <is>
          <t>ESCOLA MUNICIPAL CABULA I</t>
        </is>
      </c>
      <c r="E1946" s="14" t="inlineStr">
        <is>
          <t>CABULA</t>
        </is>
      </c>
      <c r="F1946" s="14" t="inlineStr">
        <is>
          <t>CONJUNTO ACM - PRAÇA MANOEL CLEMENTE FERREIRA, S/N - ZONA URBANA</t>
        </is>
      </c>
      <c r="G1946" s="27" t="inlineStr">
        <is>
          <t>41191-010</t>
        </is>
      </c>
      <c r="H1946" s="15" t="n">
        <v>6</v>
      </c>
      <c r="I1946" s="28" t="inlineStr">
        <is>
          <t>NÃO</t>
        </is>
      </c>
      <c r="J1946" s="29" t="n">
        <v>961.9</v>
      </c>
      <c r="K1946" s="14" t="str">
        <f>IF(J1946="","7. Acima de 2 km",IF(J1946&lt;=50,"1. Até 50 m",IF(J1946&lt;=100,"2. De 50 a 100 m",IF(J1946&lt;=200,"3. De 100 a 200 m",IF(J1946&lt;=300,"4. De 200 a 300 m",IF(J1946&lt;=500,"5. De 300 a 500 m","6. De 500 m a 2 km"))))))</f>
        <v>6. De 500 m a 2 km</v>
      </c>
      <c r="L1946" s="26" t="n">
        <v>0</v>
      </c>
      <c r="M1946" s="26" t="n">
        <v>0</v>
      </c>
      <c r="N1946" s="26" t="n">
        <v>0</v>
      </c>
      <c r="O1946" s="26" t="n">
        <v>0</v>
      </c>
      <c r="P1946" s="30" t="n">
        <v>-12.9441301</v>
      </c>
      <c r="Q1946" s="30" t="n">
        <v>-38.4619906</v>
      </c>
      <c r="R1946" s="14" t="inlineStr">
        <is>
          <t>CARTÓRIO DA 5ª ZONA ELEITORAL, 1ª AVENIDA DO CENTRO ADMINISTRATIVO DA BAHIA, 150, SALVADOR-BA.</t>
        </is>
      </c>
      <c r="S1946" s="26">
        <f>IF(A1946=A1945,0,1)</f>
        <v>0</v>
      </c>
      <c r="T1946" s="26">
        <f>IF(COUNTIF($B$4:B1946,B1946)=1,1,0)</f>
        <v>0</v>
      </c>
    </row>
    <row r="1947">
      <c r="A1947" s="14" t="inlineStr">
        <is>
          <t>SALVADOR</t>
        </is>
      </c>
      <c r="B1947" s="26" t="n">
        <v>5</v>
      </c>
      <c r="C1947" s="26" t="n">
        <v>1570</v>
      </c>
      <c r="D1947" s="14" t="inlineStr">
        <is>
          <t>PRISIONAL - CONJUNTO PENAL FEMININO</t>
        </is>
      </c>
      <c r="E1947" s="14" t="inlineStr">
        <is>
          <t>MATA ESCURA</t>
        </is>
      </c>
      <c r="F1947" s="14" t="inlineStr">
        <is>
          <t>RUA DIRETA DA MATA ESCURA, S/N, COMPLEXO PENITENCIÁRIO - ZONA URBANA</t>
        </is>
      </c>
      <c r="G1947" s="27" t="inlineStr">
        <is>
          <t>41225-190</t>
        </is>
      </c>
      <c r="H1947" s="15" t="n">
        <v>1</v>
      </c>
      <c r="I1947" s="28" t="inlineStr">
        <is>
          <t>SIM</t>
        </is>
      </c>
      <c r="J1947" s="29" t="n">
        <v>23.4</v>
      </c>
      <c r="K1947" s="14" t="str">
        <f>IF(J1947="","7. Acima de 2 km",IF(J1947&lt;=50,"1. Até 50 m",IF(J1947&lt;=100,"2. De 50 a 100 m",IF(J1947&lt;=200,"3. De 100 a 200 m",IF(J1947&lt;=300,"4. De 200 a 300 m",IF(J1947&lt;=500,"5. De 300 a 500 m","6. De 500 m a 2 km"))))))</f>
        <v>1. Até 50 m</v>
      </c>
      <c r="L1947" s="26" t="n">
        <v>1</v>
      </c>
      <c r="M1947" s="26" t="n">
        <v>4</v>
      </c>
      <c r="N1947" s="26" t="n">
        <v>8</v>
      </c>
      <c r="O1947" s="26" t="n">
        <v>9</v>
      </c>
      <c r="P1947" s="30" t="n">
        <v>-12.9288333</v>
      </c>
      <c r="Q1947" s="30" t="n">
        <v>-38.4549404</v>
      </c>
      <c r="R1947" s="14" t="inlineStr">
        <is>
          <t>CARTÓRIO DA 5ª ZONA ELEITORAL, 1ª AVENIDA DO CENTRO ADMINISTRATIVO DA BAHIA, 150, SALVADOR-BA.</t>
        </is>
      </c>
      <c r="S1947" s="26">
        <f>IF(A1947=A1946,0,1)</f>
        <v>0</v>
      </c>
      <c r="T1947" s="26">
        <f>IF(COUNTIF($B$4:B1947,B1947)=1,1,0)</f>
        <v>0</v>
      </c>
    </row>
    <row r="1948">
      <c r="A1948" s="14" t="inlineStr">
        <is>
          <t>SALVADOR</t>
        </is>
      </c>
      <c r="B1948" s="26" t="n">
        <v>5</v>
      </c>
      <c r="C1948" s="26" t="n">
        <v>1619</v>
      </c>
      <c r="D1948" s="14" t="inlineStr">
        <is>
          <t>DEPARTAMENTO DE EDUCAÇÃO - UNEB</t>
        </is>
      </c>
      <c r="E1948" s="14" t="inlineStr">
        <is>
          <t>CABULA</t>
        </is>
      </c>
      <c r="F1948" s="14" t="inlineStr">
        <is>
          <t>AV SILVEIRA MARTINS, N 2555 - ZONA URBANA</t>
        </is>
      </c>
      <c r="G1948" s="27" t="inlineStr">
        <is>
          <t>41192-010</t>
        </is>
      </c>
      <c r="H1948" s="15" t="n">
        <v>9</v>
      </c>
      <c r="I1948" s="28" t="inlineStr">
        <is>
          <t>NÃO</t>
        </is>
      </c>
      <c r="J1948" s="29" t="n">
        <v>302.9</v>
      </c>
      <c r="K1948" s="14" t="str">
        <f>IF(J1948="","7. Acima de 2 km",IF(J1948&lt;=50,"1. Até 50 m",IF(J1948&lt;=100,"2. De 50 a 100 m",IF(J1948&lt;=200,"3. De 100 a 200 m",IF(J1948&lt;=300,"4. De 200 a 300 m",IF(J1948&lt;=500,"5. De 300 a 500 m","6. De 500 m a 2 km"))))))</f>
        <v>5. De 300 a 500 m</v>
      </c>
      <c r="L1948" s="26" t="n">
        <v>0</v>
      </c>
      <c r="M1948" s="26" t="n">
        <v>0</v>
      </c>
      <c r="N1948" s="26" t="n">
        <v>0</v>
      </c>
      <c r="O1948" s="26" t="n">
        <v>0</v>
      </c>
      <c r="P1948" s="30" t="n">
        <v>-12.9518056</v>
      </c>
      <c r="Q1948" s="30" t="n">
        <v>-38.4580823</v>
      </c>
      <c r="R1948" s="14" t="inlineStr">
        <is>
          <t>CARTÓRIO DA 5ª ZONA ELEITORAL, 1ª AVENIDA DO CENTRO ADMINISTRATIVO DA BAHIA, 150, SALVADOR-BA.</t>
        </is>
      </c>
      <c r="S1948" s="26">
        <f>IF(A1948=A1947,0,1)</f>
        <v>0</v>
      </c>
      <c r="T1948" s="26">
        <f>IF(COUNTIF($B$4:B1948,B1948)=1,1,0)</f>
        <v>0</v>
      </c>
    </row>
    <row r="1949">
      <c r="A1949" s="14" t="inlineStr">
        <is>
          <t>SALVADOR</t>
        </is>
      </c>
      <c r="B1949" s="26" t="n">
        <v>5</v>
      </c>
      <c r="C1949" s="26" t="n">
        <v>1627</v>
      </c>
      <c r="D1949" s="14" t="inlineStr">
        <is>
          <t>ESCOLA MUNICIPAL ÁLVARO DA FRANÇA ROCHA</t>
        </is>
      </c>
      <c r="E1949" s="14" t="inlineStr">
        <is>
          <t>ENGOMADEIRA</t>
        </is>
      </c>
      <c r="F1949" s="14" t="inlineStr">
        <is>
          <t>RUA DIRETA DA ENGOMADEIRA, S/N - ZONA URBANA</t>
        </is>
      </c>
      <c r="G1949" s="27" t="inlineStr">
        <is>
          <t>41185-270</t>
        </is>
      </c>
      <c r="H1949" s="15" t="n">
        <v>5</v>
      </c>
      <c r="I1949" s="28" t="inlineStr">
        <is>
          <t>NÃO</t>
        </is>
      </c>
      <c r="J1949" s="29" t="n">
        <v>320.4</v>
      </c>
      <c r="K1949" s="14" t="str">
        <f>IF(J1949="","7. Acima de 2 km",IF(J1949&lt;=50,"1. Até 50 m",IF(J1949&lt;=100,"2. De 50 a 100 m",IF(J1949&lt;=200,"3. De 100 a 200 m",IF(J1949&lt;=300,"4. De 200 a 300 m",IF(J1949&lt;=500,"5. De 300 a 500 m","6. De 500 m a 2 km"))))))</f>
        <v>5. De 300 a 500 m</v>
      </c>
      <c r="L1949" s="26" t="n">
        <v>0</v>
      </c>
      <c r="M1949" s="26" t="n">
        <v>0</v>
      </c>
      <c r="N1949" s="26" t="n">
        <v>0</v>
      </c>
      <c r="O1949" s="26" t="n">
        <v>0</v>
      </c>
      <c r="P1949" s="30" t="n">
        <v>-12.9500628</v>
      </c>
      <c r="Q1949" s="30" t="n">
        <v>-38.4595162</v>
      </c>
      <c r="R1949" s="14" t="inlineStr">
        <is>
          <t>CARTÓRIO DA 5ª ZONA ELEITORAL, 1ª AVENIDA DO CENTRO ADMINISTRATIVO DA BAHIA, 150, SALVADOR-BA.</t>
        </is>
      </c>
      <c r="S1949" s="26">
        <f>IF(A1949=A1948,0,1)</f>
        <v>0</v>
      </c>
      <c r="T1949" s="26">
        <f>IF(COUNTIF($B$4:B1949,B1949)=1,1,0)</f>
        <v>0</v>
      </c>
    </row>
    <row r="1950">
      <c r="A1950" s="14" t="inlineStr">
        <is>
          <t>SALVADOR</t>
        </is>
      </c>
      <c r="B1950" s="26" t="n">
        <v>5</v>
      </c>
      <c r="C1950" s="26" t="n">
        <v>1635</v>
      </c>
      <c r="D1950" s="14" t="inlineStr">
        <is>
          <t>ESCOLA TERCEIRO MILÊNIO</t>
        </is>
      </c>
      <c r="E1950" s="14" t="inlineStr">
        <is>
          <t>MATA ESCURA</t>
        </is>
      </c>
      <c r="F1950" s="14" t="inlineStr">
        <is>
          <t>RUA CARDEAL AVELAR BRANDÃO VILELA, N 39 - ZONA URBANA</t>
        </is>
      </c>
      <c r="G1950" s="27" t="inlineStr">
        <is>
          <t>41219-600</t>
        </is>
      </c>
      <c r="H1950" s="15" t="n">
        <v>2</v>
      </c>
      <c r="I1950" s="28" t="inlineStr">
        <is>
          <t>SIM</t>
        </is>
      </c>
      <c r="J1950" s="29" t="n">
        <v>61.1</v>
      </c>
      <c r="K1950" s="14" t="str">
        <f>IF(J1950="","7. Acima de 2 km",IF(J1950&lt;=50,"1. Até 50 m",IF(J1950&lt;=100,"2. De 50 a 100 m",IF(J1950&lt;=200,"3. De 100 a 200 m",IF(J1950&lt;=300,"4. De 200 a 300 m",IF(J1950&lt;=500,"5. De 300 a 500 m","6. De 500 m a 2 km"))))))</f>
        <v>2. De 50 a 100 m</v>
      </c>
      <c r="L1950" s="26" t="n">
        <v>0</v>
      </c>
      <c r="M1950" s="26" t="n">
        <v>1</v>
      </c>
      <c r="N1950" s="26" t="n">
        <v>1</v>
      </c>
      <c r="O1950" s="26" t="n">
        <v>2</v>
      </c>
      <c r="P1950" s="30" t="n">
        <v>-12.9312335</v>
      </c>
      <c r="Q1950" s="30" t="n">
        <v>-38.4577603</v>
      </c>
      <c r="R1950" s="14" t="inlineStr">
        <is>
          <t>CARTÓRIO DA 5ª ZONA ELEITORAL, 1ª AVENIDA DO CENTRO ADMINISTRATIVO DA BAHIA, 150, SALVADOR-BA.</t>
        </is>
      </c>
      <c r="S1950" s="26">
        <f>IF(A1950=A1949,0,1)</f>
        <v>0</v>
      </c>
      <c r="T1950" s="26">
        <f>IF(COUNTIF($B$4:B1950,B1950)=1,1,0)</f>
        <v>0</v>
      </c>
    </row>
    <row r="1951">
      <c r="A1951" s="14" t="inlineStr">
        <is>
          <t>SALVADOR</t>
        </is>
      </c>
      <c r="B1951" s="26" t="n">
        <v>5</v>
      </c>
      <c r="C1951" s="26" t="n">
        <v>1651</v>
      </c>
      <c r="D1951" s="14" t="inlineStr">
        <is>
          <t>PRISIONAL CADEIA PÚBLICA DE SALVADOR</t>
        </is>
      </c>
      <c r="E1951" s="14" t="inlineStr">
        <is>
          <t>MATA ESCURA</t>
        </is>
      </c>
      <c r="F1951" s="14" t="inlineStr">
        <is>
          <t>COMPLEXO PENITENCIÁRIO - AV CARDEAL BRANDÃO VILELA -  ZONA URBANA</t>
        </is>
      </c>
      <c r="G1951" s="27" t="inlineStr">
        <is>
          <t>41225-000</t>
        </is>
      </c>
      <c r="H1951" s="15" t="n">
        <v>1</v>
      </c>
      <c r="I1951" s="28" t="inlineStr">
        <is>
          <t>SIM</t>
        </is>
      </c>
      <c r="J1951" s="29" t="n">
        <v>39.1</v>
      </c>
      <c r="K1951" s="14" t="str">
        <f>IF(J1951="","7. Acima de 2 km",IF(J1951&lt;=50,"1. Até 50 m",IF(J1951&lt;=100,"2. De 50 a 100 m",IF(J1951&lt;=200,"3. De 100 a 200 m",IF(J1951&lt;=300,"4. De 200 a 300 m",IF(J1951&lt;=500,"5. De 300 a 500 m","6. De 500 m a 2 km"))))))</f>
        <v>1. Até 50 m</v>
      </c>
      <c r="L1951" s="26" t="n">
        <v>1</v>
      </c>
      <c r="M1951" s="26" t="n">
        <v>2</v>
      </c>
      <c r="N1951" s="26" t="n">
        <v>4</v>
      </c>
      <c r="O1951" s="26" t="n">
        <v>5</v>
      </c>
      <c r="P1951" s="30" t="n">
        <v>-12.9284286</v>
      </c>
      <c r="Q1951" s="30" t="n">
        <v>-38.448642</v>
      </c>
      <c r="R1951" s="14" t="inlineStr">
        <is>
          <t>CARTÓRIO DA 5ª ZONA ELEITORAL, 1ª AVENIDA DO CENTRO ADMINISTRATIVO DA BAHIA, 150, SALVADOR-BA.</t>
        </is>
      </c>
      <c r="S1951" s="26">
        <f>IF(A1951=A1950,0,1)</f>
        <v>0</v>
      </c>
      <c r="T1951" s="26">
        <f>IF(COUNTIF($B$4:B1951,B1951)=1,1,0)</f>
        <v>0</v>
      </c>
    </row>
    <row r="1952">
      <c r="A1952" s="14" t="inlineStr">
        <is>
          <t>SALVADOR</t>
        </is>
      </c>
      <c r="B1952" s="26" t="n">
        <v>5</v>
      </c>
      <c r="C1952" s="26" t="n">
        <v>1660</v>
      </c>
      <c r="D1952" s="14" t="inlineStr">
        <is>
          <t>ESCOLA MUNICIPAL PROFESSORA ANFRÍSIA SANTIAGO</t>
        </is>
      </c>
      <c r="E1952" s="14" t="inlineStr">
        <is>
          <t>BARREIRAS</t>
        </is>
      </c>
      <c r="F1952" s="14" t="inlineStr">
        <is>
          <t>ESTRADA DAS BARREIRAS, S/N - ZONA URBANA</t>
        </is>
      </c>
      <c r="G1952" s="27" t="inlineStr">
        <is>
          <t>40010-000</t>
        </is>
      </c>
      <c r="H1952" s="15" t="n">
        <v>8</v>
      </c>
      <c r="I1952" s="28" t="inlineStr">
        <is>
          <t>NÃO</t>
        </is>
      </c>
      <c r="J1952" s="29" t="n">
        <v>394.1</v>
      </c>
      <c r="K1952" s="14" t="str">
        <f>IF(J1952="","7. Acima de 2 km",IF(J1952&lt;=50,"1. Até 50 m",IF(J1952&lt;=100,"2. De 50 a 100 m",IF(J1952&lt;=200,"3. De 100 a 200 m",IF(J1952&lt;=300,"4. De 200 a 300 m",IF(J1952&lt;=500,"5. De 300 a 500 m","6. De 500 m a 2 km"))))))</f>
        <v>5. De 300 a 500 m</v>
      </c>
      <c r="L1952" s="26" t="n">
        <v>0</v>
      </c>
      <c r="M1952" s="26" t="n">
        <v>0</v>
      </c>
      <c r="N1952" s="26" t="n">
        <v>0</v>
      </c>
      <c r="O1952" s="26" t="n">
        <v>0</v>
      </c>
      <c r="P1952" s="30" t="n">
        <v>-12.9419302</v>
      </c>
      <c r="Q1952" s="30" t="n">
        <v>-38.4544894</v>
      </c>
      <c r="R1952" s="14" t="inlineStr">
        <is>
          <t>CARTÓRIO DA 5ª ZONA ELEITORAL, 1ª AVENIDA DO CENTRO ADMINISTRATIVO DA BAHIA, 150, SALVADOR-BA.</t>
        </is>
      </c>
      <c r="S1952" s="26">
        <f>IF(A1952=A1951,0,1)</f>
        <v>0</v>
      </c>
      <c r="T1952" s="26">
        <f>IF(COUNTIF($B$4:B1952,B1952)=1,1,0)</f>
        <v>0</v>
      </c>
    </row>
    <row r="1953">
      <c r="A1953" s="14" t="inlineStr">
        <is>
          <t>SALVADOR</t>
        </is>
      </c>
      <c r="B1953" s="26" t="n">
        <v>5</v>
      </c>
      <c r="C1953" s="26" t="n">
        <v>1678</v>
      </c>
      <c r="D1953" s="14" t="inlineStr">
        <is>
          <t>DEPARTAMENTO DE CIÊNCIAS EXATAS E DA TERRA</t>
        </is>
      </c>
      <c r="E1953" s="14" t="inlineStr">
        <is>
          <t>CABULA</t>
        </is>
      </c>
      <c r="F1953" s="14" t="inlineStr">
        <is>
          <t>RUA SILVEIRA MARTINS, 2555 - ZONA URBANA</t>
        </is>
      </c>
      <c r="G1953" s="27" t="inlineStr">
        <is>
          <t>41150-000</t>
        </is>
      </c>
      <c r="H1953" s="15" t="n">
        <v>8</v>
      </c>
      <c r="I1953" s="28" t="inlineStr">
        <is>
          <t>NÃO</t>
        </is>
      </c>
      <c r="J1953" s="29" t="n">
        <v>197</v>
      </c>
      <c r="K1953" s="14" t="str">
        <f>IF(J1953="","7. Acima de 2 km",IF(J1953&lt;=50,"1. Até 50 m",IF(J1953&lt;=100,"2. De 50 a 100 m",IF(J1953&lt;=200,"3. De 100 a 200 m",IF(J1953&lt;=300,"4. De 200 a 300 m",IF(J1953&lt;=500,"5. De 300 a 500 m","6. De 500 m a 2 km"))))))</f>
        <v>3. De 100 a 200 m</v>
      </c>
      <c r="L1953" s="26" t="n">
        <v>0</v>
      </c>
      <c r="M1953" s="26" t="n">
        <v>0</v>
      </c>
      <c r="N1953" s="26" t="n">
        <v>1</v>
      </c>
      <c r="O1953" s="26" t="n">
        <v>2</v>
      </c>
      <c r="P1953" s="30" t="n">
        <v>-12.9518464</v>
      </c>
      <c r="Q1953" s="30" t="n">
        <v>-38.4591278</v>
      </c>
      <c r="R1953" s="14" t="inlineStr">
        <is>
          <t>CARTÓRIO DA 5ª ZONA ELEITORAL, 1ª AVENIDA DO CENTRO ADMINISTRATIVO DA BAHIA, 150, SALVADOR-BA.</t>
        </is>
      </c>
      <c r="S1953" s="26">
        <f>IF(A1953=A1952,0,1)</f>
        <v>0</v>
      </c>
      <c r="T1953" s="26">
        <f>IF(COUNTIF($B$4:B1953,B1953)=1,1,0)</f>
        <v>0</v>
      </c>
    </row>
    <row r="1954">
      <c r="A1954" s="14" t="inlineStr">
        <is>
          <t>SALVADOR</t>
        </is>
      </c>
      <c r="B1954" s="26" t="n">
        <v>5</v>
      </c>
      <c r="C1954" s="26" t="n">
        <v>1686</v>
      </c>
      <c r="D1954" s="14" t="inlineStr">
        <is>
          <t>ESCOLA MUNICIPAL DA ENGOMADEIRA</t>
        </is>
      </c>
      <c r="E1954" s="14" t="inlineStr">
        <is>
          <t>ENGOMADEIRA</t>
        </is>
      </c>
      <c r="F1954" s="14" t="inlineStr">
        <is>
          <t>RUA DIREITA DA ENGOMADEIRA, S/N - ZONA URBANA</t>
        </is>
      </c>
      <c r="G1954" s="27" t="inlineStr">
        <is>
          <t>41301-110</t>
        </is>
      </c>
      <c r="H1954" s="15" t="n">
        <v>10</v>
      </c>
      <c r="I1954" s="28" t="inlineStr">
        <is>
          <t>NÃO</t>
        </is>
      </c>
      <c r="J1954" s="29" t="n">
        <v>307.8</v>
      </c>
      <c r="K1954" s="14" t="str">
        <f>IF(J1954="","7. Acima de 2 km",IF(J1954&lt;=50,"1. Até 50 m",IF(J1954&lt;=100,"2. De 50 a 100 m",IF(J1954&lt;=200,"3. De 100 a 200 m",IF(J1954&lt;=300,"4. De 200 a 300 m",IF(J1954&lt;=500,"5. De 300 a 500 m","6. De 500 m a 2 km"))))))</f>
        <v>5. De 300 a 500 m</v>
      </c>
      <c r="L1954" s="26" t="n">
        <v>0</v>
      </c>
      <c r="M1954" s="26" t="n">
        <v>0</v>
      </c>
      <c r="N1954" s="26" t="n">
        <v>0</v>
      </c>
      <c r="O1954" s="26" t="n">
        <v>0</v>
      </c>
      <c r="P1954" s="30" t="n">
        <v>-12.949929</v>
      </c>
      <c r="Q1954" s="30" t="n">
        <v>-38.4605451</v>
      </c>
      <c r="R1954" s="14" t="inlineStr">
        <is>
          <t>CARTÓRIO DA 5ª ZONA ELEITORAL, 1ª AVENIDA DO CENTRO ADMINISTRATIVO DA BAHIA, 150, SALVADOR-BA.</t>
        </is>
      </c>
      <c r="S1954" s="26">
        <f>IF(A1954=A1953,0,1)</f>
        <v>0</v>
      </c>
      <c r="T1954" s="26">
        <f>IF(COUNTIF($B$4:B1954,B1954)=1,1,0)</f>
        <v>0</v>
      </c>
    </row>
    <row r="1955">
      <c r="A1955" s="14" t="inlineStr">
        <is>
          <t>SALVADOR</t>
        </is>
      </c>
      <c r="B1955" s="26" t="n">
        <v>5</v>
      </c>
      <c r="C1955" s="26" t="n">
        <v>1694</v>
      </c>
      <c r="D1955" s="14" t="inlineStr">
        <is>
          <t>DEPARTAMENTO DE CIÊNCIAS DA VIDA - UNEB</t>
        </is>
      </c>
      <c r="E1955" s="14" t="inlineStr">
        <is>
          <t>CABULA</t>
        </is>
      </c>
      <c r="F1955" s="14" t="inlineStr">
        <is>
          <t>RUA SILVEIRA MARTINS, 2555 - ZONA URBANA</t>
        </is>
      </c>
      <c r="G1955" s="27" t="inlineStr">
        <is>
          <t>41150-000</t>
        </is>
      </c>
      <c r="H1955" s="15" t="n">
        <v>9</v>
      </c>
      <c r="I1955" s="28" t="inlineStr">
        <is>
          <t>NÃO</t>
        </is>
      </c>
      <c r="J1955" s="29" t="n">
        <v>264.9</v>
      </c>
      <c r="K1955" s="14" t="str">
        <f>IF(J1955="","7. Acima de 2 km",IF(J1955&lt;=50,"1. Até 50 m",IF(J1955&lt;=100,"2. De 50 a 100 m",IF(J1955&lt;=200,"3. De 100 a 200 m",IF(J1955&lt;=300,"4. De 200 a 300 m",IF(J1955&lt;=500,"5. De 300 a 500 m","6. De 500 m a 2 km"))))))</f>
        <v>4. De 200 a 300 m</v>
      </c>
      <c r="L1955" s="26" t="n">
        <v>0</v>
      </c>
      <c r="M1955" s="26" t="n">
        <v>0</v>
      </c>
      <c r="N1955" s="26" t="n">
        <v>0</v>
      </c>
      <c r="O1955" s="26" t="n">
        <v>1</v>
      </c>
      <c r="P1955" s="30" t="n">
        <v>-12.9531087</v>
      </c>
      <c r="Q1955" s="30" t="n">
        <v>-38.4583182</v>
      </c>
      <c r="R1955" s="14" t="inlineStr">
        <is>
          <t>CARTÓRIO DA 5ª ZONA ELEITORAL, 1ª AVENIDA DO CENTRO ADMINISTRATIVO DA BAHIA, 150, SALVADOR-BA.</t>
        </is>
      </c>
      <c r="S1955" s="26">
        <f>IF(A1955=A1954,0,1)</f>
        <v>0</v>
      </c>
      <c r="T1955" s="26">
        <f>IF(COUNTIF($B$4:B1955,B1955)=1,1,0)</f>
        <v>0</v>
      </c>
    </row>
    <row r="1956">
      <c r="A1956" s="14" t="inlineStr">
        <is>
          <t>SALVADOR</t>
        </is>
      </c>
      <c r="B1956" s="26" t="n">
        <v>5</v>
      </c>
      <c r="C1956" s="26" t="n">
        <v>1708</v>
      </c>
      <c r="D1956" s="14" t="inlineStr">
        <is>
          <t>ESCOLA MUNICIPAL MARIA CONSTANÇA</t>
        </is>
      </c>
      <c r="E1956" s="14" t="inlineStr">
        <is>
          <t>MATA ESCURA</t>
        </is>
      </c>
      <c r="F1956" s="14" t="inlineStr">
        <is>
          <t>RUA PAULO HÉLIO DE CARVALHO, N29 - ÁREA URBANA</t>
        </is>
      </c>
      <c r="G1956" s="27" t="inlineStr">
        <is>
          <t>41219-065</t>
        </is>
      </c>
      <c r="H1956" s="15" t="n">
        <v>17</v>
      </c>
      <c r="I1956" s="28" t="inlineStr">
        <is>
          <t>NÃO</t>
        </is>
      </c>
      <c r="J1956" s="29" t="n">
        <v>419.3</v>
      </c>
      <c r="K1956" s="14" t="str">
        <f>IF(J1956="","7. Acima de 2 km",IF(J1956&lt;=50,"1. Até 50 m",IF(J1956&lt;=100,"2. De 50 a 100 m",IF(J1956&lt;=200,"3. De 100 a 200 m",IF(J1956&lt;=300,"4. De 200 a 300 m",IF(J1956&lt;=500,"5. De 300 a 500 m","6. De 500 m a 2 km"))))))</f>
        <v>5. De 300 a 500 m</v>
      </c>
      <c r="L1956" s="26" t="n">
        <v>0</v>
      </c>
      <c r="M1956" s="26" t="n">
        <v>0</v>
      </c>
      <c r="N1956" s="26" t="n">
        <v>0</v>
      </c>
      <c r="O1956" s="26" t="n">
        <v>0</v>
      </c>
      <c r="P1956" s="30" t="n">
        <v>-12.9371985</v>
      </c>
      <c r="Q1956" s="30" t="n">
        <v>-38.4593598</v>
      </c>
      <c r="R1956" s="14" t="inlineStr">
        <is>
          <t>CARTÓRIO DA 5ª ZONA ELEITORAL, 1ª AVENIDA DO CENTRO ADMINISTRATIVO DA BAHIA, 150, SALVADOR-BA.</t>
        </is>
      </c>
      <c r="S1956" s="26">
        <f>IF(A1956=A1955,0,1)</f>
        <v>0</v>
      </c>
      <c r="T1956" s="26">
        <f>IF(COUNTIF($B$4:B1956,B1956)=1,1,0)</f>
        <v>0</v>
      </c>
    </row>
    <row r="1957">
      <c r="A1957" s="14" t="inlineStr">
        <is>
          <t>SALVADOR</t>
        </is>
      </c>
      <c r="B1957" s="26" t="n">
        <v>5</v>
      </c>
      <c r="C1957" s="26" t="n">
        <v>1716</v>
      </c>
      <c r="D1957" s="14" t="inlineStr">
        <is>
          <t>ESCOLA ESTADUAL PROFESSOR DORIVAL PASSOS</t>
        </is>
      </c>
      <c r="E1957" s="14" t="inlineStr">
        <is>
          <t>MATA ESCURA</t>
        </is>
      </c>
      <c r="F1957" s="14" t="inlineStr">
        <is>
          <t>AVENIDA CARDEAL DOM AVELAR BRANDÃO VILLELA, S/N - ZONA URBANA</t>
        </is>
      </c>
      <c r="G1957" s="27" t="inlineStr">
        <is>
          <t>41219-600</t>
        </is>
      </c>
      <c r="H1957" s="15" t="n">
        <v>9</v>
      </c>
      <c r="I1957" s="28" t="inlineStr">
        <is>
          <t>SIM</t>
        </is>
      </c>
      <c r="J1957" s="29" t="n">
        <v>42.4</v>
      </c>
      <c r="K1957" s="14" t="str">
        <f>IF(J1957="","7. Acima de 2 km",IF(J1957&lt;=50,"1. Até 50 m",IF(J1957&lt;=100,"2. De 50 a 100 m",IF(J1957&lt;=200,"3. De 100 a 200 m",IF(J1957&lt;=300,"4. De 200 a 300 m",IF(J1957&lt;=500,"5. De 300 a 500 m","6. De 500 m a 2 km"))))))</f>
        <v>1. Até 50 m</v>
      </c>
      <c r="L1957" s="26" t="n">
        <v>1</v>
      </c>
      <c r="M1957" s="26" t="n">
        <v>2</v>
      </c>
      <c r="N1957" s="26" t="n">
        <v>8</v>
      </c>
      <c r="O1957" s="26" t="n">
        <v>9</v>
      </c>
      <c r="P1957" s="30" t="n">
        <v>-12.9292799</v>
      </c>
      <c r="Q1957" s="30" t="n">
        <v>-38.4558368</v>
      </c>
      <c r="R1957" s="14" t="inlineStr">
        <is>
          <t>CARTÓRIO DA 5ª ZONA ELEITORAL, 1ª AVENIDA DO CENTRO ADMINISTRATIVO DA BAHIA, 150, SALVADOR-BA.</t>
        </is>
      </c>
      <c r="S1957" s="26">
        <f>IF(A1957=A1956,0,1)</f>
        <v>0</v>
      </c>
      <c r="T1957" s="26">
        <f>IF(COUNTIF($B$4:B1957,B1957)=1,1,0)</f>
        <v>0</v>
      </c>
    </row>
    <row r="1958">
      <c r="A1958" s="14" t="inlineStr">
        <is>
          <t>SALVADOR</t>
        </is>
      </c>
      <c r="B1958" s="26" t="n">
        <v>5</v>
      </c>
      <c r="C1958" s="26" t="n">
        <v>1732</v>
      </c>
      <c r="D1958" s="14" t="inlineStr">
        <is>
          <t>DEPARTAMENTO DE CIÊNCIAS HUMANAS - UNEB</t>
        </is>
      </c>
      <c r="E1958" s="14" t="inlineStr">
        <is>
          <t>CABULA</t>
        </is>
      </c>
      <c r="F1958" s="14" t="inlineStr">
        <is>
          <t>AV SILVEIRA MARTINS, N 2555 - ZONA URBANA</t>
        </is>
      </c>
      <c r="G1958" s="27" t="inlineStr">
        <is>
          <t>41195-001</t>
        </is>
      </c>
      <c r="H1958" s="15" t="n">
        <v>13</v>
      </c>
      <c r="I1958" s="28" t="inlineStr">
        <is>
          <t>NÃO</t>
        </is>
      </c>
      <c r="J1958" s="29" t="n">
        <v>145.8</v>
      </c>
      <c r="K1958" s="14" t="str">
        <f>IF(J1958="","7. Acima de 2 km",IF(J1958&lt;=50,"1. Até 50 m",IF(J1958&lt;=100,"2. De 50 a 100 m",IF(J1958&lt;=200,"3. De 100 a 200 m",IF(J1958&lt;=300,"4. De 200 a 300 m",IF(J1958&lt;=500,"5. De 300 a 500 m","6. De 500 m a 2 km"))))))</f>
        <v>3. De 100 a 200 m</v>
      </c>
      <c r="L1958" s="26" t="n">
        <v>0</v>
      </c>
      <c r="M1958" s="26" t="n">
        <v>0</v>
      </c>
      <c r="N1958" s="26" t="n">
        <v>1</v>
      </c>
      <c r="O1958" s="26" t="n">
        <v>3</v>
      </c>
      <c r="P1958" s="30" t="n">
        <v>-12.9514812</v>
      </c>
      <c r="Q1958" s="30" t="n">
        <v>-38.4602089</v>
      </c>
      <c r="R1958" s="14" t="inlineStr">
        <is>
          <t>CARTÓRIO DA 5ª ZONA ELEITORAL, 1ª AVENIDA DO CENTRO ADMINISTRATIVO DA BAHIA, 150, SALVADOR-BA.</t>
        </is>
      </c>
      <c r="S1958" s="26">
        <f>IF(A1958=A1957,0,1)</f>
        <v>0</v>
      </c>
      <c r="T1958" s="26">
        <f>IF(COUNTIF($B$4:B1958,B1958)=1,1,0)</f>
        <v>0</v>
      </c>
    </row>
    <row r="1959">
      <c r="A1959" s="14" t="inlineStr">
        <is>
          <t>SALVADOR</t>
        </is>
      </c>
      <c r="B1959" s="26" t="n">
        <v>5</v>
      </c>
      <c r="C1959" s="26" t="n">
        <v>1740</v>
      </c>
      <c r="D1959" s="14" t="inlineStr">
        <is>
          <t>ESCOLA MUNICIPAL MAXIMINIANO DA ENCARNAÇÃO</t>
        </is>
      </c>
      <c r="E1959" s="14" t="inlineStr">
        <is>
          <t>MATA ESCURA</t>
        </is>
      </c>
      <c r="F1959" s="14" t="inlineStr">
        <is>
          <t>RUA DIRETA DA MATA ESCURA, S/N - ZONA URBANA</t>
        </is>
      </c>
      <c r="G1959" s="27" t="inlineStr">
        <is>
          <t>41225-190</t>
        </is>
      </c>
      <c r="H1959" s="15" t="n">
        <v>5</v>
      </c>
      <c r="I1959" s="28" t="inlineStr">
        <is>
          <t>NÃO</t>
        </is>
      </c>
      <c r="J1959" s="29" t="n">
        <v>198.3</v>
      </c>
      <c r="K1959" s="14" t="str">
        <f>IF(J1959="","7. Acima de 2 km",IF(J1959&lt;=50,"1. Até 50 m",IF(J1959&lt;=100,"2. De 50 a 100 m",IF(J1959&lt;=200,"3. De 100 a 200 m",IF(J1959&lt;=300,"4. De 200 a 300 m",IF(J1959&lt;=500,"5. De 300 a 500 m","6. De 500 m a 2 km"))))))</f>
        <v>3. De 100 a 200 m</v>
      </c>
      <c r="L1959" s="26" t="n">
        <v>0</v>
      </c>
      <c r="M1959" s="26" t="n">
        <v>0</v>
      </c>
      <c r="N1959" s="26" t="n">
        <v>1</v>
      </c>
      <c r="O1959" s="26" t="n">
        <v>2</v>
      </c>
      <c r="P1959" s="30" t="n">
        <v>-12.9335797</v>
      </c>
      <c r="Q1959" s="30" t="n">
        <v>-38.4595974</v>
      </c>
      <c r="R1959" s="14" t="inlineStr">
        <is>
          <t>CARTÓRIO DA 5ª ZONA ELEITORAL, 1ª AVENIDA DO CENTRO ADMINISTRATIVO DA BAHIA, 150, SALVADOR-BA.</t>
        </is>
      </c>
      <c r="S1959" s="26">
        <f>IF(A1959=A1958,0,1)</f>
        <v>0</v>
      </c>
      <c r="T1959" s="26">
        <f>IF(COUNTIF($B$4:B1959,B1959)=1,1,0)</f>
        <v>0</v>
      </c>
    </row>
    <row r="1960">
      <c r="A1960" s="14" t="inlineStr">
        <is>
          <t>SALVADOR</t>
        </is>
      </c>
      <c r="B1960" s="26" t="n">
        <v>5</v>
      </c>
      <c r="C1960" s="26" t="n">
        <v>1759</v>
      </c>
      <c r="D1960" s="14" t="inlineStr">
        <is>
          <t>COLÉGIO ESTADUAL PROFESSORA MARILEINE DA SILVA</t>
        </is>
      </c>
      <c r="E1960" s="14" t="inlineStr">
        <is>
          <t>MATA ESCURA</t>
        </is>
      </c>
      <c r="F1960" s="14" t="inlineStr">
        <is>
          <t>RUA BENJAMIN ABDON, S/N - ZONA URBANA</t>
        </is>
      </c>
      <c r="G1960" s="27" t="inlineStr">
        <is>
          <t>41225-360</t>
        </is>
      </c>
      <c r="H1960" s="15" t="n">
        <v>15</v>
      </c>
      <c r="I1960" s="28" t="inlineStr">
        <is>
          <t>NÃO</t>
        </is>
      </c>
      <c r="J1960" s="29" t="n">
        <v>523.4</v>
      </c>
      <c r="K1960" s="14" t="str">
        <f>IF(J1960="","7. Acima de 2 km",IF(J1960&lt;=50,"1. Até 50 m",IF(J1960&lt;=100,"2. De 50 a 100 m",IF(J1960&lt;=200,"3. De 100 a 200 m",IF(J1960&lt;=300,"4. De 200 a 300 m",IF(J1960&lt;=500,"5. De 300 a 500 m","6. De 500 m a 2 km"))))))</f>
        <v>6. De 500 m a 2 km</v>
      </c>
      <c r="L1960" s="26" t="n">
        <v>0</v>
      </c>
      <c r="M1960" s="26" t="n">
        <v>0</v>
      </c>
      <c r="N1960" s="26" t="n">
        <v>0</v>
      </c>
      <c r="O1960" s="26" t="n">
        <v>0</v>
      </c>
      <c r="P1960" s="30" t="n">
        <v>-12.9376433</v>
      </c>
      <c r="Q1960" s="30" t="n">
        <v>-38.460502</v>
      </c>
      <c r="R1960" s="14" t="inlineStr">
        <is>
          <t>CARTÓRIO DA 5ª ZONA ELEITORAL, 1ª AVENIDA DO CENTRO ADMINISTRATIVO DA BAHIA, 150, SALVADOR-BA.</t>
        </is>
      </c>
      <c r="S1960" s="26">
        <f>IF(A1960=A1959,0,1)</f>
        <v>0</v>
      </c>
      <c r="T1960" s="26">
        <f>IF(COUNTIF($B$4:B1960,B1960)=1,1,0)</f>
        <v>0</v>
      </c>
    </row>
    <row r="1961">
      <c r="A1961" s="14" t="inlineStr">
        <is>
          <t>SALVADOR</t>
        </is>
      </c>
      <c r="B1961" s="26" t="n">
        <v>5</v>
      </c>
      <c r="C1961" s="26" t="n">
        <v>1791</v>
      </c>
      <c r="D1961" s="14" t="inlineStr">
        <is>
          <t>SERVIÇO SOCIAL DA INDÚSTRIA - SESI - RETIRO</t>
        </is>
      </c>
      <c r="E1961" s="14" t="inlineStr">
        <is>
          <t>RETIRO</t>
        </is>
      </c>
      <c r="F1961" s="14" t="inlineStr">
        <is>
          <t>BR 324, KM 0, AV. BARROS REIS, ARRAIAL DO RETIRO - ZONA URBANA</t>
        </is>
      </c>
      <c r="G1961" s="27" t="inlineStr">
        <is>
          <t>41204-025</t>
        </is>
      </c>
      <c r="H1961" s="15" t="n">
        <v>9</v>
      </c>
      <c r="I1961" s="28" t="inlineStr">
        <is>
          <t>SIM</t>
        </is>
      </c>
      <c r="J1961" s="29" t="n">
        <v>69</v>
      </c>
      <c r="K1961" s="14" t="str">
        <f>IF(J1961="","7. Acima de 2 km",IF(J1961&lt;=50,"1. Até 50 m",IF(J1961&lt;=100,"2. De 50 a 100 m",IF(J1961&lt;=200,"3. De 100 a 200 m",IF(J1961&lt;=300,"4. De 200 a 300 m",IF(J1961&lt;=500,"5. De 300 a 500 m","6. De 500 m a 2 km"))))))</f>
        <v>2. De 50 a 100 m</v>
      </c>
      <c r="L1961" s="26" t="n">
        <v>0</v>
      </c>
      <c r="M1961" s="26" t="n">
        <v>1</v>
      </c>
      <c r="N1961" s="26" t="n">
        <v>2</v>
      </c>
      <c r="O1961" s="26" t="n">
        <v>2</v>
      </c>
      <c r="P1961" s="30" t="n">
        <v>-12.9506668</v>
      </c>
      <c r="Q1961" s="30" t="n">
        <v>-38.4755144</v>
      </c>
      <c r="R1961" s="14" t="inlineStr">
        <is>
          <t>CARTÓRIO DA 5ª ZONA ELEITORAL, 1ª AVENIDA DO CENTRO ADMINISTRATIVO DA BAHIA, 150, SALVADOR-BA.</t>
        </is>
      </c>
      <c r="S1961" s="26">
        <f>IF(A1961=A1960,0,1)</f>
        <v>0</v>
      </c>
      <c r="T1961" s="26">
        <f>IF(COUNTIF($B$4:B1961,B1961)=1,1,0)</f>
        <v>0</v>
      </c>
    </row>
    <row r="1962">
      <c r="A1962" s="14" t="inlineStr">
        <is>
          <t>SALVADOR</t>
        </is>
      </c>
      <c r="B1962" s="26" t="n">
        <v>5</v>
      </c>
      <c r="C1962" s="26" t="n">
        <v>1805</v>
      </c>
      <c r="D1962" s="14" t="inlineStr">
        <is>
          <t>PRISIONAL - CONJUNTO PENAL MASCULINO</t>
        </is>
      </c>
      <c r="E1962" s="14" t="inlineStr">
        <is>
          <t>MATA ESCURA</t>
        </is>
      </c>
      <c r="F1962" s="14" t="inlineStr">
        <is>
          <t>RUA DIRETA DA MATA ESCURA, S/N - ZONA URBANA</t>
        </is>
      </c>
      <c r="G1962" s="27" t="inlineStr">
        <is>
          <t>41219-600</t>
        </is>
      </c>
      <c r="H1962" s="15" t="n">
        <v>1</v>
      </c>
      <c r="I1962" s="28" t="inlineStr">
        <is>
          <t>SIM</t>
        </is>
      </c>
      <c r="J1962" s="29" t="n">
        <v>63.2</v>
      </c>
      <c r="K1962" s="14" t="str">
        <f>IF(J1962="","7. Acima de 2 km",IF(J1962&lt;=50,"1. Até 50 m",IF(J1962&lt;=100,"2. De 50 a 100 m",IF(J1962&lt;=200,"3. De 100 a 200 m",IF(J1962&lt;=300,"4. De 200 a 300 m",IF(J1962&lt;=500,"5. De 300 a 500 m","6. De 500 m a 2 km"))))))</f>
        <v>2. De 50 a 100 m</v>
      </c>
      <c r="L1962" s="26" t="n">
        <v>0</v>
      </c>
      <c r="M1962" s="26" t="n">
        <v>2</v>
      </c>
      <c r="N1962" s="26" t="n">
        <v>3</v>
      </c>
      <c r="O1962" s="26" t="n">
        <v>6</v>
      </c>
      <c r="P1962" s="30" t="n">
        <v>-12.924898</v>
      </c>
      <c r="Q1962" s="30" t="n">
        <v>-38.4505049</v>
      </c>
      <c r="R1962" s="14" t="inlineStr">
        <is>
          <t>CARTÓRIO DA 5ª ZONA ELEITORAL, 1ª AVENIDA DO CENTRO ADMINISTRATIVO DA BAHIA, 150, SALVADOR-BA.</t>
        </is>
      </c>
      <c r="S1962" s="26">
        <f>IF(A1962=A1961,0,1)</f>
        <v>0</v>
      </c>
      <c r="T1962" s="26">
        <f>IF(COUNTIF($B$4:B1962,B1962)=1,1,0)</f>
        <v>0</v>
      </c>
    </row>
    <row r="1963">
      <c r="A1963" s="14" t="inlineStr">
        <is>
          <t>SALVADOR</t>
        </is>
      </c>
      <c r="B1963" s="26" t="n">
        <v>5</v>
      </c>
      <c r="C1963" s="26" t="n">
        <v>1821</v>
      </c>
      <c r="D1963" s="14" t="inlineStr">
        <is>
          <t>PRISIONAL - PRESÍDIO DO SALVADOR</t>
        </is>
      </c>
      <c r="E1963" s="14" t="inlineStr">
        <is>
          <t>MATA ESCURA</t>
        </is>
      </c>
      <c r="F1963" s="14" t="inlineStr">
        <is>
          <t>RUA DIRETA DE MATA ESCURA, S/N, COMPLEXO PENITENCIÁRIO - ZONA URBANA</t>
        </is>
      </c>
      <c r="G1963" s="27" t="inlineStr">
        <is>
          <t>41225-190</t>
        </is>
      </c>
      <c r="H1963" s="15" t="n">
        <v>1</v>
      </c>
      <c r="I1963" s="28" t="inlineStr">
        <is>
          <t>SIM</t>
        </is>
      </c>
      <c r="J1963" s="29" t="n">
        <v>52.8</v>
      </c>
      <c r="K1963" s="14" t="str">
        <f>IF(J1963="","7. Acima de 2 km",IF(J1963&lt;=50,"1. Até 50 m",IF(J1963&lt;=100,"2. De 50 a 100 m",IF(J1963&lt;=200,"3. De 100 a 200 m",IF(J1963&lt;=300,"4. De 200 a 300 m",IF(J1963&lt;=500,"5. De 300 a 500 m","6. De 500 m a 2 km"))))))</f>
        <v>2. De 50 a 100 m</v>
      </c>
      <c r="L1963" s="26" t="n">
        <v>0</v>
      </c>
      <c r="M1963" s="26" t="n">
        <v>2</v>
      </c>
      <c r="N1963" s="26" t="n">
        <v>3</v>
      </c>
      <c r="O1963" s="26" t="n">
        <v>3</v>
      </c>
      <c r="P1963" s="30" t="n">
        <v>-12.9307233</v>
      </c>
      <c r="Q1963" s="30" t="n">
        <v>-38.4514485</v>
      </c>
      <c r="R1963" s="14" t="inlineStr">
        <is>
          <t>CARTÓRIO DA 5ª ZONA ELEITORAL, 1ª AVENIDA DO CENTRO ADMINISTRATIVO DA BAHIA, 150, SALVADOR-BA.</t>
        </is>
      </c>
      <c r="S1963" s="26">
        <f>IF(A1963=A1962,0,1)</f>
        <v>0</v>
      </c>
      <c r="T1963" s="26">
        <f>IF(COUNTIF($B$4:B1963,B1963)=1,1,0)</f>
        <v>0</v>
      </c>
    </row>
    <row r="1964">
      <c r="A1964" s="14" t="inlineStr">
        <is>
          <t>SALVADOR</t>
        </is>
      </c>
      <c r="B1964" s="26" t="n">
        <v>5</v>
      </c>
      <c r="C1964" s="26" t="n">
        <v>1830</v>
      </c>
      <c r="D1964" s="14" t="inlineStr">
        <is>
          <t>ESCOLA MUNICIPAL ANTÔNIO EUZÉBIO</t>
        </is>
      </c>
      <c r="E1964" s="14" t="inlineStr">
        <is>
          <t>CABULA</t>
        </is>
      </c>
      <c r="F1964" s="14" t="inlineStr">
        <is>
          <t>RUA CRISTIANO BUYS, 573 - ZONA URBANA</t>
        </is>
      </c>
      <c r="G1964" s="27" t="inlineStr">
        <is>
          <t>41150-600</t>
        </is>
      </c>
      <c r="H1964" s="15" t="n">
        <v>7</v>
      </c>
      <c r="I1964" s="28" t="inlineStr">
        <is>
          <t>NÃO</t>
        </is>
      </c>
      <c r="J1964" s="29" t="n">
        <v>143.4</v>
      </c>
      <c r="K1964" s="14" t="str">
        <f>IF(J1964="","7. Acima de 2 km",IF(J1964&lt;=50,"1. Até 50 m",IF(J1964&lt;=100,"2. De 50 a 100 m",IF(J1964&lt;=200,"3. De 100 a 200 m",IF(J1964&lt;=300,"4. De 200 a 300 m",IF(J1964&lt;=500,"5. De 300 a 500 m","6. De 500 m a 2 km"))))))</f>
        <v>3. De 100 a 200 m</v>
      </c>
      <c r="L1964" s="26" t="n">
        <v>0</v>
      </c>
      <c r="M1964" s="26" t="n">
        <v>0</v>
      </c>
      <c r="N1964" s="26" t="n">
        <v>2</v>
      </c>
      <c r="O1964" s="26" t="n">
        <v>3</v>
      </c>
      <c r="P1964" s="30" t="n">
        <v>-12.9651544</v>
      </c>
      <c r="Q1964" s="30" t="n">
        <v>-38.4741274</v>
      </c>
      <c r="R1964" s="14" t="inlineStr">
        <is>
          <t>CARTÓRIO DA 5ª ZONA ELEITORAL, 1ª AVENIDA DO CENTRO ADMINISTRATIVO DA BAHIA, 150, SALVADOR-BA.</t>
        </is>
      </c>
      <c r="S1964" s="26">
        <f>IF(A1964=A1963,0,1)</f>
        <v>0</v>
      </c>
      <c r="T1964" s="26">
        <f>IF(COUNTIF($B$4:B1964,B1964)=1,1,0)</f>
        <v>0</v>
      </c>
    </row>
    <row r="1965">
      <c r="A1965" s="14" t="inlineStr">
        <is>
          <t>SALVADOR</t>
        </is>
      </c>
      <c r="B1965" s="26" t="n">
        <v>6</v>
      </c>
      <c r="C1965" s="26" t="n">
        <v>1023</v>
      </c>
      <c r="D1965" s="14" t="inlineStr">
        <is>
          <t>COLÉGIO ESTADUAL LUIZ VIANA</t>
        </is>
      </c>
      <c r="E1965" s="14" t="inlineStr">
        <is>
          <t>BROTAS</t>
        </is>
      </c>
      <c r="F1965" s="14" t="inlineStr">
        <is>
          <t>RUA VALDEMAR FALCÃO, 7 - ZONA URBANA</t>
        </is>
      </c>
      <c r="G1965" s="27" t="inlineStr">
        <is>
          <t>40295-001</t>
        </is>
      </c>
      <c r="H1965" s="15" t="n">
        <v>40</v>
      </c>
      <c r="I1965" s="28" t="inlineStr">
        <is>
          <t>SIM</t>
        </is>
      </c>
      <c r="J1965" s="29" t="n">
        <v>81.09999999999999</v>
      </c>
      <c r="K1965" s="14" t="str">
        <f>IF(J1965="","7. Acima de 2 km",IF(J1965&lt;=50,"1. Até 50 m",IF(J1965&lt;=100,"2. De 50 a 100 m",IF(J1965&lt;=200,"3. De 100 a 200 m",IF(J1965&lt;=300,"4. De 200 a 300 m",IF(J1965&lt;=500,"5. De 300 a 500 m","6. De 500 m a 2 km"))))))</f>
        <v>2. De 50 a 100 m</v>
      </c>
      <c r="L1965" s="26" t="n">
        <v>0</v>
      </c>
      <c r="M1965" s="26" t="n">
        <v>1</v>
      </c>
      <c r="N1965" s="26" t="n">
        <v>5</v>
      </c>
      <c r="O1965" s="26" t="n">
        <v>8</v>
      </c>
      <c r="P1965" s="30" t="n">
        <v>-12.9920012</v>
      </c>
      <c r="Q1965" s="30" t="n">
        <v>-38.4837958</v>
      </c>
      <c r="R1965" s="14" t="inlineStr">
        <is>
          <t>CARTÓRIO DA 6ª ZONA ELEITORAL, 1ª AVENIDA DO CENTRO ADMINISTRATIVO DA BAHIA, 150, SALVADOR-BA.</t>
        </is>
      </c>
      <c r="S1965" s="26">
        <f>IF(A1965=A1964,0,1)</f>
        <v>0</v>
      </c>
      <c r="T1965" s="26">
        <f>IF(COUNTIF($B$4:B1965,B1965)=1,1,0)</f>
        <v>1</v>
      </c>
    </row>
    <row r="1966">
      <c r="A1966" s="14" t="inlineStr">
        <is>
          <t>SALVADOR</t>
        </is>
      </c>
      <c r="B1966" s="26" t="n">
        <v>6</v>
      </c>
      <c r="C1966" s="26" t="n">
        <v>1031</v>
      </c>
      <c r="D1966" s="14" t="inlineStr">
        <is>
          <t>COLÉGIO NOSSA SENHORA DA CONCEIÇÃO</t>
        </is>
      </c>
      <c r="E1966" s="14" t="inlineStr">
        <is>
          <t>BROTAS</t>
        </is>
      </c>
      <c r="F1966" s="14" t="inlineStr">
        <is>
          <t>AV. DOM JOÃO VI, 89 - ZONA URBANA</t>
        </is>
      </c>
      <c r="G1966" s="27" t="inlineStr">
        <is>
          <t>40240-320</t>
        </is>
      </c>
      <c r="H1966" s="15" t="n">
        <v>18</v>
      </c>
      <c r="I1966" s="28" t="inlineStr">
        <is>
          <t>NÃO</t>
        </is>
      </c>
      <c r="J1966" s="29" t="n">
        <v>189.3</v>
      </c>
      <c r="K1966" s="14" t="str">
        <f>IF(J1966="","7. Acima de 2 km",IF(J1966&lt;=50,"1. Até 50 m",IF(J1966&lt;=100,"2. De 50 a 100 m",IF(J1966&lt;=200,"3. De 100 a 200 m",IF(J1966&lt;=300,"4. De 200 a 300 m",IF(J1966&lt;=500,"5. De 300 a 500 m","6. De 500 m a 2 km"))))))</f>
        <v>3. De 100 a 200 m</v>
      </c>
      <c r="L1966" s="26" t="n">
        <v>0</v>
      </c>
      <c r="M1966" s="26" t="n">
        <v>0</v>
      </c>
      <c r="N1966" s="26" t="n">
        <v>1</v>
      </c>
      <c r="O1966" s="26" t="n">
        <v>2</v>
      </c>
      <c r="P1966" s="30" t="n">
        <v>-12.9854619</v>
      </c>
      <c r="Q1966" s="30" t="n">
        <v>-38.4949279</v>
      </c>
      <c r="R1966" s="14" t="inlineStr">
        <is>
          <t>CARTÓRIO DA 6ª ZONA ELEITORAL, 1ª AVENIDA DO CENTRO ADMINISTRATIVO DA BAHIA, 150, SALVADOR-BA.</t>
        </is>
      </c>
      <c r="S1966" s="26">
        <f>IF(A1966=A1965,0,1)</f>
        <v>0</v>
      </c>
      <c r="T1966" s="26">
        <f>IF(COUNTIF($B$4:B1966,B1966)=1,1,0)</f>
        <v>0</v>
      </c>
    </row>
    <row r="1967">
      <c r="A1967" s="14" t="inlineStr">
        <is>
          <t>SALVADOR</t>
        </is>
      </c>
      <c r="B1967" s="26" t="n">
        <v>6</v>
      </c>
      <c r="C1967" s="26" t="n">
        <v>1040</v>
      </c>
      <c r="D1967" s="14" t="inlineStr">
        <is>
          <t>ESCOLA MUNICIPAL NOSSA SENHORA DOS ANJOS</t>
        </is>
      </c>
      <c r="E1967" s="14" t="inlineStr">
        <is>
          <t>BROTAS</t>
        </is>
      </c>
      <c r="F1967" s="14" t="inlineStr">
        <is>
          <t>RUA DES. ANTÔNIO BULCÃO, 112 ZONA URBANA (PRÓXIMO AO POSTO DE SAÚDE)</t>
        </is>
      </c>
      <c r="G1967" s="27" t="inlineStr">
        <is>
          <t>40285-720</t>
        </is>
      </c>
      <c r="H1967" s="15" t="n">
        <v>12</v>
      </c>
      <c r="I1967" s="28" t="inlineStr">
        <is>
          <t>NÃO</t>
        </is>
      </c>
      <c r="J1967" s="29" t="n">
        <v>136.7</v>
      </c>
      <c r="K1967" s="14" t="str">
        <f>IF(J1967="","7. Acima de 2 km",IF(J1967&lt;=50,"1. Até 50 m",IF(J1967&lt;=100,"2. De 50 a 100 m",IF(J1967&lt;=200,"3. De 100 a 200 m",IF(J1967&lt;=300,"4. De 200 a 300 m",IF(J1967&lt;=500,"5. De 300 a 500 m","6. De 500 m a 2 km"))))))</f>
        <v>3. De 100 a 200 m</v>
      </c>
      <c r="L1967" s="26" t="n">
        <v>0</v>
      </c>
      <c r="M1967" s="26" t="n">
        <v>0</v>
      </c>
      <c r="N1967" s="26" t="n">
        <v>1</v>
      </c>
      <c r="O1967" s="26" t="n">
        <v>3</v>
      </c>
      <c r="P1967" s="30" t="n">
        <v>-12.9877338</v>
      </c>
      <c r="Q1967" s="30" t="n">
        <v>-38.4823861</v>
      </c>
      <c r="R1967" s="14" t="inlineStr">
        <is>
          <t>CARTÓRIO DA 6ª ZONA ELEITORAL, 1ª AVENIDA DO CENTRO ADMINISTRATIVO DA BAHIA, 150, SALVADOR-BA.</t>
        </is>
      </c>
      <c r="S1967" s="26">
        <f>IF(A1967=A1966,0,1)</f>
        <v>0</v>
      </c>
      <c r="T1967" s="26">
        <f>IF(COUNTIF($B$4:B1967,B1967)=1,1,0)</f>
        <v>0</v>
      </c>
    </row>
    <row r="1968">
      <c r="A1968" s="14" t="inlineStr">
        <is>
          <t>SALVADOR</t>
        </is>
      </c>
      <c r="B1968" s="26" t="n">
        <v>6</v>
      </c>
      <c r="C1968" s="26" t="n">
        <v>1104</v>
      </c>
      <c r="D1968" s="14" t="inlineStr">
        <is>
          <t>COLÉGIO ESTADUAL GÓES CALMON</t>
        </is>
      </c>
      <c r="E1968" s="14" t="inlineStr">
        <is>
          <t>BROTAS</t>
        </is>
      </c>
      <c r="F1968" s="14" t="inlineStr">
        <is>
          <t>AVENIDA DOM JOÃO VI, 131 - ZONA URBANA</t>
        </is>
      </c>
      <c r="G1968" s="27" t="inlineStr">
        <is>
          <t>40290-000</t>
        </is>
      </c>
      <c r="H1968" s="15" t="n">
        <v>24</v>
      </c>
      <c r="I1968" s="28" t="inlineStr">
        <is>
          <t>NÃO</t>
        </is>
      </c>
      <c r="J1968" s="29" t="n">
        <v>139.5</v>
      </c>
      <c r="K1968" s="14" t="str">
        <f>IF(J1968="","7. Acima de 2 km",IF(J1968&lt;=50,"1. Até 50 m",IF(J1968&lt;=100,"2. De 50 a 100 m",IF(J1968&lt;=200,"3. De 100 a 200 m",IF(J1968&lt;=300,"4. De 200 a 300 m",IF(J1968&lt;=500,"5. De 300 a 500 m","6. De 500 m a 2 km"))))))</f>
        <v>3. De 100 a 200 m</v>
      </c>
      <c r="L1968" s="26" t="n">
        <v>0</v>
      </c>
      <c r="M1968" s="26" t="n">
        <v>0</v>
      </c>
      <c r="N1968" s="26" t="n">
        <v>1</v>
      </c>
      <c r="O1968" s="26" t="n">
        <v>1</v>
      </c>
      <c r="P1968" s="30" t="n">
        <v>-12.9866114</v>
      </c>
      <c r="Q1968" s="30" t="n">
        <v>-38.4937369</v>
      </c>
      <c r="R1968" s="14" t="inlineStr">
        <is>
          <t>CARTÓRIO DA 6ª ZONA ELEITORAL, 1ª AVENIDA DO CENTRO ADMINISTRATIVO DA BAHIA, 150, SALVADOR-BA.</t>
        </is>
      </c>
      <c r="S1968" s="26">
        <f>IF(A1968=A1967,0,1)</f>
        <v>0</v>
      </c>
      <c r="T1968" s="26">
        <f>IF(COUNTIF($B$4:B1968,B1968)=1,1,0)</f>
        <v>0</v>
      </c>
    </row>
    <row r="1969">
      <c r="A1969" s="14" t="inlineStr">
        <is>
          <t>SALVADOR</t>
        </is>
      </c>
      <c r="B1969" s="26" t="n">
        <v>6</v>
      </c>
      <c r="C1969" s="26" t="n">
        <v>1333</v>
      </c>
      <c r="D1969" s="14" t="inlineStr">
        <is>
          <t>COLÉGIO ESTADUAL LUIZ VIANA (ANTIGA ESCOLA MANOEL VITORINO)</t>
        </is>
      </c>
      <c r="E1969" s="14" t="inlineStr">
        <is>
          <t>BROTAS</t>
        </is>
      </c>
      <c r="F1969" s="14" t="inlineStr">
        <is>
          <t>RUA WALDEMAR FALCÃO, 7 - ZONA URBANA</t>
        </is>
      </c>
      <c r="G1969" s="27" t="inlineStr">
        <is>
          <t>40285-885</t>
        </is>
      </c>
      <c r="H1969" s="15" t="n">
        <v>25</v>
      </c>
      <c r="I1969" s="28" t="inlineStr">
        <is>
          <t>SIM</t>
        </is>
      </c>
      <c r="J1969" s="29" t="n">
        <v>44.4</v>
      </c>
      <c r="K1969" s="14" t="str">
        <f>IF(J1969="","7. Acima de 2 km",IF(J1969&lt;=50,"1. Até 50 m",IF(J1969&lt;=100,"2. De 50 a 100 m",IF(J1969&lt;=200,"3. De 100 a 200 m",IF(J1969&lt;=300,"4. De 200 a 300 m",IF(J1969&lt;=500,"5. De 300 a 500 m","6. De 500 m a 2 km"))))))</f>
        <v>1. Até 50 m</v>
      </c>
      <c r="L1969" s="26" t="n">
        <v>1</v>
      </c>
      <c r="M1969" s="26" t="n">
        <v>1</v>
      </c>
      <c r="N1969" s="26" t="n">
        <v>5</v>
      </c>
      <c r="O1969" s="26" t="n">
        <v>7</v>
      </c>
      <c r="P1969" s="30" t="n">
        <v>-12.9920099</v>
      </c>
      <c r="Q1969" s="30" t="n">
        <v>-38.484202</v>
      </c>
      <c r="R1969" s="14" t="inlineStr">
        <is>
          <t>CARTÓRIO DA 6ª ZONA ELEITORAL, 1ª AVENIDA DO CENTRO ADMINISTRATIVO DA BAHIA, 150, SALVADOR-BA.</t>
        </is>
      </c>
      <c r="S1969" s="26">
        <f>IF(A1969=A1968,0,1)</f>
        <v>0</v>
      </c>
      <c r="T1969" s="26">
        <f>IF(COUNTIF($B$4:B1969,B1969)=1,1,0)</f>
        <v>0</v>
      </c>
    </row>
    <row r="1970">
      <c r="A1970" s="14" t="inlineStr">
        <is>
          <t>SALVADOR</t>
        </is>
      </c>
      <c r="B1970" s="26" t="n">
        <v>6</v>
      </c>
      <c r="C1970" s="26" t="n">
        <v>1341</v>
      </c>
      <c r="D1970" s="14" t="inlineStr">
        <is>
          <t>FUNDAÇÃO BAHIANA PARA DESENVOLVIMENTO DAS CIÊNCIAS</t>
        </is>
      </c>
      <c r="E1970" s="14" t="inlineStr">
        <is>
          <t>BROTAS</t>
        </is>
      </c>
      <c r="F1970" s="14" t="inlineStr">
        <is>
          <t>AV. DOM JOÃO VI, 275 - ZONA URBANA</t>
        </is>
      </c>
      <c r="G1970" s="27" t="inlineStr">
        <is>
          <t>40290-000</t>
        </is>
      </c>
      <c r="H1970" s="15" t="n">
        <v>21</v>
      </c>
      <c r="I1970" s="28" t="inlineStr">
        <is>
          <t>NÃO</t>
        </is>
      </c>
      <c r="J1970" s="29" t="n">
        <v>215</v>
      </c>
      <c r="K1970" s="14" t="str">
        <f>IF(J1970="","7. Acima de 2 km",IF(J1970&lt;=50,"1. Até 50 m",IF(J1970&lt;=100,"2. De 50 a 100 m",IF(J1970&lt;=200,"3. De 100 a 200 m",IF(J1970&lt;=300,"4. De 200 a 300 m",IF(J1970&lt;=500,"5. De 300 a 500 m","6. De 500 m a 2 km"))))))</f>
        <v>4. De 200 a 300 m</v>
      </c>
      <c r="L1970" s="26" t="n">
        <v>0</v>
      </c>
      <c r="M1970" s="26" t="n">
        <v>0</v>
      </c>
      <c r="N1970" s="26" t="n">
        <v>0</v>
      </c>
      <c r="O1970" s="26" t="n">
        <v>2</v>
      </c>
      <c r="P1970" s="30" t="n">
        <v>-12.9903565</v>
      </c>
      <c r="Q1970" s="30" t="n">
        <v>-38.4884551</v>
      </c>
      <c r="R1970" s="14" t="inlineStr">
        <is>
          <t>CARTÓRIO DA 6ª ZONA ELEITORAL, 1ª AVENIDA DO CENTRO ADMINISTRATIVO DA BAHIA, 150, SALVADOR-BA.</t>
        </is>
      </c>
      <c r="S1970" s="26">
        <f>IF(A1970=A1969,0,1)</f>
        <v>0</v>
      </c>
      <c r="T1970" s="26">
        <f>IF(COUNTIF($B$4:B1970,B1970)=1,1,0)</f>
        <v>0</v>
      </c>
    </row>
    <row r="1971">
      <c r="A1971" s="14" t="inlineStr">
        <is>
          <t>SALVADOR</t>
        </is>
      </c>
      <c r="B1971" s="26" t="n">
        <v>6</v>
      </c>
      <c r="C1971" s="26" t="n">
        <v>1538</v>
      </c>
      <c r="D1971" s="14" t="inlineStr">
        <is>
          <t>ESCOLA MUNICIPAL PROFESSOR ARISTIDES NOVIS</t>
        </is>
      </c>
      <c r="E1971" s="14" t="inlineStr">
        <is>
          <t>CAMPINAS DE BROTAS</t>
        </is>
      </c>
      <c r="F1971" s="14" t="inlineStr">
        <is>
          <t>ALAMEDA PIATÃ, 132 - ZONA URBANA</t>
        </is>
      </c>
      <c r="G1971" s="27" t="inlineStr">
        <is>
          <t>40275-010</t>
        </is>
      </c>
      <c r="H1971" s="15" t="n">
        <v>9</v>
      </c>
      <c r="I1971" s="28" t="inlineStr">
        <is>
          <t>NÃO</t>
        </is>
      </c>
      <c r="J1971" s="29" t="n">
        <v>138.2</v>
      </c>
      <c r="K1971" s="14" t="str">
        <f>IF(J1971="","7. Acima de 2 km",IF(J1971&lt;=50,"1. Até 50 m",IF(J1971&lt;=100,"2. De 50 a 100 m",IF(J1971&lt;=200,"3. De 100 a 200 m",IF(J1971&lt;=300,"4. De 200 a 300 m",IF(J1971&lt;=500,"5. De 300 a 500 m","6. De 500 m a 2 km"))))))</f>
        <v>3. De 100 a 200 m</v>
      </c>
      <c r="L1971" s="26" t="n">
        <v>0</v>
      </c>
      <c r="M1971" s="26" t="n">
        <v>0</v>
      </c>
      <c r="N1971" s="26" t="n">
        <v>1</v>
      </c>
      <c r="O1971" s="26" t="n">
        <v>1</v>
      </c>
      <c r="P1971" s="30" t="n">
        <v>-12.9815213</v>
      </c>
      <c r="Q1971" s="30" t="n">
        <v>-38.4789323</v>
      </c>
      <c r="R1971" s="14" t="inlineStr">
        <is>
          <t>CARTÓRIO DA 6ª ZONA ELEITORAL, 1ª AVENIDA DO CENTRO ADMINISTRATIVO DA BAHIA, 150, SALVADOR-BA.</t>
        </is>
      </c>
      <c r="S1971" s="26">
        <f>IF(A1971=A1970,0,1)</f>
        <v>0</v>
      </c>
      <c r="T1971" s="26">
        <f>IF(COUNTIF($B$4:B1971,B1971)=1,1,0)</f>
        <v>0</v>
      </c>
    </row>
    <row r="1972">
      <c r="A1972" s="14" t="inlineStr">
        <is>
          <t>SALVADOR</t>
        </is>
      </c>
      <c r="B1972" s="26" t="n">
        <v>6</v>
      </c>
      <c r="C1972" s="26" t="n">
        <v>1554</v>
      </c>
      <c r="D1972" s="14" t="inlineStr">
        <is>
          <t>COLÉGIO ESTADUAL DEPUTADO HENRIQUE BRITO</t>
        </is>
      </c>
      <c r="E1972" s="14" t="inlineStr">
        <is>
          <t>CAMPINAS DE BROTAS</t>
        </is>
      </c>
      <c r="F1972" s="14" t="inlineStr">
        <is>
          <t>RUA ENGENHEIRO JOSÉ ANASOH, 420-E - ZONA URBANA</t>
        </is>
      </c>
      <c r="G1972" s="27" t="inlineStr">
        <is>
          <t>40275-220</t>
        </is>
      </c>
      <c r="H1972" s="15" t="n">
        <v>6</v>
      </c>
      <c r="I1972" s="28" t="inlineStr">
        <is>
          <t>NÃO</t>
        </is>
      </c>
      <c r="J1972" s="29" t="n">
        <v>129.8</v>
      </c>
      <c r="K1972" s="14" t="str">
        <f>IF(J1972="","7. Acima de 2 km",IF(J1972&lt;=50,"1. Até 50 m",IF(J1972&lt;=100,"2. De 50 a 100 m",IF(J1972&lt;=200,"3. De 100 a 200 m",IF(J1972&lt;=300,"4. De 200 a 300 m",IF(J1972&lt;=500,"5. De 300 a 500 m","6. De 500 m a 2 km"))))))</f>
        <v>3. De 100 a 200 m</v>
      </c>
      <c r="L1972" s="26" t="n">
        <v>0</v>
      </c>
      <c r="M1972" s="26" t="n">
        <v>0</v>
      </c>
      <c r="N1972" s="26" t="n">
        <v>2</v>
      </c>
      <c r="O1972" s="26" t="n">
        <v>2</v>
      </c>
      <c r="P1972" s="30" t="n">
        <v>-12.9787109</v>
      </c>
      <c r="Q1972" s="30" t="n">
        <v>-38.4786323</v>
      </c>
      <c r="R1972" s="14" t="inlineStr">
        <is>
          <t>CARTÓRIO DA 6ª ZONA ELEITORAL, 1ª AVENIDA DO CENTRO ADMINISTRATIVO DA BAHIA, 150, SALVADOR-BA.</t>
        </is>
      </c>
      <c r="S1972" s="26">
        <f>IF(A1972=A1971,0,1)</f>
        <v>0</v>
      </c>
      <c r="T1972" s="26">
        <f>IF(COUNTIF($B$4:B1972,B1972)=1,1,0)</f>
        <v>0</v>
      </c>
    </row>
    <row r="1973">
      <c r="A1973" s="14" t="inlineStr">
        <is>
          <t>SALVADOR</t>
        </is>
      </c>
      <c r="B1973" s="26" t="n">
        <v>6</v>
      </c>
      <c r="C1973" s="26" t="n">
        <v>1589</v>
      </c>
      <c r="D1973" s="14" t="inlineStr">
        <is>
          <t>COLÉGIO ESTADUAL DR. JOÃO PEDRO DOS SANTOS</t>
        </is>
      </c>
      <c r="E1973" s="14" t="inlineStr">
        <is>
          <t>BROTAS</t>
        </is>
      </c>
      <c r="F1973" s="14" t="inlineStr">
        <is>
          <t>AV. MÁRIO LEAL FERREIRA  S/N - ZONA URBANA</t>
        </is>
      </c>
      <c r="G1973" s="27" t="inlineStr">
        <is>
          <t>40284-320</t>
        </is>
      </c>
      <c r="H1973" s="15" t="n">
        <v>9</v>
      </c>
      <c r="I1973" s="28" t="inlineStr">
        <is>
          <t>NÃO</t>
        </is>
      </c>
      <c r="J1973" s="29" t="n">
        <v>308.3</v>
      </c>
      <c r="K1973" s="14" t="str">
        <f>IF(J1973="","7. Acima de 2 km",IF(J1973&lt;=50,"1. Até 50 m",IF(J1973&lt;=100,"2. De 50 a 100 m",IF(J1973&lt;=200,"3. De 100 a 200 m",IF(J1973&lt;=300,"4. De 200 a 300 m",IF(J1973&lt;=500,"5. De 300 a 500 m","6. De 500 m a 2 km"))))))</f>
        <v>5. De 300 a 500 m</v>
      </c>
      <c r="L1973" s="26" t="n">
        <v>0</v>
      </c>
      <c r="M1973" s="26" t="n">
        <v>0</v>
      </c>
      <c r="N1973" s="26" t="n">
        <v>0</v>
      </c>
      <c r="O1973" s="26" t="n">
        <v>0</v>
      </c>
      <c r="P1973" s="30" t="n">
        <v>-12.983526</v>
      </c>
      <c r="Q1973" s="30" t="n">
        <v>-38.4869451</v>
      </c>
      <c r="R1973" s="14" t="inlineStr">
        <is>
          <t>CARTÓRIO DA 6ª ZONA ELEITORAL, 1ª AVENIDA DO CENTRO ADMINISTRATIVO DA BAHIA, 150, SALVADOR-BA.</t>
        </is>
      </c>
      <c r="S1973" s="26">
        <f>IF(A1973=A1972,0,1)</f>
        <v>0</v>
      </c>
      <c r="T1973" s="26">
        <f>IF(COUNTIF($B$4:B1973,B1973)=1,1,0)</f>
        <v>0</v>
      </c>
    </row>
    <row r="1974">
      <c r="A1974" s="14" t="inlineStr">
        <is>
          <t>SALVADOR</t>
        </is>
      </c>
      <c r="B1974" s="26" t="n">
        <v>6</v>
      </c>
      <c r="C1974" s="26" t="n">
        <v>1651</v>
      </c>
      <c r="D1974" s="14" t="inlineStr">
        <is>
          <t>ESCOLA MUNICIPAL JOÃO PEDRO DOS SANTOS</t>
        </is>
      </c>
      <c r="E1974" s="14" t="inlineStr">
        <is>
          <t>BROTAS</t>
        </is>
      </c>
      <c r="F1974" s="14" t="inlineStr">
        <is>
          <t>AVENIDA MÁRIO LEAL FERREIRA, S/N - ZONA URBANA</t>
        </is>
      </c>
      <c r="G1974" s="27" t="inlineStr">
        <is>
          <t>40253-480</t>
        </is>
      </c>
      <c r="H1974" s="15" t="n">
        <v>3</v>
      </c>
      <c r="I1974" s="28" t="inlineStr">
        <is>
          <t>NÃO</t>
        </is>
      </c>
      <c r="J1974" s="29" t="n">
        <v>272</v>
      </c>
      <c r="K1974" s="14" t="str">
        <f>IF(J1974="","7. Acima de 2 km",IF(J1974&lt;=50,"1. Até 50 m",IF(J1974&lt;=100,"2. De 50 a 100 m",IF(J1974&lt;=200,"3. De 100 a 200 m",IF(J1974&lt;=300,"4. De 200 a 300 m",IF(J1974&lt;=500,"5. De 300 a 500 m","6. De 500 m a 2 km"))))))</f>
        <v>4. De 200 a 300 m</v>
      </c>
      <c r="L1974" s="26" t="n">
        <v>0</v>
      </c>
      <c r="M1974" s="26" t="n">
        <v>0</v>
      </c>
      <c r="N1974" s="26" t="n">
        <v>0</v>
      </c>
      <c r="O1974" s="26" t="n">
        <v>4</v>
      </c>
      <c r="P1974" s="30" t="n">
        <v>-12.9831677</v>
      </c>
      <c r="Q1974" s="30" t="n">
        <v>-38.486507</v>
      </c>
      <c r="R1974" s="14" t="inlineStr">
        <is>
          <t>CARTÓRIO DA 6ª ZONA ELEITORAL, 1ª AVENIDA DO CENTRO ADMINISTRATIVO DA BAHIA, 150, SALVADOR-BA.</t>
        </is>
      </c>
      <c r="S1974" s="26">
        <f>IF(A1974=A1973,0,1)</f>
        <v>0</v>
      </c>
      <c r="T1974" s="26">
        <f>IF(COUNTIF($B$4:B1974,B1974)=1,1,0)</f>
        <v>0</v>
      </c>
    </row>
    <row r="1975">
      <c r="A1975" s="14" t="inlineStr">
        <is>
          <t>SALVADOR</t>
        </is>
      </c>
      <c r="B1975" s="26" t="n">
        <v>6</v>
      </c>
      <c r="C1975" s="26" t="n">
        <v>1660</v>
      </c>
      <c r="D1975" s="14" t="inlineStr">
        <is>
          <t>CENTRO EDUCACIONAL NOSSA SENHORA DO RESGATE</t>
        </is>
      </c>
      <c r="E1975" s="14" t="inlineStr">
        <is>
          <t>BOA VISTA DE BROTAS</t>
        </is>
      </c>
      <c r="F1975" s="14" t="inlineStr">
        <is>
          <t>RUA SALGADO FILHO, 2 - ZONA URBANA</t>
        </is>
      </c>
      <c r="G1975" s="27" t="inlineStr">
        <is>
          <t>40240-350</t>
        </is>
      </c>
      <c r="H1975" s="15" t="n">
        <v>14</v>
      </c>
      <c r="I1975" s="28" t="inlineStr">
        <is>
          <t>NÃO</t>
        </is>
      </c>
      <c r="J1975" s="29" t="n">
        <v>190</v>
      </c>
      <c r="K1975" s="14" t="str">
        <f>IF(J1975="","7. Acima de 2 km",IF(J1975&lt;=50,"1. Até 50 m",IF(J1975&lt;=100,"2. De 50 a 100 m",IF(J1975&lt;=200,"3. De 100 a 200 m",IF(J1975&lt;=300,"4. De 200 a 300 m",IF(J1975&lt;=500,"5. De 300 a 500 m","6. De 500 m a 2 km"))))))</f>
        <v>3. De 100 a 200 m</v>
      </c>
      <c r="L1975" s="26" t="n">
        <v>0</v>
      </c>
      <c r="M1975" s="26" t="n">
        <v>0</v>
      </c>
      <c r="N1975" s="26" t="n">
        <v>1</v>
      </c>
      <c r="O1975" s="26" t="n">
        <v>7</v>
      </c>
      <c r="P1975" s="30" t="n">
        <v>-12.9809557</v>
      </c>
      <c r="Q1975" s="30" t="n">
        <v>-38.4994578</v>
      </c>
      <c r="R1975" s="14" t="inlineStr">
        <is>
          <t>CARTÓRIO DA 6ª ZONA ELEITORAL, 1ª AVENIDA DO CENTRO ADMINISTRATIVO DA BAHIA, 150, SALVADOR-BA.</t>
        </is>
      </c>
      <c r="S1975" s="26">
        <f>IF(A1975=A1974,0,1)</f>
        <v>0</v>
      </c>
      <c r="T1975" s="26">
        <f>IF(COUNTIF($B$4:B1975,B1975)=1,1,0)</f>
        <v>0</v>
      </c>
    </row>
    <row r="1976">
      <c r="A1976" s="14" t="inlineStr">
        <is>
          <t>SALVADOR</t>
        </is>
      </c>
      <c r="B1976" s="26" t="n">
        <v>6</v>
      </c>
      <c r="C1976" s="26" t="n">
        <v>1678</v>
      </c>
      <c r="D1976" s="14" t="inlineStr">
        <is>
          <t>ESCOLA ESTADUAL MARIA ROMANA CALMON</t>
        </is>
      </c>
      <c r="E1976" s="14" t="inlineStr">
        <is>
          <t>ENGENHO VELHO DE BROTAS</t>
        </is>
      </c>
      <c r="F1976" s="14" t="inlineStr">
        <is>
          <t>RUA ALMIRANTE ALVES CÂMARA, 114 - ZONA URBANA</t>
        </is>
      </c>
      <c r="G1976" s="27" t="inlineStr">
        <is>
          <t>40243-000</t>
        </is>
      </c>
      <c r="H1976" s="15" t="n">
        <v>7</v>
      </c>
      <c r="I1976" s="28" t="inlineStr">
        <is>
          <t>NÃO</t>
        </is>
      </c>
      <c r="J1976" s="29" t="n">
        <v>144.7</v>
      </c>
      <c r="K1976" s="14" t="str">
        <f>IF(J1976="","7. Acima de 2 km",IF(J1976&lt;=50,"1. Até 50 m",IF(J1976&lt;=100,"2. De 50 a 100 m",IF(J1976&lt;=200,"3. De 100 a 200 m",IF(J1976&lt;=300,"4. De 200 a 300 m",IF(J1976&lt;=500,"5. De 300 a 500 m","6. De 500 m a 2 km"))))))</f>
        <v>3. De 100 a 200 m</v>
      </c>
      <c r="L1976" s="26" t="n">
        <v>0</v>
      </c>
      <c r="M1976" s="26" t="n">
        <v>0</v>
      </c>
      <c r="N1976" s="26" t="n">
        <v>1</v>
      </c>
      <c r="O1976" s="26" t="n">
        <v>2</v>
      </c>
      <c r="P1976" s="30" t="n">
        <v>-12.9888853</v>
      </c>
      <c r="Q1976" s="30" t="n">
        <v>-38.5007277</v>
      </c>
      <c r="R1976" s="14" t="inlineStr">
        <is>
          <t>CARTÓRIO DA 6ª ZONA ELEITORAL, 1ª AVENIDA DO CENTRO ADMINISTRATIVO DA BAHIA, 150, SALVADOR-BA.</t>
        </is>
      </c>
      <c r="S1976" s="26">
        <f>IF(A1976=A1975,0,1)</f>
        <v>0</v>
      </c>
      <c r="T1976" s="26">
        <f>IF(COUNTIF($B$4:B1976,B1976)=1,1,0)</f>
        <v>0</v>
      </c>
    </row>
    <row r="1977">
      <c r="A1977" s="14" t="inlineStr">
        <is>
          <t>SALVADOR</t>
        </is>
      </c>
      <c r="B1977" s="26" t="n">
        <v>6</v>
      </c>
      <c r="C1977" s="26" t="n">
        <v>1686</v>
      </c>
      <c r="D1977" s="14" t="inlineStr">
        <is>
          <t>COLÉGIO ESTADUAL CIDADE DE CURITIBA</t>
        </is>
      </c>
      <c r="E1977" s="14" t="inlineStr">
        <is>
          <t>ENGENHO VELHO DE BROTAS</t>
        </is>
      </c>
      <c r="F1977" s="14" t="inlineStr">
        <is>
          <t>RUA PADRE LUIZ FILGUEIRAS, S/N - ZONA URBANA</t>
        </is>
      </c>
      <c r="G1977" s="27" t="inlineStr">
        <is>
          <t>40243-320</t>
        </is>
      </c>
      <c r="H1977" s="15" t="n">
        <v>17</v>
      </c>
      <c r="I1977" s="28" t="inlineStr">
        <is>
          <t>NÃO</t>
        </is>
      </c>
      <c r="J1977" s="29" t="n">
        <v>283.9</v>
      </c>
      <c r="K1977" s="14" t="str">
        <f>IF(J1977="","7. Acima de 2 km",IF(J1977&lt;=50,"1. Até 50 m",IF(J1977&lt;=100,"2. De 50 a 100 m",IF(J1977&lt;=200,"3. De 100 a 200 m",IF(J1977&lt;=300,"4. De 200 a 300 m",IF(J1977&lt;=500,"5. De 300 a 500 m","6. De 500 m a 2 km"))))))</f>
        <v>4. De 200 a 300 m</v>
      </c>
      <c r="L1977" s="26" t="n">
        <v>0</v>
      </c>
      <c r="M1977" s="26" t="n">
        <v>0</v>
      </c>
      <c r="N1977" s="26" t="n">
        <v>0</v>
      </c>
      <c r="O1977" s="26" t="n">
        <v>1</v>
      </c>
      <c r="P1977" s="30" t="n">
        <v>-12.9923376</v>
      </c>
      <c r="Q1977" s="30" t="n">
        <v>-38.4975269</v>
      </c>
      <c r="R1977" s="14" t="inlineStr">
        <is>
          <t>CARTÓRIO DA 6ª ZONA ELEITORAL, 1ª AVENIDA DO CENTRO ADMINISTRATIVO DA BAHIA, 150, SALVADOR-BA.</t>
        </is>
      </c>
      <c r="S1977" s="26">
        <f>IF(A1977=A1976,0,1)</f>
        <v>0</v>
      </c>
      <c r="T1977" s="26">
        <f>IF(COUNTIF($B$4:B1977,B1977)=1,1,0)</f>
        <v>0</v>
      </c>
    </row>
    <row r="1978">
      <c r="A1978" s="14" t="inlineStr">
        <is>
          <t>SALVADOR</t>
        </is>
      </c>
      <c r="B1978" s="26" t="n">
        <v>6</v>
      </c>
      <c r="C1978" s="26" t="n">
        <v>1708</v>
      </c>
      <c r="D1978" s="14" t="inlineStr">
        <is>
          <t>ESCOLA MUNICIPAL MARTAGÃO GESTEIRA</t>
        </is>
      </c>
      <c r="E1978" s="14" t="inlineStr">
        <is>
          <t>ENGENHO VELHO DE BROTAS</t>
        </is>
      </c>
      <c r="F1978" s="14" t="inlineStr">
        <is>
          <t>RUA ALMIRANTE ALVES CÂMARA, N 114 - ZONA URBANA</t>
        </is>
      </c>
      <c r="G1978" s="27" t="inlineStr">
        <is>
          <t>40243-000</t>
        </is>
      </c>
      <c r="H1978" s="15" t="n">
        <v>6</v>
      </c>
      <c r="I1978" s="28" t="inlineStr">
        <is>
          <t>NÃO</t>
        </is>
      </c>
      <c r="J1978" s="29" t="n">
        <v>202.2</v>
      </c>
      <c r="K1978" s="14" t="str">
        <f>IF(J1978="","7. Acima de 2 km",IF(J1978&lt;=50,"1. Até 50 m",IF(J1978&lt;=100,"2. De 50 a 100 m",IF(J1978&lt;=200,"3. De 100 a 200 m",IF(J1978&lt;=300,"4. De 200 a 300 m",IF(J1978&lt;=500,"5. De 300 a 500 m","6. De 500 m a 2 km"))))))</f>
        <v>4. De 200 a 300 m</v>
      </c>
      <c r="L1978" s="26" t="n">
        <v>0</v>
      </c>
      <c r="M1978" s="26" t="n">
        <v>0</v>
      </c>
      <c r="N1978" s="26" t="n">
        <v>0</v>
      </c>
      <c r="O1978" s="26" t="n">
        <v>2</v>
      </c>
      <c r="P1978" s="30" t="n">
        <v>-12.988565</v>
      </c>
      <c r="Q1978" s="30" t="n">
        <v>-38.5011486</v>
      </c>
      <c r="R1978" s="14" t="inlineStr">
        <is>
          <t>CARTÓRIO DA 6ª ZONA ELEITORAL, 1ª AVENIDA DO CENTRO ADMINISTRATIVO DA BAHIA, 150, SALVADOR-BA.</t>
        </is>
      </c>
      <c r="S1978" s="26">
        <f>IF(A1978=A1977,0,1)</f>
        <v>0</v>
      </c>
      <c r="T1978" s="26">
        <f>IF(COUNTIF($B$4:B1978,B1978)=1,1,0)</f>
        <v>0</v>
      </c>
    </row>
    <row r="1979">
      <c r="A1979" s="14" t="inlineStr">
        <is>
          <t>SALVADOR</t>
        </is>
      </c>
      <c r="B1979" s="26" t="n">
        <v>6</v>
      </c>
      <c r="C1979" s="26" t="n">
        <v>1716</v>
      </c>
      <c r="D1979" s="14" t="inlineStr">
        <is>
          <t>COLÉGIO ESTADUAL LÊDA JESUÍNO DOS SANTOS</t>
        </is>
      </c>
      <c r="E1979" s="14" t="inlineStr">
        <is>
          <t>ENGENHO VELHO DE BROTAS</t>
        </is>
      </c>
      <c r="F1979" s="14" t="inlineStr">
        <is>
          <t>RUA ALMIRANTE ALVES CÂMARA, S/N - ZONA URBANA</t>
        </is>
      </c>
      <c r="G1979" s="27" t="inlineStr">
        <is>
          <t>40243-000</t>
        </is>
      </c>
      <c r="H1979" s="15" t="n">
        <v>12</v>
      </c>
      <c r="I1979" s="28" t="inlineStr">
        <is>
          <t>SIM</t>
        </is>
      </c>
      <c r="J1979" s="29" t="n">
        <v>17.6</v>
      </c>
      <c r="K1979" s="14" t="str">
        <f>IF(J1979="","7. Acima de 2 km",IF(J1979&lt;=50,"1. Até 50 m",IF(J1979&lt;=100,"2. De 50 a 100 m",IF(J1979&lt;=200,"3. De 100 a 200 m",IF(J1979&lt;=300,"4. De 200 a 300 m",IF(J1979&lt;=500,"5. De 300 a 500 m","6. De 500 m a 2 km"))))))</f>
        <v>1. Até 50 m</v>
      </c>
      <c r="L1979" s="26" t="n">
        <v>1</v>
      </c>
      <c r="M1979" s="26" t="n">
        <v>1</v>
      </c>
      <c r="N1979" s="26" t="n">
        <v>1</v>
      </c>
      <c r="O1979" s="26" t="n">
        <v>1</v>
      </c>
      <c r="P1979" s="30" t="n">
        <v>-12.9893934</v>
      </c>
      <c r="Q1979" s="30" t="n">
        <v>-38.4996014</v>
      </c>
      <c r="R1979" s="14" t="inlineStr">
        <is>
          <t>CARTÓRIO DA 6ª ZONA ELEITORAL, 1ª AVENIDA DO CENTRO ADMINISTRATIVO DA BAHIA, 150, SALVADOR-BA.</t>
        </is>
      </c>
      <c r="S1979" s="26">
        <f>IF(A1979=A1978,0,1)</f>
        <v>0</v>
      </c>
      <c r="T1979" s="26">
        <f>IF(COUNTIF($B$4:B1979,B1979)=1,1,0)</f>
        <v>0</v>
      </c>
    </row>
    <row r="1980">
      <c r="A1980" s="14" t="inlineStr">
        <is>
          <t>SALVADOR</t>
        </is>
      </c>
      <c r="B1980" s="26" t="n">
        <v>6</v>
      </c>
      <c r="C1980" s="26" t="n">
        <v>1724</v>
      </c>
      <c r="D1980" s="14" t="inlineStr">
        <is>
          <t>ESCOLA MUNICIPAL SENADOR  ANTONIO CARLOS MAGALHÃES</t>
        </is>
      </c>
      <c r="E1980" s="14" t="inlineStr">
        <is>
          <t>ACUPE</t>
        </is>
      </c>
      <c r="F1980" s="14" t="inlineStr">
        <is>
          <t>AV. GENERAL GRAÇA LESSA, S/N - ZONA URBANA</t>
        </is>
      </c>
      <c r="G1980" s="27" t="inlineStr">
        <is>
          <t>40290-500</t>
        </is>
      </c>
      <c r="H1980" s="15" t="n">
        <v>12</v>
      </c>
      <c r="I1980" s="28" t="inlineStr">
        <is>
          <t>SIM</t>
        </is>
      </c>
      <c r="J1980" s="29" t="n">
        <v>27.4</v>
      </c>
      <c r="K1980" s="14" t="str">
        <f>IF(J1980="","7. Acima de 2 km",IF(J1980&lt;=50,"1. Até 50 m",IF(J1980&lt;=100,"2. De 50 a 100 m",IF(J1980&lt;=200,"3. De 100 a 200 m",IF(J1980&lt;=300,"4. De 200 a 300 m",IF(J1980&lt;=500,"5. De 300 a 500 m","6. De 500 m a 2 km"))))))</f>
        <v>1. Até 50 m</v>
      </c>
      <c r="L1980" s="26" t="n">
        <v>2</v>
      </c>
      <c r="M1980" s="26" t="n">
        <v>2</v>
      </c>
      <c r="N1980" s="26" t="n">
        <v>3</v>
      </c>
      <c r="O1980" s="26" t="n">
        <v>3</v>
      </c>
      <c r="P1980" s="30" t="n">
        <v>-12.9946892</v>
      </c>
      <c r="Q1980" s="30" t="n">
        <v>-38.4963212</v>
      </c>
      <c r="R1980" s="14" t="inlineStr">
        <is>
          <t>CARTÓRIO DA 6ª ZONA ELEITORAL, 1ª AVENIDA DO CENTRO ADMINISTRATIVO DA BAHIA, 150, SALVADOR-BA.</t>
        </is>
      </c>
      <c r="S1980" s="26">
        <f>IF(A1980=A1979,0,1)</f>
        <v>0</v>
      </c>
      <c r="T1980" s="26">
        <f>IF(COUNTIF($B$4:B1980,B1980)=1,1,0)</f>
        <v>0</v>
      </c>
    </row>
    <row r="1981">
      <c r="A1981" s="14" t="inlineStr">
        <is>
          <t>SALVADOR</t>
        </is>
      </c>
      <c r="B1981" s="26" t="n">
        <v>6</v>
      </c>
      <c r="C1981" s="26" t="n">
        <v>1740</v>
      </c>
      <c r="D1981" s="14" t="inlineStr">
        <is>
          <t>CMEI - ABRIGO DO SALVADOR</t>
        </is>
      </c>
      <c r="E1981" s="14" t="inlineStr">
        <is>
          <t>CAMPINAS DE BROTAS</t>
        </is>
      </c>
      <c r="F1981" s="14" t="inlineStr">
        <is>
          <t>RUA CAMPINAS DE BROTAS, S/N - FIM DE LINHA - ZONA URBANA</t>
        </is>
      </c>
      <c r="G1981" s="27" t="inlineStr">
        <is>
          <t>40275-170</t>
        </is>
      </c>
      <c r="H1981" s="15" t="n">
        <v>5</v>
      </c>
      <c r="I1981" s="28" t="inlineStr">
        <is>
          <t>NÃO</t>
        </is>
      </c>
      <c r="J1981" s="29" t="n">
        <v>129.8</v>
      </c>
      <c r="K1981" s="14" t="str">
        <f>IF(J1981="","7. Acima de 2 km",IF(J1981&lt;=50,"1. Até 50 m",IF(J1981&lt;=100,"2. De 50 a 100 m",IF(J1981&lt;=200,"3. De 100 a 200 m",IF(J1981&lt;=300,"4. De 200 a 300 m",IF(J1981&lt;=500,"5. De 300 a 500 m","6. De 500 m a 2 km"))))))</f>
        <v>3. De 100 a 200 m</v>
      </c>
      <c r="L1981" s="26" t="n">
        <v>0</v>
      </c>
      <c r="M1981" s="26" t="n">
        <v>0</v>
      </c>
      <c r="N1981" s="26" t="n">
        <v>1</v>
      </c>
      <c r="O1981" s="26" t="n">
        <v>2</v>
      </c>
      <c r="P1981" s="30" t="n">
        <v>-12.9831048</v>
      </c>
      <c r="Q1981" s="30" t="n">
        <v>-38.4770724</v>
      </c>
      <c r="R1981" s="14" t="inlineStr">
        <is>
          <t>CARTÓRIO DA 6ª ZONA ELEITORAL, 1ª AVENIDA DO CENTRO ADMINISTRATIVO DA BAHIA, 150, SALVADOR-BA.</t>
        </is>
      </c>
      <c r="S1981" s="26">
        <f>IF(A1981=A1980,0,1)</f>
        <v>0</v>
      </c>
      <c r="T1981" s="26">
        <f>IF(COUNTIF($B$4:B1981,B1981)=1,1,0)</f>
        <v>0</v>
      </c>
    </row>
    <row r="1982">
      <c r="A1982" s="14" t="inlineStr">
        <is>
          <t>SALVADOR</t>
        </is>
      </c>
      <c r="B1982" s="26" t="n">
        <v>6</v>
      </c>
      <c r="C1982" s="26" t="n">
        <v>1759</v>
      </c>
      <c r="D1982" s="14" t="inlineStr">
        <is>
          <t>COLÉGIO PONTO ALTO</t>
        </is>
      </c>
      <c r="E1982" s="14" t="inlineStr">
        <is>
          <t>CAMPINAS DE BROTAS</t>
        </is>
      </c>
      <c r="F1982" s="14" t="inlineStr">
        <is>
          <t>RUA CAMPINAS DE BROTAS, 566 - ZONA URBANA</t>
        </is>
      </c>
      <c r="G1982" s="27" t="inlineStr">
        <is>
          <t>40275-160</t>
        </is>
      </c>
      <c r="H1982" s="15" t="n">
        <v>4</v>
      </c>
      <c r="I1982" s="28" t="inlineStr">
        <is>
          <t>NÃO</t>
        </is>
      </c>
      <c r="J1982" s="29" t="n">
        <v>127.6</v>
      </c>
      <c r="K1982" s="14" t="str">
        <f>IF(J1982="","7. Acima de 2 km",IF(J1982&lt;=50,"1. Até 50 m",IF(J1982&lt;=100,"2. De 50 a 100 m",IF(J1982&lt;=200,"3. De 100 a 200 m",IF(J1982&lt;=300,"4. De 200 a 300 m",IF(J1982&lt;=500,"5. De 300 a 500 m","6. De 500 m a 2 km"))))))</f>
        <v>3. De 100 a 200 m</v>
      </c>
      <c r="L1982" s="26" t="n">
        <v>0</v>
      </c>
      <c r="M1982" s="26" t="n">
        <v>0</v>
      </c>
      <c r="N1982" s="26" t="n">
        <v>2</v>
      </c>
      <c r="O1982" s="26" t="n">
        <v>2</v>
      </c>
      <c r="P1982" s="30" t="n">
        <v>-12.9835283</v>
      </c>
      <c r="Q1982" s="30" t="n">
        <v>-38.4781662</v>
      </c>
      <c r="R1982" s="14" t="inlineStr">
        <is>
          <t>CARTÓRIO DA 6ª ZONA ELEITORAL, 1ª AVENIDA DO CENTRO ADMINISTRATIVO DA BAHIA, 150, SALVADOR-BA.</t>
        </is>
      </c>
      <c r="S1982" s="26">
        <f>IF(A1982=A1981,0,1)</f>
        <v>0</v>
      </c>
      <c r="T1982" s="26">
        <f>IF(COUNTIF($B$4:B1982,B1982)=1,1,0)</f>
        <v>0</v>
      </c>
    </row>
    <row r="1983">
      <c r="A1983" s="14" t="inlineStr">
        <is>
          <t>SALVADOR</t>
        </is>
      </c>
      <c r="B1983" s="26" t="n">
        <v>7</v>
      </c>
      <c r="C1983" s="26" t="n">
        <v>1015</v>
      </c>
      <c r="D1983" s="14" t="inlineStr">
        <is>
          <t>COLÉGIO DA BAHIA (CENTRAL)</t>
        </is>
      </c>
      <c r="E1983" s="14" t="inlineStr">
        <is>
          <t>NAZARÉ</t>
        </is>
      </c>
      <c r="F1983" s="14" t="inlineStr">
        <is>
          <t>AV. JOANA ANGÉLICA, S/N - ZONA URBANA</t>
        </is>
      </c>
      <c r="G1983" s="27" t="inlineStr">
        <is>
          <t>40045-205</t>
        </is>
      </c>
      <c r="H1983" s="15" t="n">
        <v>25</v>
      </c>
      <c r="I1983" s="28" t="inlineStr">
        <is>
          <t>NÃO</t>
        </is>
      </c>
      <c r="J1983" s="29" t="n">
        <v>131.8</v>
      </c>
      <c r="K1983" s="14" t="str">
        <f>IF(J1983="","7. Acima de 2 km",IF(J1983&lt;=50,"1. Até 50 m",IF(J1983&lt;=100,"2. De 50 a 100 m",IF(J1983&lt;=200,"3. De 100 a 200 m",IF(J1983&lt;=300,"4. De 200 a 300 m",IF(J1983&lt;=500,"5. De 300 a 500 m","6. De 500 m a 2 km"))))))</f>
        <v>3. De 100 a 200 m</v>
      </c>
      <c r="L1983" s="26" t="n">
        <v>0</v>
      </c>
      <c r="M1983" s="26" t="n">
        <v>0</v>
      </c>
      <c r="N1983" s="26" t="n">
        <v>11</v>
      </c>
      <c r="O1983" s="26" t="n">
        <v>13</v>
      </c>
      <c r="P1983" s="30" t="n">
        <v>-12.9817326</v>
      </c>
      <c r="Q1983" s="30" t="n">
        <v>-38.5111139</v>
      </c>
      <c r="R1983" s="14" t="inlineStr">
        <is>
          <t>CARTÓRIO DA 7ª ZONA ELEITORAL, 1ª AVENIDA DO CENTRO ADMINISTRATIVO DA BAHIA, 150, SALVADOR-BA.</t>
        </is>
      </c>
      <c r="S1983" s="26">
        <f>IF(A1983=A1982,0,1)</f>
        <v>0</v>
      </c>
      <c r="T1983" s="26">
        <f>IF(COUNTIF($B$4:B1983,B1983)=1,1,0)</f>
        <v>1</v>
      </c>
    </row>
    <row r="1984">
      <c r="A1984" s="14" t="inlineStr">
        <is>
          <t>SALVADOR</t>
        </is>
      </c>
      <c r="B1984" s="26" t="n">
        <v>7</v>
      </c>
      <c r="C1984" s="26" t="n">
        <v>1082</v>
      </c>
      <c r="D1984" s="14" t="inlineStr">
        <is>
          <t>ESCOLA TEIXEIRA DE FREITAS</t>
        </is>
      </c>
      <c r="E1984" s="14" t="inlineStr">
        <is>
          <t>NAZARÉ</t>
        </is>
      </c>
      <c r="F1984" s="14" t="inlineStr">
        <is>
          <t>RUA DA MANGUEIRA, 10/20 - ZONA URBANA</t>
        </is>
      </c>
      <c r="G1984" s="27" t="inlineStr">
        <is>
          <t>40040-400</t>
        </is>
      </c>
      <c r="H1984" s="15" t="n">
        <v>7</v>
      </c>
      <c r="I1984" s="28" t="inlineStr">
        <is>
          <t>SIM</t>
        </is>
      </c>
      <c r="J1984" s="29" t="n">
        <v>51.1</v>
      </c>
      <c r="K1984" s="14" t="str">
        <f>IF(J1984="","7. Acima de 2 km",IF(J1984&lt;=50,"1. Até 50 m",IF(J1984&lt;=100,"2. De 50 a 100 m",IF(J1984&lt;=200,"3. De 100 a 200 m",IF(J1984&lt;=300,"4. De 200 a 300 m",IF(J1984&lt;=500,"5. De 300 a 500 m","6. De 500 m a 2 km"))))))</f>
        <v>2. De 50 a 100 m</v>
      </c>
      <c r="L1984" s="26" t="n">
        <v>0</v>
      </c>
      <c r="M1984" s="26" t="n">
        <v>1</v>
      </c>
      <c r="N1984" s="26" t="n">
        <v>1</v>
      </c>
      <c r="O1984" s="26" t="n">
        <v>3</v>
      </c>
      <c r="P1984" s="30" t="n">
        <v>-12.9802604</v>
      </c>
      <c r="Q1984" s="30" t="n">
        <v>-38.5101474</v>
      </c>
      <c r="R1984" s="14" t="inlineStr">
        <is>
          <t>CARTÓRIO DA 7ª ZONA ELEITORAL, 1ª AVENIDA DO CENTRO ADMINISTRATIVO DA BAHIA, 150, SALVADOR-BA.</t>
        </is>
      </c>
      <c r="S1984" s="26">
        <f>IF(A1984=A1983,0,1)</f>
        <v>0</v>
      </c>
      <c r="T1984" s="26">
        <f>IF(COUNTIF($B$4:B1984,B1984)=1,1,0)</f>
        <v>0</v>
      </c>
    </row>
    <row r="1985">
      <c r="A1985" s="14" t="inlineStr">
        <is>
          <t>SALVADOR</t>
        </is>
      </c>
      <c r="B1985" s="26" t="n">
        <v>7</v>
      </c>
      <c r="C1985" s="26" t="n">
        <v>1252</v>
      </c>
      <c r="D1985" s="14" t="inlineStr">
        <is>
          <t>FUNDAÇÃO VISCONDE DE CAYRU</t>
        </is>
      </c>
      <c r="E1985" s="14" t="inlineStr">
        <is>
          <t>BARRIS</t>
        </is>
      </c>
      <c r="F1985" s="14" t="inlineStr">
        <is>
          <t>RUA DO SALETE 50 - ZONA URBANA</t>
        </is>
      </c>
      <c r="G1985" s="27" t="inlineStr">
        <is>
          <t>40070-200</t>
        </is>
      </c>
      <c r="H1985" s="15" t="n">
        <v>11</v>
      </c>
      <c r="I1985" s="28" t="inlineStr">
        <is>
          <t>NÃO</t>
        </is>
      </c>
      <c r="J1985" s="29" t="n">
        <v>197.7</v>
      </c>
      <c r="K1985" s="14" t="str">
        <f>IF(J1985="","7. Acima de 2 km",IF(J1985&lt;=50,"1. Até 50 m",IF(J1985&lt;=100,"2. De 50 a 100 m",IF(J1985&lt;=200,"3. De 100 a 200 m",IF(J1985&lt;=300,"4. De 200 a 300 m",IF(J1985&lt;=500,"5. De 300 a 500 m","6. De 500 m a 2 km"))))))</f>
        <v>3. De 100 a 200 m</v>
      </c>
      <c r="L1985" s="26" t="n">
        <v>0</v>
      </c>
      <c r="M1985" s="26" t="n">
        <v>0</v>
      </c>
      <c r="N1985" s="26" t="n">
        <v>2</v>
      </c>
      <c r="O1985" s="26" t="n">
        <v>10</v>
      </c>
      <c r="P1985" s="30" t="n">
        <v>-12.9859724</v>
      </c>
      <c r="Q1985" s="30" t="n">
        <v>-38.5153355</v>
      </c>
      <c r="R1985" s="14" t="inlineStr">
        <is>
          <t>CARTÓRIO DA 7ª ZONA ELEITORAL, 1ª AVENIDA DO CENTRO ADMINISTRATIVO DA BAHIA, 150, SALVADOR-BA.</t>
        </is>
      </c>
      <c r="S1985" s="26">
        <f>IF(A1985=A1984,0,1)</f>
        <v>0</v>
      </c>
      <c r="T1985" s="26">
        <f>IF(COUNTIF($B$4:B1985,B1985)=1,1,0)</f>
        <v>0</v>
      </c>
    </row>
    <row r="1986">
      <c r="A1986" s="14" t="inlineStr">
        <is>
          <t>SALVADOR</t>
        </is>
      </c>
      <c r="B1986" s="26" t="n">
        <v>7</v>
      </c>
      <c r="C1986" s="26" t="n">
        <v>1309</v>
      </c>
      <c r="D1986" s="14" t="inlineStr">
        <is>
          <t>INSTITUTO DE EDUCAÇÃO ÍSAIAS ALVES - ICEIA</t>
        </is>
      </c>
      <c r="E1986" s="14" t="inlineStr">
        <is>
          <t>BARBALHO</t>
        </is>
      </c>
      <c r="F1986" s="14" t="inlineStr">
        <is>
          <t>PÇA. DO BARBALHO, S/N - ZONA URBANA</t>
        </is>
      </c>
      <c r="G1986" s="27" t="inlineStr">
        <is>
          <t>40301-155</t>
        </is>
      </c>
      <c r="H1986" s="15" t="n">
        <v>29</v>
      </c>
      <c r="I1986" s="28" t="inlineStr">
        <is>
          <t>SIM</t>
        </is>
      </c>
      <c r="J1986" s="29" t="n">
        <v>90.09999999999999</v>
      </c>
      <c r="K1986" s="14" t="str">
        <f>IF(J1986="","7. Acima de 2 km",IF(J1986&lt;=50,"1. Até 50 m",IF(J1986&lt;=100,"2. De 50 a 100 m",IF(J1986&lt;=200,"3. De 100 a 200 m",IF(J1986&lt;=300,"4. De 200 a 300 m",IF(J1986&lt;=500,"5. De 300 a 500 m","6. De 500 m a 2 km"))))))</f>
        <v>2. De 50 a 100 m</v>
      </c>
      <c r="L1986" s="26" t="n">
        <v>0</v>
      </c>
      <c r="M1986" s="26" t="n">
        <v>1</v>
      </c>
      <c r="N1986" s="26" t="n">
        <v>3</v>
      </c>
      <c r="O1986" s="26" t="n">
        <v>7</v>
      </c>
      <c r="P1986" s="30" t="n">
        <v>-12.9663574</v>
      </c>
      <c r="Q1986" s="30" t="n">
        <v>-38.5005495</v>
      </c>
      <c r="R1986" s="14" t="inlineStr">
        <is>
          <t>CARTÓRIO DA 7ª ZONA ELEITORAL, 1ª AVENIDA DO CENTRO ADMINISTRATIVO DA BAHIA, 150, SALVADOR-BA.</t>
        </is>
      </c>
      <c r="S1986" s="26">
        <f>IF(A1986=A1985,0,1)</f>
        <v>0</v>
      </c>
      <c r="T1986" s="26">
        <f>IF(COUNTIF($B$4:B1986,B1986)=1,1,0)</f>
        <v>0</v>
      </c>
    </row>
    <row r="1987">
      <c r="A1987" s="14" t="inlineStr">
        <is>
          <t>SALVADOR</t>
        </is>
      </c>
      <c r="B1987" s="26" t="n">
        <v>7</v>
      </c>
      <c r="C1987" s="26" t="n">
        <v>1376</v>
      </c>
      <c r="D1987" s="14" t="inlineStr">
        <is>
          <t>CENTRO ESTADUAL DE EDUCAÇÃO PROFISSIONAL EM GESTÃO SEVERINO VIEIRA</t>
        </is>
      </c>
      <c r="E1987" s="14" t="inlineStr">
        <is>
          <t>NAZARÉ</t>
        </is>
      </c>
      <c r="F1987" s="14" t="inlineStr">
        <is>
          <t>AV. JOANA ANGÉLICA, 253 - 263 ZONA URBANA</t>
        </is>
      </c>
      <c r="G1987" s="27" t="inlineStr">
        <is>
          <t>40050-250</t>
        </is>
      </c>
      <c r="H1987" s="15" t="n">
        <v>21</v>
      </c>
      <c r="I1987" s="28" t="inlineStr">
        <is>
          <t>NÃO</t>
        </is>
      </c>
      <c r="J1987" s="29" t="n">
        <v>113.3</v>
      </c>
      <c r="K1987" s="14" t="str">
        <f>IF(J1987="","7. Acima de 2 km",IF(J1987&lt;=50,"1. Até 50 m",IF(J1987&lt;=100,"2. De 50 a 100 m",IF(J1987&lt;=200,"3. De 100 a 200 m",IF(J1987&lt;=300,"4. De 200 a 300 m",IF(J1987&lt;=500,"5. De 300 a 500 m","6. De 500 m a 2 km"))))))</f>
        <v>3. De 100 a 200 m</v>
      </c>
      <c r="L1987" s="26" t="n">
        <v>0</v>
      </c>
      <c r="M1987" s="26" t="n">
        <v>0</v>
      </c>
      <c r="N1987" s="26" t="n">
        <v>1</v>
      </c>
      <c r="O1987" s="26" t="n">
        <v>2</v>
      </c>
      <c r="P1987" s="30" t="n">
        <v>-12.9759945</v>
      </c>
      <c r="Q1987" s="30" t="n">
        <v>-38.5021021</v>
      </c>
      <c r="R1987" s="14" t="inlineStr">
        <is>
          <t>CARTÓRIO DA 7ª ZONA ELEITORAL, 1ª AVENIDA DO CENTRO ADMINISTRATIVO DA BAHIA, 150, SALVADOR-BA.</t>
        </is>
      </c>
      <c r="S1987" s="26">
        <f>IF(A1987=A1986,0,1)</f>
        <v>0</v>
      </c>
      <c r="T1987" s="26">
        <f>IF(COUNTIF($B$4:B1987,B1987)=1,1,0)</f>
        <v>0</v>
      </c>
    </row>
    <row r="1988">
      <c r="A1988" s="14" t="inlineStr">
        <is>
          <t>SALVADOR</t>
        </is>
      </c>
      <c r="B1988" s="26" t="n">
        <v>7</v>
      </c>
      <c r="C1988" s="26" t="n">
        <v>1414</v>
      </c>
      <c r="D1988" s="14" t="inlineStr">
        <is>
          <t>INSTITUTO FEDERAL DE EDUCAÇÃO, CIÊNCIA E TECNOLOGIA DA BAHIA (IFBA)</t>
        </is>
      </c>
      <c r="E1988" s="14" t="inlineStr">
        <is>
          <t>BARBALHO</t>
        </is>
      </c>
      <c r="F1988" s="14" t="inlineStr">
        <is>
          <t>RUA EMÍDIO DOS SANTOS S/N - ZONA URBANA</t>
        </is>
      </c>
      <c r="G1988" s="27" t="inlineStr">
        <is>
          <t>40301-015</t>
        </is>
      </c>
      <c r="H1988" s="15" t="n">
        <v>20</v>
      </c>
      <c r="I1988" s="28" t="inlineStr">
        <is>
          <t>NÃO</t>
        </is>
      </c>
      <c r="J1988" s="29" t="n">
        <v>129.6</v>
      </c>
      <c r="K1988" s="14" t="str">
        <f>IF(J1988="","7. Acima de 2 km",IF(J1988&lt;=50,"1. Até 50 m",IF(J1988&lt;=100,"2. De 50 a 100 m",IF(J1988&lt;=200,"3. De 100 a 200 m",IF(J1988&lt;=300,"4. De 200 a 300 m",IF(J1988&lt;=500,"5. De 300 a 500 m","6. De 500 m a 2 km"))))))</f>
        <v>3. De 100 a 200 m</v>
      </c>
      <c r="L1988" s="26" t="n">
        <v>0</v>
      </c>
      <c r="M1988" s="26" t="n">
        <v>0</v>
      </c>
      <c r="N1988" s="26" t="n">
        <v>6</v>
      </c>
      <c r="O1988" s="26" t="n">
        <v>10</v>
      </c>
      <c r="P1988" s="30" t="n">
        <v>-12.9631055</v>
      </c>
      <c r="Q1988" s="30" t="n">
        <v>-38.5005092</v>
      </c>
      <c r="R1988" s="14" t="inlineStr">
        <is>
          <t>CARTÓRIO DA 7ª ZONA ELEITORAL, 1ª AVENIDA DO CENTRO ADMINISTRATIVO DA BAHIA, 150, SALVADOR-BA.</t>
        </is>
      </c>
      <c r="S1988" s="26">
        <f>IF(A1988=A1987,0,1)</f>
        <v>0</v>
      </c>
      <c r="T1988" s="26">
        <f>IF(COUNTIF($B$4:B1988,B1988)=1,1,0)</f>
        <v>0</v>
      </c>
    </row>
    <row r="1989">
      <c r="A1989" s="14" t="inlineStr">
        <is>
          <t>SALVADOR</t>
        </is>
      </c>
      <c r="B1989" s="26" t="n">
        <v>7</v>
      </c>
      <c r="C1989" s="26" t="n">
        <v>1740</v>
      </c>
      <c r="D1989" s="14" t="inlineStr">
        <is>
          <t>ESCOLA RUY DE LIMA MALTEZ</t>
        </is>
      </c>
      <c r="E1989" s="14" t="inlineStr">
        <is>
          <t>MATATU</t>
        </is>
      </c>
      <c r="F1989" s="14" t="inlineStr">
        <is>
          <t>LADEIRA DOS GALÉS 13 - ZONA URBANA</t>
        </is>
      </c>
      <c r="G1989" s="27" t="inlineStr">
        <is>
          <t>40255-010</t>
        </is>
      </c>
      <c r="H1989" s="15" t="n">
        <v>4</v>
      </c>
      <c r="I1989" s="28" t="inlineStr">
        <is>
          <t>NÃO</t>
        </is>
      </c>
      <c r="J1989" s="29" t="n">
        <v>106.2</v>
      </c>
      <c r="K1989" s="14" t="str">
        <f>IF(J1989="","7. Acima de 2 km",IF(J1989&lt;=50,"1. Até 50 m",IF(J1989&lt;=100,"2. De 50 a 100 m",IF(J1989&lt;=200,"3. De 100 a 200 m",IF(J1989&lt;=300,"4. De 200 a 300 m",IF(J1989&lt;=500,"5. De 300 a 500 m","6. De 500 m a 2 km"))))))</f>
        <v>3. De 100 a 200 m</v>
      </c>
      <c r="L1989" s="26" t="n">
        <v>0</v>
      </c>
      <c r="M1989" s="26" t="n">
        <v>0</v>
      </c>
      <c r="N1989" s="26" t="n">
        <v>2</v>
      </c>
      <c r="O1989" s="26" t="n">
        <v>8</v>
      </c>
      <c r="P1989" s="30" t="n">
        <v>-12.9770723</v>
      </c>
      <c r="Q1989" s="30" t="n">
        <v>-38.50053</v>
      </c>
      <c r="R1989" s="14" t="inlineStr">
        <is>
          <t>CARTÓRIO DA 7ª ZONA ELEITORAL, 1ª AVENIDA DO CENTRO ADMINISTRATIVO DA BAHIA, 150, SALVADOR-BA.</t>
        </is>
      </c>
      <c r="S1989" s="26">
        <f>IF(A1989=A1988,0,1)</f>
        <v>0</v>
      </c>
      <c r="T1989" s="26">
        <f>IF(COUNTIF($B$4:B1989,B1989)=1,1,0)</f>
        <v>0</v>
      </c>
    </row>
    <row r="1990">
      <c r="A1990" s="14" t="inlineStr">
        <is>
          <t>SALVADOR</t>
        </is>
      </c>
      <c r="B1990" s="26" t="n">
        <v>7</v>
      </c>
      <c r="C1990" s="26" t="n">
        <v>1791</v>
      </c>
      <c r="D1990" s="14" t="inlineStr">
        <is>
          <t>ESCOLA MUNICIPAL MARIA QUITÉRIA</t>
        </is>
      </c>
      <c r="E1990" s="14" t="inlineStr">
        <is>
          <t>MATATU</t>
        </is>
      </c>
      <c r="F1990" s="14" t="inlineStr">
        <is>
          <t>RUA DAS PITANGUEIRAS 508, MATATU-ZONA URBANA</t>
        </is>
      </c>
      <c r="G1990" s="27" t="inlineStr">
        <is>
          <t>40255-436</t>
        </is>
      </c>
      <c r="H1990" s="15" t="n">
        <v>7</v>
      </c>
      <c r="I1990" s="28" t="inlineStr">
        <is>
          <t>SIM</t>
        </is>
      </c>
      <c r="J1990" s="29" t="n">
        <v>7.5</v>
      </c>
      <c r="K1990" s="14" t="str">
        <f>IF(J1990="","7. Acima de 2 km",IF(J1990&lt;=50,"1. Até 50 m",IF(J1990&lt;=100,"2. De 50 a 100 m",IF(J1990&lt;=200,"3. De 100 a 200 m",IF(J1990&lt;=300,"4. De 200 a 300 m",IF(J1990&lt;=500,"5. De 300 a 500 m","6. De 500 m a 2 km"))))))</f>
        <v>1. Até 50 m</v>
      </c>
      <c r="L1990" s="26" t="n">
        <v>1</v>
      </c>
      <c r="M1990" s="26" t="n">
        <v>2</v>
      </c>
      <c r="N1990" s="26" t="n">
        <v>7</v>
      </c>
      <c r="O1990" s="26" t="n">
        <v>8</v>
      </c>
      <c r="P1990" s="30" t="n">
        <v>-12.9780617</v>
      </c>
      <c r="Q1990" s="30" t="n">
        <v>-38.4998226</v>
      </c>
      <c r="R1990" s="14" t="inlineStr">
        <is>
          <t>CARTÓRIO DA 7ª ZONA ELEITORAL, 1ª AVENIDA DO CENTRO ADMINISTRATIVO DA BAHIA, 150, SALVADOR-BA.</t>
        </is>
      </c>
      <c r="S1990" s="26">
        <f>IF(A1990=A1989,0,1)</f>
        <v>0</v>
      </c>
      <c r="T1990" s="26">
        <f>IF(COUNTIF($B$4:B1990,B1990)=1,1,0)</f>
        <v>0</v>
      </c>
    </row>
    <row r="1991">
      <c r="A1991" s="14" t="inlineStr">
        <is>
          <t>SALVADOR</t>
        </is>
      </c>
      <c r="B1991" s="26" t="n">
        <v>7</v>
      </c>
      <c r="C1991" s="26" t="n">
        <v>1813</v>
      </c>
      <c r="D1991" s="14" t="inlineStr">
        <is>
          <t>ESCOLA EXPERIMENTAL</t>
        </is>
      </c>
      <c r="E1991" s="14" t="inlineStr">
        <is>
          <t>VILA LAURA</t>
        </is>
      </c>
      <c r="F1991" s="14" t="inlineStr">
        <is>
          <t>RUA RIO AMAZONAS, 34 - ZONA URBANA</t>
        </is>
      </c>
      <c r="G1991" s="27" t="inlineStr">
        <is>
          <t>40270-060</t>
        </is>
      </c>
      <c r="H1991" s="15" t="n">
        <v>12</v>
      </c>
      <c r="I1991" s="28" t="inlineStr">
        <is>
          <t>SIM</t>
        </is>
      </c>
      <c r="J1991" s="29" t="n">
        <v>85.40000000000001</v>
      </c>
      <c r="K1991" s="14" t="str">
        <f>IF(J1991="","7. Acima de 2 km",IF(J1991&lt;=50,"1. Até 50 m",IF(J1991&lt;=100,"2. De 50 a 100 m",IF(J1991&lt;=200,"3. De 100 a 200 m",IF(J1991&lt;=300,"4. De 200 a 300 m",IF(J1991&lt;=500,"5. De 300 a 500 m","6. De 500 m a 2 km"))))))</f>
        <v>2. De 50 a 100 m</v>
      </c>
      <c r="L1991" s="26" t="n">
        <v>0</v>
      </c>
      <c r="M1991" s="26" t="n">
        <v>1</v>
      </c>
      <c r="N1991" s="26" t="n">
        <v>3</v>
      </c>
      <c r="O1991" s="26" t="n">
        <v>5</v>
      </c>
      <c r="P1991" s="30" t="n">
        <v>-12.9719408</v>
      </c>
      <c r="Q1991" s="30" t="n">
        <v>-38.4906283</v>
      </c>
      <c r="R1991" s="14" t="inlineStr">
        <is>
          <t>CARTÓRIO DA 7ª ZONA ELEITORAL, 1ª AVENIDA DO CENTRO ADMINISTRATIVO DA BAHIA, 150, SALVADOR-BA.</t>
        </is>
      </c>
      <c r="S1991" s="26">
        <f>IF(A1991=A1990,0,1)</f>
        <v>0</v>
      </c>
      <c r="T1991" s="26">
        <f>IF(COUNTIF($B$4:B1991,B1991)=1,1,0)</f>
        <v>0</v>
      </c>
    </row>
    <row r="1992">
      <c r="A1992" s="14" t="inlineStr">
        <is>
          <t>SALVADOR</t>
        </is>
      </c>
      <c r="B1992" s="26" t="n">
        <v>7</v>
      </c>
      <c r="C1992" s="26" t="n">
        <v>1830</v>
      </c>
      <c r="D1992" s="14" t="inlineStr">
        <is>
          <t>COLÉGIO ESTADUAL FREDERICO COSTA</t>
        </is>
      </c>
      <c r="E1992" s="14" t="inlineStr">
        <is>
          <t>VILA LAURA</t>
        </is>
      </c>
      <c r="F1992" s="14" t="inlineStr">
        <is>
          <t>RUA BERNARDO SPECTOR S/N - ZONA URBANA</t>
        </is>
      </c>
      <c r="G1992" s="27" t="inlineStr">
        <is>
          <t>40280-170</t>
        </is>
      </c>
      <c r="H1992" s="15" t="n">
        <v>13</v>
      </c>
      <c r="I1992" s="28" t="inlineStr">
        <is>
          <t>NÃO</t>
        </is>
      </c>
      <c r="J1992" s="29" t="n">
        <v>138.2</v>
      </c>
      <c r="K1992" s="14" t="str">
        <f>IF(J1992="","7. Acima de 2 km",IF(J1992&lt;=50,"1. Até 50 m",IF(J1992&lt;=100,"2. De 50 a 100 m",IF(J1992&lt;=200,"3. De 100 a 200 m",IF(J1992&lt;=300,"4. De 200 a 300 m",IF(J1992&lt;=500,"5. De 300 a 500 m","6. De 500 m a 2 km"))))))</f>
        <v>3. De 100 a 200 m</v>
      </c>
      <c r="L1992" s="26" t="n">
        <v>0</v>
      </c>
      <c r="M1992" s="26" t="n">
        <v>0</v>
      </c>
      <c r="N1992" s="26" t="n">
        <v>2</v>
      </c>
      <c r="O1992" s="26" t="n">
        <v>6</v>
      </c>
      <c r="P1992" s="30" t="n">
        <v>-12.9703127</v>
      </c>
      <c r="Q1992" s="30" t="n">
        <v>-38.4889721</v>
      </c>
      <c r="R1992" s="14" t="inlineStr">
        <is>
          <t>CARTÓRIO DA 7ª ZONA ELEITORAL, 1ª AVENIDA DO CENTRO ADMINISTRATIVO DA BAHIA, 150, SALVADOR-BA.</t>
        </is>
      </c>
      <c r="S1992" s="26">
        <f>IF(A1992=A1991,0,1)</f>
        <v>0</v>
      </c>
      <c r="T1992" s="26">
        <f>IF(COUNTIF($B$4:B1992,B1992)=1,1,0)</f>
        <v>0</v>
      </c>
    </row>
    <row r="1993">
      <c r="A1993" s="14" t="inlineStr">
        <is>
          <t>SALVADOR</t>
        </is>
      </c>
      <c r="B1993" s="26" t="n">
        <v>7</v>
      </c>
      <c r="C1993" s="26" t="n">
        <v>1848</v>
      </c>
      <c r="D1993" s="14" t="inlineStr">
        <is>
          <t>COLÉGIO MEDITERRÂNEO</t>
        </is>
      </c>
      <c r="E1993" s="14" t="inlineStr">
        <is>
          <t>VILA LAURA</t>
        </is>
      </c>
      <c r="F1993" s="14" t="inlineStr">
        <is>
          <t>RUA DOUTOR GENESIO SALLES, 610 - ZONA URBANA</t>
        </is>
      </c>
      <c r="G1993" s="27" t="inlineStr">
        <is>
          <t>40270-040</t>
        </is>
      </c>
      <c r="H1993" s="15" t="n">
        <v>9</v>
      </c>
      <c r="I1993" s="28" t="inlineStr">
        <is>
          <t>NÃO</t>
        </is>
      </c>
      <c r="J1993" s="29" t="n">
        <v>215.9</v>
      </c>
      <c r="K1993" s="14" t="str">
        <f>IF(J1993="","7. Acima de 2 km",IF(J1993&lt;=50,"1. Até 50 m",IF(J1993&lt;=100,"2. De 50 a 100 m",IF(J1993&lt;=200,"3. De 100 a 200 m",IF(J1993&lt;=300,"4. De 200 a 300 m",IF(J1993&lt;=500,"5. De 300 a 500 m","6. De 500 m a 2 km"))))))</f>
        <v>4. De 200 a 300 m</v>
      </c>
      <c r="L1993" s="26" t="n">
        <v>0</v>
      </c>
      <c r="M1993" s="26" t="n">
        <v>0</v>
      </c>
      <c r="N1993" s="26" t="n">
        <v>0</v>
      </c>
      <c r="O1993" s="26" t="n">
        <v>1</v>
      </c>
      <c r="P1993" s="30" t="n">
        <v>-12.9674664</v>
      </c>
      <c r="Q1993" s="30" t="n">
        <v>-38.4920361</v>
      </c>
      <c r="R1993" s="14" t="inlineStr">
        <is>
          <t>CARTÓRIO DA 7ª ZONA ELEITORAL, 1ª AVENIDA DO CENTRO ADMINISTRATIVO DA BAHIA, 150, SALVADOR-BA.</t>
        </is>
      </c>
      <c r="S1993" s="26">
        <f>IF(A1993=A1992,0,1)</f>
        <v>0</v>
      </c>
      <c r="T1993" s="26">
        <f>IF(COUNTIF($B$4:B1993,B1993)=1,1,0)</f>
        <v>0</v>
      </c>
    </row>
    <row r="1994">
      <c r="A1994" s="14" t="inlineStr">
        <is>
          <t>SALVADOR</t>
        </is>
      </c>
      <c r="B1994" s="26" t="n">
        <v>7</v>
      </c>
      <c r="C1994" s="26" t="n">
        <v>1856</v>
      </c>
      <c r="D1994" s="14" t="inlineStr">
        <is>
          <t>ESCOLA LÉLIS PIEDADE</t>
        </is>
      </c>
      <c r="E1994" s="14" t="inlineStr">
        <is>
          <t>COSME DE FARIAS</t>
        </is>
      </c>
      <c r="F1994" s="14" t="inlineStr">
        <is>
          <t>LGO. DE COSME DE FARIAS FINAL DE LINHA - ZONA URBANA</t>
        </is>
      </c>
      <c r="G1994" s="27" t="inlineStr">
        <is>
          <t>40250-010</t>
        </is>
      </c>
      <c r="H1994" s="15" t="n">
        <v>5</v>
      </c>
      <c r="I1994" s="28" t="inlineStr">
        <is>
          <t>NÃO</t>
        </is>
      </c>
      <c r="J1994" s="29" t="n">
        <v>319.7</v>
      </c>
      <c r="K1994" s="14" t="str">
        <f>IF(J1994="","7. Acima de 2 km",IF(J1994&lt;=50,"1. Até 50 m",IF(J1994&lt;=100,"2. De 50 a 100 m",IF(J1994&lt;=200,"3. De 100 a 200 m",IF(J1994&lt;=300,"4. De 200 a 300 m",IF(J1994&lt;=500,"5. De 300 a 500 m","6. De 500 m a 2 km"))))))</f>
        <v>5. De 300 a 500 m</v>
      </c>
      <c r="L1994" s="26" t="n">
        <v>0</v>
      </c>
      <c r="M1994" s="26" t="n">
        <v>0</v>
      </c>
      <c r="N1994" s="26" t="n">
        <v>0</v>
      </c>
      <c r="O1994" s="26" t="n">
        <v>0</v>
      </c>
      <c r="P1994" s="30" t="n">
        <v>-12.9810364</v>
      </c>
      <c r="Q1994" s="30" t="n">
        <v>-38.4888093</v>
      </c>
      <c r="R1994" s="14" t="inlineStr">
        <is>
          <t>CARTÓRIO DA 7ª ZONA ELEITORAL, 1ª AVENIDA DO CENTRO ADMINISTRATIVO DA BAHIA, 150, SALVADOR-BA.</t>
        </is>
      </c>
      <c r="S1994" s="26">
        <f>IF(A1994=A1993,0,1)</f>
        <v>0</v>
      </c>
      <c r="T1994" s="26">
        <f>IF(COUNTIF($B$4:B1994,B1994)=1,1,0)</f>
        <v>0</v>
      </c>
    </row>
    <row r="1995">
      <c r="A1995" s="14" t="inlineStr">
        <is>
          <t>SALVADOR</t>
        </is>
      </c>
      <c r="B1995" s="26" t="n">
        <v>7</v>
      </c>
      <c r="C1995" s="26" t="n">
        <v>1880</v>
      </c>
      <c r="D1995" s="14" t="inlineStr">
        <is>
          <t>COLÉGIO ESTADUAL COSME DE FARIAS</t>
        </is>
      </c>
      <c r="E1995" s="14" t="inlineStr">
        <is>
          <t>COSME DE FARIAS</t>
        </is>
      </c>
      <c r="F1995" s="14" t="inlineStr">
        <is>
          <t>LARGO DE COSME DE FARIAS, FIM DE LINHA - ZONA URBANA</t>
        </is>
      </c>
      <c r="G1995" s="27" t="inlineStr">
        <is>
          <t>40252-190</t>
        </is>
      </c>
      <c r="H1995" s="15" t="n">
        <v>14</v>
      </c>
      <c r="I1995" s="28" t="inlineStr">
        <is>
          <t>NÃO</t>
        </is>
      </c>
      <c r="J1995" s="29" t="n">
        <v>303</v>
      </c>
      <c r="K1995" s="14" t="str">
        <f>IF(J1995="","7. Acima de 2 km",IF(J1995&lt;=50,"1. Até 50 m",IF(J1995&lt;=100,"2. De 50 a 100 m",IF(J1995&lt;=200,"3. De 100 a 200 m",IF(J1995&lt;=300,"4. De 200 a 300 m",IF(J1995&lt;=500,"5. De 300 a 500 m","6. De 500 m a 2 km"))))))</f>
        <v>5. De 300 a 500 m</v>
      </c>
      <c r="L1995" s="26" t="n">
        <v>0</v>
      </c>
      <c r="M1995" s="26" t="n">
        <v>0</v>
      </c>
      <c r="N1995" s="26" t="n">
        <v>0</v>
      </c>
      <c r="O1995" s="26" t="n">
        <v>0</v>
      </c>
      <c r="P1995" s="30" t="n">
        <v>-12.9813521</v>
      </c>
      <c r="Q1995" s="30" t="n">
        <v>-38.4888564</v>
      </c>
      <c r="R1995" s="14" t="inlineStr">
        <is>
          <t>CARTÓRIO DA 7ª ZONA ELEITORAL, 1ª AVENIDA DO CENTRO ADMINISTRATIVO DA BAHIA, 150, SALVADOR-BA.</t>
        </is>
      </c>
      <c r="S1995" s="26">
        <f>IF(A1995=A1994,0,1)</f>
        <v>0</v>
      </c>
      <c r="T1995" s="26">
        <f>IF(COUNTIF($B$4:B1995,B1995)=1,1,0)</f>
        <v>0</v>
      </c>
    </row>
    <row r="1996">
      <c r="A1996" s="14" t="inlineStr">
        <is>
          <t>SALVADOR</t>
        </is>
      </c>
      <c r="B1996" s="26" t="n">
        <v>7</v>
      </c>
      <c r="C1996" s="26" t="n">
        <v>1910</v>
      </c>
      <c r="D1996" s="14" t="inlineStr">
        <is>
          <t>COLÉGIO ESTADUAL BRIGADEIRO EDUARDO GOMES</t>
        </is>
      </c>
      <c r="E1996" s="14" t="inlineStr">
        <is>
          <t>MATATU</t>
        </is>
      </c>
      <c r="F1996" s="14" t="inlineStr">
        <is>
          <t>RUA SAO GERALDO N. 24 - MATATU - ZONA URBANA</t>
        </is>
      </c>
      <c r="G1996" s="27" t="inlineStr">
        <is>
          <t>40255-315</t>
        </is>
      </c>
      <c r="H1996" s="15" t="n">
        <v>12</v>
      </c>
      <c r="I1996" s="28" t="inlineStr">
        <is>
          <t>NÃO</t>
        </is>
      </c>
      <c r="J1996" s="29" t="n">
        <v>118.5</v>
      </c>
      <c r="K1996" s="14" t="str">
        <f>IF(J1996="","7. Acima de 2 km",IF(J1996&lt;=50,"1. Até 50 m",IF(J1996&lt;=100,"2. De 50 a 100 m",IF(J1996&lt;=200,"3. De 100 a 200 m",IF(J1996&lt;=300,"4. De 200 a 300 m",IF(J1996&lt;=500,"5. De 300 a 500 m","6. De 500 m a 2 km"))))))</f>
        <v>3. De 100 a 200 m</v>
      </c>
      <c r="L1996" s="26" t="n">
        <v>0</v>
      </c>
      <c r="M1996" s="26" t="n">
        <v>0</v>
      </c>
      <c r="N1996" s="26" t="n">
        <v>1</v>
      </c>
      <c r="O1996" s="26" t="n">
        <v>4</v>
      </c>
      <c r="P1996" s="30" t="n">
        <v>-12.975404</v>
      </c>
      <c r="Q1996" s="30" t="n">
        <v>-38.4918604</v>
      </c>
      <c r="R1996" s="14" t="inlineStr">
        <is>
          <t>CARTÓRIO DA 7ª ZONA ELEITORAL, 1ª AVENIDA DO CENTRO ADMINISTRATIVO DA BAHIA, 150, SALVADOR-BA.</t>
        </is>
      </c>
      <c r="S1996" s="26">
        <f>IF(A1996=A1995,0,1)</f>
        <v>0</v>
      </c>
      <c r="T1996" s="26">
        <f>IF(COUNTIF($B$4:B1996,B1996)=1,1,0)</f>
        <v>0</v>
      </c>
    </row>
    <row r="1997">
      <c r="A1997" s="14" t="inlineStr">
        <is>
          <t>SALVADOR</t>
        </is>
      </c>
      <c r="B1997" s="26" t="n">
        <v>7</v>
      </c>
      <c r="C1997" s="26" t="n">
        <v>1945</v>
      </c>
      <c r="D1997" s="14" t="inlineStr">
        <is>
          <t>ESCOLA MUNICIPAL SANTA RITA</t>
        </is>
      </c>
      <c r="E1997" s="14" t="inlineStr">
        <is>
          <t>LUIZ ANSELMO</t>
        </is>
      </c>
      <c r="F1997" s="14" t="inlineStr">
        <is>
          <t>R. HÉLIO DE OLIVEIRA, 75-E - ZONA URBANA</t>
        </is>
      </c>
      <c r="G1997" s="27" t="inlineStr">
        <is>
          <t>40265-020</t>
        </is>
      </c>
      <c r="H1997" s="15" t="n">
        <v>8</v>
      </c>
      <c r="I1997" s="28" t="inlineStr">
        <is>
          <t>SIM</t>
        </is>
      </c>
      <c r="J1997" s="29" t="n">
        <v>5.2</v>
      </c>
      <c r="K1997" s="14" t="str">
        <f>IF(J1997="","7. Acima de 2 km",IF(J1997&lt;=50,"1. Até 50 m",IF(J1997&lt;=100,"2. De 50 a 100 m",IF(J1997&lt;=200,"3. De 100 a 200 m",IF(J1997&lt;=300,"4. De 200 a 300 m",IF(J1997&lt;=500,"5. De 300 a 500 m","6. De 500 m a 2 km"))))))</f>
        <v>1. Até 50 m</v>
      </c>
      <c r="L1997" s="26" t="n">
        <v>1</v>
      </c>
      <c r="M1997" s="26" t="n">
        <v>1</v>
      </c>
      <c r="N1997" s="26" t="n">
        <v>1</v>
      </c>
      <c r="O1997" s="26" t="n">
        <v>4</v>
      </c>
      <c r="P1997" s="30" t="n">
        <v>-12.97647</v>
      </c>
      <c r="Q1997" s="30" t="n">
        <v>-38.4833574</v>
      </c>
      <c r="R1997" s="14" t="inlineStr">
        <is>
          <t>CARTÓRIO DA 7ª ZONA ELEITORAL, 1ª AVENIDA DO CENTRO ADMINISTRATIVO DA BAHIA, 150, SALVADOR-BA.</t>
        </is>
      </c>
      <c r="S1997" s="26">
        <f>IF(A1997=A1996,0,1)</f>
        <v>0</v>
      </c>
      <c r="T1997" s="26">
        <f>IF(COUNTIF($B$4:B1997,B1997)=1,1,0)</f>
        <v>0</v>
      </c>
    </row>
    <row r="1998">
      <c r="A1998" s="14" t="inlineStr">
        <is>
          <t>SALVADOR</t>
        </is>
      </c>
      <c r="B1998" s="26" t="n">
        <v>7</v>
      </c>
      <c r="C1998" s="26" t="n">
        <v>1953</v>
      </c>
      <c r="D1998" s="14" t="inlineStr">
        <is>
          <t>COLÉGIO BOM JESUS DOS MILAGRES</t>
        </is>
      </c>
      <c r="E1998" s="14" t="inlineStr">
        <is>
          <t>MATATU</t>
        </is>
      </c>
      <c r="F1998" s="14" t="inlineStr">
        <is>
          <t>LARGO DOS PARANHOS, 01 - ZONA URBANA</t>
        </is>
      </c>
      <c r="G1998" s="27" t="inlineStr">
        <is>
          <t>40255-310</t>
        </is>
      </c>
      <c r="H1998" s="15" t="n">
        <v>9</v>
      </c>
      <c r="I1998" s="28" t="inlineStr">
        <is>
          <t>SIM</t>
        </is>
      </c>
      <c r="J1998" s="29" t="n">
        <v>75.09999999999999</v>
      </c>
      <c r="K1998" s="14" t="str">
        <f>IF(J1998="","7. Acima de 2 km",IF(J1998&lt;=50,"1. Até 50 m",IF(J1998&lt;=100,"2. De 50 a 100 m",IF(J1998&lt;=200,"3. De 100 a 200 m",IF(J1998&lt;=300,"4. De 200 a 300 m",IF(J1998&lt;=500,"5. De 300 a 500 m","6. De 500 m a 2 km"))))))</f>
        <v>2. De 50 a 100 m</v>
      </c>
      <c r="L1998" s="26" t="n">
        <v>0</v>
      </c>
      <c r="M1998" s="26" t="n">
        <v>1</v>
      </c>
      <c r="N1998" s="26" t="n">
        <v>1</v>
      </c>
      <c r="O1998" s="26" t="n">
        <v>2</v>
      </c>
      <c r="P1998" s="30" t="n">
        <v>-12.9768478</v>
      </c>
      <c r="Q1998" s="30" t="n">
        <v>-38.4963155</v>
      </c>
      <c r="R1998" s="14" t="inlineStr">
        <is>
          <t>CARTÓRIO DA 7ª ZONA ELEITORAL, 1ª AVENIDA DO CENTRO ADMINISTRATIVO DA BAHIA, 150, SALVADOR-BA.</t>
        </is>
      </c>
      <c r="S1998" s="26">
        <f>IF(A1998=A1997,0,1)</f>
        <v>0</v>
      </c>
      <c r="T1998" s="26">
        <f>IF(COUNTIF($B$4:B1998,B1998)=1,1,0)</f>
        <v>0</v>
      </c>
    </row>
    <row r="1999">
      <c r="A1999" s="14" t="inlineStr">
        <is>
          <t>SALVADOR</t>
        </is>
      </c>
      <c r="B1999" s="26" t="n">
        <v>7</v>
      </c>
      <c r="C1999" s="26" t="n">
        <v>1970</v>
      </c>
      <c r="D1999" s="14" t="inlineStr">
        <is>
          <t>CENTRO MUNICIPAL DE EDUCAÇÃO INFANTIL LUIS EDUARDO MAGALHÃES</t>
        </is>
      </c>
      <c r="E1999" s="14" t="inlineStr">
        <is>
          <t>COSME DE FARIAS</t>
        </is>
      </c>
      <c r="F1999" s="14" t="inlineStr">
        <is>
          <t>AVENIDA MÁRIO LEAL FERREIRA, S/N - ZONA URBANA</t>
        </is>
      </c>
      <c r="G1999" s="27" t="inlineStr">
        <is>
          <t>40252-390</t>
        </is>
      </c>
      <c r="H1999" s="15" t="n">
        <v>16</v>
      </c>
      <c r="I1999" s="28" t="inlineStr">
        <is>
          <t>NÃO</t>
        </is>
      </c>
      <c r="J1999" s="29" t="n">
        <v>303.7</v>
      </c>
      <c r="K1999" s="14" t="str">
        <f>IF(J1999="","7. Acima de 2 km",IF(J1999&lt;=50,"1. Até 50 m",IF(J1999&lt;=100,"2. De 50 a 100 m",IF(J1999&lt;=200,"3. De 100 a 200 m",IF(J1999&lt;=300,"4. De 200 a 300 m",IF(J1999&lt;=500,"5. De 300 a 500 m","6. De 500 m a 2 km"))))))</f>
        <v>5. De 300 a 500 m</v>
      </c>
      <c r="L1999" s="26" t="n">
        <v>0</v>
      </c>
      <c r="M1999" s="26" t="n">
        <v>0</v>
      </c>
      <c r="N1999" s="26" t="n">
        <v>0</v>
      </c>
      <c r="O1999" s="26" t="n">
        <v>0</v>
      </c>
      <c r="P1999" s="30" t="n">
        <v>-12.9837574</v>
      </c>
      <c r="Q1999" s="30" t="n">
        <v>-38.4869325</v>
      </c>
      <c r="R1999" s="14" t="inlineStr">
        <is>
          <t>CARTÓRIO DA 7ª ZONA ELEITORAL, 1ª AVENIDA DO CENTRO ADMINISTRATIVO DA BAHIA, 150, SALVADOR-BA.</t>
        </is>
      </c>
      <c r="S1999" s="26">
        <f>IF(A1999=A1998,0,1)</f>
        <v>0</v>
      </c>
      <c r="T1999" s="26">
        <f>IF(COUNTIF($B$4:B1999,B1999)=1,1,0)</f>
        <v>0</v>
      </c>
    </row>
    <row r="2000">
      <c r="A2000" s="14" t="inlineStr">
        <is>
          <t>SALVADOR</t>
        </is>
      </c>
      <c r="B2000" s="26" t="n">
        <v>7</v>
      </c>
      <c r="C2000" s="26" t="n">
        <v>1996</v>
      </c>
      <c r="D2000" s="14" t="inlineStr">
        <is>
          <t>ESCOLA MUNICIPAL LUIZ ANSELMO</t>
        </is>
      </c>
      <c r="E2000" s="14" t="inlineStr">
        <is>
          <t>LUIZ ANSELMO</t>
        </is>
      </c>
      <c r="F2000" s="14" t="inlineStr">
        <is>
          <t>RUA LUIZ ANSELMO N 155 - ZONA URBANA</t>
        </is>
      </c>
      <c r="G2000" s="27" t="inlineStr">
        <is>
          <t>40260-485</t>
        </is>
      </c>
      <c r="H2000" s="15" t="n">
        <v>9</v>
      </c>
      <c r="I2000" s="28" t="inlineStr">
        <is>
          <t>NÃO</t>
        </is>
      </c>
      <c r="J2000" s="29" t="n">
        <v>384.1</v>
      </c>
      <c r="K2000" s="14" t="str">
        <f>IF(J2000="","7. Acima de 2 km",IF(J2000&lt;=50,"1. Até 50 m",IF(J2000&lt;=100,"2. De 50 a 100 m",IF(J2000&lt;=200,"3. De 100 a 200 m",IF(J2000&lt;=300,"4. De 200 a 300 m",IF(J2000&lt;=500,"5. De 300 a 500 m","6. De 500 m a 2 km"))))))</f>
        <v>5. De 300 a 500 m</v>
      </c>
      <c r="L2000" s="26" t="n">
        <v>0</v>
      </c>
      <c r="M2000" s="26" t="n">
        <v>0</v>
      </c>
      <c r="N2000" s="26" t="n">
        <v>0</v>
      </c>
      <c r="O2000" s="26" t="n">
        <v>0</v>
      </c>
      <c r="P2000" s="30" t="n">
        <v>-12.9760795</v>
      </c>
      <c r="Q2000" s="30" t="n">
        <v>-38.48684</v>
      </c>
      <c r="R2000" s="14" t="inlineStr">
        <is>
          <t>CARTÓRIO DA 7ª ZONA ELEITORAL, 1ª AVENIDA DO CENTRO ADMINISTRATIVO DA BAHIA, 150, SALVADOR-BA.</t>
        </is>
      </c>
      <c r="S2000" s="26">
        <f>IF(A2000=A1999,0,1)</f>
        <v>0</v>
      </c>
      <c r="T2000" s="26">
        <f>IF(COUNTIF($B$4:B2000,B2000)=1,1,0)</f>
        <v>0</v>
      </c>
    </row>
    <row r="2001">
      <c r="A2001" s="14" t="inlineStr">
        <is>
          <t>SALVADOR</t>
        </is>
      </c>
      <c r="B2001" s="26" t="n">
        <v>7</v>
      </c>
      <c r="C2001" s="26" t="n">
        <v>2003</v>
      </c>
      <c r="D2001" s="14" t="inlineStr">
        <is>
          <t>CMEI-CENTRO MUNICIPAL DE EDUCAÇÃO INFANTIL LUIZ ANSELMO</t>
        </is>
      </c>
      <c r="E2001" s="14" t="inlineStr">
        <is>
          <t>LUIZ ANSELMO</t>
        </is>
      </c>
      <c r="F2001" s="14" t="inlineStr">
        <is>
          <t>RUA LUIZ ANSELMO N 155 - ZONA URBANA</t>
        </is>
      </c>
      <c r="G2001" s="27" t="inlineStr">
        <is>
          <t>40260-485</t>
        </is>
      </c>
      <c r="H2001" s="15" t="n">
        <v>11</v>
      </c>
      <c r="I2001" s="28" t="inlineStr">
        <is>
          <t>NÃO</t>
        </is>
      </c>
      <c r="J2001" s="29" t="n">
        <v>410.1</v>
      </c>
      <c r="K2001" s="14" t="str">
        <f>IF(J2001="","7. Acima de 2 km",IF(J2001&lt;=50,"1. Até 50 m",IF(J2001&lt;=100,"2. De 50 a 100 m",IF(J2001&lt;=200,"3. De 100 a 200 m",IF(J2001&lt;=300,"4. De 200 a 300 m",IF(J2001&lt;=500,"5. De 300 a 500 m","6. De 500 m a 2 km"))))))</f>
        <v>5. De 300 a 500 m</v>
      </c>
      <c r="L2001" s="26" t="n">
        <v>0</v>
      </c>
      <c r="M2001" s="26" t="n">
        <v>0</v>
      </c>
      <c r="N2001" s="26" t="n">
        <v>0</v>
      </c>
      <c r="O2001" s="26" t="n">
        <v>0</v>
      </c>
      <c r="P2001" s="30" t="n">
        <v>-12.9755751</v>
      </c>
      <c r="Q2001" s="30" t="n">
        <v>-38.4869857</v>
      </c>
      <c r="R2001" s="14" t="inlineStr">
        <is>
          <t>CARTÓRIO DA 7ª ZONA ELEITORAL, 1ª AVENIDA DO CENTRO ADMINISTRATIVO DA BAHIA, 150, SALVADOR-BA.</t>
        </is>
      </c>
      <c r="S2001" s="26">
        <f>IF(A2001=A2000,0,1)</f>
        <v>0</v>
      </c>
      <c r="T2001" s="26">
        <f>IF(COUNTIF($B$4:B2001,B2001)=1,1,0)</f>
        <v>0</v>
      </c>
    </row>
    <row r="2002">
      <c r="A2002" s="14" t="inlineStr">
        <is>
          <t>SALVADOR</t>
        </is>
      </c>
      <c r="B2002" s="26" t="n">
        <v>7</v>
      </c>
      <c r="C2002" s="26" t="n">
        <v>2011</v>
      </c>
      <c r="D2002" s="14" t="inlineStr">
        <is>
          <t>INSTITUTO EDUCACIONAL DO SALVADOR</t>
        </is>
      </c>
      <c r="E2002" s="14" t="inlineStr">
        <is>
          <t>COSME DE FARIAS</t>
        </is>
      </c>
      <c r="F2002" s="14" t="inlineStr">
        <is>
          <t>RUA BAIXA DO SILVA, N.04, ZONA URBANA</t>
        </is>
      </c>
      <c r="G2002" s="27" t="inlineStr">
        <is>
          <t>40250-060</t>
        </is>
      </c>
      <c r="H2002" s="15" t="n">
        <v>7</v>
      </c>
      <c r="I2002" s="28" t="inlineStr">
        <is>
          <t>NÃO</t>
        </is>
      </c>
      <c r="J2002" s="29" t="n">
        <v>217.9</v>
      </c>
      <c r="K2002" s="14" t="str">
        <f>IF(J2002="","7. Acima de 2 km",IF(J2002&lt;=50,"1. Até 50 m",IF(J2002&lt;=100,"2. De 50 a 100 m",IF(J2002&lt;=200,"3. De 100 a 200 m",IF(J2002&lt;=300,"4. De 200 a 300 m",IF(J2002&lt;=500,"5. De 300 a 500 m","6. De 500 m a 2 km"))))))</f>
        <v>4. De 200 a 300 m</v>
      </c>
      <c r="L2002" s="26" t="n">
        <v>0</v>
      </c>
      <c r="M2002" s="26" t="n">
        <v>0</v>
      </c>
      <c r="N2002" s="26" t="n">
        <v>0</v>
      </c>
      <c r="O2002" s="26" t="n">
        <v>1</v>
      </c>
      <c r="P2002" s="30" t="n">
        <v>-12.9801894</v>
      </c>
      <c r="Q2002" s="30" t="n">
        <v>-38.491677</v>
      </c>
      <c r="R2002" s="14" t="inlineStr">
        <is>
          <t>CARTÓRIO DA 7ª ZONA ELEITORAL, 1ª AVENIDA DO CENTRO ADMINISTRATIVO DA BAHIA, 150, SALVADOR-BA.</t>
        </is>
      </c>
      <c r="S2002" s="26">
        <f>IF(A2002=A2001,0,1)</f>
        <v>0</v>
      </c>
      <c r="T2002" s="26">
        <f>IF(COUNTIF($B$4:B2002,B2002)=1,1,0)</f>
        <v>0</v>
      </c>
    </row>
    <row r="2003">
      <c r="A2003" s="14" t="inlineStr">
        <is>
          <t>SALVADOR</t>
        </is>
      </c>
      <c r="B2003" s="26" t="n">
        <v>8</v>
      </c>
      <c r="C2003" s="26" t="n">
        <v>1317</v>
      </c>
      <c r="D2003" s="14" t="inlineStr">
        <is>
          <t>COLÉGIO ESTADUAL EDVALDO BRANDÃO CORREIA</t>
        </is>
      </c>
      <c r="E2003" s="14" t="inlineStr">
        <is>
          <t>CAJAZEIRAS IV</t>
        </is>
      </c>
      <c r="F2003" s="14" t="inlineStr">
        <is>
          <t>QUADRA 04, CAMINHO 3, S/N - ZONA URBANA</t>
        </is>
      </c>
      <c r="G2003" s="27" t="inlineStr">
        <is>
          <t>41330-050</t>
        </is>
      </c>
      <c r="H2003" s="15" t="n">
        <v>20</v>
      </c>
      <c r="I2003" s="28" t="inlineStr">
        <is>
          <t>NÃO</t>
        </is>
      </c>
      <c r="J2003" s="29" t="n">
        <v>205.6</v>
      </c>
      <c r="K2003" s="14" t="str">
        <f>IF(J2003="","7. Acima de 2 km",IF(J2003&lt;=50,"1. Até 50 m",IF(J2003&lt;=100,"2. De 50 a 100 m",IF(J2003&lt;=200,"3. De 100 a 200 m",IF(J2003&lt;=300,"4. De 200 a 300 m",IF(J2003&lt;=500,"5. De 300 a 500 m","6. De 500 m a 2 km"))))))</f>
        <v>4. De 200 a 300 m</v>
      </c>
      <c r="L2003" s="26" t="n">
        <v>0</v>
      </c>
      <c r="M2003" s="26" t="n">
        <v>0</v>
      </c>
      <c r="N2003" s="26" t="n">
        <v>0</v>
      </c>
      <c r="O2003" s="26" t="n">
        <v>2</v>
      </c>
      <c r="P2003" s="30" t="n">
        <v>-12.8980485</v>
      </c>
      <c r="Q2003" s="30" t="n">
        <v>-38.4234597</v>
      </c>
      <c r="R2003" s="14" t="inlineStr">
        <is>
          <t>CARTÓRIO DA 8ª ZONA ELEITORAL, 1ª AVENIDA DO CENTRO ADMINISTRATIVO DA BAHIA, 150, SALVADOR-BA.</t>
        </is>
      </c>
      <c r="S2003" s="26">
        <f>IF(A2003=A2002,0,1)</f>
        <v>0</v>
      </c>
      <c r="T2003" s="26">
        <f>IF(COUNTIF($B$4:B2003,B2003)=1,1,0)</f>
        <v>1</v>
      </c>
    </row>
    <row r="2004">
      <c r="A2004" s="14" t="inlineStr">
        <is>
          <t>SALVADOR</t>
        </is>
      </c>
      <c r="B2004" s="26" t="n">
        <v>8</v>
      </c>
      <c r="C2004" s="26" t="n">
        <v>1325</v>
      </c>
      <c r="D2004" s="14" t="inlineStr">
        <is>
          <t>ESCOLA ESTADUAL DEPUTADO NAOMAR ALCÂNTARA</t>
        </is>
      </c>
      <c r="E2004" s="14" t="inlineStr">
        <is>
          <t>CAJAZEIRAS V</t>
        </is>
      </c>
      <c r="F2004" s="14" t="inlineStr">
        <is>
          <t>CONJUNTO REMANESCENTE QUADRA 27 - ZONA URBANA</t>
        </is>
      </c>
      <c r="G2004" s="27" t="inlineStr">
        <is>
          <t>41340-020</t>
        </is>
      </c>
      <c r="H2004" s="15" t="n">
        <v>8</v>
      </c>
      <c r="I2004" s="28" t="inlineStr">
        <is>
          <t>NÃO</t>
        </is>
      </c>
      <c r="J2004" s="29" t="n">
        <v>135.1</v>
      </c>
      <c r="K2004" s="14" t="str">
        <f>IF(J2004="","7. Acima de 2 km",IF(J2004&lt;=50,"1. Até 50 m",IF(J2004&lt;=100,"2. De 50 a 100 m",IF(J2004&lt;=200,"3. De 100 a 200 m",IF(J2004&lt;=300,"4. De 200 a 300 m",IF(J2004&lt;=500,"5. De 300 a 500 m","6. De 500 m a 2 km"))))))</f>
        <v>3. De 100 a 200 m</v>
      </c>
      <c r="L2004" s="26" t="n">
        <v>0</v>
      </c>
      <c r="M2004" s="26" t="n">
        <v>0</v>
      </c>
      <c r="N2004" s="26" t="n">
        <v>1</v>
      </c>
      <c r="O2004" s="26" t="n">
        <v>1</v>
      </c>
      <c r="P2004" s="30" t="n">
        <v>-12.8931645</v>
      </c>
      <c r="Q2004" s="30" t="n">
        <v>-38.4208621</v>
      </c>
      <c r="R2004" s="14" t="inlineStr">
        <is>
          <t>CARTÓRIO DA 8ª ZONA ELEITORAL, 1ª AVENIDA DO CENTRO ADMINISTRATIVO DA BAHIA, 150, SALVADOR-BA.</t>
        </is>
      </c>
      <c r="S2004" s="26">
        <f>IF(A2004=A2003,0,1)</f>
        <v>0</v>
      </c>
      <c r="T2004" s="26">
        <f>IF(COUNTIF($B$4:B2004,B2004)=1,1,0)</f>
        <v>0</v>
      </c>
    </row>
    <row r="2005">
      <c r="A2005" s="14" t="inlineStr">
        <is>
          <t>SALVADOR</t>
        </is>
      </c>
      <c r="B2005" s="26" t="n">
        <v>8</v>
      </c>
      <c r="C2005" s="26" t="n">
        <v>1333</v>
      </c>
      <c r="D2005" s="14" t="inlineStr">
        <is>
          <t>COLÉGIO  ESTADUAL ANA BERNARDES</t>
        </is>
      </c>
      <c r="E2005" s="14" t="inlineStr">
        <is>
          <t>CAJAZEIRAS VI</t>
        </is>
      </c>
      <c r="F2005" s="14" t="inlineStr">
        <is>
          <t>VIA LOCAL C2, S/N - ZONA URBANA</t>
        </is>
      </c>
      <c r="G2005" s="27" t="inlineStr">
        <is>
          <t>41310-110</t>
        </is>
      </c>
      <c r="H2005" s="15" t="n">
        <v>12</v>
      </c>
      <c r="I2005" s="28" t="inlineStr">
        <is>
          <t>NÃO</t>
        </is>
      </c>
      <c r="J2005" s="29" t="n">
        <v>226.2</v>
      </c>
      <c r="K2005" s="14" t="str">
        <f>IF(J2005="","7. Acima de 2 km",IF(J2005&lt;=50,"1. Até 50 m",IF(J2005&lt;=100,"2. De 50 a 100 m",IF(J2005&lt;=200,"3. De 100 a 200 m",IF(J2005&lt;=300,"4. De 200 a 300 m",IF(J2005&lt;=500,"5. De 300 a 500 m","6. De 500 m a 2 km"))))))</f>
        <v>4. De 200 a 300 m</v>
      </c>
      <c r="L2005" s="26" t="n">
        <v>0</v>
      </c>
      <c r="M2005" s="26" t="n">
        <v>0</v>
      </c>
      <c r="N2005" s="26" t="n">
        <v>0</v>
      </c>
      <c r="O2005" s="26" t="n">
        <v>1</v>
      </c>
      <c r="P2005" s="30" t="n">
        <v>-12.8933859</v>
      </c>
      <c r="Q2005" s="30" t="n">
        <v>-38.4302044</v>
      </c>
      <c r="R2005" s="14" t="inlineStr">
        <is>
          <t>CARTÓRIO DA 8ª ZONA ELEITORAL, 1ª AVENIDA DO CENTRO ADMINISTRATIVO DA BAHIA, 150, SALVADOR-BA.</t>
        </is>
      </c>
      <c r="S2005" s="26">
        <f>IF(A2005=A2004,0,1)</f>
        <v>0</v>
      </c>
      <c r="T2005" s="26">
        <f>IF(COUNTIF($B$4:B2005,B2005)=1,1,0)</f>
        <v>0</v>
      </c>
    </row>
    <row r="2006">
      <c r="A2006" s="14" t="inlineStr">
        <is>
          <t>SALVADOR</t>
        </is>
      </c>
      <c r="B2006" s="26" t="n">
        <v>8</v>
      </c>
      <c r="C2006" s="26" t="n">
        <v>1341</v>
      </c>
      <c r="D2006" s="14" t="inlineStr">
        <is>
          <t>COLÉGIO ESTADUAL LUIZ FERNANDO MACÊDO COSTA</t>
        </is>
      </c>
      <c r="E2006" s="14" t="inlineStr">
        <is>
          <t>CAJAZEIRAS VII</t>
        </is>
      </c>
      <c r="F2006" s="14" t="inlineStr">
        <is>
          <t>RUA F FIM DE LINHA - ZONA URBANA</t>
        </is>
      </c>
      <c r="G2006" s="27" t="inlineStr">
        <is>
          <t>41310-045</t>
        </is>
      </c>
      <c r="H2006" s="15" t="n">
        <v>8</v>
      </c>
      <c r="I2006" s="28" t="inlineStr">
        <is>
          <t>NÃO</t>
        </is>
      </c>
      <c r="J2006" s="29" t="n">
        <v>480.4</v>
      </c>
      <c r="K2006" s="14" t="str">
        <f>IF(J2006="","7. Acima de 2 km",IF(J2006&lt;=50,"1. Até 50 m",IF(J2006&lt;=100,"2. De 50 a 100 m",IF(J2006&lt;=200,"3. De 100 a 200 m",IF(J2006&lt;=300,"4. De 200 a 300 m",IF(J2006&lt;=500,"5. De 300 a 500 m","6. De 500 m a 2 km"))))))</f>
        <v>5. De 300 a 500 m</v>
      </c>
      <c r="L2006" s="26" t="n">
        <v>0</v>
      </c>
      <c r="M2006" s="26" t="n">
        <v>0</v>
      </c>
      <c r="N2006" s="26" t="n">
        <v>0</v>
      </c>
      <c r="O2006" s="26" t="n">
        <v>0</v>
      </c>
      <c r="P2006" s="30" t="n">
        <v>-12.8879378</v>
      </c>
      <c r="Q2006" s="30" t="n">
        <v>-38.4264724</v>
      </c>
      <c r="R2006" s="14" t="inlineStr">
        <is>
          <t>CARTÓRIO DA 8ª ZONA ELEITORAL, 1ª AVENIDA DO CENTRO ADMINISTRATIVO DA BAHIA, 150, SALVADOR-BA.</t>
        </is>
      </c>
      <c r="S2006" s="26">
        <f>IF(A2006=A2005,0,1)</f>
        <v>0</v>
      </c>
      <c r="T2006" s="26">
        <f>IF(COUNTIF($B$4:B2006,B2006)=1,1,0)</f>
        <v>0</v>
      </c>
    </row>
    <row r="2007">
      <c r="A2007" s="14" t="inlineStr">
        <is>
          <t>SALVADOR</t>
        </is>
      </c>
      <c r="B2007" s="26" t="n">
        <v>8</v>
      </c>
      <c r="C2007" s="26" t="n">
        <v>1350</v>
      </c>
      <c r="D2007" s="14" t="inlineStr">
        <is>
          <t>COLÉGIO ESTADUAL RAFAEL OLIVEIRA</t>
        </is>
      </c>
      <c r="E2007" s="14" t="inlineStr">
        <is>
          <t>CAJAZEIRAS VIII</t>
        </is>
      </c>
      <c r="F2007" s="14" t="inlineStr">
        <is>
          <t>VIA LOCAL E-A COLETORA 3 SETOR A - CAJAZEIRAS VIII</t>
        </is>
      </c>
      <c r="G2007" s="27" t="inlineStr">
        <is>
          <t>41330-020</t>
        </is>
      </c>
      <c r="H2007" s="15" t="n">
        <v>13</v>
      </c>
      <c r="I2007" s="28" t="inlineStr">
        <is>
          <t>NÃO</t>
        </is>
      </c>
      <c r="J2007" s="29" t="n">
        <v>103.8</v>
      </c>
      <c r="K2007" s="14" t="str">
        <f>IF(J2007="","7. Acima de 2 km",IF(J2007&lt;=50,"1. Até 50 m",IF(J2007&lt;=100,"2. De 50 a 100 m",IF(J2007&lt;=200,"3. De 100 a 200 m",IF(J2007&lt;=300,"4. De 200 a 300 m",IF(J2007&lt;=500,"5. De 300 a 500 m","6. De 500 m a 2 km"))))))</f>
        <v>3. De 100 a 200 m</v>
      </c>
      <c r="L2007" s="26" t="n">
        <v>0</v>
      </c>
      <c r="M2007" s="26" t="n">
        <v>0</v>
      </c>
      <c r="N2007" s="26" t="n">
        <v>1</v>
      </c>
      <c r="O2007" s="26" t="n">
        <v>3</v>
      </c>
      <c r="P2007" s="30" t="n">
        <v>-12.8988739</v>
      </c>
      <c r="Q2007" s="30" t="n">
        <v>-38.4129659</v>
      </c>
      <c r="R2007" s="14" t="inlineStr">
        <is>
          <t>CARTÓRIO DA 8ª ZONA ELEITORAL, 1ª AVENIDA DO CENTRO ADMINISTRATIVO DA BAHIA, 150, SALVADOR-BA.</t>
        </is>
      </c>
      <c r="S2007" s="26">
        <f>IF(A2007=A2006,0,1)</f>
        <v>0</v>
      </c>
      <c r="T2007" s="26">
        <f>IF(COUNTIF($B$4:B2007,B2007)=1,1,0)</f>
        <v>0</v>
      </c>
    </row>
    <row r="2008">
      <c r="A2008" s="14" t="inlineStr">
        <is>
          <t>SALVADOR</t>
        </is>
      </c>
      <c r="B2008" s="26" t="n">
        <v>8</v>
      </c>
      <c r="C2008" s="26" t="n">
        <v>1422</v>
      </c>
      <c r="D2008" s="14" t="inlineStr">
        <is>
          <t>ESCOLA MUNICIPAL DA PALESTINA</t>
        </is>
      </c>
      <c r="E2008" s="14" t="inlineStr">
        <is>
          <t>PALESTINA</t>
        </is>
      </c>
      <c r="F2008" s="14" t="inlineStr">
        <is>
          <t>RUA DIRETA DA PALESTINA S/N - ZONA URBANA</t>
        </is>
      </c>
      <c r="G2008" s="27" t="inlineStr">
        <is>
          <t>41308-000</t>
        </is>
      </c>
      <c r="H2008" s="15" t="n">
        <v>11</v>
      </c>
      <c r="I2008" s="28" t="inlineStr">
        <is>
          <t>NÃO</t>
        </is>
      </c>
      <c r="J2008" s="29" t="n">
        <v>455.3</v>
      </c>
      <c r="K2008" s="14" t="str">
        <f>IF(J2008="","7. Acima de 2 km",IF(J2008&lt;=50,"1. Até 50 m",IF(J2008&lt;=100,"2. De 50 a 100 m",IF(J2008&lt;=200,"3. De 100 a 200 m",IF(J2008&lt;=300,"4. De 200 a 300 m",IF(J2008&lt;=500,"5. De 300 a 500 m","6. De 500 m a 2 km"))))))</f>
        <v>5. De 300 a 500 m</v>
      </c>
      <c r="L2008" s="26" t="n">
        <v>0</v>
      </c>
      <c r="M2008" s="26" t="n">
        <v>0</v>
      </c>
      <c r="N2008" s="26" t="n">
        <v>0</v>
      </c>
      <c r="O2008" s="26" t="n">
        <v>0</v>
      </c>
      <c r="P2008" s="30" t="n">
        <v>-12.866622</v>
      </c>
      <c r="Q2008" s="30" t="n">
        <v>-38.4236603</v>
      </c>
      <c r="R2008" s="14" t="inlineStr">
        <is>
          <t>CARTÓRIO DA 8ª ZONA ELEITORAL, 1ª AVENIDA DO CENTRO ADMINISTRATIVO DA BAHIA, 150, SALVADOR-BA.</t>
        </is>
      </c>
      <c r="S2008" s="26">
        <f>IF(A2008=A2007,0,1)</f>
        <v>0</v>
      </c>
      <c r="T2008" s="26">
        <f>IF(COUNTIF($B$4:B2008,B2008)=1,1,0)</f>
        <v>0</v>
      </c>
    </row>
    <row r="2009">
      <c r="A2009" s="14" t="inlineStr">
        <is>
          <t>SALVADOR</t>
        </is>
      </c>
      <c r="B2009" s="26" t="n">
        <v>8</v>
      </c>
      <c r="C2009" s="26" t="n">
        <v>1708</v>
      </c>
      <c r="D2009" s="14" t="inlineStr">
        <is>
          <t>ESCOLA MUNICIPAL ELYSIO ATHAYDE</t>
        </is>
      </c>
      <c r="E2009" s="14" t="inlineStr">
        <is>
          <t>CAJAZEIRAS V</t>
        </is>
      </c>
      <c r="F2009" s="14" t="inlineStr">
        <is>
          <t>RUA DEPUTADO JOSÉ AMANDO, N 9, QUADRA 7 - ZONA URBANA</t>
        </is>
      </c>
      <c r="G2009" s="27" t="inlineStr">
        <is>
          <t>41335-220</t>
        </is>
      </c>
      <c r="H2009" s="15" t="n">
        <v>7</v>
      </c>
      <c r="I2009" s="28" t="inlineStr">
        <is>
          <t>NÃO</t>
        </is>
      </c>
      <c r="J2009" s="29" t="n">
        <v>272.6</v>
      </c>
      <c r="K2009" s="14" t="str">
        <f>IF(J2009="","7. Acima de 2 km",IF(J2009&lt;=50,"1. Até 50 m",IF(J2009&lt;=100,"2. De 50 a 100 m",IF(J2009&lt;=200,"3. De 100 a 200 m",IF(J2009&lt;=300,"4. De 200 a 300 m",IF(J2009&lt;=500,"5. De 300 a 500 m","6. De 500 m a 2 km"))))))</f>
        <v>4. De 200 a 300 m</v>
      </c>
      <c r="L2009" s="26" t="n">
        <v>0</v>
      </c>
      <c r="M2009" s="26" t="n">
        <v>0</v>
      </c>
      <c r="N2009" s="26" t="n">
        <v>0</v>
      </c>
      <c r="O2009" s="26" t="n">
        <v>1</v>
      </c>
      <c r="P2009" s="30" t="n">
        <v>-12.8953308</v>
      </c>
      <c r="Q2009" s="30" t="n">
        <v>-38.4212612</v>
      </c>
      <c r="R2009" s="14" t="inlineStr">
        <is>
          <t>CARTÓRIO DA 8ª ZONA ELEITORAL, 1ª AVENIDA DO CENTRO ADMINISTRATIVO DA BAHIA, 150, SALVADOR-BA.</t>
        </is>
      </c>
      <c r="S2009" s="26">
        <f>IF(A2009=A2008,0,1)</f>
        <v>0</v>
      </c>
      <c r="T2009" s="26">
        <f>IF(COUNTIF($B$4:B2009,B2009)=1,1,0)</f>
        <v>0</v>
      </c>
    </row>
    <row r="2010">
      <c r="A2010" s="14" t="inlineStr">
        <is>
          <t>SALVADOR</t>
        </is>
      </c>
      <c r="B2010" s="26" t="n">
        <v>8</v>
      </c>
      <c r="C2010" s="26" t="n">
        <v>1740</v>
      </c>
      <c r="D2010" s="14" t="inlineStr">
        <is>
          <t>COLÉGIO ESTADUAL BATISTA NEVES</t>
        </is>
      </c>
      <c r="E2010" s="14" t="inlineStr">
        <is>
          <t>CAJAZEIRAS V</t>
        </is>
      </c>
      <c r="F2010" s="14" t="inlineStr">
        <is>
          <t>2A RÓTULA DA CAJAZEIRA V, S/N - ZONA URBANA</t>
        </is>
      </c>
      <c r="G2010" s="27" t="inlineStr">
        <is>
          <t>41330-010</t>
        </is>
      </c>
      <c r="H2010" s="15" t="n">
        <v>8</v>
      </c>
      <c r="I2010" s="28" t="inlineStr">
        <is>
          <t>SIM</t>
        </is>
      </c>
      <c r="J2010" s="29" t="n">
        <v>79.09999999999999</v>
      </c>
      <c r="K2010" s="14" t="str">
        <f>IF(J2010="","7. Acima de 2 km",IF(J2010&lt;=50,"1. Até 50 m",IF(J2010&lt;=100,"2. De 50 a 100 m",IF(J2010&lt;=200,"3. De 100 a 200 m",IF(J2010&lt;=300,"4. De 200 a 300 m",IF(J2010&lt;=500,"5. De 300 a 500 m","6. De 500 m a 2 km"))))))</f>
        <v>2. De 50 a 100 m</v>
      </c>
      <c r="L2010" s="26" t="n">
        <v>0</v>
      </c>
      <c r="M2010" s="26" t="n">
        <v>1</v>
      </c>
      <c r="N2010" s="26" t="n">
        <v>1</v>
      </c>
      <c r="O2010" s="26" t="n">
        <v>1</v>
      </c>
      <c r="P2010" s="30" t="n">
        <v>-12.8926379</v>
      </c>
      <c r="Q2010" s="30" t="n">
        <v>-38.4227158</v>
      </c>
      <c r="R2010" s="14" t="inlineStr">
        <is>
          <t>CARTÓRIO DA 8ª ZONA ELEITORAL, 1ª AVENIDA DO CENTRO ADMINISTRATIVO DA BAHIA, 150, SALVADOR-BA.</t>
        </is>
      </c>
      <c r="S2010" s="26">
        <f>IF(A2010=A2009,0,1)</f>
        <v>0</v>
      </c>
      <c r="T2010" s="26">
        <f>IF(COUNTIF($B$4:B2010,B2010)=1,1,0)</f>
        <v>0</v>
      </c>
    </row>
    <row r="2011">
      <c r="A2011" s="14" t="inlineStr">
        <is>
          <t>SALVADOR</t>
        </is>
      </c>
      <c r="B2011" s="26" t="n">
        <v>8</v>
      </c>
      <c r="C2011" s="26" t="n">
        <v>1775</v>
      </c>
      <c r="D2011" s="14" t="inlineStr">
        <is>
          <t>ESCOLA MUNICIPAL IRMÃ DULCE</t>
        </is>
      </c>
      <c r="E2011" s="14" t="inlineStr">
        <is>
          <t>CAJAZEIRAS VII</t>
        </is>
      </c>
      <c r="F2011" s="14" t="inlineStr">
        <is>
          <t>RUA DA INDEPENDÊNCIA, S/N - ZONA URBANA</t>
        </is>
      </c>
      <c r="G2011" s="27" t="inlineStr">
        <is>
          <t>41337-325</t>
        </is>
      </c>
      <c r="H2011" s="15" t="n">
        <v>2</v>
      </c>
      <c r="I2011" s="28" t="inlineStr">
        <is>
          <t>NÃO</t>
        </is>
      </c>
      <c r="J2011" s="29" t="n">
        <v>534.6</v>
      </c>
      <c r="K2011" s="14" t="str">
        <f>IF(J2011="","7. Acima de 2 km",IF(J2011&lt;=50,"1. Até 50 m",IF(J2011&lt;=100,"2. De 50 a 100 m",IF(J2011&lt;=200,"3. De 100 a 200 m",IF(J2011&lt;=300,"4. De 200 a 300 m",IF(J2011&lt;=500,"5. De 300 a 500 m","6. De 500 m a 2 km"))))))</f>
        <v>6. De 500 m a 2 km</v>
      </c>
      <c r="L2011" s="26" t="n">
        <v>0</v>
      </c>
      <c r="M2011" s="26" t="n">
        <v>0</v>
      </c>
      <c r="N2011" s="26" t="n">
        <v>0</v>
      </c>
      <c r="O2011" s="26" t="n">
        <v>0</v>
      </c>
      <c r="P2011" s="30" t="n">
        <v>-12.8885083</v>
      </c>
      <c r="Q2011" s="30" t="n">
        <v>-38.4277974</v>
      </c>
      <c r="R2011" s="14" t="inlineStr">
        <is>
          <t>CARTÓRIO DA 8ª ZONA ELEITORAL, 1ª AVENIDA DO CENTRO ADMINISTRATIVO DA BAHIA, 150, SALVADOR-BA.</t>
        </is>
      </c>
      <c r="S2011" s="26">
        <f>IF(A2011=A2010,0,1)</f>
        <v>0</v>
      </c>
      <c r="T2011" s="26">
        <f>IF(COUNTIF($B$4:B2011,B2011)=1,1,0)</f>
        <v>0</v>
      </c>
    </row>
    <row r="2012">
      <c r="A2012" s="14" t="inlineStr">
        <is>
          <t>SALVADOR</t>
        </is>
      </c>
      <c r="B2012" s="26" t="n">
        <v>8</v>
      </c>
      <c r="C2012" s="26" t="n">
        <v>2020</v>
      </c>
      <c r="D2012" s="14" t="inlineStr">
        <is>
          <t>ESCOLA MUNICIPAL PROFESSOR RICARDO PEREIRA</t>
        </is>
      </c>
      <c r="E2012" s="14" t="inlineStr">
        <is>
          <t>CAJAZEIRAS VIII</t>
        </is>
      </c>
      <c r="F2012" s="14" t="inlineStr">
        <is>
          <t>RUA DIRETA JARDIM DAS MANGABEIRAS, S/N - ZONA URBANA</t>
        </is>
      </c>
      <c r="G2012" s="27" t="inlineStr">
        <is>
          <t>41338-710</t>
        </is>
      </c>
      <c r="H2012" s="15" t="n">
        <v>6</v>
      </c>
      <c r="I2012" s="28" t="inlineStr">
        <is>
          <t>NÃO</t>
        </is>
      </c>
      <c r="J2012" s="29" t="n">
        <v>149.9</v>
      </c>
      <c r="K2012" s="14" t="str">
        <f>IF(J2012="","7. Acima de 2 km",IF(J2012&lt;=50,"1. Até 50 m",IF(J2012&lt;=100,"2. De 50 a 100 m",IF(J2012&lt;=200,"3. De 100 a 200 m",IF(J2012&lt;=300,"4. De 200 a 300 m",IF(J2012&lt;=500,"5. De 300 a 500 m","6. De 500 m a 2 km"))))))</f>
        <v>3. De 100 a 200 m</v>
      </c>
      <c r="L2012" s="26" t="n">
        <v>0</v>
      </c>
      <c r="M2012" s="26" t="n">
        <v>0</v>
      </c>
      <c r="N2012" s="26" t="n">
        <v>2</v>
      </c>
      <c r="O2012" s="26" t="n">
        <v>3</v>
      </c>
      <c r="P2012" s="30" t="n">
        <v>-12.9015397</v>
      </c>
      <c r="Q2012" s="30" t="n">
        <v>-38.4138591</v>
      </c>
      <c r="R2012" s="14" t="inlineStr">
        <is>
          <t>CARTÓRIO DA 8ª ZONA ELEITORAL, 1ª AVENIDA DO CENTRO ADMINISTRATIVO DA BAHIA, 150, SALVADOR-BA.</t>
        </is>
      </c>
      <c r="S2012" s="26">
        <f>IF(A2012=A2011,0,1)</f>
        <v>0</v>
      </c>
      <c r="T2012" s="26">
        <f>IF(COUNTIF($B$4:B2012,B2012)=1,1,0)</f>
        <v>0</v>
      </c>
    </row>
    <row r="2013">
      <c r="A2013" s="14" t="inlineStr">
        <is>
          <t>SALVADOR</t>
        </is>
      </c>
      <c r="B2013" s="26" t="n">
        <v>8</v>
      </c>
      <c r="C2013" s="26" t="n">
        <v>2089</v>
      </c>
      <c r="D2013" s="14" t="inlineStr">
        <is>
          <t>ESCOLA MUNICIPAL PROFESSOR AFONSO TEMPORAL</t>
        </is>
      </c>
      <c r="E2013" s="14" t="inlineStr">
        <is>
          <t>VALÉRIA</t>
        </is>
      </c>
      <c r="F2013" s="14" t="inlineStr">
        <is>
          <t>RUA JOSÉ GUIMARÃES, S/N - ZONA URBANA</t>
        </is>
      </c>
      <c r="G2013" s="27" t="inlineStr">
        <is>
          <t>41300-220</t>
        </is>
      </c>
      <c r="H2013" s="15" t="n">
        <v>6</v>
      </c>
      <c r="I2013" s="28" t="inlineStr">
        <is>
          <t>NÃO</t>
        </is>
      </c>
      <c r="J2013" s="29" t="n">
        <v>431.2</v>
      </c>
      <c r="K2013" s="14" t="str">
        <f>IF(J2013="","7. Acima de 2 km",IF(J2013&lt;=50,"1. Até 50 m",IF(J2013&lt;=100,"2. De 50 a 100 m",IF(J2013&lt;=200,"3. De 100 a 200 m",IF(J2013&lt;=300,"4. De 200 a 300 m",IF(J2013&lt;=500,"5. De 300 a 500 m","6. De 500 m a 2 km"))))))</f>
        <v>5. De 300 a 500 m</v>
      </c>
      <c r="L2013" s="26" t="n">
        <v>0</v>
      </c>
      <c r="M2013" s="26" t="n">
        <v>0</v>
      </c>
      <c r="N2013" s="26" t="n">
        <v>0</v>
      </c>
      <c r="O2013" s="26" t="n">
        <v>0</v>
      </c>
      <c r="P2013" s="30" t="n">
        <v>-12.8675194</v>
      </c>
      <c r="Q2013" s="30" t="n">
        <v>-38.4317536</v>
      </c>
      <c r="R2013" s="14" t="inlineStr">
        <is>
          <t>CARTÓRIO DA 8ª ZONA ELEITORAL, 1ª AVENIDA DO CENTRO ADMINISTRATIVO DA BAHIA, 150, SALVADOR-BA.</t>
        </is>
      </c>
      <c r="S2013" s="26">
        <f>IF(A2013=A2012,0,1)</f>
        <v>0</v>
      </c>
      <c r="T2013" s="26">
        <f>IF(COUNTIF($B$4:B2013,B2013)=1,1,0)</f>
        <v>0</v>
      </c>
    </row>
    <row r="2014">
      <c r="A2014" s="14" t="inlineStr">
        <is>
          <t>SALVADOR</t>
        </is>
      </c>
      <c r="B2014" s="26" t="n">
        <v>8</v>
      </c>
      <c r="C2014" s="26" t="n">
        <v>2119</v>
      </c>
      <c r="D2014" s="14" t="inlineStr">
        <is>
          <t>COLÉGIO ESTADUAL PROFESSORA NOÊMIA REGO</t>
        </is>
      </c>
      <c r="E2014" s="14" t="inlineStr">
        <is>
          <t>VALÉRIA</t>
        </is>
      </c>
      <c r="F2014" s="14" t="inlineStr">
        <is>
          <t>RUA BOCA DA MATA, S/N - ZONA URBANA</t>
        </is>
      </c>
      <c r="G2014" s="27" t="inlineStr">
        <is>
          <t>41300-460</t>
        </is>
      </c>
      <c r="H2014" s="15" t="n">
        <v>26</v>
      </c>
      <c r="I2014" s="28" t="inlineStr">
        <is>
          <t>SIM</t>
        </is>
      </c>
      <c r="J2014" s="29" t="n">
        <v>71.3</v>
      </c>
      <c r="K2014" s="14" t="str">
        <f>IF(J2014="","7. Acima de 2 km",IF(J2014&lt;=50,"1. Até 50 m",IF(J2014&lt;=100,"2. De 50 a 100 m",IF(J2014&lt;=200,"3. De 100 a 200 m",IF(J2014&lt;=300,"4. De 200 a 300 m",IF(J2014&lt;=500,"5. De 300 a 500 m","6. De 500 m a 2 km"))))))</f>
        <v>2. De 50 a 100 m</v>
      </c>
      <c r="L2014" s="26" t="n">
        <v>0</v>
      </c>
      <c r="M2014" s="26" t="n">
        <v>1</v>
      </c>
      <c r="N2014" s="26" t="n">
        <v>2</v>
      </c>
      <c r="O2014" s="26" t="n">
        <v>2</v>
      </c>
      <c r="P2014" s="30" t="n">
        <v>-12.8644742</v>
      </c>
      <c r="Q2014" s="30" t="n">
        <v>-38.4365816</v>
      </c>
      <c r="R2014" s="14" t="inlineStr">
        <is>
          <t>CARTÓRIO DA 8ª ZONA ELEITORAL, 1ª AVENIDA DO CENTRO ADMINISTRATIVO DA BAHIA, 150, SALVADOR-BA.</t>
        </is>
      </c>
      <c r="S2014" s="26">
        <f>IF(A2014=A2013,0,1)</f>
        <v>0</v>
      </c>
      <c r="T2014" s="26">
        <f>IF(COUNTIF($B$4:B2014,B2014)=1,1,0)</f>
        <v>0</v>
      </c>
    </row>
    <row r="2015">
      <c r="A2015" s="14" t="inlineStr">
        <is>
          <t>SALVADOR</t>
        </is>
      </c>
      <c r="B2015" s="26" t="n">
        <v>8</v>
      </c>
      <c r="C2015" s="26" t="n">
        <v>2127</v>
      </c>
      <c r="D2015" s="14" t="inlineStr">
        <is>
          <t>COLÉGIO ESTADUAL DINAH GONÇALVES</t>
        </is>
      </c>
      <c r="E2015" s="14" t="inlineStr">
        <is>
          <t>VALÉRIA</t>
        </is>
      </c>
      <c r="F2015" s="14" t="inlineStr">
        <is>
          <t>CONJUNTO ENGENHEIRO ANTÔNIO FRANCO, N 328 - ZONA URBANA</t>
        </is>
      </c>
      <c r="G2015" s="27" t="inlineStr">
        <is>
          <t>41305-000</t>
        </is>
      </c>
      <c r="H2015" s="15" t="n">
        <v>7</v>
      </c>
      <c r="I2015" s="28" t="inlineStr">
        <is>
          <t>NÃO</t>
        </is>
      </c>
      <c r="J2015" s="29" t="n">
        <v>249.8</v>
      </c>
      <c r="K2015" s="14" t="str">
        <f>IF(J2015="","7. Acima de 2 km",IF(J2015&lt;=50,"1. Até 50 m",IF(J2015&lt;=100,"2. De 50 a 100 m",IF(J2015&lt;=200,"3. De 100 a 200 m",IF(J2015&lt;=300,"4. De 200 a 300 m",IF(J2015&lt;=500,"5. De 300 a 500 m","6. De 500 m a 2 km"))))))</f>
        <v>4. De 200 a 300 m</v>
      </c>
      <c r="L2015" s="26" t="n">
        <v>0</v>
      </c>
      <c r="M2015" s="26" t="n">
        <v>0</v>
      </c>
      <c r="N2015" s="26" t="n">
        <v>0</v>
      </c>
      <c r="O2015" s="26" t="n">
        <v>1</v>
      </c>
      <c r="P2015" s="30" t="n">
        <v>-12.8774574</v>
      </c>
      <c r="Q2015" s="30" t="n">
        <v>-38.4399098</v>
      </c>
      <c r="R2015" s="14" t="inlineStr">
        <is>
          <t>CARTÓRIO DA 8ª ZONA ELEITORAL, 1ª AVENIDA DO CENTRO ADMINISTRATIVO DA BAHIA, 150, SALVADOR-BA.</t>
        </is>
      </c>
      <c r="S2015" s="26">
        <f>IF(A2015=A2014,0,1)</f>
        <v>0</v>
      </c>
      <c r="T2015" s="26">
        <f>IF(COUNTIF($B$4:B2015,B2015)=1,1,0)</f>
        <v>0</v>
      </c>
    </row>
    <row r="2016">
      <c r="A2016" s="14" t="inlineStr">
        <is>
          <t>SALVADOR</t>
        </is>
      </c>
      <c r="B2016" s="26" t="n">
        <v>8</v>
      </c>
      <c r="C2016" s="26" t="n">
        <v>2135</v>
      </c>
      <c r="D2016" s="14" t="inlineStr">
        <is>
          <t>ESCOLA MUNICIPAL PROFESSOR MILTON SANTOS</t>
        </is>
      </c>
      <c r="E2016" s="14" t="inlineStr">
        <is>
          <t>VALÉRIA</t>
        </is>
      </c>
      <c r="F2016" s="14" t="inlineStr">
        <is>
          <t>RUA PRINCIPAL, N. 99 - ZONA URBANA</t>
        </is>
      </c>
      <c r="G2016" s="27" t="inlineStr">
        <is>
          <t>41305-410</t>
        </is>
      </c>
      <c r="H2016" s="15" t="n">
        <v>8</v>
      </c>
      <c r="I2016" s="28" t="inlineStr">
        <is>
          <t>NÃO</t>
        </is>
      </c>
      <c r="J2016" s="29" t="n">
        <v>238.2</v>
      </c>
      <c r="K2016" s="14" t="str">
        <f>IF(J2016="","7. Acima de 2 km",IF(J2016&lt;=50,"1. Até 50 m",IF(J2016&lt;=100,"2. De 50 a 100 m",IF(J2016&lt;=200,"3. De 100 a 200 m",IF(J2016&lt;=300,"4. De 200 a 300 m",IF(J2016&lt;=500,"5. De 300 a 500 m","6. De 500 m a 2 km"))))))</f>
        <v>4. De 200 a 300 m</v>
      </c>
      <c r="L2016" s="26" t="n">
        <v>0</v>
      </c>
      <c r="M2016" s="26" t="n">
        <v>0</v>
      </c>
      <c r="N2016" s="26" t="n">
        <v>0</v>
      </c>
      <c r="O2016" s="26" t="n">
        <v>1</v>
      </c>
      <c r="P2016" s="30" t="n">
        <v>-12.8704015</v>
      </c>
      <c r="Q2016" s="30" t="n">
        <v>-38.4352047</v>
      </c>
      <c r="R2016" s="14" t="inlineStr">
        <is>
          <t>CARTÓRIO DA 8ª ZONA ELEITORAL, 1ª AVENIDA DO CENTRO ADMINISTRATIVO DA BAHIA, 150, SALVADOR-BA.</t>
        </is>
      </c>
      <c r="S2016" s="26">
        <f>IF(A2016=A2015,0,1)</f>
        <v>0</v>
      </c>
      <c r="T2016" s="26">
        <f>IF(COUNTIF($B$4:B2016,B2016)=1,1,0)</f>
        <v>0</v>
      </c>
    </row>
    <row r="2017">
      <c r="A2017" s="14" t="inlineStr">
        <is>
          <t>SALVADOR</t>
        </is>
      </c>
      <c r="B2017" s="26" t="n">
        <v>8</v>
      </c>
      <c r="C2017" s="26" t="n">
        <v>2151</v>
      </c>
      <c r="D2017" s="14" t="inlineStr">
        <is>
          <t>COLÉGIO ESTADUAL NOSSA SENHORA DE FÁTIMA - DERBA</t>
        </is>
      </c>
      <c r="E2017" s="14" t="inlineStr">
        <is>
          <t>VALÉRIA</t>
        </is>
      </c>
      <c r="F2017" s="14" t="inlineStr">
        <is>
          <t>RUA DA MATRIZ, S/N, BR-324, PARQUE DERBA - ZONA URBANA</t>
        </is>
      </c>
      <c r="G2017" s="27" t="inlineStr">
        <is>
          <t>41300-600</t>
        </is>
      </c>
      <c r="H2017" s="15" t="n">
        <v>10</v>
      </c>
      <c r="I2017" s="28" t="inlineStr">
        <is>
          <t>NÃO</t>
        </is>
      </c>
      <c r="J2017" s="29" t="n">
        <v>411.2</v>
      </c>
      <c r="K2017" s="14" t="str">
        <f>IF(J2017="","7. Acima de 2 km",IF(J2017&lt;=50,"1. Até 50 m",IF(J2017&lt;=100,"2. De 50 a 100 m",IF(J2017&lt;=200,"3. De 100 a 200 m",IF(J2017&lt;=300,"4. De 200 a 300 m",IF(J2017&lt;=500,"5. De 300 a 500 m","6. De 500 m a 2 km"))))))</f>
        <v>5. De 300 a 500 m</v>
      </c>
      <c r="L2017" s="26" t="n">
        <v>0</v>
      </c>
      <c r="M2017" s="26" t="n">
        <v>0</v>
      </c>
      <c r="N2017" s="26" t="n">
        <v>0</v>
      </c>
      <c r="O2017" s="26" t="n">
        <v>0</v>
      </c>
      <c r="P2017" s="30" t="n">
        <v>-12.8802808</v>
      </c>
      <c r="Q2017" s="30" t="n">
        <v>-38.4391226</v>
      </c>
      <c r="R2017" s="14" t="inlineStr">
        <is>
          <t>CARTÓRIO DA 8ª ZONA ELEITORAL, 1ª AVENIDA DO CENTRO ADMINISTRATIVO DA BAHIA, 150, SALVADOR-BA.</t>
        </is>
      </c>
      <c r="S2017" s="26">
        <f>IF(A2017=A2016,0,1)</f>
        <v>0</v>
      </c>
      <c r="T2017" s="26">
        <f>IF(COUNTIF($B$4:B2017,B2017)=1,1,0)</f>
        <v>0</v>
      </c>
    </row>
    <row r="2018">
      <c r="A2018" s="14" t="inlineStr">
        <is>
          <t>SALVADOR</t>
        </is>
      </c>
      <c r="B2018" s="26" t="n">
        <v>8</v>
      </c>
      <c r="C2018" s="26" t="n">
        <v>2160</v>
      </c>
      <c r="D2018" s="14" t="inlineStr">
        <is>
          <t>ESCOLA MUNICIPAL PROFESSOR  ÍTALO GAUDENZI</t>
        </is>
      </c>
      <c r="E2018" s="14" t="inlineStr">
        <is>
          <t>MORADAS DA LAGOA</t>
        </is>
      </c>
      <c r="F2018" s="14" t="inlineStr">
        <is>
          <t>RUA ACAJUTIBA, S/N, CONJUNTO MORADA DA LAGOA - ZONA URBANA</t>
        </is>
      </c>
      <c r="G2018" s="27" t="inlineStr">
        <is>
          <t>41306-745</t>
        </is>
      </c>
      <c r="H2018" s="15" t="n">
        <v>11</v>
      </c>
      <c r="I2018" s="28" t="inlineStr">
        <is>
          <t>NÃO</t>
        </is>
      </c>
      <c r="J2018" s="29" t="n">
        <v>609.2</v>
      </c>
      <c r="K2018" s="14" t="str">
        <f>IF(J2018="","7. Acima de 2 km",IF(J2018&lt;=50,"1. Até 50 m",IF(J2018&lt;=100,"2. De 50 a 100 m",IF(J2018&lt;=200,"3. De 100 a 200 m",IF(J2018&lt;=300,"4. De 200 a 300 m",IF(J2018&lt;=500,"5. De 300 a 500 m","6. De 500 m a 2 km"))))))</f>
        <v>6. De 500 m a 2 km</v>
      </c>
      <c r="L2018" s="26" t="n">
        <v>0</v>
      </c>
      <c r="M2018" s="26" t="n">
        <v>0</v>
      </c>
      <c r="N2018" s="26" t="n">
        <v>0</v>
      </c>
      <c r="O2018" s="26" t="n">
        <v>0</v>
      </c>
      <c r="P2018" s="30" t="n">
        <v>-12.8524099</v>
      </c>
      <c r="Q2018" s="30" t="n">
        <v>-38.4561648</v>
      </c>
      <c r="R2018" s="14" t="inlineStr">
        <is>
          <t>CARTÓRIO DA 8ª ZONA ELEITORAL, 1ª AVENIDA DO CENTRO ADMINISTRATIVO DA BAHIA, 150, SALVADOR-BA.</t>
        </is>
      </c>
      <c r="S2018" s="26">
        <f>IF(A2018=A2017,0,1)</f>
        <v>0</v>
      </c>
      <c r="T2018" s="26">
        <f>IF(COUNTIF($B$4:B2018,B2018)=1,1,0)</f>
        <v>0</v>
      </c>
    </row>
    <row r="2019">
      <c r="A2019" s="14" t="inlineStr">
        <is>
          <t>SALVADOR</t>
        </is>
      </c>
      <c r="B2019" s="26" t="n">
        <v>8</v>
      </c>
      <c r="C2019" s="26" t="n">
        <v>2178</v>
      </c>
      <c r="D2019" s="14" t="inlineStr">
        <is>
          <t>ESCOLA MUNICIPAL CAMPINAS DE PIRAJÁ</t>
        </is>
      </c>
      <c r="E2019" s="14" t="inlineStr">
        <is>
          <t>CAMPINAS DE PIRAJÁ</t>
        </is>
      </c>
      <c r="F2019" s="14" t="inlineStr">
        <is>
          <t>ESTRADA DE CAMPINAS S/N - ZONA URBANA</t>
        </is>
      </c>
      <c r="G2019" s="27" t="inlineStr">
        <is>
          <t>41270-000</t>
        </is>
      </c>
      <c r="H2019" s="15" t="n">
        <v>15</v>
      </c>
      <c r="I2019" s="28" t="inlineStr">
        <is>
          <t>SIM</t>
        </is>
      </c>
      <c r="J2019" s="29" t="n">
        <v>25</v>
      </c>
      <c r="K2019" s="14" t="str">
        <f>IF(J2019="","7. Acima de 2 km",IF(J2019&lt;=50,"1. Até 50 m",IF(J2019&lt;=100,"2. De 50 a 100 m",IF(J2019&lt;=200,"3. De 100 a 200 m",IF(J2019&lt;=300,"4. De 200 a 300 m",IF(J2019&lt;=500,"5. De 300 a 500 m","6. De 500 m a 2 km"))))))</f>
        <v>1. Até 50 m</v>
      </c>
      <c r="L2019" s="26" t="n">
        <v>1</v>
      </c>
      <c r="M2019" s="26" t="n">
        <v>1</v>
      </c>
      <c r="N2019" s="26" t="n">
        <v>1</v>
      </c>
      <c r="O2019" s="26" t="n">
        <v>1</v>
      </c>
      <c r="P2019" s="30" t="n">
        <v>-12.9195558</v>
      </c>
      <c r="Q2019" s="30" t="n">
        <v>-38.4689651</v>
      </c>
      <c r="R2019" s="14" t="inlineStr">
        <is>
          <t>CARTÓRIO DA 8ª ZONA ELEITORAL, 1ª AVENIDA DO CENTRO ADMINISTRATIVO DA BAHIA, 150, SALVADOR-BA.</t>
        </is>
      </c>
      <c r="S2019" s="26">
        <f>IF(A2019=A2018,0,1)</f>
        <v>0</v>
      </c>
      <c r="T2019" s="26">
        <f>IF(COUNTIF($B$4:B2019,B2019)=1,1,0)</f>
        <v>0</v>
      </c>
    </row>
    <row r="2020">
      <c r="A2020" s="14" t="inlineStr">
        <is>
          <t>SALVADOR</t>
        </is>
      </c>
      <c r="B2020" s="26" t="n">
        <v>8</v>
      </c>
      <c r="C2020" s="26" t="n">
        <v>2194</v>
      </c>
      <c r="D2020" s="14" t="inlineStr">
        <is>
          <t>ESCOLA ESTADUAL GERMANO MACHADO NETO</t>
        </is>
      </c>
      <c r="E2020" s="14" t="inlineStr">
        <is>
          <t>MARECHAL RONDON</t>
        </is>
      </c>
      <c r="F2020" s="14" t="inlineStr">
        <is>
          <t>RUA CENTRAL, N 193-E - ZONA URBANA</t>
        </is>
      </c>
      <c r="G2020" s="27" t="inlineStr">
        <is>
          <t>41280-126</t>
        </is>
      </c>
      <c r="H2020" s="15" t="n">
        <v>9</v>
      </c>
      <c r="I2020" s="28" t="inlineStr">
        <is>
          <t>NÃO</t>
        </is>
      </c>
      <c r="J2020" s="29" t="n">
        <v>237.1</v>
      </c>
      <c r="K2020" s="14" t="str">
        <f>IF(J2020="","7. Acima de 2 km",IF(J2020&lt;=50,"1. Até 50 m",IF(J2020&lt;=100,"2. De 50 a 100 m",IF(J2020&lt;=200,"3. De 100 a 200 m",IF(J2020&lt;=300,"4. De 200 a 300 m",IF(J2020&lt;=500,"5. De 300 a 500 m","6. De 500 m a 2 km"))))))</f>
        <v>4. De 200 a 300 m</v>
      </c>
      <c r="L2020" s="26" t="n">
        <v>0</v>
      </c>
      <c r="M2020" s="26" t="n">
        <v>0</v>
      </c>
      <c r="N2020" s="26" t="n">
        <v>0</v>
      </c>
      <c r="O2020" s="26" t="n">
        <v>2</v>
      </c>
      <c r="P2020" s="30" t="n">
        <v>-12.9135498</v>
      </c>
      <c r="Q2020" s="30" t="n">
        <v>-38.4664732</v>
      </c>
      <c r="R2020" s="14" t="inlineStr">
        <is>
          <t>CARTÓRIO DA 8ª ZONA ELEITORAL, 1ª AVENIDA DO CENTRO ADMINISTRATIVO DA BAHIA, 150, SALVADOR-BA.</t>
        </is>
      </c>
      <c r="S2020" s="26">
        <f>IF(A2020=A2019,0,1)</f>
        <v>0</v>
      </c>
      <c r="T2020" s="26">
        <f>IF(COUNTIF($B$4:B2020,B2020)=1,1,0)</f>
        <v>0</v>
      </c>
    </row>
    <row r="2021">
      <c r="A2021" s="14" t="inlineStr">
        <is>
          <t>SALVADOR</t>
        </is>
      </c>
      <c r="B2021" s="26" t="n">
        <v>8</v>
      </c>
      <c r="C2021" s="26" t="n">
        <v>2208</v>
      </c>
      <c r="D2021" s="14" t="inlineStr">
        <is>
          <t>ESCOLA COMUNITÁRIA REGINA STUKENBORG</t>
        </is>
      </c>
      <c r="E2021" s="14" t="inlineStr">
        <is>
          <t>MARECHAL RONDON</t>
        </is>
      </c>
      <c r="F2021" s="14" t="inlineStr">
        <is>
          <t>3. TRAVESSA DA BOA VISTA S/N - ZONA URBANA</t>
        </is>
      </c>
      <c r="G2021" s="27" t="inlineStr">
        <is>
          <t>41280-152</t>
        </is>
      </c>
      <c r="H2021" s="15" t="n">
        <v>7</v>
      </c>
      <c r="I2021" s="28" t="inlineStr">
        <is>
          <t>NÃO</t>
        </is>
      </c>
      <c r="J2021" s="29" t="n">
        <v>461.3</v>
      </c>
      <c r="K2021" s="14" t="str">
        <f>IF(J2021="","7. Acima de 2 km",IF(J2021&lt;=50,"1. Até 50 m",IF(J2021&lt;=100,"2. De 50 a 100 m",IF(J2021&lt;=200,"3. De 100 a 200 m",IF(J2021&lt;=300,"4. De 200 a 300 m",IF(J2021&lt;=500,"5. De 300 a 500 m","6. De 500 m a 2 km"))))))</f>
        <v>5. De 300 a 500 m</v>
      </c>
      <c r="L2021" s="26" t="n">
        <v>0</v>
      </c>
      <c r="M2021" s="26" t="n">
        <v>0</v>
      </c>
      <c r="N2021" s="26" t="n">
        <v>0</v>
      </c>
      <c r="O2021" s="26" t="n">
        <v>0</v>
      </c>
      <c r="P2021" s="30" t="n">
        <v>-12.9141076</v>
      </c>
      <c r="Q2021" s="30" t="n">
        <v>-38.4718538</v>
      </c>
      <c r="R2021" s="14" t="inlineStr">
        <is>
          <t>CARTÓRIO DA 8ª ZONA ELEITORAL, 1ª AVENIDA DO CENTRO ADMINISTRATIVO DA BAHIA, 150, SALVADOR-BA.</t>
        </is>
      </c>
      <c r="S2021" s="26">
        <f>IF(A2021=A2020,0,1)</f>
        <v>0</v>
      </c>
      <c r="T2021" s="26">
        <f>IF(COUNTIF($B$4:B2021,B2021)=1,1,0)</f>
        <v>0</v>
      </c>
    </row>
    <row r="2022">
      <c r="A2022" s="14" t="inlineStr">
        <is>
          <t>SALVADOR</t>
        </is>
      </c>
      <c r="B2022" s="26" t="n">
        <v>8</v>
      </c>
      <c r="C2022" s="26" t="n">
        <v>2224</v>
      </c>
      <c r="D2022" s="14" t="inlineStr">
        <is>
          <t>COLÉGIO ESTADUAL CESARE CASALI</t>
        </is>
      </c>
      <c r="E2022" s="14" t="inlineStr">
        <is>
          <t>PIRAJÁ</t>
        </is>
      </c>
      <c r="F2022" s="14" t="inlineStr">
        <is>
          <t>CONJUNTO RESIDENCIAL PIRAJÁ II, S/N, LARGO DO FIM DE LINHA-ZONA URBANA</t>
        </is>
      </c>
      <c r="G2022" s="27" t="inlineStr">
        <is>
          <t>41290-540</t>
        </is>
      </c>
      <c r="H2022" s="15" t="n">
        <v>7</v>
      </c>
      <c r="I2022" s="28" t="inlineStr">
        <is>
          <t>SIM</t>
        </is>
      </c>
      <c r="J2022" s="29" t="n">
        <v>48.4</v>
      </c>
      <c r="K2022" s="14" t="str">
        <f>IF(J2022="","7. Acima de 2 km",IF(J2022&lt;=50,"1. Até 50 m",IF(J2022&lt;=100,"2. De 50 a 100 m",IF(J2022&lt;=200,"3. De 100 a 200 m",IF(J2022&lt;=300,"4. De 200 a 300 m",IF(J2022&lt;=500,"5. De 300 a 500 m","6. De 500 m a 2 km"))))))</f>
        <v>1. Até 50 m</v>
      </c>
      <c r="L2022" s="26" t="n">
        <v>1</v>
      </c>
      <c r="M2022" s="26" t="n">
        <v>1</v>
      </c>
      <c r="N2022" s="26" t="n">
        <v>1</v>
      </c>
      <c r="O2022" s="26" t="n">
        <v>1</v>
      </c>
      <c r="P2022" s="30" t="n">
        <v>-12.8931306</v>
      </c>
      <c r="Q2022" s="30" t="n">
        <v>-38.4559809</v>
      </c>
      <c r="R2022" s="14" t="inlineStr">
        <is>
          <t>CARTÓRIO DA 8ª ZONA ELEITORAL, 1ª AVENIDA DO CENTRO ADMINISTRATIVO DA BAHIA, 150, SALVADOR-BA.</t>
        </is>
      </c>
      <c r="S2022" s="26">
        <f>IF(A2022=A2021,0,1)</f>
        <v>0</v>
      </c>
      <c r="T2022" s="26">
        <f>IF(COUNTIF($B$4:B2022,B2022)=1,1,0)</f>
        <v>0</v>
      </c>
    </row>
    <row r="2023">
      <c r="A2023" s="14" t="inlineStr">
        <is>
          <t>SALVADOR</t>
        </is>
      </c>
      <c r="B2023" s="26" t="n">
        <v>8</v>
      </c>
      <c r="C2023" s="26" t="n">
        <v>2259</v>
      </c>
      <c r="D2023" s="14" t="inlineStr">
        <is>
          <t>ESCOLA ESTADUAL TEODORO SAMPAIO</t>
        </is>
      </c>
      <c r="E2023" s="14" t="inlineStr">
        <is>
          <t>PIRAJÁ</t>
        </is>
      </c>
      <c r="F2023" s="14" t="inlineStr">
        <is>
          <t>RUA OITO DE NOVEMBRO, N 300, VELHA PIRAJÁ - ZONA URBANA</t>
        </is>
      </c>
      <c r="G2023" s="27" t="inlineStr">
        <is>
          <t>41290-200</t>
        </is>
      </c>
      <c r="H2023" s="15" t="n">
        <v>10</v>
      </c>
      <c r="I2023" s="28" t="inlineStr">
        <is>
          <t>SIM</t>
        </is>
      </c>
      <c r="J2023" s="29" t="n">
        <v>53.2</v>
      </c>
      <c r="K2023" s="14" t="str">
        <f>IF(J2023="","7. Acima de 2 km",IF(J2023&lt;=50,"1. Até 50 m",IF(J2023&lt;=100,"2. De 50 a 100 m",IF(J2023&lt;=200,"3. De 100 a 200 m",IF(J2023&lt;=300,"4. De 200 a 300 m",IF(J2023&lt;=500,"5. De 300 a 500 m","6. De 500 m a 2 km"))))))</f>
        <v>2. De 50 a 100 m</v>
      </c>
      <c r="L2023" s="26" t="n">
        <v>0</v>
      </c>
      <c r="M2023" s="26" t="n">
        <v>1</v>
      </c>
      <c r="N2023" s="26" t="n">
        <v>2</v>
      </c>
      <c r="O2023" s="26" t="n">
        <v>2</v>
      </c>
      <c r="P2023" s="30" t="n">
        <v>-12.9016911</v>
      </c>
      <c r="Q2023" s="30" t="n">
        <v>-38.4653964</v>
      </c>
      <c r="R2023" s="14" t="inlineStr">
        <is>
          <t>CARTÓRIO DA 8ª ZONA ELEITORAL, 1ª AVENIDA DO CENTRO ADMINISTRATIVO DA BAHIA, 150, SALVADOR-BA.</t>
        </is>
      </c>
      <c r="S2023" s="26">
        <f>IF(A2023=A2022,0,1)</f>
        <v>0</v>
      </c>
      <c r="T2023" s="26">
        <f>IF(COUNTIF($B$4:B2023,B2023)=1,1,0)</f>
        <v>0</v>
      </c>
    </row>
    <row r="2024">
      <c r="A2024" s="14" t="inlineStr">
        <is>
          <t>SALVADOR</t>
        </is>
      </c>
      <c r="B2024" s="26" t="n">
        <v>8</v>
      </c>
      <c r="C2024" s="26" t="n">
        <v>2283</v>
      </c>
      <c r="D2024" s="14" t="inlineStr">
        <is>
          <t>ESCOLA ESTADUAL SANTOS DUMONT</t>
        </is>
      </c>
      <c r="E2024" s="14" t="inlineStr">
        <is>
          <t>PIRAJÁ</t>
        </is>
      </c>
      <c r="F2024" s="14" t="inlineStr">
        <is>
          <t>RUA OITO DE NOVEMBRO, S/N - ZONA URBANA</t>
        </is>
      </c>
      <c r="G2024" s="27" t="inlineStr">
        <is>
          <t>41290-200</t>
        </is>
      </c>
      <c r="H2024" s="15" t="n">
        <v>16</v>
      </c>
      <c r="I2024" s="28" t="inlineStr">
        <is>
          <t>SIM</t>
        </is>
      </c>
      <c r="J2024" s="29" t="n">
        <v>61</v>
      </c>
      <c r="K2024" s="14" t="str">
        <f>IF(J2024="","7. Acima de 2 km",IF(J2024&lt;=50,"1. Até 50 m",IF(J2024&lt;=100,"2. De 50 a 100 m",IF(J2024&lt;=200,"3. De 100 a 200 m",IF(J2024&lt;=300,"4. De 200 a 300 m",IF(J2024&lt;=500,"5. De 300 a 500 m","6. De 500 m a 2 km"))))))</f>
        <v>2. De 50 a 100 m</v>
      </c>
      <c r="L2024" s="26" t="n">
        <v>0</v>
      </c>
      <c r="M2024" s="26" t="n">
        <v>1</v>
      </c>
      <c r="N2024" s="26" t="n">
        <v>2</v>
      </c>
      <c r="O2024" s="26" t="n">
        <v>2</v>
      </c>
      <c r="P2024" s="30" t="n">
        <v>-12.9013688</v>
      </c>
      <c r="Q2024" s="30" t="n">
        <v>-38.4650763</v>
      </c>
      <c r="R2024" s="14" t="inlineStr">
        <is>
          <t>CARTÓRIO DA 8ª ZONA ELEITORAL, 1ª AVENIDA DO CENTRO ADMINISTRATIVO DA BAHIA, 150, SALVADOR-BA.</t>
        </is>
      </c>
      <c r="S2024" s="26">
        <f>IF(A2024=A2023,0,1)</f>
        <v>0</v>
      </c>
      <c r="T2024" s="26">
        <f>IF(COUNTIF($B$4:B2024,B2024)=1,1,0)</f>
        <v>0</v>
      </c>
    </row>
    <row r="2025">
      <c r="A2025" s="14" t="inlineStr">
        <is>
          <t>SALVADOR</t>
        </is>
      </c>
      <c r="B2025" s="26" t="n">
        <v>8</v>
      </c>
      <c r="C2025" s="26" t="n">
        <v>2291</v>
      </c>
      <c r="D2025" s="14" t="inlineStr">
        <is>
          <t>ESCOLA MUNICIPAL ALEXANDRINA PITA</t>
        </is>
      </c>
      <c r="E2025" s="14" t="inlineStr">
        <is>
          <t>PIRAJÁ</t>
        </is>
      </c>
      <c r="F2025" s="14" t="inlineStr">
        <is>
          <t>RUA NOVA PIRAJÁ S/N - ZONA URBANA</t>
        </is>
      </c>
      <c r="G2025" s="27" t="inlineStr">
        <is>
          <t>41295-350</t>
        </is>
      </c>
      <c r="H2025" s="15" t="n">
        <v>14</v>
      </c>
      <c r="I2025" s="28" t="inlineStr">
        <is>
          <t>SIM</t>
        </is>
      </c>
      <c r="J2025" s="29" t="n">
        <v>39.9</v>
      </c>
      <c r="K2025" s="14" t="str">
        <f>IF(J2025="","7. Acima de 2 km",IF(J2025&lt;=50,"1. Até 50 m",IF(J2025&lt;=100,"2. De 50 a 100 m",IF(J2025&lt;=200,"3. De 100 a 200 m",IF(J2025&lt;=300,"4. De 200 a 300 m",IF(J2025&lt;=500,"5. De 300 a 500 m","6. De 500 m a 2 km"))))))</f>
        <v>1. Até 50 m</v>
      </c>
      <c r="L2025" s="26" t="n">
        <v>1</v>
      </c>
      <c r="M2025" s="26" t="n">
        <v>1</v>
      </c>
      <c r="N2025" s="26" t="n">
        <v>1</v>
      </c>
      <c r="O2025" s="26" t="n">
        <v>1</v>
      </c>
      <c r="P2025" s="30" t="n">
        <v>-12.8977454</v>
      </c>
      <c r="Q2025" s="30" t="n">
        <v>-38.4598823</v>
      </c>
      <c r="R2025" s="14" t="inlineStr">
        <is>
          <t>CARTÓRIO DA 8ª ZONA ELEITORAL, 1ª AVENIDA DO CENTRO ADMINISTRATIVO DA BAHIA, 150, SALVADOR-BA.</t>
        </is>
      </c>
      <c r="S2025" s="26">
        <f>IF(A2025=A2024,0,1)</f>
        <v>0</v>
      </c>
      <c r="T2025" s="26">
        <f>IF(COUNTIF($B$4:B2025,B2025)=1,1,0)</f>
        <v>0</v>
      </c>
    </row>
    <row r="2026">
      <c r="A2026" s="14" t="inlineStr">
        <is>
          <t>SALVADOR</t>
        </is>
      </c>
      <c r="B2026" s="26" t="n">
        <v>8</v>
      </c>
      <c r="C2026" s="26" t="n">
        <v>2305</v>
      </c>
      <c r="D2026" s="14" t="inlineStr">
        <is>
          <t>ESCOLA MUNICIPAL GENERAL LABATUT</t>
        </is>
      </c>
      <c r="E2026" s="14" t="inlineStr">
        <is>
          <t>PIRAJÁ</t>
        </is>
      </c>
      <c r="F2026" s="14" t="inlineStr">
        <is>
          <t>RUA OITO DE NOVEMBRO, TV. 24 DE AGOSTO S/N - ZONA URBANA</t>
        </is>
      </c>
      <c r="G2026" s="27" t="inlineStr">
        <is>
          <t>41290-200</t>
        </is>
      </c>
      <c r="H2026" s="15" t="n">
        <v>10</v>
      </c>
      <c r="I2026" s="28" t="inlineStr">
        <is>
          <t>SIM</t>
        </is>
      </c>
      <c r="J2026" s="29" t="n">
        <v>33.2</v>
      </c>
      <c r="K2026" s="14" t="str">
        <f>IF(J2026="","7. Acima de 2 km",IF(J2026&lt;=50,"1. Até 50 m",IF(J2026&lt;=100,"2. De 50 a 100 m",IF(J2026&lt;=200,"3. De 100 a 200 m",IF(J2026&lt;=300,"4. De 200 a 300 m",IF(J2026&lt;=500,"5. De 300 a 500 m","6. De 500 m a 2 km"))))))</f>
        <v>1. Até 50 m</v>
      </c>
      <c r="L2026" s="26" t="n">
        <v>1</v>
      </c>
      <c r="M2026" s="26" t="n">
        <v>2</v>
      </c>
      <c r="N2026" s="26" t="n">
        <v>2</v>
      </c>
      <c r="O2026" s="26" t="n">
        <v>2</v>
      </c>
      <c r="P2026" s="30" t="n">
        <v>-12.9016146</v>
      </c>
      <c r="Q2026" s="30" t="n">
        <v>-38.4650279</v>
      </c>
      <c r="R2026" s="14" t="inlineStr">
        <is>
          <t>CARTÓRIO DA 8ª ZONA ELEITORAL, 1ª AVENIDA DO CENTRO ADMINISTRATIVO DA BAHIA, 150, SALVADOR-BA.</t>
        </is>
      </c>
      <c r="S2026" s="26">
        <f>IF(A2026=A2025,0,1)</f>
        <v>0</v>
      </c>
      <c r="T2026" s="26">
        <f>IF(COUNTIF($B$4:B2026,B2026)=1,1,0)</f>
        <v>0</v>
      </c>
    </row>
    <row r="2027">
      <c r="A2027" s="14" t="inlineStr">
        <is>
          <t>SALVADOR</t>
        </is>
      </c>
      <c r="B2027" s="26" t="n">
        <v>8</v>
      </c>
      <c r="C2027" s="26" t="n">
        <v>2313</v>
      </c>
      <c r="D2027" s="14" t="inlineStr">
        <is>
          <t>ESCOLA MUNICIPAL FILHOS DE SALOMÃO</t>
        </is>
      </c>
      <c r="E2027" s="14" t="inlineStr">
        <is>
          <t>CAMPINAS</t>
        </is>
      </c>
      <c r="F2027" s="14" t="inlineStr">
        <is>
          <t>ESTRADA DE CAMPINAS, S/N - ZONA URBANA</t>
        </is>
      </c>
      <c r="G2027" s="27" t="inlineStr">
        <is>
          <t>40271-140</t>
        </is>
      </c>
      <c r="H2027" s="15" t="n">
        <v>10</v>
      </c>
      <c r="I2027" s="28" t="inlineStr">
        <is>
          <t>NÃO</t>
        </is>
      </c>
      <c r="J2027" s="29" t="n">
        <v>168.4</v>
      </c>
      <c r="K2027" s="14" t="str">
        <f>IF(J2027="","7. Acima de 2 km",IF(J2027&lt;=50,"1. Até 50 m",IF(J2027&lt;=100,"2. De 50 a 100 m",IF(J2027&lt;=200,"3. De 100 a 200 m",IF(J2027&lt;=300,"4. De 200 a 300 m",IF(J2027&lt;=500,"5. De 300 a 500 m","6. De 500 m a 2 km"))))))</f>
        <v>3. De 100 a 200 m</v>
      </c>
      <c r="L2027" s="26" t="n">
        <v>0</v>
      </c>
      <c r="M2027" s="26" t="n">
        <v>0</v>
      </c>
      <c r="N2027" s="26" t="n">
        <v>1</v>
      </c>
      <c r="O2027" s="26" t="n">
        <v>2</v>
      </c>
      <c r="P2027" s="30" t="n">
        <v>-12.9183327</v>
      </c>
      <c r="Q2027" s="30" t="n">
        <v>-38.4682569</v>
      </c>
      <c r="R2027" s="14" t="inlineStr">
        <is>
          <t>CARTÓRIO DA 8ª ZONA ELEITORAL, 1ª AVENIDA DO CENTRO ADMINISTRATIVO DA BAHIA, 150, SALVADOR-BA.</t>
        </is>
      </c>
      <c r="S2027" s="26">
        <f>IF(A2027=A2026,0,1)</f>
        <v>0</v>
      </c>
      <c r="T2027" s="26">
        <f>IF(COUNTIF($B$4:B2027,B2027)=1,1,0)</f>
        <v>0</v>
      </c>
    </row>
    <row r="2028">
      <c r="A2028" s="14" t="inlineStr">
        <is>
          <t>SALVADOR</t>
        </is>
      </c>
      <c r="B2028" s="26" t="n">
        <v>8</v>
      </c>
      <c r="C2028" s="26" t="n">
        <v>2321</v>
      </c>
      <c r="D2028" s="14" t="inlineStr">
        <is>
          <t>ESCOLA ESTADUAL ARTUR DE SALES</t>
        </is>
      </c>
      <c r="E2028" s="14" t="inlineStr">
        <is>
          <t>CAMPINAS</t>
        </is>
      </c>
      <c r="F2028" s="14" t="inlineStr">
        <is>
          <t>LARGO DE CAMPINAS, S/N, FIM DE LINHA - ZONA URBANA</t>
        </is>
      </c>
      <c r="G2028" s="27" t="inlineStr">
        <is>
          <t>41275-150</t>
        </is>
      </c>
      <c r="H2028" s="15" t="n">
        <v>13</v>
      </c>
      <c r="I2028" s="28" t="inlineStr">
        <is>
          <t>SIM</t>
        </is>
      </c>
      <c r="J2028" s="29" t="n">
        <v>38.1</v>
      </c>
      <c r="K2028" s="14" t="str">
        <f>IF(J2028="","7. Acima de 2 km",IF(J2028&lt;=50,"1. Até 50 m",IF(J2028&lt;=100,"2. De 50 a 100 m",IF(J2028&lt;=200,"3. De 100 a 200 m",IF(J2028&lt;=300,"4. De 200 a 300 m",IF(J2028&lt;=500,"5. De 300 a 500 m","6. De 500 m a 2 km"))))))</f>
        <v>1. Até 50 m</v>
      </c>
      <c r="L2028" s="26" t="n">
        <v>1</v>
      </c>
      <c r="M2028" s="26" t="n">
        <v>1</v>
      </c>
      <c r="N2028" s="26" t="n">
        <v>2</v>
      </c>
      <c r="O2028" s="26" t="n">
        <v>3</v>
      </c>
      <c r="P2028" s="30" t="n">
        <v>-12.9174602</v>
      </c>
      <c r="Q2028" s="30" t="n">
        <v>-38.4658613</v>
      </c>
      <c r="R2028" s="14" t="inlineStr">
        <is>
          <t>CARTÓRIO DA 8ª ZONA ELEITORAL, 1ª AVENIDA DO CENTRO ADMINISTRATIVO DA BAHIA, 150, SALVADOR-BA.</t>
        </is>
      </c>
      <c r="S2028" s="26">
        <f>IF(A2028=A2027,0,1)</f>
        <v>0</v>
      </c>
      <c r="T2028" s="26">
        <f>IF(COUNTIF($B$4:B2028,B2028)=1,1,0)</f>
        <v>0</v>
      </c>
    </row>
    <row r="2029">
      <c r="A2029" s="14" t="inlineStr">
        <is>
          <t>SALVADOR</t>
        </is>
      </c>
      <c r="B2029" s="26" t="n">
        <v>8</v>
      </c>
      <c r="C2029" s="26" t="n">
        <v>2330</v>
      </c>
      <c r="D2029" s="14" t="inlineStr">
        <is>
          <t>ESCOLA MUNICIPAL MARECHAL RONDON</t>
        </is>
      </c>
      <c r="E2029" s="14" t="inlineStr">
        <is>
          <t>MARECHAL RONDON</t>
        </is>
      </c>
      <c r="F2029" s="14" t="inlineStr">
        <is>
          <t>PRAÇA MARECHAL RONDON, S/N - ZONA URBANA</t>
        </is>
      </c>
      <c r="G2029" s="27" t="inlineStr">
        <is>
          <t>41285-100</t>
        </is>
      </c>
      <c r="H2029" s="15" t="n">
        <v>5</v>
      </c>
      <c r="I2029" s="28" t="inlineStr">
        <is>
          <t>NÃO</t>
        </is>
      </c>
      <c r="J2029" s="29" t="n">
        <v>515.9</v>
      </c>
      <c r="K2029" s="14" t="str">
        <f>IF(J2029="","7. Acima de 2 km",IF(J2029&lt;=50,"1. Até 50 m",IF(J2029&lt;=100,"2. De 50 a 100 m",IF(J2029&lt;=200,"3. De 100 a 200 m",IF(J2029&lt;=300,"4. De 200 a 300 m",IF(J2029&lt;=500,"5. De 300 a 500 m","6. De 500 m a 2 km"))))))</f>
        <v>6. De 500 m a 2 km</v>
      </c>
      <c r="L2029" s="26" t="n">
        <v>0</v>
      </c>
      <c r="M2029" s="26" t="n">
        <v>0</v>
      </c>
      <c r="N2029" s="26" t="n">
        <v>0</v>
      </c>
      <c r="O2029" s="26" t="n">
        <v>0</v>
      </c>
      <c r="P2029" s="30" t="n">
        <v>-12.9149748</v>
      </c>
      <c r="Q2029" s="30" t="n">
        <v>-38.4706694</v>
      </c>
      <c r="R2029" s="14" t="inlineStr">
        <is>
          <t>CARTÓRIO DA 8ª ZONA ELEITORAL, 1ª AVENIDA DO CENTRO ADMINISTRATIVO DA BAHIA, 150, SALVADOR-BA.</t>
        </is>
      </c>
      <c r="S2029" s="26">
        <f>IF(A2029=A2028,0,1)</f>
        <v>0</v>
      </c>
      <c r="T2029" s="26">
        <f>IF(COUNTIF($B$4:B2029,B2029)=1,1,0)</f>
        <v>0</v>
      </c>
    </row>
    <row r="2030">
      <c r="A2030" s="14" t="inlineStr">
        <is>
          <t>SALVADOR</t>
        </is>
      </c>
      <c r="B2030" s="26" t="n">
        <v>8</v>
      </c>
      <c r="C2030" s="26" t="n">
        <v>2380</v>
      </c>
      <c r="D2030" s="14" t="inlineStr">
        <is>
          <t>CMEI - CENTRO MUNICIPAL DE EDUCACÃO INFANTIL PIRAJÁ</t>
        </is>
      </c>
      <c r="E2030" s="14" t="inlineStr">
        <is>
          <t>PIRAJÁ</t>
        </is>
      </c>
      <c r="F2030" s="14" t="inlineStr">
        <is>
          <t>RUA PORTO ALEGRE, S/N, VIA LOCAL II, CONJUNTO PIRAJÁ I</t>
        </is>
      </c>
      <c r="G2030" s="27" t="inlineStr">
        <is>
          <t>41290-700</t>
        </is>
      </c>
      <c r="H2030" s="15" t="n">
        <v>5</v>
      </c>
      <c r="I2030" s="28" t="inlineStr">
        <is>
          <t>SIM</t>
        </is>
      </c>
      <c r="J2030" s="29" t="n">
        <v>94.3</v>
      </c>
      <c r="K2030" s="14" t="str">
        <f>IF(J2030="","7. Acima de 2 km",IF(J2030&lt;=50,"1. Até 50 m",IF(J2030&lt;=100,"2. De 50 a 100 m",IF(J2030&lt;=200,"3. De 100 a 200 m",IF(J2030&lt;=300,"4. De 200 a 300 m",IF(J2030&lt;=500,"5. De 300 a 500 m","6. De 500 m a 2 km"))))))</f>
        <v>2. De 50 a 100 m</v>
      </c>
      <c r="L2030" s="26" t="n">
        <v>0</v>
      </c>
      <c r="M2030" s="26" t="n">
        <v>1</v>
      </c>
      <c r="N2030" s="26" t="n">
        <v>1</v>
      </c>
      <c r="O2030" s="26" t="n">
        <v>1</v>
      </c>
      <c r="P2030" s="30" t="n">
        <v>-12.8927633</v>
      </c>
      <c r="Q2030" s="30" t="n">
        <v>-38.4562025</v>
      </c>
      <c r="R2030" s="14" t="inlineStr">
        <is>
          <t>CARTÓRIO DA 8ª ZONA ELEITORAL, 1ª AVENIDA DO CENTRO ADMINISTRATIVO DA BAHIA, 150, SALVADOR-BA.</t>
        </is>
      </c>
      <c r="S2030" s="26">
        <f>IF(A2030=A2029,0,1)</f>
        <v>0</v>
      </c>
      <c r="T2030" s="26">
        <f>IF(COUNTIF($B$4:B2030,B2030)=1,1,0)</f>
        <v>0</v>
      </c>
    </row>
    <row r="2031">
      <c r="A2031" s="14" t="inlineStr">
        <is>
          <t>SALVADOR</t>
        </is>
      </c>
      <c r="B2031" s="26" t="n">
        <v>9</v>
      </c>
      <c r="C2031" s="26" t="n">
        <v>1015</v>
      </c>
      <c r="D2031" s="14" t="inlineStr">
        <is>
          <t>COLÉGIO DA POLÍCIA MILITAR - CPM JOÃO FLORÊNCIO GOMES</t>
        </is>
      </c>
      <c r="E2031" s="14" t="inlineStr">
        <is>
          <t>RIBEIRA</t>
        </is>
      </c>
      <c r="F2031" s="14" t="inlineStr">
        <is>
          <t>AV. BEIRA MAR, 481 - ZONA URBANA</t>
        </is>
      </c>
      <c r="G2031" s="27" t="inlineStr">
        <is>
          <t>40420-340</t>
        </is>
      </c>
      <c r="H2031" s="15" t="n">
        <v>19</v>
      </c>
      <c r="I2031" s="28" t="inlineStr">
        <is>
          <t>SIM</t>
        </is>
      </c>
      <c r="J2031" s="29" t="n">
        <v>14.7</v>
      </c>
      <c r="K2031" s="14" t="str">
        <f>IF(J2031="","7. Acima de 2 km",IF(J2031&lt;=50,"1. Até 50 m",IF(J2031&lt;=100,"2. De 50 a 100 m",IF(J2031&lt;=200,"3. De 100 a 200 m",IF(J2031&lt;=300,"4. De 200 a 300 m",IF(J2031&lt;=500,"5. De 300 a 500 m","6. De 500 m a 2 km"))))))</f>
        <v>1. Até 50 m</v>
      </c>
      <c r="L2031" s="26" t="n">
        <v>2</v>
      </c>
      <c r="M2031" s="26" t="n">
        <v>2</v>
      </c>
      <c r="N2031" s="26" t="n">
        <v>2</v>
      </c>
      <c r="O2031" s="26" t="n">
        <v>3</v>
      </c>
      <c r="P2031" s="30" t="n">
        <v>-12.9129513</v>
      </c>
      <c r="Q2031" s="30" t="n">
        <v>-38.497439</v>
      </c>
      <c r="R2031" s="14" t="inlineStr">
        <is>
          <t>CARTÓRIO DA 9ª ZONA ELEITORAL, 1ª AVENIDA DO CENTRO ADMINISTRATIVO DA BAHIA, 150, SALVADOR-BA.</t>
        </is>
      </c>
      <c r="S2031" s="26">
        <f>IF(A2031=A2030,0,1)</f>
        <v>0</v>
      </c>
      <c r="T2031" s="26">
        <f>IF(COUNTIF($B$4:B2031,B2031)=1,1,0)</f>
        <v>1</v>
      </c>
    </row>
    <row r="2032">
      <c r="A2032" s="14" t="inlineStr">
        <is>
          <t>SALVADOR</t>
        </is>
      </c>
      <c r="B2032" s="26" t="n">
        <v>9</v>
      </c>
      <c r="C2032" s="26" t="n">
        <v>1023</v>
      </c>
      <c r="D2032" s="14" t="inlineStr">
        <is>
          <t>COLÉGIO ESTADUAL VITOR SOARES (CAP ALBERTO DE ASSIS)</t>
        </is>
      </c>
      <c r="E2032" s="14" t="inlineStr">
        <is>
          <t>RIBEIRA</t>
        </is>
      </c>
      <c r="F2032" s="14" t="inlineStr">
        <is>
          <t>RUA ENGENHEIRO PIMENTA DA CUNHA, 03 - ZONA URBANA</t>
        </is>
      </c>
      <c r="G2032" s="27" t="inlineStr">
        <is>
          <t>40420-200</t>
        </is>
      </c>
      <c r="H2032" s="15" t="n">
        <v>16</v>
      </c>
      <c r="I2032" s="28" t="inlineStr">
        <is>
          <t>NÃO</t>
        </is>
      </c>
      <c r="J2032" s="29" t="n">
        <v>200</v>
      </c>
      <c r="K2032" s="14" t="str">
        <f>IF(J2032="","7. Acima de 2 km",IF(J2032&lt;=50,"1. Até 50 m",IF(J2032&lt;=100,"2. De 50 a 100 m",IF(J2032&lt;=200,"3. De 100 a 200 m",IF(J2032&lt;=300,"4. De 200 a 300 m",IF(J2032&lt;=500,"5. De 300 a 500 m","6. De 500 m a 2 km"))))))</f>
        <v>3. De 100 a 200 m</v>
      </c>
      <c r="L2032" s="26" t="n">
        <v>0</v>
      </c>
      <c r="M2032" s="26" t="n">
        <v>0</v>
      </c>
      <c r="N2032" s="26" t="n">
        <v>1</v>
      </c>
      <c r="O2032" s="26" t="n">
        <v>2</v>
      </c>
      <c r="P2032" s="30" t="n">
        <v>-12.9138449</v>
      </c>
      <c r="Q2032" s="30" t="n">
        <v>-38.4942175</v>
      </c>
      <c r="R2032" s="14" t="inlineStr">
        <is>
          <t>CARTÓRIO DA 9ª ZONA ELEITORAL, 1ª AVENIDA DO CENTRO ADMINISTRATIVO DA BAHIA, 150, SALVADOR-BA.</t>
        </is>
      </c>
      <c r="S2032" s="26">
        <f>IF(A2032=A2031,0,1)</f>
        <v>0</v>
      </c>
      <c r="T2032" s="26">
        <f>IF(COUNTIF($B$4:B2032,B2032)=1,1,0)</f>
        <v>0</v>
      </c>
    </row>
    <row r="2033">
      <c r="A2033" s="14" t="inlineStr">
        <is>
          <t>SALVADOR</t>
        </is>
      </c>
      <c r="B2033" s="26" t="n">
        <v>9</v>
      </c>
      <c r="C2033" s="26" t="n">
        <v>1058</v>
      </c>
      <c r="D2033" s="14" t="inlineStr">
        <is>
          <t>COLÉGIO ESTADUAL PRESIDENTE COSTA E SILVA</t>
        </is>
      </c>
      <c r="E2033" s="14" t="inlineStr">
        <is>
          <t>RIBEIRA</t>
        </is>
      </c>
      <c r="F2033" s="14" t="inlineStr">
        <is>
          <t>LARGO DA MADRAGOA, 1 - ZONA URBANA</t>
        </is>
      </c>
      <c r="G2033" s="27" t="inlineStr">
        <is>
          <t>40420-180</t>
        </is>
      </c>
      <c r="H2033" s="15" t="n">
        <v>27</v>
      </c>
      <c r="I2033" s="28" t="inlineStr">
        <is>
          <t>SIM</t>
        </is>
      </c>
      <c r="J2033" s="29" t="n">
        <v>76.8</v>
      </c>
      <c r="K2033" s="14" t="str">
        <f>IF(J2033="","7. Acima de 2 km",IF(J2033&lt;=50,"1. Até 50 m",IF(J2033&lt;=100,"2. De 50 a 100 m",IF(J2033&lt;=200,"3. De 100 a 200 m",IF(J2033&lt;=300,"4. De 200 a 300 m",IF(J2033&lt;=500,"5. De 300 a 500 m","6. De 500 m a 2 km"))))))</f>
        <v>2. De 50 a 100 m</v>
      </c>
      <c r="L2033" s="26" t="n">
        <v>0</v>
      </c>
      <c r="M2033" s="26" t="n">
        <v>1</v>
      </c>
      <c r="N2033" s="26" t="n">
        <v>1</v>
      </c>
      <c r="O2033" s="26" t="n">
        <v>1</v>
      </c>
      <c r="P2033" s="30" t="n">
        <v>-12.9170108</v>
      </c>
      <c r="Q2033" s="30" t="n">
        <v>-38.4991147</v>
      </c>
      <c r="R2033" s="14" t="inlineStr">
        <is>
          <t>CARTÓRIO DA 9ª ZONA ELEITORAL, 1ª AVENIDA DO CENTRO ADMINISTRATIVO DA BAHIA, 150, SALVADOR-BA.</t>
        </is>
      </c>
      <c r="S2033" s="26">
        <f>IF(A2033=A2032,0,1)</f>
        <v>0</v>
      </c>
      <c r="T2033" s="26">
        <f>IF(COUNTIF($B$4:B2033,B2033)=1,1,0)</f>
        <v>0</v>
      </c>
    </row>
    <row r="2034">
      <c r="A2034" s="14" t="inlineStr">
        <is>
          <t>SALVADOR</t>
        </is>
      </c>
      <c r="B2034" s="26" t="n">
        <v>9</v>
      </c>
      <c r="C2034" s="26" t="n">
        <v>1066</v>
      </c>
      <c r="D2034" s="14" t="inlineStr">
        <is>
          <t>ESCOLA ESTADUAL PRESCILIANO SILVA</t>
        </is>
      </c>
      <c r="E2034" s="14" t="inlineStr">
        <is>
          <t>RIBEIRA</t>
        </is>
      </c>
      <c r="F2034" s="14" t="inlineStr">
        <is>
          <t>AV. PORTO DOS MASTROS 52 - ZONA URBANA</t>
        </is>
      </c>
      <c r="G2034" s="27" t="inlineStr">
        <is>
          <t>40440-000</t>
        </is>
      </c>
      <c r="H2034" s="15" t="n">
        <v>17</v>
      </c>
      <c r="I2034" s="28" t="inlineStr">
        <is>
          <t>NÃO</t>
        </is>
      </c>
      <c r="J2034" s="29" t="n">
        <v>389.4</v>
      </c>
      <c r="K2034" s="14" t="str">
        <f>IF(J2034="","7. Acima de 2 km",IF(J2034&lt;=50,"1. Até 50 m",IF(J2034&lt;=100,"2. De 50 a 100 m",IF(J2034&lt;=200,"3. De 100 a 200 m",IF(J2034&lt;=300,"4. De 200 a 300 m",IF(J2034&lt;=500,"5. De 300 a 500 m","6. De 500 m a 2 km"))))))</f>
        <v>5. De 300 a 500 m</v>
      </c>
      <c r="L2034" s="26" t="n">
        <v>0</v>
      </c>
      <c r="M2034" s="26" t="n">
        <v>0</v>
      </c>
      <c r="N2034" s="26" t="n">
        <v>0</v>
      </c>
      <c r="O2034" s="26" t="n">
        <v>0</v>
      </c>
      <c r="P2034" s="30" t="n">
        <v>-12.9199188</v>
      </c>
      <c r="Q2034" s="30" t="n">
        <v>-38.5009921</v>
      </c>
      <c r="R2034" s="14" t="inlineStr">
        <is>
          <t>CARTÓRIO DA 9ª ZONA ELEITORAL, 1ª AVENIDA DO CENTRO ADMINISTRATIVO DA BAHIA, 150, SALVADOR-BA.</t>
        </is>
      </c>
      <c r="S2034" s="26">
        <f>IF(A2034=A2033,0,1)</f>
        <v>0</v>
      </c>
      <c r="T2034" s="26">
        <f>IF(COUNTIF($B$4:B2034,B2034)=1,1,0)</f>
        <v>0</v>
      </c>
    </row>
    <row r="2035">
      <c r="A2035" s="14" t="inlineStr">
        <is>
          <t>SALVADOR</t>
        </is>
      </c>
      <c r="B2035" s="26" t="n">
        <v>9</v>
      </c>
      <c r="C2035" s="26" t="n">
        <v>1074</v>
      </c>
      <c r="D2035" s="14" t="inlineStr">
        <is>
          <t>CENTRO MUNICIPAL DE EDUCAÇÃO INFANTIL BARONESA DE SAUÍPE</t>
        </is>
      </c>
      <c r="E2035" s="14" t="inlineStr">
        <is>
          <t>RIBEIRA</t>
        </is>
      </c>
      <c r="F2035" s="14" t="inlineStr">
        <is>
          <t>LARGO DO PAPAGAIO, 77 - ZONA URBANA</t>
        </is>
      </c>
      <c r="G2035" s="27" t="inlineStr">
        <is>
          <t>40421-630</t>
        </is>
      </c>
      <c r="H2035" s="15" t="n">
        <v>4</v>
      </c>
      <c r="I2035" s="28" t="inlineStr">
        <is>
          <t>SIM</t>
        </is>
      </c>
      <c r="J2035" s="29" t="n">
        <v>83.7</v>
      </c>
      <c r="K2035" s="14" t="str">
        <f>IF(J2035="","7. Acima de 2 km",IF(J2035&lt;=50,"1. Até 50 m",IF(J2035&lt;=100,"2. De 50 a 100 m",IF(J2035&lt;=200,"3. De 100 a 200 m",IF(J2035&lt;=300,"4. De 200 a 300 m",IF(J2035&lt;=500,"5. De 300 a 500 m","6. De 500 m a 2 km"))))))</f>
        <v>2. De 50 a 100 m</v>
      </c>
      <c r="L2035" s="26" t="n">
        <v>0</v>
      </c>
      <c r="M2035" s="26" t="n">
        <v>1</v>
      </c>
      <c r="N2035" s="26" t="n">
        <v>1</v>
      </c>
      <c r="O2035" s="26" t="n">
        <v>2</v>
      </c>
      <c r="P2035" s="30" t="n">
        <v>-12.9229793</v>
      </c>
      <c r="Q2035" s="30" t="n">
        <v>-38.5029152</v>
      </c>
      <c r="R2035" s="14" t="inlineStr">
        <is>
          <t>CARTÓRIO DA 9ª ZONA ELEITORAL, 1ª AVENIDA DO CENTRO ADMINISTRATIVO DA BAHIA, 150, SALVADOR-BA.</t>
        </is>
      </c>
      <c r="S2035" s="26">
        <f>IF(A2035=A2034,0,1)</f>
        <v>0</v>
      </c>
      <c r="T2035" s="26">
        <f>IF(COUNTIF($B$4:B2035,B2035)=1,1,0)</f>
        <v>0</v>
      </c>
    </row>
    <row r="2036">
      <c r="A2036" s="14" t="inlineStr">
        <is>
          <t>SALVADOR</t>
        </is>
      </c>
      <c r="B2036" s="26" t="n">
        <v>9</v>
      </c>
      <c r="C2036" s="26" t="n">
        <v>1082</v>
      </c>
      <c r="D2036" s="14" t="inlineStr">
        <is>
          <t>ESCOLA MUNICIPAL ALFREDO AMORIM</t>
        </is>
      </c>
      <c r="E2036" s="14" t="inlineStr">
        <is>
          <t>RIBEIRA</t>
        </is>
      </c>
      <c r="F2036" s="14" t="inlineStr">
        <is>
          <t>LARGO DO PAPAGAIO, SN - ZONA URBANA</t>
        </is>
      </c>
      <c r="G2036" s="27" t="inlineStr">
        <is>
          <t>40421-630</t>
        </is>
      </c>
      <c r="H2036" s="15" t="n">
        <v>14</v>
      </c>
      <c r="I2036" s="28" t="inlineStr">
        <is>
          <t>SIM</t>
        </is>
      </c>
      <c r="J2036" s="29" t="n">
        <v>47.2</v>
      </c>
      <c r="K2036" s="14" t="str">
        <f>IF(J2036="","7. Acima de 2 km",IF(J2036&lt;=50,"1. Até 50 m",IF(J2036&lt;=100,"2. De 50 a 100 m",IF(J2036&lt;=200,"3. De 100 a 200 m",IF(J2036&lt;=300,"4. De 200 a 300 m",IF(J2036&lt;=500,"5. De 300 a 500 m","6. De 500 m a 2 km"))))))</f>
        <v>1. Até 50 m</v>
      </c>
      <c r="L2036" s="26" t="n">
        <v>1</v>
      </c>
      <c r="M2036" s="26" t="n">
        <v>1</v>
      </c>
      <c r="N2036" s="26" t="n">
        <v>1</v>
      </c>
      <c r="O2036" s="26" t="n">
        <v>3</v>
      </c>
      <c r="P2036" s="30" t="n">
        <v>-12.9232914</v>
      </c>
      <c r="Q2036" s="30" t="n">
        <v>-38.5028107</v>
      </c>
      <c r="R2036" s="14" t="inlineStr">
        <is>
          <t>CARTÓRIO DA 9ª ZONA ELEITORAL, 1ª AVENIDA DO CENTRO ADMINISTRATIVO DA BAHIA, 150, SALVADOR-BA.</t>
        </is>
      </c>
      <c r="S2036" s="26">
        <f>IF(A2036=A2035,0,1)</f>
        <v>0</v>
      </c>
      <c r="T2036" s="26">
        <f>IF(COUNTIF($B$4:B2036,B2036)=1,1,0)</f>
        <v>0</v>
      </c>
    </row>
    <row r="2037">
      <c r="A2037" s="14" t="inlineStr">
        <is>
          <t>SALVADOR</t>
        </is>
      </c>
      <c r="B2037" s="26" t="n">
        <v>9</v>
      </c>
      <c r="C2037" s="26" t="n">
        <v>1090</v>
      </c>
      <c r="D2037" s="14" t="inlineStr">
        <is>
          <t>COLÉGIO ESTADUAL PAULO AMÉRICO DE OLIVEIRA</t>
        </is>
      </c>
      <c r="E2037" s="14" t="inlineStr">
        <is>
          <t>RIBEIRA</t>
        </is>
      </c>
      <c r="F2037" s="14" t="inlineStr">
        <is>
          <t>RUA BECO JOÃO DO BOI S/N - ZONA URBANA</t>
        </is>
      </c>
      <c r="G2037" s="27" t="inlineStr">
        <is>
          <t>40440-210</t>
        </is>
      </c>
      <c r="H2037" s="15" t="n">
        <v>20</v>
      </c>
      <c r="I2037" s="28" t="inlineStr">
        <is>
          <t>SIM</t>
        </is>
      </c>
      <c r="J2037" s="29" t="n">
        <v>74.09999999999999</v>
      </c>
      <c r="K2037" s="14" t="str">
        <f>IF(J2037="","7. Acima de 2 km",IF(J2037&lt;=50,"1. Até 50 m",IF(J2037&lt;=100,"2. De 50 a 100 m",IF(J2037&lt;=200,"3. De 100 a 200 m",IF(J2037&lt;=300,"4. De 200 a 300 m",IF(J2037&lt;=500,"5. De 300 a 500 m","6. De 500 m a 2 km"))))))</f>
        <v>2. De 50 a 100 m</v>
      </c>
      <c r="L2037" s="26" t="n">
        <v>0</v>
      </c>
      <c r="M2037" s="26" t="n">
        <v>1</v>
      </c>
      <c r="N2037" s="26" t="n">
        <v>2</v>
      </c>
      <c r="O2037" s="26" t="n">
        <v>3</v>
      </c>
      <c r="P2037" s="30" t="n">
        <v>-12.9238434</v>
      </c>
      <c r="Q2037" s="30" t="n">
        <v>-38.5039802</v>
      </c>
      <c r="R2037" s="14" t="inlineStr">
        <is>
          <t>CARTÓRIO DA 9ª ZONA ELEITORAL, 1ª AVENIDA DO CENTRO ADMINISTRATIVO DA BAHIA, 150, SALVADOR-BA.</t>
        </is>
      </c>
      <c r="S2037" s="26">
        <f>IF(A2037=A2036,0,1)</f>
        <v>0</v>
      </c>
      <c r="T2037" s="26">
        <f>IF(COUNTIF($B$4:B2037,B2037)=1,1,0)</f>
        <v>0</v>
      </c>
    </row>
    <row r="2038">
      <c r="A2038" s="14" t="inlineStr">
        <is>
          <t>SALVADOR</t>
        </is>
      </c>
      <c r="B2038" s="26" t="n">
        <v>9</v>
      </c>
      <c r="C2038" s="26" t="n">
        <v>1120</v>
      </c>
      <c r="D2038" s="14" t="inlineStr">
        <is>
          <t>COLÉGIO ESTADUAL ALÍPIO FRANCA</t>
        </is>
      </c>
      <c r="E2038" s="14" t="inlineStr">
        <is>
          <t>BONFIM</t>
        </is>
      </c>
      <c r="F2038" s="14" t="inlineStr">
        <is>
          <t>AV. DENDEZEIROS, N 200 - ZONA URBANA</t>
        </is>
      </c>
      <c r="G2038" s="27" t="inlineStr">
        <is>
          <t>40415-006</t>
        </is>
      </c>
      <c r="H2038" s="15" t="n">
        <v>15</v>
      </c>
      <c r="I2038" s="28" t="inlineStr">
        <is>
          <t>NÃO</t>
        </is>
      </c>
      <c r="J2038" s="29" t="n">
        <v>136</v>
      </c>
      <c r="K2038" s="14" t="str">
        <f>IF(J2038="","7. Acima de 2 km",IF(J2038&lt;=50,"1. Até 50 m",IF(J2038&lt;=100,"2. De 50 a 100 m",IF(J2038&lt;=200,"3. De 100 a 200 m",IF(J2038&lt;=300,"4. De 200 a 300 m",IF(J2038&lt;=500,"5. De 300 a 500 m","6. De 500 m a 2 km"))))))</f>
        <v>3. De 100 a 200 m</v>
      </c>
      <c r="L2038" s="26" t="n">
        <v>0</v>
      </c>
      <c r="M2038" s="26" t="n">
        <v>0</v>
      </c>
      <c r="N2038" s="26" t="n">
        <v>1</v>
      </c>
      <c r="O2038" s="26" t="n">
        <v>6</v>
      </c>
      <c r="P2038" s="30" t="n">
        <v>-12.92742</v>
      </c>
      <c r="Q2038" s="30" t="n">
        <v>-38.5077917</v>
      </c>
      <c r="R2038" s="14" t="inlineStr">
        <is>
          <t>CARTÓRIO DA 9ª ZONA ELEITORAL, 1ª AVENIDA DO CENTRO ADMINISTRATIVO DA BAHIA, 150, SALVADOR-BA.</t>
        </is>
      </c>
      <c r="S2038" s="26">
        <f>IF(A2038=A2037,0,1)</f>
        <v>0</v>
      </c>
      <c r="T2038" s="26">
        <f>IF(COUNTIF($B$4:B2038,B2038)=1,1,0)</f>
        <v>0</v>
      </c>
    </row>
    <row r="2039">
      <c r="A2039" s="14" t="inlineStr">
        <is>
          <t>SALVADOR</t>
        </is>
      </c>
      <c r="B2039" s="26" t="n">
        <v>9</v>
      </c>
      <c r="C2039" s="26" t="n">
        <v>1201</v>
      </c>
      <c r="D2039" s="14" t="inlineStr">
        <is>
          <t>ESCOLA MUNICIPAL PROF. MARIA JOSÉ DE PAULA MOREIRA</t>
        </is>
      </c>
      <c r="E2039" s="14" t="inlineStr">
        <is>
          <t>RIBEIRA</t>
        </is>
      </c>
      <c r="F2039" s="14" t="inlineStr">
        <is>
          <t>RUA ANÍBAL DA SILVA GARCIA, 50 - ZONA URBANA</t>
        </is>
      </c>
      <c r="G2039" s="27" t="inlineStr">
        <is>
          <t>40421-020</t>
        </is>
      </c>
      <c r="H2039" s="15" t="n">
        <v>7</v>
      </c>
      <c r="I2039" s="28" t="inlineStr">
        <is>
          <t>NÃO</t>
        </is>
      </c>
      <c r="J2039" s="29" t="n">
        <v>447</v>
      </c>
      <c r="K2039" s="14" t="str">
        <f>IF(J2039="","7. Acima de 2 km",IF(J2039&lt;=50,"1. Até 50 m",IF(J2039&lt;=100,"2. De 50 a 100 m",IF(J2039&lt;=200,"3. De 100 a 200 m",IF(J2039&lt;=300,"4. De 200 a 300 m",IF(J2039&lt;=500,"5. De 300 a 500 m","6. De 500 m a 2 km"))))))</f>
        <v>5. De 300 a 500 m</v>
      </c>
      <c r="L2039" s="26" t="n">
        <v>0</v>
      </c>
      <c r="M2039" s="26" t="n">
        <v>0</v>
      </c>
      <c r="N2039" s="26" t="n">
        <v>0</v>
      </c>
      <c r="O2039" s="26" t="n">
        <v>0</v>
      </c>
      <c r="P2039" s="30" t="n">
        <v>-12.9181642</v>
      </c>
      <c r="Q2039" s="30" t="n">
        <v>-38.4950748</v>
      </c>
      <c r="R2039" s="14" t="inlineStr">
        <is>
          <t>CARTÓRIO DA 9ª ZONA ELEITORAL, 1ª AVENIDA DO CENTRO ADMINISTRATIVO DA BAHIA, 150, SALVADOR-BA.</t>
        </is>
      </c>
      <c r="S2039" s="26">
        <f>IF(A2039=A2038,0,1)</f>
        <v>0</v>
      </c>
      <c r="T2039" s="26">
        <f>IF(COUNTIF($B$4:B2039,B2039)=1,1,0)</f>
        <v>0</v>
      </c>
    </row>
    <row r="2040">
      <c r="A2040" s="14" t="inlineStr">
        <is>
          <t>SALVADOR</t>
        </is>
      </c>
      <c r="B2040" s="26" t="n">
        <v>9</v>
      </c>
      <c r="C2040" s="26" t="n">
        <v>1210</v>
      </c>
      <c r="D2040" s="14" t="inlineStr">
        <is>
          <t>ESCOLA MUNICIPAL SIMÕES FILHO</t>
        </is>
      </c>
      <c r="E2040" s="14" t="inlineStr">
        <is>
          <t>RIBEIRA</t>
        </is>
      </c>
      <c r="F2040" s="14" t="inlineStr">
        <is>
          <t>RUA FERNANDO BAGGI S/N - ZONA URBANA</t>
        </is>
      </c>
      <c r="G2040" s="27" t="inlineStr">
        <is>
          <t>40420-080</t>
        </is>
      </c>
      <c r="H2040" s="15" t="n">
        <v>6</v>
      </c>
      <c r="I2040" s="28" t="inlineStr">
        <is>
          <t>NÃO</t>
        </is>
      </c>
      <c r="J2040" s="29" t="n">
        <v>405.3</v>
      </c>
      <c r="K2040" s="14" t="str">
        <f>IF(J2040="","7. Acima de 2 km",IF(J2040&lt;=50,"1. Até 50 m",IF(J2040&lt;=100,"2. De 50 a 100 m",IF(J2040&lt;=200,"3. De 100 a 200 m",IF(J2040&lt;=300,"4. De 200 a 300 m",IF(J2040&lt;=500,"5. De 300 a 500 m","6. De 500 m a 2 km"))))))</f>
        <v>5. De 300 a 500 m</v>
      </c>
      <c r="L2040" s="26" t="n">
        <v>0</v>
      </c>
      <c r="M2040" s="26" t="n">
        <v>0</v>
      </c>
      <c r="N2040" s="26" t="n">
        <v>0</v>
      </c>
      <c r="O2040" s="26" t="n">
        <v>0</v>
      </c>
      <c r="P2040" s="30" t="n">
        <v>-12.9193614</v>
      </c>
      <c r="Q2040" s="30" t="n">
        <v>-38.4972222</v>
      </c>
      <c r="R2040" s="14" t="inlineStr">
        <is>
          <t>CARTÓRIO DA 9ª ZONA ELEITORAL, 1ª AVENIDA DO CENTRO ADMINISTRATIVO DA BAHIA, 150, SALVADOR-BA.</t>
        </is>
      </c>
      <c r="S2040" s="26">
        <f>IF(A2040=A2039,0,1)</f>
        <v>0</v>
      </c>
      <c r="T2040" s="26">
        <f>IF(COUNTIF($B$4:B2040,B2040)=1,1,0)</f>
        <v>0</v>
      </c>
    </row>
    <row r="2041">
      <c r="A2041" s="14" t="inlineStr">
        <is>
          <t>SALVADOR</t>
        </is>
      </c>
      <c r="B2041" s="26" t="n">
        <v>9</v>
      </c>
      <c r="C2041" s="26" t="n">
        <v>1260</v>
      </c>
      <c r="D2041" s="14" t="inlineStr">
        <is>
          <t>COLÉGIO SÃO JOSÉ</t>
        </is>
      </c>
      <c r="E2041" s="14" t="inlineStr">
        <is>
          <t>BONFIM</t>
        </is>
      </c>
      <c r="F2041" s="14" t="inlineStr">
        <is>
          <t>RUA DA IMPERATRIZ, N 711 - ZONA URBANA</t>
        </is>
      </c>
      <c r="G2041" s="27" t="inlineStr">
        <is>
          <t>40415-180</t>
        </is>
      </c>
      <c r="H2041" s="15" t="n">
        <v>23</v>
      </c>
      <c r="I2041" s="28" t="inlineStr">
        <is>
          <t>SIM</t>
        </is>
      </c>
      <c r="J2041" s="29" t="n">
        <v>13.2</v>
      </c>
      <c r="K2041" s="14" t="str">
        <f>IF(J2041="","7. Acima de 2 km",IF(J2041&lt;=50,"1. Até 50 m",IF(J2041&lt;=100,"2. De 50 a 100 m",IF(J2041&lt;=200,"3. De 100 a 200 m",IF(J2041&lt;=300,"4. De 200 a 300 m",IF(J2041&lt;=500,"5. De 300 a 500 m","6. De 500 m a 2 km"))))))</f>
        <v>1. Até 50 m</v>
      </c>
      <c r="L2041" s="26" t="n">
        <v>1</v>
      </c>
      <c r="M2041" s="26" t="n">
        <v>1</v>
      </c>
      <c r="N2041" s="26" t="n">
        <v>1</v>
      </c>
      <c r="O2041" s="26" t="n">
        <v>3</v>
      </c>
      <c r="P2041" s="30" t="n">
        <v>-12.9267342</v>
      </c>
      <c r="Q2041" s="30" t="n">
        <v>-38.5087899</v>
      </c>
      <c r="R2041" s="14" t="inlineStr">
        <is>
          <t>CARTÓRIO DA 9ª ZONA ELEITORAL, 1ª AVENIDA DO CENTRO ADMINISTRATIVO DA BAHIA, 150, SALVADOR-BA.</t>
        </is>
      </c>
      <c r="S2041" s="26">
        <f>IF(A2041=A2040,0,1)</f>
        <v>0</v>
      </c>
      <c r="T2041" s="26">
        <f>IF(COUNTIF($B$4:B2041,B2041)=1,1,0)</f>
        <v>0</v>
      </c>
    </row>
    <row r="2042">
      <c r="A2042" s="14" t="inlineStr">
        <is>
          <t>SALVADOR</t>
        </is>
      </c>
      <c r="B2042" s="26" t="n">
        <v>9</v>
      </c>
      <c r="C2042" s="26" t="n">
        <v>1538</v>
      </c>
      <c r="D2042" s="14" t="inlineStr">
        <is>
          <t>COLÉGIO ESTADUAL SOLANGE HORTÉLIO FRANCO</t>
        </is>
      </c>
      <c r="E2042" s="14" t="inlineStr">
        <is>
          <t>URUGUAI</t>
        </is>
      </c>
      <c r="F2042" s="14" t="inlineStr">
        <is>
          <t>RUA DO URUGUAI, N 220 - ZONA URBANA</t>
        </is>
      </c>
      <c r="G2042" s="27" t="inlineStr">
        <is>
          <t>40454-260</t>
        </is>
      </c>
      <c r="H2042" s="15" t="n">
        <v>23</v>
      </c>
      <c r="I2042" s="28" t="inlineStr">
        <is>
          <t>SIM</t>
        </is>
      </c>
      <c r="J2042" s="29" t="n">
        <v>21.8</v>
      </c>
      <c r="K2042" s="14" t="str">
        <f>IF(J2042="","7. Acima de 2 km",IF(J2042&lt;=50,"1. Até 50 m",IF(J2042&lt;=100,"2. De 50 a 100 m",IF(J2042&lt;=200,"3. De 100 a 200 m",IF(J2042&lt;=300,"4. De 200 a 300 m",IF(J2042&lt;=500,"5. De 300 a 500 m","6. De 500 m a 2 km"))))))</f>
        <v>1. Até 50 m</v>
      </c>
      <c r="L2042" s="26" t="n">
        <v>1</v>
      </c>
      <c r="M2042" s="26" t="n">
        <v>1</v>
      </c>
      <c r="N2042" s="26" t="n">
        <v>1</v>
      </c>
      <c r="O2042" s="26" t="n">
        <v>2</v>
      </c>
      <c r="P2042" s="30" t="n">
        <v>-12.9365803</v>
      </c>
      <c r="Q2042" s="30" t="n">
        <v>-38.4973708</v>
      </c>
      <c r="R2042" s="14" t="inlineStr">
        <is>
          <t>CARTÓRIO DA 9ª ZONA ELEITORAL, 1ª AVENIDA DO CENTRO ADMINISTRATIVO DA BAHIA, 150, SALVADOR-BA.</t>
        </is>
      </c>
      <c r="S2042" s="26">
        <f>IF(A2042=A2041,0,1)</f>
        <v>0</v>
      </c>
      <c r="T2042" s="26">
        <f>IF(COUNTIF($B$4:B2042,B2042)=1,1,0)</f>
        <v>0</v>
      </c>
    </row>
    <row r="2043">
      <c r="A2043" s="14" t="inlineStr">
        <is>
          <t>SALVADOR</t>
        </is>
      </c>
      <c r="B2043" s="26" t="n">
        <v>9</v>
      </c>
      <c r="C2043" s="26" t="n">
        <v>1570</v>
      </c>
      <c r="D2043" s="14" t="inlineStr">
        <is>
          <t>ESCOLA MUNICIPAL CARMELITANA DO MENINO JESUS</t>
        </is>
      </c>
      <c r="E2043" s="14" t="inlineStr">
        <is>
          <t>URUGUAI</t>
        </is>
      </c>
      <c r="F2043" s="14" t="inlineStr">
        <is>
          <t>PRAÇA COMANDANTE ELIZIÁRIO BARBOSA, 132 - ZONA URBANA</t>
        </is>
      </c>
      <c r="G2043" s="27" t="inlineStr">
        <is>
          <t>40450-170</t>
        </is>
      </c>
      <c r="H2043" s="15" t="n">
        <v>18</v>
      </c>
      <c r="I2043" s="28" t="inlineStr">
        <is>
          <t>NÃO</t>
        </is>
      </c>
      <c r="J2043" s="29" t="n">
        <v>300.2</v>
      </c>
      <c r="K2043" s="14" t="str">
        <f>IF(J2043="","7. Acima de 2 km",IF(J2043&lt;=50,"1. Até 50 m",IF(J2043&lt;=100,"2. De 50 a 100 m",IF(J2043&lt;=200,"3. De 100 a 200 m",IF(J2043&lt;=300,"4. De 200 a 300 m",IF(J2043&lt;=500,"5. De 300 a 500 m","6. De 500 m a 2 km"))))))</f>
        <v>5. De 300 a 500 m</v>
      </c>
      <c r="L2043" s="26" t="n">
        <v>0</v>
      </c>
      <c r="M2043" s="26" t="n">
        <v>0</v>
      </c>
      <c r="N2043" s="26" t="n">
        <v>0</v>
      </c>
      <c r="O2043" s="26" t="n">
        <v>0</v>
      </c>
      <c r="P2043" s="30" t="n">
        <v>-12.9364595</v>
      </c>
      <c r="Q2043" s="30" t="n">
        <v>-38.4932484</v>
      </c>
      <c r="R2043" s="14" t="inlineStr">
        <is>
          <t>CARTÓRIO DA 9ª ZONA ELEITORAL, 1ª AVENIDA DO CENTRO ADMINISTRATIVO DA BAHIA, 150, SALVADOR-BA.</t>
        </is>
      </c>
      <c r="S2043" s="26">
        <f>IF(A2043=A2042,0,1)</f>
        <v>0</v>
      </c>
      <c r="T2043" s="26">
        <f>IF(COUNTIF($B$4:B2043,B2043)=1,1,0)</f>
        <v>0</v>
      </c>
    </row>
    <row r="2044">
      <c r="A2044" s="14" t="inlineStr">
        <is>
          <t>SALVADOR</t>
        </is>
      </c>
      <c r="B2044" s="26" t="n">
        <v>9</v>
      </c>
      <c r="C2044" s="26" t="n">
        <v>1589</v>
      </c>
      <c r="D2044" s="14" t="inlineStr">
        <is>
          <t>ESCOLA ESTADUAL PROF. OCRIDALINA MADUREIRA</t>
        </is>
      </c>
      <c r="E2044" s="14" t="inlineStr">
        <is>
          <t>MASSARANDUBA</t>
        </is>
      </c>
      <c r="F2044" s="14" t="inlineStr">
        <is>
          <t>RUA LOPES TROVÃO, 113 - ZONA URBANA</t>
        </is>
      </c>
      <c r="G2044" s="27" t="inlineStr">
        <is>
          <t>40435-000</t>
        </is>
      </c>
      <c r="H2044" s="15" t="n">
        <v>11</v>
      </c>
      <c r="I2044" s="28" t="inlineStr">
        <is>
          <t>SIM</t>
        </is>
      </c>
      <c r="J2044" s="29" t="n">
        <v>69.09999999999999</v>
      </c>
      <c r="K2044" s="14" t="str">
        <f>IF(J2044="","7. Acima de 2 km",IF(J2044&lt;=50,"1. Até 50 m",IF(J2044&lt;=100,"2. De 50 a 100 m",IF(J2044&lt;=200,"3. De 100 a 200 m",IF(J2044&lt;=300,"4. De 200 a 300 m",IF(J2044&lt;=500,"5. De 300 a 500 m","6. De 500 m a 2 km"))))))</f>
        <v>2. De 50 a 100 m</v>
      </c>
      <c r="L2044" s="26" t="n">
        <v>0</v>
      </c>
      <c r="M2044" s="26" t="n">
        <v>1</v>
      </c>
      <c r="N2044" s="26" t="n">
        <v>2</v>
      </c>
      <c r="O2044" s="26" t="n">
        <v>2</v>
      </c>
      <c r="P2044" s="30" t="n">
        <v>-12.9287179</v>
      </c>
      <c r="Q2044" s="30" t="n">
        <v>-38.4980992</v>
      </c>
      <c r="R2044" s="14" t="inlineStr">
        <is>
          <t>CARTÓRIO DA 9ª ZONA ELEITORAL, 1ª AVENIDA DO CENTRO ADMINISTRATIVO DA BAHIA, 150, SALVADOR-BA.</t>
        </is>
      </c>
      <c r="S2044" s="26">
        <f>IF(A2044=A2043,0,1)</f>
        <v>0</v>
      </c>
      <c r="T2044" s="26">
        <f>IF(COUNTIF($B$4:B2044,B2044)=1,1,0)</f>
        <v>0</v>
      </c>
    </row>
    <row r="2045">
      <c r="A2045" s="14" t="inlineStr">
        <is>
          <t>SALVADOR</t>
        </is>
      </c>
      <c r="B2045" s="26" t="n">
        <v>9</v>
      </c>
      <c r="C2045" s="26" t="n">
        <v>1600</v>
      </c>
      <c r="D2045" s="14" t="inlineStr">
        <is>
          <t>COLÉGIO ESTADUAL POLIVALENTE SAN DIEGO</t>
        </is>
      </c>
      <c r="E2045" s="14" t="inlineStr">
        <is>
          <t>URUGUAI</t>
        </is>
      </c>
      <c r="F2045" s="14" t="inlineStr">
        <is>
          <t>RUA RÉGIS PACHECO, 2182 - ZONA URBANA</t>
        </is>
      </c>
      <c r="G2045" s="27" t="inlineStr">
        <is>
          <t>40450-320</t>
        </is>
      </c>
      <c r="H2045" s="15" t="n">
        <v>16</v>
      </c>
      <c r="I2045" s="28" t="inlineStr">
        <is>
          <t>NÃO</t>
        </is>
      </c>
      <c r="J2045" s="29" t="n">
        <v>331.5</v>
      </c>
      <c r="K2045" s="14" t="str">
        <f>IF(J2045="","7. Acima de 2 km",IF(J2045&lt;=50,"1. Até 50 m",IF(J2045&lt;=100,"2. De 50 a 100 m",IF(J2045&lt;=200,"3. De 100 a 200 m",IF(J2045&lt;=300,"4. De 200 a 300 m",IF(J2045&lt;=500,"5. De 300 a 500 m","6. De 500 m a 2 km"))))))</f>
        <v>5. De 300 a 500 m</v>
      </c>
      <c r="L2045" s="26" t="n">
        <v>0</v>
      </c>
      <c r="M2045" s="26" t="n">
        <v>0</v>
      </c>
      <c r="N2045" s="26" t="n">
        <v>0</v>
      </c>
      <c r="O2045" s="26" t="n">
        <v>0</v>
      </c>
      <c r="P2045" s="30" t="n">
        <v>-12.929801</v>
      </c>
      <c r="Q2045" s="30" t="n">
        <v>-38.491896</v>
      </c>
      <c r="R2045" s="14" t="inlineStr">
        <is>
          <t>CARTÓRIO DA 9ª ZONA ELEITORAL, 1ª AVENIDA DO CENTRO ADMINISTRATIVO DA BAHIA, 150, SALVADOR-BA.</t>
        </is>
      </c>
      <c r="S2045" s="26">
        <f>IF(A2045=A2044,0,1)</f>
        <v>0</v>
      </c>
      <c r="T2045" s="26">
        <f>IF(COUNTIF($B$4:B2045,B2045)=1,1,0)</f>
        <v>0</v>
      </c>
    </row>
    <row r="2046">
      <c r="A2046" s="14" t="inlineStr">
        <is>
          <t>SALVADOR</t>
        </is>
      </c>
      <c r="B2046" s="26" t="n">
        <v>9</v>
      </c>
      <c r="C2046" s="26" t="n">
        <v>1651</v>
      </c>
      <c r="D2046" s="14" t="inlineStr">
        <is>
          <t>CENTRO MUNICIPAL DE EDUCAÇÃO INFANTIL MARIA DA CONCEIÇÃO COSTA</t>
        </is>
      </c>
      <c r="E2046" s="14" t="inlineStr">
        <is>
          <t>VILA RUI BARBOSA</t>
        </is>
      </c>
      <c r="F2046" s="14" t="inlineStr">
        <is>
          <t>RUA RESENDE COSTA, S/N - ZONA URBANA</t>
        </is>
      </c>
      <c r="G2046" s="27" t="inlineStr">
        <is>
          <t>40430-000</t>
        </is>
      </c>
      <c r="H2046" s="15" t="n">
        <v>11</v>
      </c>
      <c r="I2046" s="28" t="inlineStr">
        <is>
          <t>SIM</t>
        </is>
      </c>
      <c r="J2046" s="29" t="n">
        <v>21.4</v>
      </c>
      <c r="K2046" s="14" t="str">
        <f>IF(J2046="","7. Acima de 2 km",IF(J2046&lt;=50,"1. Até 50 m",IF(J2046&lt;=100,"2. De 50 a 100 m",IF(J2046&lt;=200,"3. De 100 a 200 m",IF(J2046&lt;=300,"4. De 200 a 300 m",IF(J2046&lt;=500,"5. De 300 a 500 m","6. De 500 m a 2 km"))))))</f>
        <v>1. Até 50 m</v>
      </c>
      <c r="L2046" s="26" t="n">
        <v>1</v>
      </c>
      <c r="M2046" s="26" t="n">
        <v>1</v>
      </c>
      <c r="N2046" s="26" t="n">
        <v>1</v>
      </c>
      <c r="O2046" s="26" t="n">
        <v>1</v>
      </c>
      <c r="P2046" s="30" t="n">
        <v>-12.9299536</v>
      </c>
      <c r="Q2046" s="30" t="n">
        <v>-38.4951053</v>
      </c>
      <c r="R2046" s="14" t="inlineStr">
        <is>
          <t>CARTÓRIO DA 9ª ZONA ELEITORAL, 1ª AVENIDA DO CENTRO ADMINISTRATIVO DA BAHIA, 150, SALVADOR-BA.</t>
        </is>
      </c>
      <c r="S2046" s="26">
        <f>IF(A2046=A2045,0,1)</f>
        <v>0</v>
      </c>
      <c r="T2046" s="26">
        <f>IF(COUNTIF($B$4:B2046,B2046)=1,1,0)</f>
        <v>0</v>
      </c>
    </row>
    <row r="2047">
      <c r="A2047" s="14" t="inlineStr">
        <is>
          <t>SALVADOR</t>
        </is>
      </c>
      <c r="B2047" s="26" t="n">
        <v>9</v>
      </c>
      <c r="C2047" s="26" t="n">
        <v>1660</v>
      </c>
      <c r="D2047" s="14" t="inlineStr">
        <is>
          <t>COLÉGIO DA POLÍCIA MILITAR - CPM LUIZ TARQUINIO</t>
        </is>
      </c>
      <c r="E2047" s="14" t="inlineStr">
        <is>
          <t>BOA VIAGEM</t>
        </is>
      </c>
      <c r="F2047" s="14" t="inlineStr">
        <is>
          <t>RUA POLYDORO BITTENCOURT, SN - ZONA URBANA</t>
        </is>
      </c>
      <c r="G2047" s="27" t="inlineStr">
        <is>
          <t>40414-340</t>
        </is>
      </c>
      <c r="H2047" s="15" t="n">
        <v>10</v>
      </c>
      <c r="I2047" s="28" t="inlineStr">
        <is>
          <t>SIM</t>
        </is>
      </c>
      <c r="J2047" s="29" t="n">
        <v>63.7</v>
      </c>
      <c r="K2047" s="14" t="str">
        <f>IF(J2047="","7. Acima de 2 km",IF(J2047&lt;=50,"1. Até 50 m",IF(J2047&lt;=100,"2. De 50 a 100 m",IF(J2047&lt;=200,"3. De 100 a 200 m",IF(J2047&lt;=300,"4. De 200 a 300 m",IF(J2047&lt;=500,"5. De 300 a 500 m","6. De 500 m a 2 km"))))))</f>
        <v>2. De 50 a 100 m</v>
      </c>
      <c r="L2047" s="26" t="n">
        <v>0</v>
      </c>
      <c r="M2047" s="26" t="n">
        <v>1</v>
      </c>
      <c r="N2047" s="26" t="n">
        <v>4</v>
      </c>
      <c r="O2047" s="26" t="n">
        <v>9</v>
      </c>
      <c r="P2047" s="30" t="n">
        <v>-12.93069</v>
      </c>
      <c r="Q2047" s="30" t="n">
        <v>-38.5115783</v>
      </c>
      <c r="R2047" s="14" t="inlineStr">
        <is>
          <t>CARTÓRIO DA 9ª ZONA ELEITORAL, 1ª AVENIDA DO CENTRO ADMINISTRATIVO DA BAHIA, 150, SALVADOR-BA.</t>
        </is>
      </c>
      <c r="S2047" s="26">
        <f>IF(A2047=A2046,0,1)</f>
        <v>0</v>
      </c>
      <c r="T2047" s="26">
        <f>IF(COUNTIF($B$4:B2047,B2047)=1,1,0)</f>
        <v>0</v>
      </c>
    </row>
    <row r="2048">
      <c r="A2048" s="14" t="inlineStr">
        <is>
          <t>SALVADOR</t>
        </is>
      </c>
      <c r="B2048" s="26" t="n">
        <v>10</v>
      </c>
      <c r="C2048" s="26" t="n">
        <v>1066</v>
      </c>
      <c r="D2048" s="14" t="inlineStr">
        <is>
          <t>CMEI - UNIÃO BOCA DO RIO</t>
        </is>
      </c>
      <c r="E2048" s="14" t="inlineStr">
        <is>
          <t>BOCA DO RIO</t>
        </is>
      </c>
      <c r="F2048" s="14" t="inlineStr">
        <is>
          <t>RUA JAYME SAPOLNIK, S/N - ZONA URBANA</t>
        </is>
      </c>
      <c r="G2048" s="27" t="inlineStr">
        <is>
          <t>41710-880</t>
        </is>
      </c>
      <c r="H2048" s="15" t="n">
        <v>10</v>
      </c>
      <c r="I2048" s="28" t="inlineStr">
        <is>
          <t>NÃO</t>
        </is>
      </c>
      <c r="J2048" s="29" t="n">
        <v>328.3</v>
      </c>
      <c r="K2048" s="14" t="str">
        <f>IF(J2048="","7. Acima de 2 km",IF(J2048&lt;=50,"1. Até 50 m",IF(J2048&lt;=100,"2. De 50 a 100 m",IF(J2048&lt;=200,"3. De 100 a 200 m",IF(J2048&lt;=300,"4. De 200 a 300 m",IF(J2048&lt;=500,"5. De 300 a 500 m","6. De 500 m a 2 km"))))))</f>
        <v>5. De 300 a 500 m</v>
      </c>
      <c r="L2048" s="26" t="n">
        <v>0</v>
      </c>
      <c r="M2048" s="26" t="n">
        <v>0</v>
      </c>
      <c r="N2048" s="26" t="n">
        <v>0</v>
      </c>
      <c r="O2048" s="26" t="n">
        <v>0</v>
      </c>
      <c r="P2048" s="30" t="n">
        <v>-12.9735813</v>
      </c>
      <c r="Q2048" s="30" t="n">
        <v>-38.4335144</v>
      </c>
      <c r="R2048" s="14" t="inlineStr">
        <is>
          <t>CARTÓRIO DA 10ª ZONA ELEITORAL, 1ª AVENIDA DO CENTRO ADMINISTRATIVO DA BAHIA, 150, SALVADOR-BA.</t>
        </is>
      </c>
      <c r="S2048" s="26">
        <f>IF(A2048=A2047,0,1)</f>
        <v>0</v>
      </c>
      <c r="T2048" s="26">
        <f>IF(COUNTIF($B$4:B2048,B2048)=1,1,0)</f>
        <v>1</v>
      </c>
    </row>
    <row r="2049">
      <c r="A2049" s="14" t="inlineStr">
        <is>
          <t>SALVADOR</t>
        </is>
      </c>
      <c r="B2049" s="26" t="n">
        <v>10</v>
      </c>
      <c r="C2049" s="26" t="n">
        <v>1970</v>
      </c>
      <c r="D2049" s="14" t="inlineStr">
        <is>
          <t>COLÉGIO ESTADUAL PROFESSOR RÔMULO ALMEIDA</t>
        </is>
      </c>
      <c r="E2049" s="14" t="inlineStr">
        <is>
          <t>IMBUÍ</t>
        </is>
      </c>
      <c r="F2049" s="14" t="inlineStr">
        <is>
          <t>RUA DAS ARARAS, 114 -  ZONA URBANA</t>
        </is>
      </c>
      <c r="G2049" s="27" t="inlineStr">
        <is>
          <t>41720-010</t>
        </is>
      </c>
      <c r="H2049" s="15" t="n">
        <v>22</v>
      </c>
      <c r="I2049" s="28" t="inlineStr">
        <is>
          <t>SIM</t>
        </is>
      </c>
      <c r="J2049" s="29" t="n">
        <v>82.09999999999999</v>
      </c>
      <c r="K2049" s="14" t="str">
        <f>IF(J2049="","7. Acima de 2 km",IF(J2049&lt;=50,"1. Até 50 m",IF(J2049&lt;=100,"2. De 50 a 100 m",IF(J2049&lt;=200,"3. De 100 a 200 m",IF(J2049&lt;=300,"4. De 200 a 300 m",IF(J2049&lt;=500,"5. De 300 a 500 m","6. De 500 m a 2 km"))))))</f>
        <v>2. De 50 a 100 m</v>
      </c>
      <c r="L2049" s="26" t="n">
        <v>0</v>
      </c>
      <c r="M2049" s="26" t="n">
        <v>1</v>
      </c>
      <c r="N2049" s="26" t="n">
        <v>1</v>
      </c>
      <c r="O2049" s="26" t="n">
        <v>3</v>
      </c>
      <c r="P2049" s="30" t="n">
        <v>-12.9697593</v>
      </c>
      <c r="Q2049" s="30" t="n">
        <v>-38.4330775</v>
      </c>
      <c r="R2049" s="14" t="inlineStr">
        <is>
          <t>CARTÓRIO DA 10ª ZONA ELEITORAL, 1ª AVENIDA DO CENTRO ADMINISTRATIVO DA BAHIA, 150, SALVADOR-BA.</t>
        </is>
      </c>
      <c r="S2049" s="26">
        <f>IF(A2049=A2048,0,1)</f>
        <v>0</v>
      </c>
      <c r="T2049" s="26">
        <f>IF(COUNTIF($B$4:B2049,B2049)=1,1,0)</f>
        <v>0</v>
      </c>
    </row>
    <row r="2050">
      <c r="A2050" s="14" t="inlineStr">
        <is>
          <t>SALVADOR</t>
        </is>
      </c>
      <c r="B2050" s="26" t="n">
        <v>10</v>
      </c>
      <c r="C2050" s="26" t="n">
        <v>1988</v>
      </c>
      <c r="D2050" s="14" t="inlineStr">
        <is>
          <t>ESCOLA MUNICIPAL JULIETA CALMON</t>
        </is>
      </c>
      <c r="E2050" s="14" t="inlineStr">
        <is>
          <t>BOCA DO RIO</t>
        </is>
      </c>
      <c r="F2050" s="14" t="inlineStr">
        <is>
          <t>RUA JAIME LOUREIRO S/N - ZONA URBANA</t>
        </is>
      </c>
      <c r="G2050" s="27" t="inlineStr">
        <is>
          <t>41710-600</t>
        </is>
      </c>
      <c r="H2050" s="15" t="n">
        <v>7</v>
      </c>
      <c r="I2050" s="28" t="inlineStr">
        <is>
          <t>NÃO</t>
        </is>
      </c>
      <c r="J2050" s="29" t="n">
        <v>545.1</v>
      </c>
      <c r="K2050" s="14" t="str">
        <f>IF(J2050="","7. Acima de 2 km",IF(J2050&lt;=50,"1. Até 50 m",IF(J2050&lt;=100,"2. De 50 a 100 m",IF(J2050&lt;=200,"3. De 100 a 200 m",IF(J2050&lt;=300,"4. De 200 a 300 m",IF(J2050&lt;=500,"5. De 300 a 500 m","6. De 500 m a 2 km"))))))</f>
        <v>6. De 500 m a 2 km</v>
      </c>
      <c r="L2050" s="26" t="n">
        <v>0</v>
      </c>
      <c r="M2050" s="26" t="n">
        <v>0</v>
      </c>
      <c r="N2050" s="26" t="n">
        <v>0</v>
      </c>
      <c r="O2050" s="26" t="n">
        <v>0</v>
      </c>
      <c r="P2050" s="30" t="n">
        <v>-12.9750066</v>
      </c>
      <c r="Q2050" s="30" t="n">
        <v>-38.4258859</v>
      </c>
      <c r="R2050" s="14" t="inlineStr">
        <is>
          <t>CARTÓRIO DA 10ª ZONA ELEITORAL, 1ª AVENIDA DO CENTRO ADMINISTRATIVO DA BAHIA, 150, SALVADOR-BA.</t>
        </is>
      </c>
      <c r="S2050" s="26">
        <f>IF(A2050=A2049,0,1)</f>
        <v>0</v>
      </c>
      <c r="T2050" s="26">
        <f>IF(COUNTIF($B$4:B2050,B2050)=1,1,0)</f>
        <v>0</v>
      </c>
    </row>
    <row r="2051">
      <c r="A2051" s="14" t="inlineStr">
        <is>
          <t>SALVADOR</t>
        </is>
      </c>
      <c r="B2051" s="26" t="n">
        <v>10</v>
      </c>
      <c r="C2051" s="26" t="n">
        <v>2003</v>
      </c>
      <c r="D2051" s="14" t="inlineStr">
        <is>
          <t>COLEGIO ESTADUAL PEDRO CALMON - TEMPO INTEGRAL</t>
        </is>
      </c>
      <c r="E2051" s="14" t="inlineStr">
        <is>
          <t>JARDIM ARMAÇÃO</t>
        </is>
      </c>
      <c r="F2051" s="14" t="inlineStr">
        <is>
          <t>RUA GENERAL. BRÁULIO GUIMARÃES, 53.</t>
        </is>
      </c>
      <c r="G2051" s="27" t="inlineStr">
        <is>
          <t>41750-000</t>
        </is>
      </c>
      <c r="H2051" s="15" t="n">
        <v>15</v>
      </c>
      <c r="I2051" s="28" t="inlineStr">
        <is>
          <t>NÃO</t>
        </is>
      </c>
      <c r="J2051" s="29" t="n">
        <v>381.9</v>
      </c>
      <c r="K2051" s="14" t="str">
        <f>IF(J2051="","7. Acima de 2 km",IF(J2051&lt;=50,"1. Até 50 m",IF(J2051&lt;=100,"2. De 50 a 100 m",IF(J2051&lt;=200,"3. De 100 a 200 m",IF(J2051&lt;=300,"4. De 200 a 300 m",IF(J2051&lt;=500,"5. De 300 a 500 m","6. De 500 m a 2 km"))))))</f>
        <v>5. De 300 a 500 m</v>
      </c>
      <c r="L2051" s="26" t="n">
        <v>0</v>
      </c>
      <c r="M2051" s="26" t="n">
        <v>0</v>
      </c>
      <c r="N2051" s="26" t="n">
        <v>0</v>
      </c>
      <c r="O2051" s="26" t="n">
        <v>0</v>
      </c>
      <c r="P2051" s="30" t="n">
        <v>-12.9736635</v>
      </c>
      <c r="Q2051" s="30" t="n">
        <v>-38.432821</v>
      </c>
      <c r="R2051" s="14" t="inlineStr">
        <is>
          <t>CARTÓRIO DA 10ª ZONA ELEITORAL, 1ª AVENIDA DO CENTRO ADMINISTRATIVO DA BAHIA, 150, SALVADOR-BA.</t>
        </is>
      </c>
      <c r="S2051" s="26">
        <f>IF(A2051=A2050,0,1)</f>
        <v>0</v>
      </c>
      <c r="T2051" s="26">
        <f>IF(COUNTIF($B$4:B2051,B2051)=1,1,0)</f>
        <v>0</v>
      </c>
    </row>
    <row r="2052">
      <c r="A2052" s="14" t="inlineStr">
        <is>
          <t>SALVADOR</t>
        </is>
      </c>
      <c r="B2052" s="26" t="n">
        <v>10</v>
      </c>
      <c r="C2052" s="26" t="n">
        <v>2011</v>
      </c>
      <c r="D2052" s="14" t="inlineStr">
        <is>
          <t>ESCOLA GEORGINA RAMOS DA SILVA</t>
        </is>
      </c>
      <c r="E2052" s="14" t="inlineStr">
        <is>
          <t>BOCA DO RIO</t>
        </is>
      </c>
      <c r="F2052" s="14" t="inlineStr">
        <is>
          <t>RUA DIDIER LUZ S/N FIM DE LINHA - ZONA URBANA</t>
        </is>
      </c>
      <c r="G2052" s="27" t="inlineStr">
        <is>
          <t>41710-690</t>
        </is>
      </c>
      <c r="H2052" s="15" t="n">
        <v>10</v>
      </c>
      <c r="I2052" s="28" t="inlineStr">
        <is>
          <t>NÃO</t>
        </is>
      </c>
      <c r="J2052" s="29" t="n">
        <v>190</v>
      </c>
      <c r="K2052" s="14" t="str">
        <f>IF(J2052="","7. Acima de 2 km",IF(J2052&lt;=50,"1. Até 50 m",IF(J2052&lt;=100,"2. De 50 a 100 m",IF(J2052&lt;=200,"3. De 100 a 200 m",IF(J2052&lt;=300,"4. De 200 a 300 m",IF(J2052&lt;=500,"5. De 300 a 500 m","6. De 500 m a 2 km"))))))</f>
        <v>3. De 100 a 200 m</v>
      </c>
      <c r="L2052" s="26" t="n">
        <v>0</v>
      </c>
      <c r="M2052" s="26" t="n">
        <v>0</v>
      </c>
      <c r="N2052" s="26" t="n">
        <v>2</v>
      </c>
      <c r="O2052" s="26" t="n">
        <v>4</v>
      </c>
      <c r="P2052" s="30" t="n">
        <v>-12.978579</v>
      </c>
      <c r="Q2052" s="30" t="n">
        <v>-38.4357409</v>
      </c>
      <c r="R2052" s="14" t="inlineStr">
        <is>
          <t>CARTÓRIO DA 10ª ZONA ELEITORAL, 1ª AVENIDA DO CENTRO ADMINISTRATIVO DA BAHIA, 150, SALVADOR-BA.</t>
        </is>
      </c>
      <c r="S2052" s="26">
        <f>IF(A2052=A2051,0,1)</f>
        <v>0</v>
      </c>
      <c r="T2052" s="26">
        <f>IF(COUNTIF($B$4:B2052,B2052)=1,1,0)</f>
        <v>0</v>
      </c>
    </row>
    <row r="2053">
      <c r="A2053" s="14" t="inlineStr">
        <is>
          <t>SALVADOR</t>
        </is>
      </c>
      <c r="B2053" s="26" t="n">
        <v>10</v>
      </c>
      <c r="C2053" s="26" t="n">
        <v>2062</v>
      </c>
      <c r="D2053" s="14" t="inlineStr">
        <is>
          <t>COLÉGIO VILAS</t>
        </is>
      </c>
      <c r="E2053" s="14" t="inlineStr">
        <is>
          <t>IMBUÍ</t>
        </is>
      </c>
      <c r="F2053" s="14" t="inlineStr">
        <is>
          <t>RUA DO ROUXINOL, N 71, JARDIM BOLANDEIRA - ZONA URBANA</t>
        </is>
      </c>
      <c r="G2053" s="27" t="inlineStr">
        <is>
          <t>41720-052</t>
        </is>
      </c>
      <c r="H2053" s="15" t="n">
        <v>10</v>
      </c>
      <c r="I2053" s="28" t="inlineStr">
        <is>
          <t>SIM</t>
        </is>
      </c>
      <c r="J2053" s="29" t="n">
        <v>59.4</v>
      </c>
      <c r="K2053" s="14" t="str">
        <f>IF(J2053="","7. Acima de 2 km",IF(J2053&lt;=50,"1. Até 50 m",IF(J2053&lt;=100,"2. De 50 a 100 m",IF(J2053&lt;=200,"3. De 100 a 200 m",IF(J2053&lt;=300,"4. De 200 a 300 m",IF(J2053&lt;=500,"5. De 300 a 500 m","6. De 500 m a 2 km"))))))</f>
        <v>2. De 50 a 100 m</v>
      </c>
      <c r="L2053" s="26" t="n">
        <v>0</v>
      </c>
      <c r="M2053" s="26" t="n">
        <v>2</v>
      </c>
      <c r="N2053" s="26" t="n">
        <v>2</v>
      </c>
      <c r="O2053" s="26" t="n">
        <v>2</v>
      </c>
      <c r="P2053" s="30" t="n">
        <v>-12.9717075</v>
      </c>
      <c r="Q2053" s="30" t="n">
        <v>-38.438629</v>
      </c>
      <c r="R2053" s="14" t="inlineStr">
        <is>
          <t>CARTÓRIO DA 10ª ZONA ELEITORAL, 1ª AVENIDA DO CENTRO ADMINISTRATIVO DA BAHIA, 150, SALVADOR-BA.</t>
        </is>
      </c>
      <c r="S2053" s="26">
        <f>IF(A2053=A2052,0,1)</f>
        <v>0</v>
      </c>
      <c r="T2053" s="26">
        <f>IF(COUNTIF($B$4:B2053,B2053)=1,1,0)</f>
        <v>0</v>
      </c>
    </row>
    <row r="2054">
      <c r="A2054" s="14" t="inlineStr">
        <is>
          <t>SALVADOR</t>
        </is>
      </c>
      <c r="B2054" s="26" t="n">
        <v>10</v>
      </c>
      <c r="C2054" s="26" t="n">
        <v>2070</v>
      </c>
      <c r="D2054" s="14" t="inlineStr">
        <is>
          <t>ESCOLA ESTADUAL NOSSA SENHORA DA PAZ</t>
        </is>
      </c>
      <c r="E2054" s="14" t="inlineStr">
        <is>
          <t>BAIRRO DA PAZ</t>
        </is>
      </c>
      <c r="F2054" s="14" t="inlineStr">
        <is>
          <t>PRAÇA DAS DECISÕES S/N - ZONA URBANA</t>
        </is>
      </c>
      <c r="G2054" s="27" t="inlineStr">
        <is>
          <t>41515-060</t>
        </is>
      </c>
      <c r="H2054" s="15" t="n">
        <v>12</v>
      </c>
      <c r="I2054" s="28" t="inlineStr">
        <is>
          <t>SIM</t>
        </is>
      </c>
      <c r="J2054" s="29" t="n">
        <v>28.2</v>
      </c>
      <c r="K2054" s="14" t="str">
        <f>IF(J2054="","7. Acima de 2 km",IF(J2054&lt;=50,"1. Até 50 m",IF(J2054&lt;=100,"2. De 50 a 100 m",IF(J2054&lt;=200,"3. De 100 a 200 m",IF(J2054&lt;=300,"4. De 200 a 300 m",IF(J2054&lt;=500,"5. De 300 a 500 m","6. De 500 m a 2 km"))))))</f>
        <v>1. Até 50 m</v>
      </c>
      <c r="L2054" s="26" t="n">
        <v>1</v>
      </c>
      <c r="M2054" s="26" t="n">
        <v>1</v>
      </c>
      <c r="N2054" s="26" t="n">
        <v>1</v>
      </c>
      <c r="O2054" s="26" t="n">
        <v>1</v>
      </c>
      <c r="P2054" s="30" t="n">
        <v>-12.9309854</v>
      </c>
      <c r="Q2054" s="30" t="n">
        <v>-38.3769739</v>
      </c>
      <c r="R2054" s="14" t="inlineStr">
        <is>
          <t>CARTÓRIO DA 10ª ZONA ELEITORAL, 1ª AVENIDA DO CENTRO ADMINISTRATIVO DA BAHIA, 150, SALVADOR-BA.</t>
        </is>
      </c>
      <c r="S2054" s="26">
        <f>IF(A2054=A2053,0,1)</f>
        <v>0</v>
      </c>
      <c r="T2054" s="26">
        <f>IF(COUNTIF($B$4:B2054,B2054)=1,1,0)</f>
        <v>0</v>
      </c>
    </row>
    <row r="2055">
      <c r="A2055" s="14" t="inlineStr">
        <is>
          <t>SALVADOR</t>
        </is>
      </c>
      <c r="B2055" s="26" t="n">
        <v>10</v>
      </c>
      <c r="C2055" s="26" t="n">
        <v>2178</v>
      </c>
      <c r="D2055" s="14" t="inlineStr">
        <is>
          <t>ESCOLA MUNICIPAL METODISTA SUSANA WESLEY</t>
        </is>
      </c>
      <c r="E2055" s="14" t="inlineStr">
        <is>
          <t>BOCA DO RIO</t>
        </is>
      </c>
      <c r="F2055" s="14" t="inlineStr">
        <is>
          <t>RUA SIMÕES FILHO, 955 - ZONA URBANA</t>
        </is>
      </c>
      <c r="G2055" s="27" t="inlineStr">
        <is>
          <t>41705-010</t>
        </is>
      </c>
      <c r="H2055" s="15" t="n">
        <v>12</v>
      </c>
      <c r="I2055" s="28" t="inlineStr">
        <is>
          <t>NÃO</t>
        </is>
      </c>
      <c r="J2055" s="29" t="n">
        <v>229.5</v>
      </c>
      <c r="K2055" s="14" t="str">
        <f>IF(J2055="","7. Acima de 2 km",IF(J2055&lt;=50,"1. Até 50 m",IF(J2055&lt;=100,"2. De 50 a 100 m",IF(J2055&lt;=200,"3. De 100 a 200 m",IF(J2055&lt;=300,"4. De 200 a 300 m",IF(J2055&lt;=500,"5. De 300 a 500 m","6. De 500 m a 2 km"))))))</f>
        <v>4. De 200 a 300 m</v>
      </c>
      <c r="L2055" s="26" t="n">
        <v>0</v>
      </c>
      <c r="M2055" s="26" t="n">
        <v>0</v>
      </c>
      <c r="N2055" s="26" t="n">
        <v>0</v>
      </c>
      <c r="O2055" s="26" t="n">
        <v>3</v>
      </c>
      <c r="P2055" s="30" t="n">
        <v>-12.9829242</v>
      </c>
      <c r="Q2055" s="30" t="n">
        <v>-38.4360467</v>
      </c>
      <c r="R2055" s="14" t="inlineStr">
        <is>
          <t>CARTÓRIO DA 10ª ZONA ELEITORAL, 1ª AVENIDA DO CENTRO ADMINISTRATIVO DA BAHIA, 150, SALVADOR-BA.</t>
        </is>
      </c>
      <c r="S2055" s="26">
        <f>IF(A2055=A2054,0,1)</f>
        <v>0</v>
      </c>
      <c r="T2055" s="26">
        <f>IF(COUNTIF($B$4:B2055,B2055)=1,1,0)</f>
        <v>0</v>
      </c>
    </row>
    <row r="2056">
      <c r="A2056" s="14" t="inlineStr">
        <is>
          <t>SALVADOR</t>
        </is>
      </c>
      <c r="B2056" s="26" t="n">
        <v>10</v>
      </c>
      <c r="C2056" s="26" t="n">
        <v>2186</v>
      </c>
      <c r="D2056" s="14" t="inlineStr">
        <is>
          <t>UNIVERSIDADE CATÓLICA DO SALVADOR</t>
        </is>
      </c>
      <c r="E2056" s="14" t="inlineStr">
        <is>
          <t>PITUAÇU</t>
        </is>
      </c>
      <c r="F2056" s="14" t="inlineStr">
        <is>
          <t>AVENIDA PINTO DE AGUIAR, N 2589, CENTRO DE ENSINO II - ZONA URBANA</t>
        </is>
      </c>
      <c r="G2056" s="27" t="inlineStr">
        <is>
          <t>41740-090</t>
        </is>
      </c>
      <c r="H2056" s="15" t="n">
        <v>31</v>
      </c>
      <c r="I2056" s="28" t="inlineStr">
        <is>
          <t>SIM</t>
        </is>
      </c>
      <c r="J2056" s="29" t="n">
        <v>75.90000000000001</v>
      </c>
      <c r="K2056" s="14" t="str">
        <f>IF(J2056="","7. Acima de 2 km",IF(J2056&lt;=50,"1. Até 50 m",IF(J2056&lt;=100,"2. De 50 a 100 m",IF(J2056&lt;=200,"3. De 100 a 200 m",IF(J2056&lt;=300,"4. De 200 a 300 m",IF(J2056&lt;=500,"5. De 300 a 500 m","6. De 500 m a 2 km"))))))</f>
        <v>2. De 50 a 100 m</v>
      </c>
      <c r="L2056" s="26" t="n">
        <v>0</v>
      </c>
      <c r="M2056" s="26" t="n">
        <v>1</v>
      </c>
      <c r="N2056" s="26" t="n">
        <v>1</v>
      </c>
      <c r="O2056" s="26" t="n">
        <v>1</v>
      </c>
      <c r="P2056" s="30" t="n">
        <v>-12.9475587</v>
      </c>
      <c r="Q2056" s="30" t="n">
        <v>-38.4127573</v>
      </c>
      <c r="R2056" s="14" t="inlineStr">
        <is>
          <t>CARTÓRIO DA 10ª ZONA ELEITORAL, 1ª AVENIDA DO CENTRO ADMINISTRATIVO DA BAHIA, 150, SALVADOR-BA.</t>
        </is>
      </c>
      <c r="S2056" s="26">
        <f>IF(A2056=A2055,0,1)</f>
        <v>0</v>
      </c>
      <c r="T2056" s="26">
        <f>IF(COUNTIF($B$4:B2056,B2056)=1,1,0)</f>
        <v>0</v>
      </c>
    </row>
    <row r="2057">
      <c r="A2057" s="14" t="inlineStr">
        <is>
          <t>SALVADOR</t>
        </is>
      </c>
      <c r="B2057" s="26" t="n">
        <v>10</v>
      </c>
      <c r="C2057" s="26" t="n">
        <v>2216</v>
      </c>
      <c r="D2057" s="14" t="inlineStr">
        <is>
          <t>FUNDAÇÃO BAHIANA DE ENGENHARIA</t>
        </is>
      </c>
      <c r="E2057" s="14" t="inlineStr">
        <is>
          <t>IMBUÍ</t>
        </is>
      </c>
      <c r="F2057" s="14" t="inlineStr">
        <is>
          <t>AV. ADHEMAR PINHEIRO LEMOS, N 1617 - ZONA URBANA</t>
        </is>
      </c>
      <c r="G2057" s="27" t="inlineStr">
        <is>
          <t>41720-030</t>
        </is>
      </c>
      <c r="H2057" s="15" t="n">
        <v>10</v>
      </c>
      <c r="I2057" s="28" t="inlineStr">
        <is>
          <t>NÃO</t>
        </is>
      </c>
      <c r="J2057" s="29" t="n">
        <v>106.9</v>
      </c>
      <c r="K2057" s="14" t="str">
        <f>IF(J2057="","7. Acima de 2 km",IF(J2057&lt;=50,"1. Até 50 m",IF(J2057&lt;=100,"2. De 50 a 100 m",IF(J2057&lt;=200,"3. De 100 a 200 m",IF(J2057&lt;=300,"4. De 200 a 300 m",IF(J2057&lt;=500,"5. De 300 a 500 m","6. De 500 m a 2 km"))))))</f>
        <v>3. De 100 a 200 m</v>
      </c>
      <c r="L2057" s="26" t="n">
        <v>0</v>
      </c>
      <c r="M2057" s="26" t="n">
        <v>0</v>
      </c>
      <c r="N2057" s="26" t="n">
        <v>3</v>
      </c>
      <c r="O2057" s="26" t="n">
        <v>6</v>
      </c>
      <c r="P2057" s="30" t="n">
        <v>-12.9685815</v>
      </c>
      <c r="Q2057" s="30" t="n">
        <v>-38.4379965</v>
      </c>
      <c r="R2057" s="14" t="inlineStr">
        <is>
          <t>CARTÓRIO DA 10ª ZONA ELEITORAL, 1ª AVENIDA DO CENTRO ADMINISTRATIVO DA BAHIA, 150, SALVADOR-BA.</t>
        </is>
      </c>
      <c r="S2057" s="26">
        <f>IF(A2057=A2056,0,1)</f>
        <v>0</v>
      </c>
      <c r="T2057" s="26">
        <f>IF(COUNTIF($B$4:B2057,B2057)=1,1,0)</f>
        <v>0</v>
      </c>
    </row>
    <row r="2058">
      <c r="A2058" s="14" t="inlineStr">
        <is>
          <t>SALVADOR</t>
        </is>
      </c>
      <c r="B2058" s="26" t="n">
        <v>10</v>
      </c>
      <c r="C2058" s="26" t="n">
        <v>2259</v>
      </c>
      <c r="D2058" s="14" t="inlineStr">
        <is>
          <t>ESCOLA MUNICIPAL NOVA DO BAIRRO DA PAZ</t>
        </is>
      </c>
      <c r="E2058" s="14" t="inlineStr">
        <is>
          <t>BAIRRO DA PAZ</t>
        </is>
      </c>
      <c r="F2058" s="14" t="inlineStr">
        <is>
          <t>RUA NELSON MANDELA, S/N, ALTO DA BELA VISTA - ZONA URBANA</t>
        </is>
      </c>
      <c r="G2058" s="27" t="inlineStr">
        <is>
          <t>41515-260</t>
        </is>
      </c>
      <c r="H2058" s="15" t="n">
        <v>12</v>
      </c>
      <c r="I2058" s="28" t="inlineStr">
        <is>
          <t>NÃO</t>
        </is>
      </c>
      <c r="J2058" s="29" t="n">
        <v>270.9</v>
      </c>
      <c r="K2058" s="14" t="str">
        <f>IF(J2058="","7. Acima de 2 km",IF(J2058&lt;=50,"1. Até 50 m",IF(J2058&lt;=100,"2. De 50 a 100 m",IF(J2058&lt;=200,"3. De 100 a 200 m",IF(J2058&lt;=300,"4. De 200 a 300 m",IF(J2058&lt;=500,"5. De 300 a 500 m","6. De 500 m a 2 km"))))))</f>
        <v>4. De 200 a 300 m</v>
      </c>
      <c r="L2058" s="26" t="n">
        <v>0</v>
      </c>
      <c r="M2058" s="26" t="n">
        <v>0</v>
      </c>
      <c r="N2058" s="26" t="n">
        <v>0</v>
      </c>
      <c r="O2058" s="26" t="n">
        <v>1</v>
      </c>
      <c r="P2058" s="30" t="n">
        <v>-12.9262185</v>
      </c>
      <c r="Q2058" s="30" t="n">
        <v>-38.3769744</v>
      </c>
      <c r="R2058" s="14" t="inlineStr">
        <is>
          <t>CARTÓRIO DA 10ª ZONA ELEITORAL, 1ª AVENIDA DO CENTRO ADMINISTRATIVO DA BAHIA, 150, SALVADOR-BA.</t>
        </is>
      </c>
      <c r="S2058" s="26">
        <f>IF(A2058=A2057,0,1)</f>
        <v>0</v>
      </c>
      <c r="T2058" s="26">
        <f>IF(COUNTIF($B$4:B2058,B2058)=1,1,0)</f>
        <v>0</v>
      </c>
    </row>
    <row r="2059">
      <c r="A2059" s="14" t="inlineStr">
        <is>
          <t>SALVADOR</t>
        </is>
      </c>
      <c r="B2059" s="26" t="n">
        <v>10</v>
      </c>
      <c r="C2059" s="26" t="n">
        <v>2283</v>
      </c>
      <c r="D2059" s="14" t="inlineStr">
        <is>
          <t>ESCOLA MUNICIPAL CARLOS MURION</t>
        </is>
      </c>
      <c r="E2059" s="14" t="inlineStr">
        <is>
          <t>PITUAÇU</t>
        </is>
      </c>
      <c r="F2059" s="14" t="inlineStr">
        <is>
          <t>RUA BARRETO PEDROSO, N 295 - ZONA URBANA</t>
        </is>
      </c>
      <c r="G2059" s="27" t="inlineStr">
        <is>
          <t>41741-030</t>
        </is>
      </c>
      <c r="H2059" s="15" t="n">
        <v>6</v>
      </c>
      <c r="I2059" s="28" t="inlineStr">
        <is>
          <t>NÃO</t>
        </is>
      </c>
      <c r="J2059" s="29" t="n">
        <v>273.1</v>
      </c>
      <c r="K2059" s="14" t="str">
        <f>IF(J2059="","7. Acima de 2 km",IF(J2059&lt;=50,"1. Até 50 m",IF(J2059&lt;=100,"2. De 50 a 100 m",IF(J2059&lt;=200,"3. De 100 a 200 m",IF(J2059&lt;=300,"4. De 200 a 300 m",IF(J2059&lt;=500,"5. De 300 a 500 m","6. De 500 m a 2 km"))))))</f>
        <v>4. De 200 a 300 m</v>
      </c>
      <c r="L2059" s="26" t="n">
        <v>0</v>
      </c>
      <c r="M2059" s="26" t="n">
        <v>0</v>
      </c>
      <c r="N2059" s="26" t="n">
        <v>0</v>
      </c>
      <c r="O2059" s="26" t="n">
        <v>2</v>
      </c>
      <c r="P2059" s="30" t="n">
        <v>-12.9703645</v>
      </c>
      <c r="Q2059" s="30" t="n">
        <v>-38.4145246</v>
      </c>
      <c r="R2059" s="14" t="inlineStr">
        <is>
          <t>CARTÓRIO DA 10ª ZONA ELEITORAL, 1ª AVENIDA DO CENTRO ADMINISTRATIVO DA BAHIA, 150, SALVADOR-BA.</t>
        </is>
      </c>
      <c r="S2059" s="26">
        <f>IF(A2059=A2058,0,1)</f>
        <v>0</v>
      </c>
      <c r="T2059" s="26">
        <f>IF(COUNTIF($B$4:B2059,B2059)=1,1,0)</f>
        <v>0</v>
      </c>
    </row>
    <row r="2060">
      <c r="A2060" s="14" t="inlineStr">
        <is>
          <t>SALVADOR</t>
        </is>
      </c>
      <c r="B2060" s="26" t="n">
        <v>10</v>
      </c>
      <c r="C2060" s="26" t="n">
        <v>2291</v>
      </c>
      <c r="D2060" s="14" t="inlineStr">
        <is>
          <t>COLÉGIO MONTESSORIANO</t>
        </is>
      </c>
      <c r="E2060" s="14" t="inlineStr">
        <is>
          <t>BOCA DO RIO</t>
        </is>
      </c>
      <c r="F2060" s="14" t="inlineStr">
        <is>
          <t>RUA ABELARDO ANDRADE DE CARVALHO, N. 5 - ZONA URBANA</t>
        </is>
      </c>
      <c r="G2060" s="27" t="inlineStr">
        <is>
          <t>41706-710</t>
        </is>
      </c>
      <c r="H2060" s="15" t="n">
        <v>10</v>
      </c>
      <c r="I2060" s="28" t="inlineStr">
        <is>
          <t>NÃO</t>
        </is>
      </c>
      <c r="J2060" s="29" t="n">
        <v>546.6</v>
      </c>
      <c r="K2060" s="14" t="str">
        <f>IF(J2060="","7. Acima de 2 km",IF(J2060&lt;=50,"1. Até 50 m",IF(J2060&lt;=100,"2. De 50 a 100 m",IF(J2060&lt;=200,"3. De 100 a 200 m",IF(J2060&lt;=300,"4. De 200 a 300 m",IF(J2060&lt;=500,"5. De 300 a 500 m","6. De 500 m a 2 km"))))))</f>
        <v>6. De 500 m a 2 km</v>
      </c>
      <c r="L2060" s="26" t="n">
        <v>0</v>
      </c>
      <c r="M2060" s="26" t="n">
        <v>0</v>
      </c>
      <c r="N2060" s="26" t="n">
        <v>0</v>
      </c>
      <c r="O2060" s="26" t="n">
        <v>0</v>
      </c>
      <c r="P2060" s="30" t="n">
        <v>-12.9776212</v>
      </c>
      <c r="Q2060" s="30" t="n">
        <v>-38.4255253</v>
      </c>
      <c r="R2060" s="14" t="inlineStr">
        <is>
          <t>CARTÓRIO DA 10ª ZONA ELEITORAL, 1ª AVENIDA DO CENTRO ADMINISTRATIVO DA BAHIA, 150, SALVADOR-BA.</t>
        </is>
      </c>
      <c r="S2060" s="26">
        <f>IF(A2060=A2059,0,1)</f>
        <v>0</v>
      </c>
      <c r="T2060" s="26">
        <f>IF(COUNTIF($B$4:B2060,B2060)=1,1,0)</f>
        <v>0</v>
      </c>
    </row>
    <row r="2061">
      <c r="A2061" s="14" t="inlineStr">
        <is>
          <t>SALVADOR</t>
        </is>
      </c>
      <c r="B2061" s="26" t="n">
        <v>10</v>
      </c>
      <c r="C2061" s="26" t="n">
        <v>2321</v>
      </c>
      <c r="D2061" s="14" t="inlineStr">
        <is>
          <t>ESCOLA MUNICIPAL AGNELO DE BRITO</t>
        </is>
      </c>
      <c r="E2061" s="14" t="inlineStr">
        <is>
          <t>BOCA DO RIO</t>
        </is>
      </c>
      <c r="F2061" s="14" t="inlineStr">
        <is>
          <t>RUA MANOEL ALMEIDA PACHECO, SN - ZONA URBANA</t>
        </is>
      </c>
      <c r="G2061" s="27" t="inlineStr">
        <is>
          <t>41706-050</t>
        </is>
      </c>
      <c r="H2061" s="15" t="n">
        <v>10</v>
      </c>
      <c r="I2061" s="28" t="inlineStr">
        <is>
          <t>NÃO</t>
        </is>
      </c>
      <c r="J2061" s="29" t="n">
        <v>163.1</v>
      </c>
      <c r="K2061" s="14" t="str">
        <f>IF(J2061="","7. Acima de 2 km",IF(J2061&lt;=50,"1. Até 50 m",IF(J2061&lt;=100,"2. De 50 a 100 m",IF(J2061&lt;=200,"3. De 100 a 200 m",IF(J2061&lt;=300,"4. De 200 a 300 m",IF(J2061&lt;=500,"5. De 300 a 500 m","6. De 500 m a 2 km"))))))</f>
        <v>3. De 100 a 200 m</v>
      </c>
      <c r="L2061" s="26" t="n">
        <v>0</v>
      </c>
      <c r="M2061" s="26" t="n">
        <v>0</v>
      </c>
      <c r="N2061" s="26" t="n">
        <v>3</v>
      </c>
      <c r="O2061" s="26" t="n">
        <v>6</v>
      </c>
      <c r="P2061" s="30" t="n">
        <v>-12.9782301</v>
      </c>
      <c r="Q2061" s="30" t="n">
        <v>-38.4328199</v>
      </c>
      <c r="R2061" s="14" t="inlineStr">
        <is>
          <t>CARTÓRIO DA 10ª ZONA ELEITORAL, 1ª AVENIDA DO CENTRO ADMINISTRATIVO DA BAHIA, 150, SALVADOR-BA.</t>
        </is>
      </c>
      <c r="S2061" s="26">
        <f>IF(A2061=A2060,0,1)</f>
        <v>0</v>
      </c>
      <c r="T2061" s="26">
        <f>IF(COUNTIF($B$4:B2061,B2061)=1,1,0)</f>
        <v>0</v>
      </c>
    </row>
    <row r="2062">
      <c r="A2062" s="14" t="inlineStr">
        <is>
          <t>SALVADOR</t>
        </is>
      </c>
      <c r="B2062" s="26" t="n">
        <v>10</v>
      </c>
      <c r="C2062" s="26" t="n">
        <v>2348</v>
      </c>
      <c r="D2062" s="14" t="inlineStr">
        <is>
          <t>ESCOLA EDIVALDO BOAVENTURA</t>
        </is>
      </c>
      <c r="E2062" s="14" t="inlineStr">
        <is>
          <t>STIEP</t>
        </is>
      </c>
      <c r="F2062" s="14" t="inlineStr">
        <is>
          <t>CONJUNTO VALE DOS RIOS, S/N - ZONA URBANA</t>
        </is>
      </c>
      <c r="G2062" s="27" t="inlineStr">
        <is>
          <t>41770-030</t>
        </is>
      </c>
      <c r="H2062" s="15" t="n">
        <v>8</v>
      </c>
      <c r="I2062" s="28" t="inlineStr">
        <is>
          <t>SIM</t>
        </is>
      </c>
      <c r="J2062" s="29" t="n">
        <v>17.5</v>
      </c>
      <c r="K2062" s="14" t="str">
        <f>IF(J2062="","7. Acima de 2 km",IF(J2062&lt;=50,"1. Até 50 m",IF(J2062&lt;=100,"2. De 50 a 100 m",IF(J2062&lt;=200,"3. De 100 a 200 m",IF(J2062&lt;=300,"4. De 200 a 300 m",IF(J2062&lt;=500,"5. De 300 a 500 m","6. De 500 m a 2 km"))))))</f>
        <v>1. Até 50 m</v>
      </c>
      <c r="L2062" s="26" t="n">
        <v>1</v>
      </c>
      <c r="M2062" s="26" t="n">
        <v>1</v>
      </c>
      <c r="N2062" s="26" t="n">
        <v>1</v>
      </c>
      <c r="O2062" s="26" t="n">
        <v>2</v>
      </c>
      <c r="P2062" s="30" t="n">
        <v>-12.9800008</v>
      </c>
      <c r="Q2062" s="30" t="n">
        <v>-38.4482977</v>
      </c>
      <c r="R2062" s="14" t="inlineStr">
        <is>
          <t>CARTÓRIO DA 10ª ZONA ELEITORAL, 1ª AVENIDA DO CENTRO ADMINISTRATIVO DA BAHIA, 150, SALVADOR-BA.</t>
        </is>
      </c>
      <c r="S2062" s="26">
        <f>IF(A2062=A2061,0,1)</f>
        <v>0</v>
      </c>
      <c r="T2062" s="26">
        <f>IF(COUNTIF($B$4:B2062,B2062)=1,1,0)</f>
        <v>0</v>
      </c>
    </row>
    <row r="2063">
      <c r="A2063" s="14" t="inlineStr">
        <is>
          <t>SALVADOR</t>
        </is>
      </c>
      <c r="B2063" s="26" t="n">
        <v>10</v>
      </c>
      <c r="C2063" s="26" t="n">
        <v>2356</v>
      </c>
      <c r="D2063" s="14" t="inlineStr">
        <is>
          <t>COLÉGIO ESTADUAL DO STIEP CARLOS MARIGHELLA</t>
        </is>
      </c>
      <c r="E2063" s="14" t="inlineStr">
        <is>
          <t>STIEP</t>
        </is>
      </c>
      <c r="F2063" s="14" t="inlineStr">
        <is>
          <t>CONJUNTO HABITACIONAL STIEP, QUADRA 01, S/N - ZONA URBANA</t>
        </is>
      </c>
      <c r="G2063" s="27" t="inlineStr">
        <is>
          <t>41775-010</t>
        </is>
      </c>
      <c r="H2063" s="15" t="n">
        <v>12</v>
      </c>
      <c r="I2063" s="28" t="inlineStr">
        <is>
          <t>NÃO</t>
        </is>
      </c>
      <c r="J2063" s="29" t="n">
        <v>112.7</v>
      </c>
      <c r="K2063" s="14" t="str">
        <f>IF(J2063="","7. Acima de 2 km",IF(J2063&lt;=50,"1. Até 50 m",IF(J2063&lt;=100,"2. De 50 a 100 m",IF(J2063&lt;=200,"3. De 100 a 200 m",IF(J2063&lt;=300,"4. De 200 a 300 m",IF(J2063&lt;=500,"5. De 300 a 500 m","6. De 500 m a 2 km"))))))</f>
        <v>3. De 100 a 200 m</v>
      </c>
      <c r="L2063" s="26" t="n">
        <v>0</v>
      </c>
      <c r="M2063" s="26" t="n">
        <v>0</v>
      </c>
      <c r="N2063" s="26" t="n">
        <v>2</v>
      </c>
      <c r="O2063" s="26" t="n">
        <v>3</v>
      </c>
      <c r="P2063" s="30" t="n">
        <v>-12.985148</v>
      </c>
      <c r="Q2063" s="30" t="n">
        <v>-38.445096</v>
      </c>
      <c r="R2063" s="14" t="inlineStr">
        <is>
          <t>CARTÓRIO DA 10ª ZONA ELEITORAL, 1ª AVENIDA DO CENTRO ADMINISTRATIVO DA BAHIA, 150, SALVADOR-BA.</t>
        </is>
      </c>
      <c r="S2063" s="26">
        <f>IF(A2063=A2062,0,1)</f>
        <v>0</v>
      </c>
      <c r="T2063" s="26">
        <f>IF(COUNTIF($B$4:B2063,B2063)=1,1,0)</f>
        <v>0</v>
      </c>
    </row>
    <row r="2064">
      <c r="A2064" s="14" t="inlineStr">
        <is>
          <t>SALVADOR</t>
        </is>
      </c>
      <c r="B2064" s="26" t="n">
        <v>10</v>
      </c>
      <c r="C2064" s="26" t="n">
        <v>2364</v>
      </c>
      <c r="D2064" s="14" t="inlineStr">
        <is>
          <t>CENTRO UNIVERSITÁRIO UNIRUY</t>
        </is>
      </c>
      <c r="E2064" s="14" t="inlineStr">
        <is>
          <t>IMBUÍ</t>
        </is>
      </c>
      <c r="F2064" s="14" t="inlineStr">
        <is>
          <t>AV. LUIS VIANA FILHO, 3172</t>
        </is>
      </c>
      <c r="G2064" s="27" t="inlineStr">
        <is>
          <t>41730-101</t>
        </is>
      </c>
      <c r="H2064" s="15" t="n">
        <v>16</v>
      </c>
      <c r="I2064" s="28" t="inlineStr">
        <is>
          <t>NÃO</t>
        </is>
      </c>
      <c r="J2064" s="29" t="n">
        <v>126.5</v>
      </c>
      <c r="K2064" s="14" t="str">
        <f>IF(J2064="","7. Acima de 2 km",IF(J2064&lt;=50,"1. Até 50 m",IF(J2064&lt;=100,"2. De 50 a 100 m",IF(J2064&lt;=200,"3. De 100 a 200 m",IF(J2064&lt;=300,"4. De 200 a 300 m",IF(J2064&lt;=500,"5. De 300 a 500 m","6. De 500 m a 2 km"))))))</f>
        <v>3. De 100 a 200 m</v>
      </c>
      <c r="L2064" s="26" t="n">
        <v>0</v>
      </c>
      <c r="M2064" s="26" t="n">
        <v>0</v>
      </c>
      <c r="N2064" s="26" t="n">
        <v>1</v>
      </c>
      <c r="O2064" s="26" t="n">
        <v>1</v>
      </c>
      <c r="P2064" s="30" t="n">
        <v>-12.9695032</v>
      </c>
      <c r="Q2064" s="30" t="n">
        <v>-38.4224148</v>
      </c>
      <c r="R2064" s="14" t="inlineStr">
        <is>
          <t>CARTÓRIO DA 10ª ZONA ELEITORAL, 1ª AVENIDA DO CENTRO ADMINISTRATIVO DA BAHIA, 150, SALVADOR-BA.</t>
        </is>
      </c>
      <c r="S2064" s="26">
        <f>IF(A2064=A2063,0,1)</f>
        <v>0</v>
      </c>
      <c r="T2064" s="26">
        <f>IF(COUNTIF($B$4:B2064,B2064)=1,1,0)</f>
        <v>0</v>
      </c>
    </row>
    <row r="2065">
      <c r="A2065" s="14" t="inlineStr">
        <is>
          <t>SALVADOR</t>
        </is>
      </c>
      <c r="B2065" s="26" t="n">
        <v>10</v>
      </c>
      <c r="C2065" s="26" t="n">
        <v>2372</v>
      </c>
      <c r="D2065" s="14" t="inlineStr">
        <is>
          <t>ESCOLA ESTADUAL THALES DE AZEVEDO</t>
        </is>
      </c>
      <c r="E2065" s="14" t="inlineStr">
        <is>
          <t>COSTA AZUL</t>
        </is>
      </c>
      <c r="F2065" s="14" t="inlineStr">
        <is>
          <t>RUA ADELAIDE FERNANDES DA COSTA, S/N - ZONA URBANA</t>
        </is>
      </c>
      <c r="G2065" s="27" t="inlineStr">
        <is>
          <t>41760-040</t>
        </is>
      </c>
      <c r="H2065" s="15" t="n">
        <v>16</v>
      </c>
      <c r="I2065" s="28" t="inlineStr">
        <is>
          <t>NÃO</t>
        </is>
      </c>
      <c r="J2065" s="29" t="n">
        <v>134.8</v>
      </c>
      <c r="K2065" s="14" t="str">
        <f>IF(J2065="","7. Acima de 2 km",IF(J2065&lt;=50,"1. Até 50 m",IF(J2065&lt;=100,"2. De 50 a 100 m",IF(J2065&lt;=200,"3. De 100 a 200 m",IF(J2065&lt;=300,"4. De 200 a 300 m",IF(J2065&lt;=500,"5. De 300 a 500 m","6. De 500 m a 2 km"))))))</f>
        <v>3. De 100 a 200 m</v>
      </c>
      <c r="L2065" s="26" t="n">
        <v>0</v>
      </c>
      <c r="M2065" s="26" t="n">
        <v>0</v>
      </c>
      <c r="N2065" s="26" t="n">
        <v>1</v>
      </c>
      <c r="O2065" s="26" t="n">
        <v>1</v>
      </c>
      <c r="P2065" s="30" t="n">
        <v>-12.997167</v>
      </c>
      <c r="Q2065" s="30" t="n">
        <v>-38.4496312</v>
      </c>
      <c r="R2065" s="14" t="inlineStr">
        <is>
          <t>CARTÓRIO DA 10ª ZONA ELEITORAL, 1ª AVENIDA DO CENTRO ADMINISTRATIVO DA BAHIA, 150, SALVADOR-BA.</t>
        </is>
      </c>
      <c r="S2065" s="26">
        <f>IF(A2065=A2064,0,1)</f>
        <v>0</v>
      </c>
      <c r="T2065" s="26">
        <f>IF(COUNTIF($B$4:B2065,B2065)=1,1,0)</f>
        <v>0</v>
      </c>
    </row>
    <row r="2066">
      <c r="A2066" s="14" t="inlineStr">
        <is>
          <t>SALVADOR</t>
        </is>
      </c>
      <c r="B2066" s="26" t="n">
        <v>10</v>
      </c>
      <c r="C2066" s="26" t="n">
        <v>2380</v>
      </c>
      <c r="D2066" s="14" t="inlineStr">
        <is>
          <t>ESCOLA MUNICIPAL LUIZA MAHIM</t>
        </is>
      </c>
      <c r="E2066" s="14" t="inlineStr">
        <is>
          <t>ARMAÇÃO</t>
        </is>
      </c>
      <c r="F2066" s="14" t="inlineStr">
        <is>
          <t>RUA SIMON BOLÍVAR, 471  - ZONA URBANA</t>
        </is>
      </c>
      <c r="G2066" s="27" t="inlineStr">
        <is>
          <t>41750-230</t>
        </is>
      </c>
      <c r="H2066" s="15" t="n">
        <v>9</v>
      </c>
      <c r="I2066" s="28" t="inlineStr">
        <is>
          <t>NÃO</t>
        </is>
      </c>
      <c r="J2066" s="29" t="n">
        <v>259.7</v>
      </c>
      <c r="K2066" s="14" t="str">
        <f>IF(J2066="","7. Acima de 2 km",IF(J2066&lt;=50,"1. Até 50 m",IF(J2066&lt;=100,"2. De 50 a 100 m",IF(J2066&lt;=200,"3. De 100 a 200 m",IF(J2066&lt;=300,"4. De 200 a 300 m",IF(J2066&lt;=500,"5. De 300 a 500 m","6. De 500 m a 2 km"))))))</f>
        <v>4. De 200 a 300 m</v>
      </c>
      <c r="L2066" s="26" t="n">
        <v>0</v>
      </c>
      <c r="M2066" s="26" t="n">
        <v>0</v>
      </c>
      <c r="N2066" s="26" t="n">
        <v>0</v>
      </c>
      <c r="O2066" s="26" t="n">
        <v>1</v>
      </c>
      <c r="P2066" s="30" t="n">
        <v>-12.9854903</v>
      </c>
      <c r="Q2066" s="30" t="n">
        <v>-38.4375327</v>
      </c>
      <c r="R2066" s="14" t="inlineStr">
        <is>
          <t>CARTÓRIO DA 10ª ZONA ELEITORAL, 1ª AVENIDA DO CENTRO ADMINISTRATIVO DA BAHIA, 150, SALVADOR-BA.</t>
        </is>
      </c>
      <c r="S2066" s="26">
        <f>IF(A2066=A2065,0,1)</f>
        <v>0</v>
      </c>
      <c r="T2066" s="26">
        <f>IF(COUNTIF($B$4:B2066,B2066)=1,1,0)</f>
        <v>0</v>
      </c>
    </row>
    <row r="2067">
      <c r="A2067" s="14" t="inlineStr">
        <is>
          <t>SALVADOR</t>
        </is>
      </c>
      <c r="B2067" s="26" t="n">
        <v>10</v>
      </c>
      <c r="C2067" s="26" t="n">
        <v>2399</v>
      </c>
      <c r="D2067" s="14" t="inlineStr">
        <is>
          <t>FACULDADE BAIANA DE DIREITO</t>
        </is>
      </c>
      <c r="E2067" s="14" t="inlineStr">
        <is>
          <t>STIEP</t>
        </is>
      </c>
      <c r="F2067" s="14" t="inlineStr">
        <is>
          <t>RUA DR. JOSÉ PEROBA, 123 -  ZONA URBANA</t>
        </is>
      </c>
      <c r="G2067" s="27" t="inlineStr">
        <is>
          <t>41770-235</t>
        </is>
      </c>
      <c r="H2067" s="15" t="n">
        <v>7</v>
      </c>
      <c r="I2067" s="28" t="inlineStr">
        <is>
          <t>NÃO</t>
        </is>
      </c>
      <c r="J2067" s="29" t="n">
        <v>215.8</v>
      </c>
      <c r="K2067" s="14" t="str">
        <f>IF(J2067="","7. Acima de 2 km",IF(J2067&lt;=50,"1. Até 50 m",IF(J2067&lt;=100,"2. De 50 a 100 m",IF(J2067&lt;=200,"3. De 100 a 200 m",IF(J2067&lt;=300,"4. De 200 a 300 m",IF(J2067&lt;=500,"5. De 300 a 500 m","6. De 500 m a 2 km"))))))</f>
        <v>4. De 200 a 300 m</v>
      </c>
      <c r="L2067" s="26" t="n">
        <v>0</v>
      </c>
      <c r="M2067" s="26" t="n">
        <v>0</v>
      </c>
      <c r="N2067" s="26" t="n">
        <v>0</v>
      </c>
      <c r="O2067" s="26" t="n">
        <v>2</v>
      </c>
      <c r="P2067" s="30" t="n">
        <v>-12.9860328</v>
      </c>
      <c r="Q2067" s="30" t="n">
        <v>-38.4495668</v>
      </c>
      <c r="R2067" s="14" t="inlineStr">
        <is>
          <t>CARTÓRIO DA 10ª ZONA ELEITORAL, 1ª AVENIDA DO CENTRO ADMINISTRATIVO DA BAHIA, 150, SALVADOR-BA.</t>
        </is>
      </c>
      <c r="S2067" s="26">
        <f>IF(A2067=A2066,0,1)</f>
        <v>0</v>
      </c>
      <c r="T2067" s="26">
        <f>IF(COUNTIF($B$4:B2067,B2067)=1,1,0)</f>
        <v>0</v>
      </c>
    </row>
    <row r="2068">
      <c r="A2068" s="14" t="inlineStr">
        <is>
          <t>SALVADOR</t>
        </is>
      </c>
      <c r="B2068" s="26" t="n">
        <v>10</v>
      </c>
      <c r="C2068" s="26" t="n">
        <v>2410</v>
      </c>
      <c r="D2068" s="14" t="inlineStr">
        <is>
          <t>CENTRO UNIVERSITÁRIO ESTÁCIO DA BAHIA</t>
        </is>
      </c>
      <c r="E2068" s="14" t="inlineStr">
        <is>
          <t>STIEP</t>
        </is>
      </c>
      <c r="F2068" s="14" t="inlineStr">
        <is>
          <t>RUA XINGU, 179 - ZONA URBANA</t>
        </is>
      </c>
      <c r="G2068" s="27" t="inlineStr">
        <is>
          <t>41770-130</t>
        </is>
      </c>
      <c r="H2068" s="15" t="n">
        <v>16</v>
      </c>
      <c r="I2068" s="28" t="inlineStr">
        <is>
          <t>NÃO</t>
        </is>
      </c>
      <c r="J2068" s="29" t="n">
        <v>181.1</v>
      </c>
      <c r="K2068" s="14" t="str">
        <f>IF(J2068="","7. Acima de 2 km",IF(J2068&lt;=50,"1. Até 50 m",IF(J2068&lt;=100,"2. De 50 a 100 m",IF(J2068&lt;=200,"3. De 100 a 200 m",IF(J2068&lt;=300,"4. De 200 a 300 m",IF(J2068&lt;=500,"5. De 300 a 500 m","6. De 500 m a 2 km"))))))</f>
        <v>3. De 100 a 200 m</v>
      </c>
      <c r="L2068" s="26" t="n">
        <v>0</v>
      </c>
      <c r="M2068" s="26" t="n">
        <v>0</v>
      </c>
      <c r="N2068" s="26" t="n">
        <v>1</v>
      </c>
      <c r="O2068" s="26" t="n">
        <v>1</v>
      </c>
      <c r="P2068" s="30" t="n">
        <v>-12.9861706</v>
      </c>
      <c r="Q2068" s="30" t="n">
        <v>-38.4380028</v>
      </c>
      <c r="R2068" s="14" t="inlineStr">
        <is>
          <t>CARTÓRIO DA 10ª ZONA ELEITORAL, 1ª AVENIDA DO CENTRO ADMINISTRATIVO DA BAHIA, 150, SALVADOR-BA.</t>
        </is>
      </c>
      <c r="S2068" s="26">
        <f>IF(A2068=A2067,0,1)</f>
        <v>0</v>
      </c>
      <c r="T2068" s="26">
        <f>IF(COUNTIF($B$4:B2068,B2068)=1,1,0)</f>
        <v>0</v>
      </c>
    </row>
    <row r="2069">
      <c r="A2069" s="14" t="inlineStr">
        <is>
          <t>SALVADOR</t>
        </is>
      </c>
      <c r="B2069" s="26" t="n">
        <v>10</v>
      </c>
      <c r="C2069" s="26" t="n">
        <v>2437</v>
      </c>
      <c r="D2069" s="14" t="inlineStr">
        <is>
          <t>COLÉGIO ESTADUAL MESTRE PAULO DOS ANJOS</t>
        </is>
      </c>
      <c r="E2069" s="14" t="inlineStr">
        <is>
          <t>BAIRRO DA PAZ</t>
        </is>
      </c>
      <c r="F2069" s="14" t="inlineStr">
        <is>
          <t>RUA TANCREDO NEVES, S/N - ZONA URBANA</t>
        </is>
      </c>
      <c r="G2069" s="27" t="inlineStr">
        <is>
          <t>41515-235</t>
        </is>
      </c>
      <c r="H2069" s="15" t="n">
        <v>11</v>
      </c>
      <c r="I2069" s="28" t="inlineStr">
        <is>
          <t>NÃO</t>
        </is>
      </c>
      <c r="J2069" s="29" t="n">
        <v>175.7</v>
      </c>
      <c r="K2069" s="14" t="str">
        <f>IF(J2069="","7. Acima de 2 km",IF(J2069&lt;=50,"1. Até 50 m",IF(J2069&lt;=100,"2. De 50 a 100 m",IF(J2069&lt;=200,"3. De 100 a 200 m",IF(J2069&lt;=300,"4. De 200 a 300 m",IF(J2069&lt;=500,"5. De 300 a 500 m","6. De 500 m a 2 km"))))))</f>
        <v>3. De 100 a 200 m</v>
      </c>
      <c r="L2069" s="26" t="n">
        <v>0</v>
      </c>
      <c r="M2069" s="26" t="n">
        <v>0</v>
      </c>
      <c r="N2069" s="26" t="n">
        <v>1</v>
      </c>
      <c r="O2069" s="26" t="n">
        <v>2</v>
      </c>
      <c r="P2069" s="30" t="n">
        <v>-12.9365939</v>
      </c>
      <c r="Q2069" s="30" t="n">
        <v>-38.3814656</v>
      </c>
      <c r="R2069" s="14" t="inlineStr">
        <is>
          <t>CARTÓRIO DA 10ª ZONA ELEITORAL, 1ª AVENIDA DO CENTRO ADMINISTRATIVO DA BAHIA, 150, SALVADOR-BA.</t>
        </is>
      </c>
      <c r="S2069" s="26">
        <f>IF(A2069=A2068,0,1)</f>
        <v>0</v>
      </c>
      <c r="T2069" s="26">
        <f>IF(COUNTIF($B$4:B2069,B2069)=1,1,0)</f>
        <v>0</v>
      </c>
    </row>
    <row r="2070">
      <c r="A2070" s="14" t="inlineStr">
        <is>
          <t>SALVADOR</t>
        </is>
      </c>
      <c r="B2070" s="26" t="n">
        <v>10</v>
      </c>
      <c r="C2070" s="26" t="n">
        <v>2461</v>
      </c>
      <c r="D2070" s="14" t="inlineStr">
        <is>
          <t>INSTITUTO MUNICIPAL PROF. JOSÉ ARAPIRACA - IMEJA</t>
        </is>
      </c>
      <c r="E2070" s="14" t="inlineStr">
        <is>
          <t>BOCA DO RIO</t>
        </is>
      </c>
      <c r="F2070" s="14" t="inlineStr">
        <is>
          <t>RUA ABELARDO DE CARVALHO, S/N - ZONA URBANA</t>
        </is>
      </c>
      <c r="G2070" s="27" t="inlineStr">
        <is>
          <t>41706-710</t>
        </is>
      </c>
      <c r="H2070" s="15" t="n">
        <v>13</v>
      </c>
      <c r="I2070" s="28" t="inlineStr">
        <is>
          <t>NÃO</t>
        </is>
      </c>
      <c r="J2070" s="29" t="n">
        <v>508.7</v>
      </c>
      <c r="K2070" s="14" t="str">
        <f>IF(J2070="","7. Acima de 2 km",IF(J2070&lt;=50,"1. Até 50 m",IF(J2070&lt;=100,"2. De 50 a 100 m",IF(J2070&lt;=200,"3. De 100 a 200 m",IF(J2070&lt;=300,"4. De 200 a 300 m",IF(J2070&lt;=500,"5. De 300 a 500 m","6. De 500 m a 2 km"))))))</f>
        <v>6. De 500 m a 2 km</v>
      </c>
      <c r="L2070" s="26" t="n">
        <v>0</v>
      </c>
      <c r="M2070" s="26" t="n">
        <v>0</v>
      </c>
      <c r="N2070" s="26" t="n">
        <v>0</v>
      </c>
      <c r="O2070" s="26" t="n">
        <v>0</v>
      </c>
      <c r="P2070" s="30" t="n">
        <v>-12.978292</v>
      </c>
      <c r="Q2070" s="30" t="n">
        <v>-38.426381</v>
      </c>
      <c r="R2070" s="14" t="inlineStr">
        <is>
          <t>CARTÓRIO DA 10ª ZONA ELEITORAL, 1ª AVENIDA DO CENTRO ADMINISTRATIVO DA BAHIA, 150, SALVADOR-BA.</t>
        </is>
      </c>
      <c r="S2070" s="26">
        <f>IF(A2070=A2069,0,1)</f>
        <v>0</v>
      </c>
      <c r="T2070" s="26">
        <f>IF(COUNTIF($B$4:B2070,B2070)=1,1,0)</f>
        <v>0</v>
      </c>
    </row>
    <row r="2071">
      <c r="A2071" s="14" t="inlineStr">
        <is>
          <t>SALVADOR</t>
        </is>
      </c>
      <c r="B2071" s="26" t="n">
        <v>10</v>
      </c>
      <c r="C2071" s="26" t="n">
        <v>2470</v>
      </c>
      <c r="D2071" s="14" t="inlineStr">
        <is>
          <t>COLÉGIO CÂNDIDO PORTINARI</t>
        </is>
      </c>
      <c r="E2071" s="14" t="inlineStr">
        <is>
          <t>COSTA AZUL</t>
        </is>
      </c>
      <c r="F2071" s="14" t="inlineStr">
        <is>
          <t>RUA ADELAIDE FERNANDES DA COSTA, N 47 - ZONA URBANA</t>
        </is>
      </c>
      <c r="G2071" s="27" t="inlineStr">
        <is>
          <t>41706-710</t>
        </is>
      </c>
      <c r="H2071" s="15" t="n">
        <v>15</v>
      </c>
      <c r="I2071" s="28" t="inlineStr">
        <is>
          <t>NÃO</t>
        </is>
      </c>
      <c r="J2071" s="29" t="n">
        <v>231.3</v>
      </c>
      <c r="K2071" s="14" t="str">
        <f>IF(J2071="","7. Acima de 2 km",IF(J2071&lt;=50,"1. Até 50 m",IF(J2071&lt;=100,"2. De 50 a 100 m",IF(J2071&lt;=200,"3. De 100 a 200 m",IF(J2071&lt;=300,"4. De 200 a 300 m",IF(J2071&lt;=500,"5. De 300 a 500 m","6. De 500 m a 2 km"))))))</f>
        <v>4. De 200 a 300 m</v>
      </c>
      <c r="L2071" s="26" t="n">
        <v>0</v>
      </c>
      <c r="M2071" s="26" t="n">
        <v>0</v>
      </c>
      <c r="N2071" s="26" t="n">
        <v>0</v>
      </c>
      <c r="O2071" s="26" t="n">
        <v>1</v>
      </c>
      <c r="P2071" s="30" t="n">
        <v>-12.9962982</v>
      </c>
      <c r="Q2071" s="30" t="n">
        <v>-38.4496143</v>
      </c>
      <c r="R2071" s="14" t="inlineStr">
        <is>
          <t>CARTÓRIO DA 10ª ZONA ELEITORAL, 1ª AVENIDA DO CENTRO ADMINISTRATIVO DA BAHIA, 150, SALVADOR-BA.</t>
        </is>
      </c>
      <c r="S2071" s="26">
        <f>IF(A2071=A2070,0,1)</f>
        <v>0</v>
      </c>
      <c r="T2071" s="26">
        <f>IF(COUNTIF($B$4:B2071,B2071)=1,1,0)</f>
        <v>0</v>
      </c>
    </row>
    <row r="2072">
      <c r="A2072" s="14" t="inlineStr">
        <is>
          <t>SALVADOR</t>
        </is>
      </c>
      <c r="B2072" s="26" t="n">
        <v>10</v>
      </c>
      <c r="C2072" s="26" t="n">
        <v>2500</v>
      </c>
      <c r="D2072" s="14" t="inlineStr">
        <is>
          <t>ESCOLA SESI DJALMA PESSOA</t>
        </is>
      </c>
      <c r="E2072" s="14" t="inlineStr">
        <is>
          <t>PIATÃ</t>
        </is>
      </c>
      <c r="F2072" s="14" t="inlineStr">
        <is>
          <t>AVENIDA ORLANDO GOMES, N 1737 - ZONA URBANA</t>
        </is>
      </c>
      <c r="G2072" s="27" t="inlineStr">
        <is>
          <t>41650-010</t>
        </is>
      </c>
      <c r="H2072" s="15" t="n">
        <v>13</v>
      </c>
      <c r="I2072" s="28" t="inlineStr">
        <is>
          <t>SIM</t>
        </is>
      </c>
      <c r="J2072" s="29" t="n">
        <v>55.2</v>
      </c>
      <c r="K2072" s="14" t="str">
        <f>IF(J2072="","7. Acima de 2 km",IF(J2072&lt;=50,"1. Até 50 m",IF(J2072&lt;=100,"2. De 50 a 100 m",IF(J2072&lt;=200,"3. De 100 a 200 m",IF(J2072&lt;=300,"4. De 200 a 300 m",IF(J2072&lt;=500,"5. De 300 a 500 m","6. De 500 m a 2 km"))))))</f>
        <v>2. De 50 a 100 m</v>
      </c>
      <c r="L2072" s="26" t="n">
        <v>0</v>
      </c>
      <c r="M2072" s="26" t="n">
        <v>1</v>
      </c>
      <c r="N2072" s="26" t="n">
        <v>1</v>
      </c>
      <c r="O2072" s="26" t="n">
        <v>1</v>
      </c>
      <c r="P2072" s="30" t="n">
        <v>-12.9400722</v>
      </c>
      <c r="Q2072" s="30" t="n">
        <v>-38.3865607</v>
      </c>
      <c r="R2072" s="14" t="inlineStr">
        <is>
          <t>CARTÓRIO DA 10ª ZONA ELEITORAL, 1ª AVENIDA DO CENTRO ADMINISTRATIVO DA BAHIA, 150, SALVADOR-BA.</t>
        </is>
      </c>
      <c r="S2072" s="26">
        <f>IF(A2072=A2071,0,1)</f>
        <v>0</v>
      </c>
      <c r="T2072" s="26">
        <f>IF(COUNTIF($B$4:B2072,B2072)=1,1,0)</f>
        <v>0</v>
      </c>
    </row>
    <row r="2073">
      <c r="A2073" s="14" t="inlineStr">
        <is>
          <t>SALVADOR</t>
        </is>
      </c>
      <c r="B2073" s="26" t="n">
        <v>10</v>
      </c>
      <c r="C2073" s="26" t="n">
        <v>2518</v>
      </c>
      <c r="D2073" s="14" t="inlineStr">
        <is>
          <t>ESCOLA MUNICIPAL UNIÃO CARIDADE E ABRIGO</t>
        </is>
      </c>
      <c r="E2073" s="14" t="inlineStr">
        <is>
          <t>BOCA DO RIO</t>
        </is>
      </c>
      <c r="F2073" s="14" t="inlineStr">
        <is>
          <t>RUA HEITOR DIAS, N 2 - ZONA URBANA</t>
        </is>
      </c>
      <c r="G2073" s="27" t="inlineStr">
        <is>
          <t>41710-745</t>
        </is>
      </c>
      <c r="H2073" s="15" t="n">
        <v>3</v>
      </c>
      <c r="I2073" s="28" t="inlineStr">
        <is>
          <t>NÃO</t>
        </is>
      </c>
      <c r="J2073" s="29" t="n">
        <v>207.9</v>
      </c>
      <c r="K2073" s="14" t="str">
        <f>IF(J2073="","7. Acima de 2 km",IF(J2073&lt;=50,"1. Até 50 m",IF(J2073&lt;=100,"2. De 50 a 100 m",IF(J2073&lt;=200,"3. De 100 a 200 m",IF(J2073&lt;=300,"4. De 200 a 300 m",IF(J2073&lt;=500,"5. De 300 a 500 m","6. De 500 m a 2 km"))))))</f>
        <v>4. De 200 a 300 m</v>
      </c>
      <c r="L2073" s="26" t="n">
        <v>0</v>
      </c>
      <c r="M2073" s="26" t="n">
        <v>0</v>
      </c>
      <c r="N2073" s="26" t="n">
        <v>0</v>
      </c>
      <c r="O2073" s="26" t="n">
        <v>3</v>
      </c>
      <c r="P2073" s="30" t="n">
        <v>-12.9781489</v>
      </c>
      <c r="Q2073" s="30" t="n">
        <v>-38.4294087</v>
      </c>
      <c r="R2073" s="14" t="inlineStr">
        <is>
          <t>CARTÓRIO DA 10ª ZONA ELEITORAL, 1ª AVENIDA DO CENTRO ADMINISTRATIVO DA BAHIA, 150, SALVADOR-BA.</t>
        </is>
      </c>
      <c r="S2073" s="26">
        <f>IF(A2073=A2072,0,1)</f>
        <v>0</v>
      </c>
      <c r="T2073" s="26">
        <f>IF(COUNTIF($B$4:B2073,B2073)=1,1,0)</f>
        <v>0</v>
      </c>
    </row>
    <row r="2074">
      <c r="A2074" s="14" t="inlineStr">
        <is>
          <t>SALVADOR</t>
        </is>
      </c>
      <c r="B2074" s="26" t="n">
        <v>10</v>
      </c>
      <c r="C2074" s="26" t="n">
        <v>2526</v>
      </c>
      <c r="D2074" s="14" t="inlineStr">
        <is>
          <t>COLÉGIO MARISTA PATAMARES</t>
        </is>
      </c>
      <c r="E2074" s="14" t="inlineStr">
        <is>
          <t>PATAMARES</t>
        </is>
      </c>
      <c r="F2074" s="14" t="inlineStr">
        <is>
          <t>RUA MANOEL ANTÔNIO GALVÃO, 655 - ZONA URBANA</t>
        </is>
      </c>
      <c r="G2074" s="27" t="inlineStr">
        <is>
          <t>41741-390</t>
        </is>
      </c>
      <c r="H2074" s="15" t="n">
        <v>19</v>
      </c>
      <c r="I2074" s="28" t="inlineStr">
        <is>
          <t>NÃO</t>
        </is>
      </c>
      <c r="J2074" s="29" t="n">
        <v>482.4</v>
      </c>
      <c r="K2074" s="14" t="str">
        <f>IF(J2074="","7. Acima de 2 km",IF(J2074&lt;=50,"1. Até 50 m",IF(J2074&lt;=100,"2. De 50 a 100 m",IF(J2074&lt;=200,"3. De 100 a 200 m",IF(J2074&lt;=300,"4. De 200 a 300 m",IF(J2074&lt;=500,"5. De 300 a 500 m","6. De 500 m a 2 km"))))))</f>
        <v>5. De 300 a 500 m</v>
      </c>
      <c r="L2074" s="26" t="n">
        <v>0</v>
      </c>
      <c r="M2074" s="26" t="n">
        <v>0</v>
      </c>
      <c r="N2074" s="26" t="n">
        <v>0</v>
      </c>
      <c r="O2074" s="26" t="n">
        <v>0</v>
      </c>
      <c r="P2074" s="30" t="n">
        <v>-12.9569618</v>
      </c>
      <c r="Q2074" s="30" t="n">
        <v>-38.3998941</v>
      </c>
      <c r="R2074" s="14" t="inlineStr">
        <is>
          <t>CARTÓRIO DA 10ª ZONA ELEITORAL, 1ª AVENIDA DO CENTRO ADMINISTRATIVO DA BAHIA, 150, SALVADOR-BA.</t>
        </is>
      </c>
      <c r="S2074" s="26">
        <f>IF(A2074=A2073,0,1)</f>
        <v>0</v>
      </c>
      <c r="T2074" s="26">
        <f>IF(COUNTIF($B$4:B2074,B2074)=1,1,0)</f>
        <v>0</v>
      </c>
    </row>
    <row r="2075">
      <c r="A2075" s="14" t="inlineStr">
        <is>
          <t>SALVADOR</t>
        </is>
      </c>
      <c r="B2075" s="26" t="n">
        <v>11</v>
      </c>
      <c r="C2075" s="26" t="n">
        <v>1848</v>
      </c>
      <c r="D2075" s="14" t="inlineStr">
        <is>
          <t>ESCOLA MUNICIPAL AFRÂNIO PEIXOTO</t>
        </is>
      </c>
      <c r="E2075" s="14" t="inlineStr">
        <is>
          <t>SETE DE ABRIL</t>
        </is>
      </c>
      <c r="F2075" s="14" t="inlineStr">
        <is>
          <t>RUA 1 QUADRA C FIM DE LINHA - ZONA URBANA</t>
        </is>
      </c>
      <c r="G2075" s="27" t="inlineStr">
        <is>
          <t>41385-370</t>
        </is>
      </c>
      <c r="H2075" s="15" t="n">
        <v>13</v>
      </c>
      <c r="I2075" s="28" t="inlineStr">
        <is>
          <t>SIM</t>
        </is>
      </c>
      <c r="J2075" s="29" t="n">
        <v>94.09999999999999</v>
      </c>
      <c r="K2075" s="14" t="str">
        <f>IF(J2075="","7. Acima de 2 km",IF(J2075&lt;=50,"1. Até 50 m",IF(J2075&lt;=100,"2. De 50 a 100 m",IF(J2075&lt;=200,"3. De 100 a 200 m",IF(J2075&lt;=300,"4. De 200 a 300 m",IF(J2075&lt;=500,"5. De 300 a 500 m","6. De 500 m a 2 km"))))))</f>
        <v>2. De 50 a 100 m</v>
      </c>
      <c r="L2075" s="26" t="n">
        <v>0</v>
      </c>
      <c r="M2075" s="26" t="n">
        <v>1</v>
      </c>
      <c r="N2075" s="26" t="n">
        <v>1</v>
      </c>
      <c r="O2075" s="26" t="n">
        <v>2</v>
      </c>
      <c r="P2075" s="30" t="n">
        <v>-12.91030029</v>
      </c>
      <c r="Q2075" s="30" t="n">
        <v>-38.42552022</v>
      </c>
      <c r="R2075" s="14" t="inlineStr">
        <is>
          <t>CARTÓRIO DA 11ª ZONA ELEITORAL, 1ª AVENIDA DO CENTRO ADMINISTRATIVO DA BAHIA, 150, SALVADOR-BA.</t>
        </is>
      </c>
      <c r="S2075" s="26">
        <f>IF(A2075=A2074,0,1)</f>
        <v>0</v>
      </c>
      <c r="T2075" s="26">
        <f>IF(COUNTIF($B$4:B2075,B2075)=1,1,0)</f>
        <v>1</v>
      </c>
    </row>
    <row r="2076">
      <c r="A2076" s="14" t="inlineStr">
        <is>
          <t>SALVADOR</t>
        </is>
      </c>
      <c r="B2076" s="26" t="n">
        <v>11</v>
      </c>
      <c r="C2076" s="26" t="n">
        <v>1856</v>
      </c>
      <c r="D2076" s="14" t="inlineStr">
        <is>
          <t>CENTRO SOCIAL URBANO DE CASTELO BRANCO</t>
        </is>
      </c>
      <c r="E2076" s="14" t="inlineStr">
        <is>
          <t>CASTELO BRANCO</t>
        </is>
      </c>
      <c r="F2076" s="14" t="inlineStr">
        <is>
          <t>RUA A, 3A. ETAPA DE CASTELO BRANCO - ZONA URBANA</t>
        </is>
      </c>
      <c r="G2076" s="27" t="inlineStr">
        <is>
          <t>41320-010</t>
        </is>
      </c>
      <c r="H2076" s="15" t="n">
        <v>9</v>
      </c>
      <c r="I2076" s="28" t="inlineStr">
        <is>
          <t>NÃO</t>
        </is>
      </c>
      <c r="J2076" s="29" t="n">
        <v>112.8</v>
      </c>
      <c r="K2076" s="14" t="str">
        <f>IF(J2076="","7. Acima de 2 km",IF(J2076&lt;=50,"1. Até 50 m",IF(J2076&lt;=100,"2. De 50 a 100 m",IF(J2076&lt;=200,"3. De 100 a 200 m",IF(J2076&lt;=300,"4. De 200 a 300 m",IF(J2076&lt;=500,"5. De 300 a 500 m","6. De 500 m a 2 km"))))))</f>
        <v>3. De 100 a 200 m</v>
      </c>
      <c r="L2076" s="26" t="n">
        <v>0</v>
      </c>
      <c r="M2076" s="26" t="n">
        <v>0</v>
      </c>
      <c r="N2076" s="26" t="n">
        <v>2</v>
      </c>
      <c r="O2076" s="26" t="n">
        <v>5</v>
      </c>
      <c r="P2076" s="30" t="n">
        <v>-12.901845</v>
      </c>
      <c r="Q2076" s="30" t="n">
        <v>-38.4267425</v>
      </c>
      <c r="R2076" s="14" t="inlineStr">
        <is>
          <t>CARTÓRIO DA 11ª ZONA ELEITORAL, 1ª AVENIDA DO CENTRO ADMINISTRATIVO DA BAHIA, 150, SALVADOR-BA.</t>
        </is>
      </c>
      <c r="S2076" s="26">
        <f>IF(A2076=A2075,0,1)</f>
        <v>0</v>
      </c>
      <c r="T2076" s="26">
        <f>IF(COUNTIF($B$4:B2076,B2076)=1,1,0)</f>
        <v>0</v>
      </c>
    </row>
    <row r="2077">
      <c r="A2077" s="14" t="inlineStr">
        <is>
          <t>SALVADOR</t>
        </is>
      </c>
      <c r="B2077" s="26" t="n">
        <v>11</v>
      </c>
      <c r="C2077" s="26" t="n">
        <v>1872</v>
      </c>
      <c r="D2077" s="14" t="inlineStr">
        <is>
          <t>CRECHE / CENTRO DE EDUCAÇÃO INFANTIL UNIDOS DE CASTELO BRANCO</t>
        </is>
      </c>
      <c r="E2077" s="14" t="inlineStr">
        <is>
          <t>CASTELO BRANCO (4A ETAPA)</t>
        </is>
      </c>
      <c r="F2077" s="14" t="inlineStr">
        <is>
          <t>RUA DOS UNIDOS, S/N - ZONA URBANA</t>
        </is>
      </c>
      <c r="G2077" s="27" t="inlineStr">
        <is>
          <t>41320-010</t>
        </is>
      </c>
      <c r="H2077" s="15" t="n">
        <v>4</v>
      </c>
      <c r="I2077" s="28" t="inlineStr">
        <is>
          <t>NÃO</t>
        </is>
      </c>
      <c r="J2077" s="29" t="n">
        <v>537.2</v>
      </c>
      <c r="K2077" s="14" t="str">
        <f>IF(J2077="","7. Acima de 2 km",IF(J2077&lt;=50,"1. Até 50 m",IF(J2077&lt;=100,"2. De 50 a 100 m",IF(J2077&lt;=200,"3. De 100 a 200 m",IF(J2077&lt;=300,"4. De 200 a 300 m",IF(J2077&lt;=500,"5. De 300 a 500 m","6. De 500 m a 2 km"))))))</f>
        <v>6. De 500 m a 2 km</v>
      </c>
      <c r="L2077" s="26" t="n">
        <v>0</v>
      </c>
      <c r="M2077" s="26" t="n">
        <v>0</v>
      </c>
      <c r="N2077" s="26" t="n">
        <v>0</v>
      </c>
      <c r="O2077" s="26" t="n">
        <v>0</v>
      </c>
      <c r="P2077" s="30" t="n">
        <v>-12.9075521</v>
      </c>
      <c r="Q2077" s="30" t="n">
        <v>-38.4343809</v>
      </c>
      <c r="R2077" s="14" t="inlineStr">
        <is>
          <t>CARTÓRIO DA 11ª ZONA ELEITORAL, 1ª AVENIDA DO CENTRO ADMINISTRATIVO DA BAHIA, 150, SALVADOR-BA.</t>
        </is>
      </c>
      <c r="S2077" s="26">
        <f>IF(A2077=A2076,0,1)</f>
        <v>0</v>
      </c>
      <c r="T2077" s="26">
        <f>IF(COUNTIF($B$4:B2077,B2077)=1,1,0)</f>
        <v>0</v>
      </c>
    </row>
    <row r="2078">
      <c r="A2078" s="14" t="inlineStr">
        <is>
          <t>SALVADOR</t>
        </is>
      </c>
      <c r="B2078" s="26" t="n">
        <v>11</v>
      </c>
      <c r="C2078" s="26" t="n">
        <v>1880</v>
      </c>
      <c r="D2078" s="14" t="inlineStr">
        <is>
          <t>ESCOLA ESTADUAL CONSELHEIRO VICENTE PACHECO DE OLIVEIRA</t>
        </is>
      </c>
      <c r="E2078" s="14" t="inlineStr">
        <is>
          <t>dom avelar</t>
        </is>
      </c>
      <c r="F2078" s="14" t="inlineStr">
        <is>
          <t>RUA DAS PAULINAS, S/N - DOM AVELAR- ZONA URBANA</t>
        </is>
      </c>
      <c r="G2078" s="27" t="inlineStr">
        <is>
          <t>41315-150</t>
        </is>
      </c>
      <c r="H2078" s="15" t="n">
        <v>11</v>
      </c>
      <c r="I2078" s="28" t="inlineStr">
        <is>
          <t>NÃO</t>
        </is>
      </c>
      <c r="J2078" s="29" t="n">
        <v>358.9</v>
      </c>
      <c r="K2078" s="14" t="str">
        <f>IF(J2078="","7. Acima de 2 km",IF(J2078&lt;=50,"1. Até 50 m",IF(J2078&lt;=100,"2. De 50 a 100 m",IF(J2078&lt;=200,"3. De 100 a 200 m",IF(J2078&lt;=300,"4. De 200 a 300 m",IF(J2078&lt;=500,"5. De 300 a 500 m","6. De 500 m a 2 km"))))))</f>
        <v>5. De 300 a 500 m</v>
      </c>
      <c r="L2078" s="26" t="n">
        <v>0</v>
      </c>
      <c r="M2078" s="26" t="n">
        <v>0</v>
      </c>
      <c r="N2078" s="26" t="n">
        <v>0</v>
      </c>
      <c r="O2078" s="26" t="n">
        <v>0</v>
      </c>
      <c r="P2078" s="30" t="n">
        <v>-12.9037238</v>
      </c>
      <c r="Q2078" s="30" t="n">
        <v>-38.4495144</v>
      </c>
      <c r="R2078" s="14" t="inlineStr">
        <is>
          <t>CARTÓRIO DA 11ª ZONA ELEITORAL, 1ª AVENIDA DO CENTRO ADMINISTRATIVO DA BAHIA, 150, SALVADOR-BA.</t>
        </is>
      </c>
      <c r="S2078" s="26">
        <f>IF(A2078=A2077,0,1)</f>
        <v>0</v>
      </c>
      <c r="T2078" s="26">
        <f>IF(COUNTIF($B$4:B2078,B2078)=1,1,0)</f>
        <v>0</v>
      </c>
    </row>
    <row r="2079">
      <c r="A2079" s="14" t="inlineStr">
        <is>
          <t>SALVADOR</t>
        </is>
      </c>
      <c r="B2079" s="26" t="n">
        <v>11</v>
      </c>
      <c r="C2079" s="26" t="n">
        <v>1899</v>
      </c>
      <c r="D2079" s="14" t="inlineStr">
        <is>
          <t>COLÉGIO ESTADUAL RAYMUNDO DE ALMEIDA GOUVEIA</t>
        </is>
      </c>
      <c r="E2079" s="14" t="inlineStr">
        <is>
          <t>CASTELO BRANCO (2A ETAPA)</t>
        </is>
      </c>
      <c r="F2079" s="14" t="inlineStr">
        <is>
          <t>RUA A, S/N, 2A ETAPA DE CASTELO BRANCO - ZONA URBANA</t>
        </is>
      </c>
      <c r="G2079" s="27" t="inlineStr">
        <is>
          <t>41320-010</t>
        </is>
      </c>
      <c r="H2079" s="15" t="n">
        <v>22</v>
      </c>
      <c r="I2079" s="28" t="inlineStr">
        <is>
          <t>NÃO</t>
        </is>
      </c>
      <c r="J2079" s="29" t="n">
        <v>139.1</v>
      </c>
      <c r="K2079" s="14" t="str">
        <f>IF(J2079="","7. Acima de 2 km",IF(J2079&lt;=50,"1. Até 50 m",IF(J2079&lt;=100,"2. De 50 a 100 m",IF(J2079&lt;=200,"3. De 100 a 200 m",IF(J2079&lt;=300,"4. De 200 a 300 m",IF(J2079&lt;=500,"5. De 300 a 500 m","6. De 500 m a 2 km"))))))</f>
        <v>3. De 100 a 200 m</v>
      </c>
      <c r="L2079" s="26" t="n">
        <v>0</v>
      </c>
      <c r="M2079" s="26" t="n">
        <v>0</v>
      </c>
      <c r="N2079" s="26" t="n">
        <v>1</v>
      </c>
      <c r="O2079" s="26" t="n">
        <v>2</v>
      </c>
      <c r="P2079" s="30" t="n">
        <v>-12.90128</v>
      </c>
      <c r="Q2079" s="30" t="n">
        <v>-38.4326533</v>
      </c>
      <c r="R2079" s="14" t="inlineStr">
        <is>
          <t>CARTÓRIO DA 11ª ZONA ELEITORAL, 1ª AVENIDA DO CENTRO ADMINISTRATIVO DA BAHIA, 150, SALVADOR-BA.</t>
        </is>
      </c>
      <c r="S2079" s="26">
        <f>IF(A2079=A2078,0,1)</f>
        <v>0</v>
      </c>
      <c r="T2079" s="26">
        <f>IF(COUNTIF($B$4:B2079,B2079)=1,1,0)</f>
        <v>0</v>
      </c>
    </row>
    <row r="2080">
      <c r="A2080" s="14" t="inlineStr">
        <is>
          <t>SALVADOR</t>
        </is>
      </c>
      <c r="B2080" s="26" t="n">
        <v>11</v>
      </c>
      <c r="C2080" s="26" t="n">
        <v>1910</v>
      </c>
      <c r="D2080" s="14" t="inlineStr">
        <is>
          <t>ESCOLA ESTADUAL DE 1. GRAU DANIEL LISBOA</t>
        </is>
      </c>
      <c r="E2080" s="14" t="inlineStr">
        <is>
          <t>PAU DA LIMA</t>
        </is>
      </c>
      <c r="F2080" s="14" t="inlineStr">
        <is>
          <t>RUA DR. ARTUR GONZALEZ 181 - ZONA URBANA</t>
        </is>
      </c>
      <c r="G2080" s="27" t="inlineStr">
        <is>
          <t>41235-005</t>
        </is>
      </c>
      <c r="H2080" s="15" t="n">
        <v>8</v>
      </c>
      <c r="I2080" s="28" t="inlineStr">
        <is>
          <t>NÃO</t>
        </is>
      </c>
      <c r="J2080" s="29" t="n">
        <v>234.5</v>
      </c>
      <c r="K2080" s="14" t="str">
        <f>IF(J2080="","7. Acima de 2 km",IF(J2080&lt;=50,"1. Até 50 m",IF(J2080&lt;=100,"2. De 50 a 100 m",IF(J2080&lt;=200,"3. De 100 a 200 m",IF(J2080&lt;=300,"4. De 200 a 300 m",IF(J2080&lt;=500,"5. De 300 a 500 m","6. De 500 m a 2 km"))))))</f>
        <v>4. De 200 a 300 m</v>
      </c>
      <c r="L2080" s="26" t="n">
        <v>0</v>
      </c>
      <c r="M2080" s="26" t="n">
        <v>0</v>
      </c>
      <c r="N2080" s="26" t="n">
        <v>0</v>
      </c>
      <c r="O2080" s="26" t="n">
        <v>1</v>
      </c>
      <c r="P2080" s="30" t="n">
        <v>-12.9219239</v>
      </c>
      <c r="Q2080" s="30" t="n">
        <v>-38.4447209</v>
      </c>
      <c r="R2080" s="14" t="inlineStr">
        <is>
          <t>CARTÓRIO DA 11ª ZONA ELEITORAL, 1ª AVENIDA DO CENTRO ADMINISTRATIVO DA BAHIA, 150, SALVADOR-BA.</t>
        </is>
      </c>
      <c r="S2080" s="26">
        <f>IF(A2080=A2079,0,1)</f>
        <v>0</v>
      </c>
      <c r="T2080" s="26">
        <f>IF(COUNTIF($B$4:B2080,B2080)=1,1,0)</f>
        <v>0</v>
      </c>
    </row>
    <row r="2081">
      <c r="A2081" s="14" t="inlineStr">
        <is>
          <t>SALVADOR</t>
        </is>
      </c>
      <c r="B2081" s="26" t="n">
        <v>11</v>
      </c>
      <c r="C2081" s="26" t="n">
        <v>1929</v>
      </c>
      <c r="D2081" s="14" t="inlineStr">
        <is>
          <t>ESCOLA MUNICIPAL ALLAN KARDEC DE PIRAJÁ</t>
        </is>
      </c>
      <c r="E2081" s="14" t="inlineStr">
        <is>
          <t>PAU DA LIMA</t>
        </is>
      </c>
      <c r="F2081" s="14" t="inlineStr">
        <is>
          <t>RUA MARECHAL DEODORO S/N - ZONA URBANA</t>
        </is>
      </c>
      <c r="G2081" s="27" t="inlineStr">
        <is>
          <t>41235-030</t>
        </is>
      </c>
      <c r="H2081" s="15" t="n">
        <v>6</v>
      </c>
      <c r="I2081" s="28" t="inlineStr">
        <is>
          <t>NÃO</t>
        </is>
      </c>
      <c r="J2081" s="29" t="n">
        <v>162.9</v>
      </c>
      <c r="K2081" s="14" t="str">
        <f>IF(J2081="","7. Acima de 2 km",IF(J2081&lt;=50,"1. Até 50 m",IF(J2081&lt;=100,"2. De 50 a 100 m",IF(J2081&lt;=200,"3. De 100 a 200 m",IF(J2081&lt;=300,"4. De 200 a 300 m",IF(J2081&lt;=500,"5. De 300 a 500 m","6. De 500 m a 2 km"))))))</f>
        <v>3. De 100 a 200 m</v>
      </c>
      <c r="L2081" s="26" t="n">
        <v>0</v>
      </c>
      <c r="M2081" s="26" t="n">
        <v>0</v>
      </c>
      <c r="N2081" s="26" t="n">
        <v>1</v>
      </c>
      <c r="O2081" s="26" t="n">
        <v>2</v>
      </c>
      <c r="P2081" s="30" t="n">
        <v>-12.9183683</v>
      </c>
      <c r="Q2081" s="30" t="n">
        <v>-38.443955</v>
      </c>
      <c r="R2081" s="14" t="inlineStr">
        <is>
          <t>CARTÓRIO DA 11ª ZONA ELEITORAL, 1ª AVENIDA DO CENTRO ADMINISTRATIVO DA BAHIA, 150, SALVADOR-BA.</t>
        </is>
      </c>
      <c r="S2081" s="26">
        <f>IF(A2081=A2080,0,1)</f>
        <v>0</v>
      </c>
      <c r="T2081" s="26">
        <f>IF(COUNTIF($B$4:B2081,B2081)=1,1,0)</f>
        <v>0</v>
      </c>
    </row>
    <row r="2082">
      <c r="A2082" s="14" t="inlineStr">
        <is>
          <t>SALVADOR</t>
        </is>
      </c>
      <c r="B2082" s="26" t="n">
        <v>11</v>
      </c>
      <c r="C2082" s="26" t="n">
        <v>1937</v>
      </c>
      <c r="D2082" s="14" t="inlineStr">
        <is>
          <t>ESCOLA ESTADUAL PROFESSORA MARIA DE LOURDES PARADA FRANCH</t>
        </is>
      </c>
      <c r="E2082" s="14" t="inlineStr">
        <is>
          <t>PAU DA LIMA</t>
        </is>
      </c>
      <c r="F2082" s="14" t="inlineStr">
        <is>
          <t>RUA MARECHAL DEODORO 11 - ZONA URBANA</t>
        </is>
      </c>
      <c r="G2082" s="27" t="inlineStr">
        <is>
          <t>41235-030</t>
        </is>
      </c>
      <c r="H2082" s="15" t="n">
        <v>6</v>
      </c>
      <c r="I2082" s="28" t="inlineStr">
        <is>
          <t>NÃO</t>
        </is>
      </c>
      <c r="J2082" s="29" t="n">
        <v>149.1</v>
      </c>
      <c r="K2082" s="14" t="str">
        <f>IF(J2082="","7. Acima de 2 km",IF(J2082&lt;=50,"1. Até 50 m",IF(J2082&lt;=100,"2. De 50 a 100 m",IF(J2082&lt;=200,"3. De 100 a 200 m",IF(J2082&lt;=300,"4. De 200 a 300 m",IF(J2082&lt;=500,"5. De 300 a 500 m","6. De 500 m a 2 km"))))))</f>
        <v>3. De 100 a 200 m</v>
      </c>
      <c r="L2082" s="26" t="n">
        <v>0</v>
      </c>
      <c r="M2082" s="26" t="n">
        <v>0</v>
      </c>
      <c r="N2082" s="26" t="n">
        <v>1</v>
      </c>
      <c r="O2082" s="26" t="n">
        <v>2</v>
      </c>
      <c r="P2082" s="30" t="n">
        <v>-12.9184833</v>
      </c>
      <c r="Q2082" s="30" t="n">
        <v>-38.443585</v>
      </c>
      <c r="R2082" s="14" t="inlineStr">
        <is>
          <t>CARTÓRIO DA 11ª ZONA ELEITORAL, 1ª AVENIDA DO CENTRO ADMINISTRATIVO DA BAHIA, 150, SALVADOR-BA.</t>
        </is>
      </c>
      <c r="S2082" s="26">
        <f>IF(A2082=A2081,0,1)</f>
        <v>0</v>
      </c>
      <c r="T2082" s="26">
        <f>IF(COUNTIF($B$4:B2082,B2082)=1,1,0)</f>
        <v>0</v>
      </c>
    </row>
    <row r="2083">
      <c r="A2083" s="14" t="inlineStr">
        <is>
          <t>SALVADOR</t>
        </is>
      </c>
      <c r="B2083" s="26" t="n">
        <v>11</v>
      </c>
      <c r="C2083" s="26" t="n">
        <v>1945</v>
      </c>
      <c r="D2083" s="14" t="inlineStr">
        <is>
          <t>ESCOLA MUNICIPAL ROBERTO CORREIA</t>
        </is>
      </c>
      <c r="E2083" s="14" t="inlineStr">
        <is>
          <t>PAU DA LIMA</t>
        </is>
      </c>
      <c r="F2083" s="14" t="inlineStr">
        <is>
          <t>RUA JAIME VIEIRA LIMA, S/N - ZONA URBANA</t>
        </is>
      </c>
      <c r="G2083" s="27" t="inlineStr">
        <is>
          <t>41235-000</t>
        </is>
      </c>
      <c r="H2083" s="15" t="n">
        <v>13</v>
      </c>
      <c r="I2083" s="28" t="inlineStr">
        <is>
          <t>NÃO</t>
        </is>
      </c>
      <c r="J2083" s="29" t="n">
        <v>101</v>
      </c>
      <c r="K2083" s="14" t="str">
        <f>IF(J2083="","7. Acima de 2 km",IF(J2083&lt;=50,"1. Até 50 m",IF(J2083&lt;=100,"2. De 50 a 100 m",IF(J2083&lt;=200,"3. De 100 a 200 m",IF(J2083&lt;=300,"4. De 200 a 300 m",IF(J2083&lt;=500,"5. De 300 a 500 m","6. De 500 m a 2 km"))))))</f>
        <v>3. De 100 a 200 m</v>
      </c>
      <c r="L2083" s="26" t="n">
        <v>0</v>
      </c>
      <c r="M2083" s="26" t="n">
        <v>0</v>
      </c>
      <c r="N2083" s="26" t="n">
        <v>1</v>
      </c>
      <c r="O2083" s="26" t="n">
        <v>2</v>
      </c>
      <c r="P2083" s="30" t="n">
        <v>-12.9182102</v>
      </c>
      <c r="Q2083" s="30" t="n">
        <v>-38.4427576</v>
      </c>
      <c r="R2083" s="14" t="inlineStr">
        <is>
          <t>CARTÓRIO DA 11ª ZONA ELEITORAL, 1ª AVENIDA DO CENTRO ADMINISTRATIVO DA BAHIA, 150, SALVADOR-BA.</t>
        </is>
      </c>
      <c r="S2083" s="26">
        <f>IF(A2083=A2082,0,1)</f>
        <v>0</v>
      </c>
      <c r="T2083" s="26">
        <f>IF(COUNTIF($B$4:B2083,B2083)=1,1,0)</f>
        <v>0</v>
      </c>
    </row>
    <row r="2084">
      <c r="A2084" s="14" t="inlineStr">
        <is>
          <t>SALVADOR</t>
        </is>
      </c>
      <c r="B2084" s="26" t="n">
        <v>11</v>
      </c>
      <c r="C2084" s="26" t="n">
        <v>1961</v>
      </c>
      <c r="D2084" s="14" t="inlineStr">
        <is>
          <t>ESCOLA MARISSOL</t>
        </is>
      </c>
      <c r="E2084" s="14" t="inlineStr">
        <is>
          <t>PAU DA LIMA</t>
        </is>
      </c>
      <c r="F2084" s="14" t="inlineStr">
        <is>
          <t>RUA SÃO DOMINGOS, 15 - ZONA URBANA</t>
        </is>
      </c>
      <c r="G2084" s="27" t="inlineStr">
        <is>
          <t>41235-605</t>
        </is>
      </c>
      <c r="H2084" s="15" t="n">
        <v>6</v>
      </c>
      <c r="I2084" s="28" t="inlineStr">
        <is>
          <t>NÃO</t>
        </is>
      </c>
      <c r="J2084" s="29" t="n">
        <v>105.5</v>
      </c>
      <c r="K2084" s="14" t="str">
        <f>IF(J2084="","7. Acima de 2 km",IF(J2084&lt;=50,"1. Até 50 m",IF(J2084&lt;=100,"2. De 50 a 100 m",IF(J2084&lt;=200,"3. De 100 a 200 m",IF(J2084&lt;=300,"4. De 200 a 300 m",IF(J2084&lt;=500,"5. De 300 a 500 m","6. De 500 m a 2 km"))))))</f>
        <v>3. De 100 a 200 m</v>
      </c>
      <c r="L2084" s="26" t="n">
        <v>0</v>
      </c>
      <c r="M2084" s="26" t="n">
        <v>0</v>
      </c>
      <c r="N2084" s="26" t="n">
        <v>2</v>
      </c>
      <c r="O2084" s="26" t="n">
        <v>2</v>
      </c>
      <c r="P2084" s="30" t="n">
        <v>-12.9231499</v>
      </c>
      <c r="Q2084" s="30" t="n">
        <v>-38.4416131</v>
      </c>
      <c r="R2084" s="14" t="inlineStr">
        <is>
          <t>CARTÓRIO DA 11ª ZONA ELEITORAL, 1ª AVENIDA DO CENTRO ADMINISTRATIVO DA BAHIA, 150, SALVADOR-BA.</t>
        </is>
      </c>
      <c r="S2084" s="26">
        <f>IF(A2084=A2083,0,1)</f>
        <v>0</v>
      </c>
      <c r="T2084" s="26">
        <f>IF(COUNTIF($B$4:B2084,B2084)=1,1,0)</f>
        <v>0</v>
      </c>
    </row>
    <row r="2085">
      <c r="A2085" s="14" t="inlineStr">
        <is>
          <t>SALVADOR</t>
        </is>
      </c>
      <c r="B2085" s="26" t="n">
        <v>11</v>
      </c>
      <c r="C2085" s="26" t="n">
        <v>1996</v>
      </c>
      <c r="D2085" s="14" t="inlineStr">
        <is>
          <t>COLÉGIO ESTADUAL JOSÉ DIAS DE SALES</t>
        </is>
      </c>
      <c r="E2085" s="14" t="inlineStr">
        <is>
          <t>JARDIM CAJAZEIRA</t>
        </is>
      </c>
      <c r="F2085" s="14" t="inlineStr">
        <is>
          <t>RUA LUCIANO GOMES S/N - ZONA URBANA</t>
        </is>
      </c>
      <c r="G2085" s="27" t="inlineStr">
        <is>
          <t>41230-350</t>
        </is>
      </c>
      <c r="H2085" s="15" t="n">
        <v>15</v>
      </c>
      <c r="I2085" s="28" t="inlineStr">
        <is>
          <t>NÃO</t>
        </is>
      </c>
      <c r="J2085" s="29" t="n">
        <v>440.4</v>
      </c>
      <c r="K2085" s="14" t="str">
        <f>IF(J2085="","7. Acima de 2 km",IF(J2085&lt;=50,"1. Até 50 m",IF(J2085&lt;=100,"2. De 50 a 100 m",IF(J2085&lt;=200,"3. De 100 a 200 m",IF(J2085&lt;=300,"4. De 200 a 300 m",IF(J2085&lt;=500,"5. De 300 a 500 m","6. De 500 m a 2 km"))))))</f>
        <v>5. De 300 a 500 m</v>
      </c>
      <c r="L2085" s="26" t="n">
        <v>0</v>
      </c>
      <c r="M2085" s="26" t="n">
        <v>0</v>
      </c>
      <c r="N2085" s="26" t="n">
        <v>0</v>
      </c>
      <c r="O2085" s="26" t="n">
        <v>0</v>
      </c>
      <c r="P2085" s="30" t="n">
        <v>-12.91859781</v>
      </c>
      <c r="Q2085" s="30" t="n">
        <v>-38.44906869</v>
      </c>
      <c r="R2085" s="14" t="inlineStr">
        <is>
          <t>CARTÓRIO DA 11ª ZONA ELEITORAL, 1ª AVENIDA DO CENTRO ADMINISTRATIVO DA BAHIA, 150, SALVADOR-BA.</t>
        </is>
      </c>
      <c r="S2085" s="26">
        <f>IF(A2085=A2084,0,1)</f>
        <v>0</v>
      </c>
      <c r="T2085" s="26">
        <f>IF(COUNTIF($B$4:B2085,B2085)=1,1,0)</f>
        <v>0</v>
      </c>
    </row>
    <row r="2086">
      <c r="A2086" s="14" t="inlineStr">
        <is>
          <t>SALVADOR</t>
        </is>
      </c>
      <c r="B2086" s="26" t="n">
        <v>11</v>
      </c>
      <c r="C2086" s="26" t="n">
        <v>2011</v>
      </c>
      <c r="D2086" s="14" t="inlineStr">
        <is>
          <t>ESCOLA ESTADUAL PROF. ROBERTO SANTOS</t>
        </is>
      </c>
      <c r="E2086" s="14" t="inlineStr">
        <is>
          <t>CASTELO BRANCO (3A ETAPA)</t>
        </is>
      </c>
      <c r="F2086" s="14" t="inlineStr">
        <is>
          <t>RUA A, FIM DE LINHA - CASTELO BRANCO</t>
        </is>
      </c>
      <c r="G2086" s="27" t="inlineStr">
        <is>
          <t>41320-010</t>
        </is>
      </c>
      <c r="H2086" s="15" t="n">
        <v>10</v>
      </c>
      <c r="I2086" s="28" t="inlineStr">
        <is>
          <t>NÃO</t>
        </is>
      </c>
      <c r="J2086" s="29" t="n">
        <v>415.4</v>
      </c>
      <c r="K2086" s="14" t="str">
        <f>IF(J2086="","7. Acima de 2 km",IF(J2086&lt;=50,"1. Até 50 m",IF(J2086&lt;=100,"2. De 50 a 100 m",IF(J2086&lt;=200,"3. De 100 a 200 m",IF(J2086&lt;=300,"4. De 200 a 300 m",IF(J2086&lt;=500,"5. De 300 a 500 m","6. De 500 m a 2 km"))))))</f>
        <v>5. De 300 a 500 m</v>
      </c>
      <c r="L2086" s="26" t="n">
        <v>0</v>
      </c>
      <c r="M2086" s="26" t="n">
        <v>0</v>
      </c>
      <c r="N2086" s="26" t="n">
        <v>0</v>
      </c>
      <c r="O2086" s="26" t="n">
        <v>0</v>
      </c>
      <c r="P2086" s="30" t="n">
        <v>-12.9057032</v>
      </c>
      <c r="Q2086" s="30" t="n">
        <v>-38.4235501</v>
      </c>
      <c r="R2086" s="14" t="inlineStr">
        <is>
          <t>CARTÓRIO DA 11ª ZONA ELEITORAL, 1ª AVENIDA DO CENTRO ADMINISTRATIVO DA BAHIA, 150, SALVADOR-BA.</t>
        </is>
      </c>
      <c r="S2086" s="26">
        <f>IF(A2086=A2085,0,1)</f>
        <v>0</v>
      </c>
      <c r="T2086" s="26">
        <f>IF(COUNTIF($B$4:B2086,B2086)=1,1,0)</f>
        <v>0</v>
      </c>
    </row>
    <row r="2087">
      <c r="A2087" s="14" t="inlineStr">
        <is>
          <t>SALVADOR</t>
        </is>
      </c>
      <c r="B2087" s="26" t="n">
        <v>11</v>
      </c>
      <c r="C2087" s="26" t="n">
        <v>2038</v>
      </c>
      <c r="D2087" s="14" t="inlineStr">
        <is>
          <t>ESCOLA MUNICIPAL ARLETE MAGALHÃES - GIDAM</t>
        </is>
      </c>
      <c r="E2087" s="14" t="inlineStr">
        <is>
          <t>CASTELO BRANCO (1A ETAPA)</t>
        </is>
      </c>
      <c r="F2087" s="14" t="inlineStr">
        <is>
          <t>RUA B, S/N, LGO DA FEIRINHA, 1A ETAPA DE CASTELO BRANCO - ZONA URBANA</t>
        </is>
      </c>
      <c r="G2087" s="27" t="inlineStr">
        <is>
          <t>41300-000</t>
        </is>
      </c>
      <c r="H2087" s="15" t="n">
        <v>20</v>
      </c>
      <c r="I2087" s="28" t="inlineStr">
        <is>
          <t>NÃO</t>
        </is>
      </c>
      <c r="J2087" s="29" t="n">
        <v>152.8</v>
      </c>
      <c r="K2087" s="14" t="str">
        <f>IF(J2087="","7. Acima de 2 km",IF(J2087&lt;=50,"1. Até 50 m",IF(J2087&lt;=100,"2. De 50 a 100 m",IF(J2087&lt;=200,"3. De 100 a 200 m",IF(J2087&lt;=300,"4. De 200 a 300 m",IF(J2087&lt;=500,"5. De 300 a 500 m","6. De 500 m a 2 km"))))))</f>
        <v>3. De 100 a 200 m</v>
      </c>
      <c r="L2087" s="26" t="n">
        <v>0</v>
      </c>
      <c r="M2087" s="26" t="n">
        <v>0</v>
      </c>
      <c r="N2087" s="26" t="n">
        <v>1</v>
      </c>
      <c r="O2087" s="26" t="n">
        <v>2</v>
      </c>
      <c r="P2087" s="30" t="n">
        <v>-12.9032757</v>
      </c>
      <c r="Q2087" s="30" t="n">
        <v>-38.440672</v>
      </c>
      <c r="R2087" s="14" t="inlineStr">
        <is>
          <t>CARTÓRIO DA 11ª ZONA ELEITORAL, 1ª AVENIDA DO CENTRO ADMINISTRATIVO DA BAHIA, 150, SALVADOR-BA.</t>
        </is>
      </c>
      <c r="S2087" s="26">
        <f>IF(A2087=A2086,0,1)</f>
        <v>0</v>
      </c>
      <c r="T2087" s="26">
        <f>IF(COUNTIF($B$4:B2087,B2087)=1,1,0)</f>
        <v>0</v>
      </c>
    </row>
    <row r="2088">
      <c r="A2088" s="14" t="inlineStr">
        <is>
          <t>SALVADOR</t>
        </is>
      </c>
      <c r="B2088" s="26" t="n">
        <v>11</v>
      </c>
      <c r="C2088" s="26" t="n">
        <v>2046</v>
      </c>
      <c r="D2088" s="14" t="inlineStr">
        <is>
          <t>ESCOLA MUNICIPAL SOCIEDADE FRATERNAL</t>
        </is>
      </c>
      <c r="E2088" s="14" t="inlineStr">
        <is>
          <t>PAU DA LIMA</t>
        </is>
      </c>
      <c r="F2088" s="14" t="inlineStr">
        <is>
          <t>RUA PARQUE ASCENÇÃO, N 3 - ZONA URBANA</t>
        </is>
      </c>
      <c r="G2088" s="27" t="inlineStr">
        <is>
          <t>41253-260</t>
        </is>
      </c>
      <c r="H2088" s="15" t="n">
        <v>8</v>
      </c>
      <c r="I2088" s="28" t="inlineStr">
        <is>
          <t>NÃO</t>
        </is>
      </c>
      <c r="J2088" s="29" t="n">
        <v>130.4</v>
      </c>
      <c r="K2088" s="14" t="str">
        <f>IF(J2088="","7. Acima de 2 km",IF(J2088&lt;=50,"1. Até 50 m",IF(J2088&lt;=100,"2. De 50 a 100 m",IF(J2088&lt;=200,"3. De 100 a 200 m",IF(J2088&lt;=300,"4. De 200 a 300 m",IF(J2088&lt;=500,"5. De 300 a 500 m","6. De 500 m a 2 km"))))))</f>
        <v>3. De 100 a 200 m</v>
      </c>
      <c r="L2088" s="26" t="n">
        <v>0</v>
      </c>
      <c r="M2088" s="26" t="n">
        <v>0</v>
      </c>
      <c r="N2088" s="26" t="n">
        <v>1</v>
      </c>
      <c r="O2088" s="26" t="n">
        <v>2</v>
      </c>
      <c r="P2088" s="30" t="n">
        <v>-12.9181983</v>
      </c>
      <c r="Q2088" s="30" t="n">
        <v>-38.44212</v>
      </c>
      <c r="R2088" s="14" t="inlineStr">
        <is>
          <t>CARTÓRIO DA 11ª ZONA ELEITORAL, 1ª AVENIDA DO CENTRO ADMINISTRATIVO DA BAHIA, 150, SALVADOR-BA.</t>
        </is>
      </c>
      <c r="S2088" s="26">
        <f>IF(A2088=A2087,0,1)</f>
        <v>0</v>
      </c>
      <c r="T2088" s="26">
        <f>IF(COUNTIF($B$4:B2088,B2088)=1,1,0)</f>
        <v>0</v>
      </c>
    </row>
    <row r="2089">
      <c r="A2089" s="14" t="inlineStr">
        <is>
          <t>SALVADOR</t>
        </is>
      </c>
      <c r="B2089" s="26" t="n">
        <v>11</v>
      </c>
      <c r="C2089" s="26" t="n">
        <v>2062</v>
      </c>
      <c r="D2089" s="14" t="inlineStr">
        <is>
          <t>COLÉGIO ESTADUAL ERALDO TINOCO</t>
        </is>
      </c>
      <c r="E2089" s="14" t="inlineStr">
        <is>
          <t>SETE DE ABRIL</t>
        </is>
      </c>
      <c r="F2089" s="14" t="inlineStr">
        <is>
          <t>RUA 03 QUADRA G - ZONA URBANA</t>
        </is>
      </c>
      <c r="G2089" s="27" t="inlineStr">
        <is>
          <t>41385-370</t>
        </is>
      </c>
      <c r="H2089" s="15" t="n">
        <v>15</v>
      </c>
      <c r="I2089" s="28" t="inlineStr">
        <is>
          <t>NÃO</t>
        </is>
      </c>
      <c r="J2089" s="29" t="n">
        <v>112.2</v>
      </c>
      <c r="K2089" s="14" t="str">
        <f>IF(J2089="","7. Acima de 2 km",IF(J2089&lt;=50,"1. Até 50 m",IF(J2089&lt;=100,"2. De 50 a 100 m",IF(J2089&lt;=200,"3. De 100 a 200 m",IF(J2089&lt;=300,"4. De 200 a 300 m",IF(J2089&lt;=500,"5. De 300 a 500 m","6. De 500 m a 2 km"))))))</f>
        <v>3. De 100 a 200 m</v>
      </c>
      <c r="L2089" s="26" t="n">
        <v>0</v>
      </c>
      <c r="M2089" s="26" t="n">
        <v>0</v>
      </c>
      <c r="N2089" s="26" t="n">
        <v>1</v>
      </c>
      <c r="O2089" s="26" t="n">
        <v>2</v>
      </c>
      <c r="P2089" s="30" t="n">
        <v>-12.91264164</v>
      </c>
      <c r="Q2089" s="30" t="n">
        <v>-38.4247442</v>
      </c>
      <c r="R2089" s="14" t="inlineStr">
        <is>
          <t>CARTÓRIO DA 11ª ZONA ELEITORAL, 1ª AVENIDA DO CENTRO ADMINISTRATIVO DA BAHIA, 150, SALVADOR-BA.</t>
        </is>
      </c>
      <c r="S2089" s="26">
        <f>IF(A2089=A2088,0,1)</f>
        <v>0</v>
      </c>
      <c r="T2089" s="26">
        <f>IF(COUNTIF($B$4:B2089,B2089)=1,1,0)</f>
        <v>0</v>
      </c>
    </row>
    <row r="2090">
      <c r="A2090" s="14" t="inlineStr">
        <is>
          <t>SALVADOR</t>
        </is>
      </c>
      <c r="B2090" s="26" t="n">
        <v>11</v>
      </c>
      <c r="C2090" s="26" t="n">
        <v>2070</v>
      </c>
      <c r="D2090" s="14" t="inlineStr">
        <is>
          <t>ESCOLA MANOEL CLEMENTE FERREIRA</t>
        </is>
      </c>
      <c r="E2090" s="14" t="inlineStr">
        <is>
          <t>VILA CANÁRIA</t>
        </is>
      </c>
      <c r="F2090" s="14" t="inlineStr">
        <is>
          <t>RUA SÃO JOSÉ S/N - VILA CANARIO</t>
        </is>
      </c>
      <c r="G2090" s="27" t="inlineStr">
        <is>
          <t>41390-365</t>
        </is>
      </c>
      <c r="H2090" s="15" t="n">
        <v>5</v>
      </c>
      <c r="I2090" s="28" t="inlineStr">
        <is>
          <t>SIM</t>
        </is>
      </c>
      <c r="J2090" s="29" t="n">
        <v>90.2</v>
      </c>
      <c r="K2090" s="14" t="str">
        <f>IF(J2090="","7. Acima de 2 km",IF(J2090&lt;=50,"1. Até 50 m",IF(J2090&lt;=100,"2. De 50 a 100 m",IF(J2090&lt;=200,"3. De 100 a 200 m",IF(J2090&lt;=300,"4. De 200 a 300 m",IF(J2090&lt;=500,"5. De 300 a 500 m","6. De 500 m a 2 km"))))))</f>
        <v>2. De 50 a 100 m</v>
      </c>
      <c r="L2090" s="26" t="n">
        <v>0</v>
      </c>
      <c r="M2090" s="26" t="n">
        <v>1</v>
      </c>
      <c r="N2090" s="26" t="n">
        <v>1</v>
      </c>
      <c r="O2090" s="26" t="n">
        <v>1</v>
      </c>
      <c r="P2090" s="30" t="n">
        <v>-12.9130106</v>
      </c>
      <c r="Q2090" s="30" t="n">
        <v>-38.4432579</v>
      </c>
      <c r="R2090" s="14" t="inlineStr">
        <is>
          <t>CARTÓRIO DA 11ª ZONA ELEITORAL, 1ª AVENIDA DO CENTRO ADMINISTRATIVO DA BAHIA, 150, SALVADOR-BA.</t>
        </is>
      </c>
      <c r="S2090" s="26">
        <f>IF(A2090=A2089,0,1)</f>
        <v>0</v>
      </c>
      <c r="T2090" s="26">
        <f>IF(COUNTIF($B$4:B2090,B2090)=1,1,0)</f>
        <v>0</v>
      </c>
    </row>
    <row r="2091">
      <c r="A2091" s="14" t="inlineStr">
        <is>
          <t>SALVADOR</t>
        </is>
      </c>
      <c r="B2091" s="26" t="n">
        <v>11</v>
      </c>
      <c r="C2091" s="26" t="n">
        <v>2160</v>
      </c>
      <c r="D2091" s="14" t="inlineStr">
        <is>
          <t>ESCOLA MUNICIPAL DONA ISABEL BRANDÃO VILELA</t>
        </is>
      </c>
      <c r="E2091" s="14" t="inlineStr">
        <is>
          <t>dom avelar</t>
        </is>
      </c>
      <c r="F2091" s="14" t="inlineStr">
        <is>
          <t>RUA DAS PAULINAS, 311 - DOM AVELAR</t>
        </is>
      </c>
      <c r="G2091" s="27" t="inlineStr">
        <is>
          <t>41315-150</t>
        </is>
      </c>
      <c r="H2091" s="15" t="n">
        <v>3</v>
      </c>
      <c r="I2091" s="28" t="inlineStr">
        <is>
          <t>NÃO</t>
        </is>
      </c>
      <c r="J2091" s="29" t="n">
        <v>309.4</v>
      </c>
      <c r="K2091" s="14" t="str">
        <f>IF(J2091="","7. Acima de 2 km",IF(J2091&lt;=50,"1. Até 50 m",IF(J2091&lt;=100,"2. De 50 a 100 m",IF(J2091&lt;=200,"3. De 100 a 200 m",IF(J2091&lt;=300,"4. De 200 a 300 m",IF(J2091&lt;=500,"5. De 300 a 500 m","6. De 500 m a 2 km"))))))</f>
        <v>5. De 300 a 500 m</v>
      </c>
      <c r="L2091" s="26" t="n">
        <v>0</v>
      </c>
      <c r="M2091" s="26" t="n">
        <v>0</v>
      </c>
      <c r="N2091" s="26" t="n">
        <v>0</v>
      </c>
      <c r="O2091" s="26" t="n">
        <v>0</v>
      </c>
      <c r="P2091" s="30" t="n">
        <v>-12.9035518</v>
      </c>
      <c r="Q2091" s="30" t="n">
        <v>-38.4490886</v>
      </c>
      <c r="R2091" s="14" t="inlineStr">
        <is>
          <t>CARTÓRIO DA 11ª ZONA ELEITORAL, 1ª AVENIDA DO CENTRO ADMINISTRATIVO DA BAHIA, 150, SALVADOR-BA.</t>
        </is>
      </c>
      <c r="S2091" s="26">
        <f>IF(A2091=A2090,0,1)</f>
        <v>0</v>
      </c>
      <c r="T2091" s="26">
        <f>IF(COUNTIF($B$4:B2091,B2091)=1,1,0)</f>
        <v>0</v>
      </c>
    </row>
    <row r="2092">
      <c r="A2092" s="14" t="inlineStr">
        <is>
          <t>SALVADOR</t>
        </is>
      </c>
      <c r="B2092" s="26" t="n">
        <v>11</v>
      </c>
      <c r="C2092" s="26" t="n">
        <v>2194</v>
      </c>
      <c r="D2092" s="14" t="inlineStr">
        <is>
          <t>ESCOLA MUNICIPAL DO CALABETÃO</t>
        </is>
      </c>
      <c r="E2092" s="14" t="inlineStr">
        <is>
          <t>CALABETÃO</t>
        </is>
      </c>
      <c r="F2092" s="14" t="inlineStr">
        <is>
          <t>RUA VEREADOR RAIMUNDO URBANO, N 64</t>
        </is>
      </c>
      <c r="G2092" s="27" t="inlineStr">
        <is>
          <t>41227-190</t>
        </is>
      </c>
      <c r="H2092" s="15" t="n">
        <v>3</v>
      </c>
      <c r="I2092" s="28" t="inlineStr">
        <is>
          <t>NÃO</t>
        </is>
      </c>
      <c r="J2092" s="29" t="n">
        <v>720.4</v>
      </c>
      <c r="K2092" s="14" t="str">
        <f>IF(J2092="","7. Acima de 2 km",IF(J2092&lt;=50,"1. Até 50 m",IF(J2092&lt;=100,"2. De 50 a 100 m",IF(J2092&lt;=200,"3. De 100 a 200 m",IF(J2092&lt;=300,"4. De 200 a 300 m",IF(J2092&lt;=500,"5. De 300 a 500 m","6. De 500 m a 2 km"))))))</f>
        <v>6. De 500 m a 2 km</v>
      </c>
      <c r="L2092" s="26" t="n">
        <v>0</v>
      </c>
      <c r="M2092" s="26" t="n">
        <v>0</v>
      </c>
      <c r="N2092" s="26" t="n">
        <v>0</v>
      </c>
      <c r="O2092" s="26" t="n">
        <v>0</v>
      </c>
      <c r="P2092" s="30" t="n">
        <v>-12.9319967</v>
      </c>
      <c r="Q2092" s="30" t="n">
        <v>-38.4670089</v>
      </c>
      <c r="R2092" s="14" t="inlineStr">
        <is>
          <t>CARTÓRIO DA 11ª ZONA ELEITORAL, 1ª AVENIDA DO CENTRO ADMINISTRATIVO DA BAHIA, 150, SALVADOR-BA.</t>
        </is>
      </c>
      <c r="S2092" s="26">
        <f>IF(A2092=A2091,0,1)</f>
        <v>0</v>
      </c>
      <c r="T2092" s="26">
        <f>IF(COUNTIF($B$4:B2092,B2092)=1,1,0)</f>
        <v>0</v>
      </c>
    </row>
    <row r="2093">
      <c r="A2093" s="14" t="inlineStr">
        <is>
          <t>SALVADOR</t>
        </is>
      </c>
      <c r="B2093" s="26" t="n">
        <v>11</v>
      </c>
      <c r="C2093" s="26" t="n">
        <v>2216</v>
      </c>
      <c r="D2093" s="14" t="inlineStr">
        <is>
          <t>ESCOLA MUNICIPAL JARDIM SANTO INÁCIO</t>
        </is>
      </c>
      <c r="E2093" s="14" t="inlineStr">
        <is>
          <t>JARDIM SANTO INÁCIO</t>
        </is>
      </c>
      <c r="F2093" s="14" t="inlineStr">
        <is>
          <t>PRAÇA SANTO INÁCIO, S/N, FIM DE LINHA - ZONA URBANA</t>
        </is>
      </c>
      <c r="G2093" s="27" t="inlineStr">
        <is>
          <t>41231-015</t>
        </is>
      </c>
      <c r="H2093" s="15" t="n">
        <v>10</v>
      </c>
      <c r="I2093" s="28" t="inlineStr">
        <is>
          <t>NÃO</t>
        </is>
      </c>
      <c r="J2093" s="29" t="n">
        <v>402.8</v>
      </c>
      <c r="K2093" s="14" t="str">
        <f>IF(J2093="","7. Acima de 2 km",IF(J2093&lt;=50,"1. Até 50 m",IF(J2093&lt;=100,"2. De 50 a 100 m",IF(J2093&lt;=200,"3. De 100 a 200 m",IF(J2093&lt;=300,"4. De 200 a 300 m",IF(J2093&lt;=500,"5. De 300 a 500 m","6. De 500 m a 2 km"))))))</f>
        <v>5. De 300 a 500 m</v>
      </c>
      <c r="L2093" s="26" t="n">
        <v>0</v>
      </c>
      <c r="M2093" s="26" t="n">
        <v>0</v>
      </c>
      <c r="N2093" s="26" t="n">
        <v>0</v>
      </c>
      <c r="O2093" s="26" t="n">
        <v>0</v>
      </c>
      <c r="P2093" s="30" t="n">
        <v>-12.9298837</v>
      </c>
      <c r="Q2093" s="30" t="n">
        <v>-38.4616989</v>
      </c>
      <c r="R2093" s="14" t="inlineStr">
        <is>
          <t>CARTÓRIO DA 11ª ZONA ELEITORAL, 1ª AVENIDA DO CENTRO ADMINISTRATIVO DA BAHIA, 150, SALVADOR-BA.</t>
        </is>
      </c>
      <c r="S2093" s="26">
        <f>IF(A2093=A2092,0,1)</f>
        <v>0</v>
      </c>
      <c r="T2093" s="26">
        <f>IF(COUNTIF($B$4:B2093,B2093)=1,1,0)</f>
        <v>0</v>
      </c>
    </row>
    <row r="2094">
      <c r="A2094" s="14" t="inlineStr">
        <is>
          <t>SALVADOR</t>
        </is>
      </c>
      <c r="B2094" s="26" t="n">
        <v>11</v>
      </c>
      <c r="C2094" s="26" t="n">
        <v>2232</v>
      </c>
      <c r="D2094" s="14" t="inlineStr">
        <is>
          <t>COLÉGIO ESTADUAL RENAN BALEEIRO</t>
        </is>
      </c>
      <c r="E2094" s="14" t="inlineStr">
        <is>
          <t>ÁGUAS CLARAS</t>
        </is>
      </c>
      <c r="F2094" s="14" t="inlineStr">
        <is>
          <t>BR 324, KM 10, LOTEAMENTO NOGUEIRA - ZONA URBANA</t>
        </is>
      </c>
      <c r="G2094" s="27" t="inlineStr">
        <is>
          <t>41310-190</t>
        </is>
      </c>
      <c r="H2094" s="15" t="n">
        <v>15</v>
      </c>
      <c r="I2094" s="28" t="inlineStr">
        <is>
          <t>NÃO</t>
        </is>
      </c>
      <c r="J2094" s="29" t="n">
        <v>151.4</v>
      </c>
      <c r="K2094" s="14" t="str">
        <f>IF(J2094="","7. Acima de 2 km",IF(J2094&lt;=50,"1. Até 50 m",IF(J2094&lt;=100,"2. De 50 a 100 m",IF(J2094&lt;=200,"3. De 100 a 200 m",IF(J2094&lt;=300,"4. De 200 a 300 m",IF(J2094&lt;=500,"5. De 300 a 500 m","6. De 500 m a 2 km"))))))</f>
        <v>3. De 100 a 200 m</v>
      </c>
      <c r="L2094" s="26" t="n">
        <v>0</v>
      </c>
      <c r="M2094" s="26" t="n">
        <v>0</v>
      </c>
      <c r="N2094" s="26" t="n">
        <v>1</v>
      </c>
      <c r="O2094" s="26" t="n">
        <v>2</v>
      </c>
      <c r="P2094" s="30" t="n">
        <v>-12.8929472</v>
      </c>
      <c r="Q2094" s="30" t="n">
        <v>-38.4426391</v>
      </c>
      <c r="R2094" s="14" t="inlineStr">
        <is>
          <t>CARTÓRIO DA 11ª ZONA ELEITORAL, 1ª AVENIDA DO CENTRO ADMINISTRATIVO DA BAHIA, 150, SALVADOR-BA.</t>
        </is>
      </c>
      <c r="S2094" s="26">
        <f>IF(A2094=A2093,0,1)</f>
        <v>0</v>
      </c>
      <c r="T2094" s="26">
        <f>IF(COUNTIF($B$4:B2094,B2094)=1,1,0)</f>
        <v>0</v>
      </c>
    </row>
    <row r="2095">
      <c r="A2095" s="14" t="inlineStr">
        <is>
          <t>SALVADOR</t>
        </is>
      </c>
      <c r="B2095" s="26" t="n">
        <v>11</v>
      </c>
      <c r="C2095" s="26" t="n">
        <v>2240</v>
      </c>
      <c r="D2095" s="14" t="inlineStr">
        <is>
          <t>ESCOLA MUNICIPAL FRANCISCO LEITE</t>
        </is>
      </c>
      <c r="E2095" s="14" t="inlineStr">
        <is>
          <t>ÁGUAS CLARAS</t>
        </is>
      </c>
      <c r="F2095" s="14" t="inlineStr">
        <is>
          <t>RUA CELIKA NEGREIROS, LOTEAMENTO NOGUEIRA, N 146 - ZONA URBANA</t>
        </is>
      </c>
      <c r="G2095" s="27" t="inlineStr">
        <is>
          <t>41310-200</t>
        </is>
      </c>
      <c r="H2095" s="15" t="n">
        <v>12</v>
      </c>
      <c r="I2095" s="28" t="inlineStr">
        <is>
          <t>NÃO</t>
        </is>
      </c>
      <c r="J2095" s="29" t="n">
        <v>330.2</v>
      </c>
      <c r="K2095" s="14" t="str">
        <f>IF(J2095="","7. Acima de 2 km",IF(J2095&lt;=50,"1. Até 50 m",IF(J2095&lt;=100,"2. De 50 a 100 m",IF(J2095&lt;=200,"3. De 100 a 200 m",IF(J2095&lt;=300,"4. De 200 a 300 m",IF(J2095&lt;=500,"5. De 300 a 500 m","6. De 500 m a 2 km"))))))</f>
        <v>5. De 300 a 500 m</v>
      </c>
      <c r="L2095" s="26" t="n">
        <v>0</v>
      </c>
      <c r="M2095" s="26" t="n">
        <v>0</v>
      </c>
      <c r="N2095" s="26" t="n">
        <v>0</v>
      </c>
      <c r="O2095" s="26" t="n">
        <v>0</v>
      </c>
      <c r="P2095" s="30" t="n">
        <v>-12.8976059</v>
      </c>
      <c r="Q2095" s="30" t="n">
        <v>-38.4379803</v>
      </c>
      <c r="R2095" s="14" t="inlineStr">
        <is>
          <t>CARTÓRIO DA 11ª ZONA ELEITORAL, 1ª AVENIDA DO CENTRO ADMINISTRATIVO DA BAHIA, 150, SALVADOR-BA.</t>
        </is>
      </c>
      <c r="S2095" s="26">
        <f>IF(A2095=A2094,0,1)</f>
        <v>0</v>
      </c>
      <c r="T2095" s="26">
        <f>IF(COUNTIF($B$4:B2095,B2095)=1,1,0)</f>
        <v>0</v>
      </c>
    </row>
    <row r="2096">
      <c r="A2096" s="14" t="inlineStr">
        <is>
          <t>SALVADOR</t>
        </is>
      </c>
      <c r="B2096" s="26" t="n">
        <v>11</v>
      </c>
      <c r="C2096" s="26" t="n">
        <v>2267</v>
      </c>
      <c r="D2096" s="14" t="inlineStr">
        <is>
          <t>ESCOLA PROFESSORA LEOVÍCIA ANDRADE</t>
        </is>
      </c>
      <c r="E2096" s="14" t="inlineStr">
        <is>
          <t>CALABETÃO</t>
        </is>
      </c>
      <c r="F2096" s="14" t="inlineStr">
        <is>
          <t>RUA CLÉRISTON ANDRADE S/N - ZONA URBANA</t>
        </is>
      </c>
      <c r="G2096" s="27" t="inlineStr">
        <is>
          <t>41227-050</t>
        </is>
      </c>
      <c r="H2096" s="15" t="n">
        <v>8</v>
      </c>
      <c r="I2096" s="28" t="inlineStr">
        <is>
          <t>NÃO</t>
        </is>
      </c>
      <c r="J2096" s="29" t="n">
        <v>644.8</v>
      </c>
      <c r="K2096" s="14" t="str">
        <f>IF(J2096="","7. Acima de 2 km",IF(J2096&lt;=50,"1. Até 50 m",IF(J2096&lt;=100,"2. De 50 a 100 m",IF(J2096&lt;=200,"3. De 100 a 200 m",IF(J2096&lt;=300,"4. De 200 a 300 m",IF(J2096&lt;=500,"5. De 300 a 500 m","6. De 500 m a 2 km"))))))</f>
        <v>6. De 500 m a 2 km</v>
      </c>
      <c r="L2096" s="26" t="n">
        <v>0</v>
      </c>
      <c r="M2096" s="26" t="n">
        <v>0</v>
      </c>
      <c r="N2096" s="26" t="n">
        <v>0</v>
      </c>
      <c r="O2096" s="26" t="n">
        <v>0</v>
      </c>
      <c r="P2096" s="30" t="n">
        <v>-12.9317283</v>
      </c>
      <c r="Q2096" s="30" t="n">
        <v>-38.4683117</v>
      </c>
      <c r="R2096" s="14" t="inlineStr">
        <is>
          <t>CARTÓRIO DA 11ª ZONA ELEITORAL, 1ª AVENIDA DO CENTRO ADMINISTRATIVO DA BAHIA, 150, SALVADOR-BA.</t>
        </is>
      </c>
      <c r="S2096" s="26">
        <f>IF(A2096=A2095,0,1)</f>
        <v>0</v>
      </c>
      <c r="T2096" s="26">
        <f>IF(COUNTIF($B$4:B2096,B2096)=1,1,0)</f>
        <v>0</v>
      </c>
    </row>
    <row r="2097">
      <c r="A2097" s="14" t="inlineStr">
        <is>
          <t>SALVADOR</t>
        </is>
      </c>
      <c r="B2097" s="26" t="n">
        <v>11</v>
      </c>
      <c r="C2097" s="26" t="n">
        <v>2283</v>
      </c>
      <c r="D2097" s="14" t="inlineStr">
        <is>
          <t>ESCOLA MUNICIPAL EDUARDO CAMPOS</t>
        </is>
      </c>
      <c r="E2097" s="14" t="inlineStr">
        <is>
          <t>ÁGUAS CLARAS</t>
        </is>
      </c>
      <c r="F2097" s="14" t="inlineStr">
        <is>
          <t>RUA PETRÓPOLIS, 34 - ZONA URBANA</t>
        </is>
      </c>
      <c r="G2097" s="27" t="inlineStr">
        <is>
          <t>41310-260</t>
        </is>
      </c>
      <c r="H2097" s="15" t="n">
        <v>9</v>
      </c>
      <c r="I2097" s="28" t="inlineStr">
        <is>
          <t>SIM</t>
        </is>
      </c>
      <c r="J2097" s="29" t="n">
        <v>44.6</v>
      </c>
      <c r="K2097" s="14" t="str">
        <f>IF(J2097="","7. Acima de 2 km",IF(J2097&lt;=50,"1. Até 50 m",IF(J2097&lt;=100,"2. De 50 a 100 m",IF(J2097&lt;=200,"3. De 100 a 200 m",IF(J2097&lt;=300,"4. De 200 a 300 m",IF(J2097&lt;=500,"5. De 300 a 500 m","6. De 500 m a 2 km"))))))</f>
        <v>1. Até 50 m</v>
      </c>
      <c r="L2097" s="26" t="n">
        <v>1</v>
      </c>
      <c r="M2097" s="26" t="n">
        <v>1</v>
      </c>
      <c r="N2097" s="26" t="n">
        <v>1</v>
      </c>
      <c r="O2097" s="26" t="n">
        <v>1</v>
      </c>
      <c r="P2097" s="30" t="n">
        <v>-12.89006579</v>
      </c>
      <c r="Q2097" s="30" t="n">
        <v>-38.43760575</v>
      </c>
      <c r="R2097" s="14" t="inlineStr">
        <is>
          <t>CARTÓRIO DA 11ª ZONA ELEITORAL, 1ª AVENIDA DO CENTRO ADMINISTRATIVO DA BAHIA, 150, SALVADOR-BA.</t>
        </is>
      </c>
      <c r="S2097" s="26">
        <f>IF(A2097=A2096,0,1)</f>
        <v>0</v>
      </c>
      <c r="T2097" s="26">
        <f>IF(COUNTIF($B$4:B2097,B2097)=1,1,0)</f>
        <v>0</v>
      </c>
    </row>
    <row r="2098">
      <c r="A2098" s="14" t="inlineStr">
        <is>
          <t>SALVADOR</t>
        </is>
      </c>
      <c r="B2098" s="26" t="n">
        <v>11</v>
      </c>
      <c r="C2098" s="26" t="n">
        <v>2291</v>
      </c>
      <c r="D2098" s="14" t="inlineStr">
        <is>
          <t>ESCOLA MUNICIPAL CRIANÇA FELIZ</t>
        </is>
      </c>
      <c r="E2098" s="14" t="inlineStr">
        <is>
          <t>CALABETÃO</t>
        </is>
      </c>
      <c r="F2098" s="14" t="inlineStr">
        <is>
          <t>CONJUNTO HABITACIONAL METRÔ I S/N - ZONA URBANA</t>
        </is>
      </c>
      <c r="G2098" s="27" t="inlineStr">
        <is>
          <t>41290-001</t>
        </is>
      </c>
      <c r="H2098" s="15" t="n">
        <v>2</v>
      </c>
      <c r="I2098" s="28" t="inlineStr">
        <is>
          <t>NÃO</t>
        </is>
      </c>
      <c r="J2098" s="29" t="n">
        <v>258.2</v>
      </c>
      <c r="K2098" s="14" t="str">
        <f>IF(J2098="","7. Acima de 2 km",IF(J2098&lt;=50,"1. Até 50 m",IF(J2098&lt;=100,"2. De 50 a 100 m",IF(J2098&lt;=200,"3. De 100 a 200 m",IF(J2098&lt;=300,"4. De 200 a 300 m",IF(J2098&lt;=500,"5. De 300 a 500 m","6. De 500 m a 2 km"))))))</f>
        <v>4. De 200 a 300 m</v>
      </c>
      <c r="L2098" s="26" t="n">
        <v>0</v>
      </c>
      <c r="M2098" s="26" t="n">
        <v>0</v>
      </c>
      <c r="N2098" s="26" t="n">
        <v>0</v>
      </c>
      <c r="O2098" s="26" t="n">
        <v>3</v>
      </c>
      <c r="P2098" s="30" t="n">
        <v>-12.9243614</v>
      </c>
      <c r="Q2098" s="30" t="n">
        <v>-38.4620982</v>
      </c>
      <c r="R2098" s="14" t="inlineStr">
        <is>
          <t>CARTÓRIO DA 11ª ZONA ELEITORAL, 1ª AVENIDA DO CENTRO ADMINISTRATIVO DA BAHIA, 150, SALVADOR-BA.</t>
        </is>
      </c>
      <c r="S2098" s="26">
        <f>IF(A2098=A2097,0,1)</f>
        <v>0</v>
      </c>
      <c r="T2098" s="26">
        <f>IF(COUNTIF($B$4:B2098,B2098)=1,1,0)</f>
        <v>0</v>
      </c>
    </row>
    <row r="2099">
      <c r="A2099" s="14" t="inlineStr">
        <is>
          <t>SALVADOR</t>
        </is>
      </c>
      <c r="B2099" s="26" t="n">
        <v>11</v>
      </c>
      <c r="C2099" s="26" t="n">
        <v>2313</v>
      </c>
      <c r="D2099" s="14" t="inlineStr">
        <is>
          <t>COLÉGIO ESTADUAL SANTA RITA DE CÁSSIA</t>
        </is>
      </c>
      <c r="E2099" s="14" t="inlineStr">
        <is>
          <t>ÁGUAS CLARAS</t>
        </is>
      </c>
      <c r="F2099" s="14" t="inlineStr">
        <is>
          <t>RUA CORONEL AZEVEDO, ANTIGO FINAL DE LINHA, ÁGUAS CLARAS - ZONA URBANA</t>
        </is>
      </c>
      <c r="G2099" s="27" t="inlineStr">
        <is>
          <t>41310-493</t>
        </is>
      </c>
      <c r="H2099" s="15" t="n">
        <v>9</v>
      </c>
      <c r="I2099" s="28" t="inlineStr">
        <is>
          <t>NÃO</t>
        </is>
      </c>
      <c r="J2099" s="29" t="n">
        <v>415</v>
      </c>
      <c r="K2099" s="14" t="str">
        <f>IF(J2099="","7. Acima de 2 km",IF(J2099&lt;=50,"1. Até 50 m",IF(J2099&lt;=100,"2. De 50 a 100 m",IF(J2099&lt;=200,"3. De 100 a 200 m",IF(J2099&lt;=300,"4. De 200 a 300 m",IF(J2099&lt;=500,"5. De 300 a 500 m","6. De 500 m a 2 km"))))))</f>
        <v>5. De 300 a 500 m</v>
      </c>
      <c r="L2099" s="26" t="n">
        <v>0</v>
      </c>
      <c r="M2099" s="26" t="n">
        <v>0</v>
      </c>
      <c r="N2099" s="26" t="n">
        <v>0</v>
      </c>
      <c r="O2099" s="26" t="n">
        <v>0</v>
      </c>
      <c r="P2099" s="30" t="n">
        <v>-12.88354399</v>
      </c>
      <c r="Q2099" s="30" t="n">
        <v>-38.42816231</v>
      </c>
      <c r="R2099" s="14" t="inlineStr">
        <is>
          <t>CARTÓRIO DA 11ª ZONA ELEITORAL, 1ª AVENIDA DO CENTRO ADMINISTRATIVO DA BAHIA, 150, SALVADOR-BA.</t>
        </is>
      </c>
      <c r="S2099" s="26">
        <f>IF(A2099=A2098,0,1)</f>
        <v>0</v>
      </c>
      <c r="T2099" s="26">
        <f>IF(COUNTIF($B$4:B2099,B2099)=1,1,0)</f>
        <v>0</v>
      </c>
    </row>
    <row r="2100">
      <c r="A2100" s="14" t="inlineStr">
        <is>
          <t>SALVADOR</t>
        </is>
      </c>
      <c r="B2100" s="26" t="n">
        <v>11</v>
      </c>
      <c r="C2100" s="26" t="n">
        <v>2321</v>
      </c>
      <c r="D2100" s="14" t="inlineStr">
        <is>
          <t>CENTRO MUNICIPAL DE EDUCAÇÃO INFANTIL CANTINHO DAS CRIANÇAS</t>
        </is>
      </c>
      <c r="E2100" s="14" t="inlineStr">
        <is>
          <t>ÁGUAS CLARAS</t>
        </is>
      </c>
      <c r="F2100" s="14" t="inlineStr">
        <is>
          <t>RUA DOUTOR JORGE COSTA ANDRADE, S/N - ZONA URBANA</t>
        </is>
      </c>
      <c r="G2100" s="27" t="inlineStr">
        <is>
          <t>41310-260</t>
        </is>
      </c>
      <c r="H2100" s="15" t="n">
        <v>10</v>
      </c>
      <c r="I2100" s="28" t="inlineStr">
        <is>
          <t>NÃO</t>
        </is>
      </c>
      <c r="J2100" s="29" t="n">
        <v>322.9</v>
      </c>
      <c r="K2100" s="14" t="str">
        <f>IF(J2100="","7. Acima de 2 km",IF(J2100&lt;=50,"1. Até 50 m",IF(J2100&lt;=100,"2. De 50 a 100 m",IF(J2100&lt;=200,"3. De 100 a 200 m",IF(J2100&lt;=300,"4. De 200 a 300 m",IF(J2100&lt;=500,"5. De 300 a 500 m","6. De 500 m a 2 km"))))))</f>
        <v>5. De 300 a 500 m</v>
      </c>
      <c r="L2100" s="26" t="n">
        <v>0</v>
      </c>
      <c r="M2100" s="26" t="n">
        <v>0</v>
      </c>
      <c r="N2100" s="26" t="n">
        <v>0</v>
      </c>
      <c r="O2100" s="26" t="n">
        <v>0</v>
      </c>
      <c r="P2100" s="30" t="n">
        <v>-12.8880155</v>
      </c>
      <c r="Q2100" s="30" t="n">
        <v>-38.4350053</v>
      </c>
      <c r="R2100" s="14" t="inlineStr">
        <is>
          <t>CARTÓRIO DA 11ª ZONA ELEITORAL, 1ª AVENIDA DO CENTRO ADMINISTRATIVO DA BAHIA, 150, SALVADOR-BA.</t>
        </is>
      </c>
      <c r="S2100" s="26">
        <f>IF(A2100=A2099,0,1)</f>
        <v>0</v>
      </c>
      <c r="T2100" s="26">
        <f>IF(COUNTIF($B$4:B2100,B2100)=1,1,0)</f>
        <v>0</v>
      </c>
    </row>
    <row r="2101">
      <c r="A2101" s="14" t="inlineStr">
        <is>
          <t>SALVADOR</t>
        </is>
      </c>
      <c r="B2101" s="26" t="n">
        <v>11</v>
      </c>
      <c r="C2101" s="26" t="n">
        <v>2330</v>
      </c>
      <c r="D2101" s="14" t="inlineStr">
        <is>
          <t>ESCOLA MUNICIPAL ARTE E ALEGRIA</t>
        </is>
      </c>
      <c r="E2101" s="14" t="inlineStr">
        <is>
          <t>SETE DE ABRIL</t>
        </is>
      </c>
      <c r="F2101" s="14" t="inlineStr">
        <is>
          <t>VIA REGIONAL, S/N, LOTEAMENTO DANIEL LUZ, BAIXADA - ZONA URBANA</t>
        </is>
      </c>
      <c r="G2101" s="27" t="inlineStr">
        <is>
          <t>41370-035</t>
        </is>
      </c>
      <c r="H2101" s="15" t="n">
        <v>4</v>
      </c>
      <c r="I2101" s="28" t="inlineStr">
        <is>
          <t>NÃO</t>
        </is>
      </c>
      <c r="J2101" s="29" t="n">
        <v>115.1</v>
      </c>
      <c r="K2101" s="14" t="str">
        <f>IF(J2101="","7. Acima de 2 km",IF(J2101&lt;=50,"1. Até 50 m",IF(J2101&lt;=100,"2. De 50 a 100 m",IF(J2101&lt;=200,"3. De 100 a 200 m",IF(J2101&lt;=300,"4. De 200 a 300 m",IF(J2101&lt;=500,"5. De 300 a 500 m","6. De 500 m a 2 km"))))))</f>
        <v>3. De 100 a 200 m</v>
      </c>
      <c r="L2101" s="26" t="n">
        <v>0</v>
      </c>
      <c r="M2101" s="26" t="n">
        <v>0</v>
      </c>
      <c r="N2101" s="26" t="n">
        <v>1</v>
      </c>
      <c r="O2101" s="26" t="n">
        <v>2</v>
      </c>
      <c r="P2101" s="30" t="n">
        <v>-12.9136391</v>
      </c>
      <c r="Q2101" s="30" t="n">
        <v>-38.4236349</v>
      </c>
      <c r="R2101" s="14" t="inlineStr">
        <is>
          <t>CARTÓRIO DA 11ª ZONA ELEITORAL, 1ª AVENIDA DO CENTRO ADMINISTRATIVO DA BAHIA, 150, SALVADOR-BA.</t>
        </is>
      </c>
      <c r="S2101" s="26">
        <f>IF(A2101=A2100,0,1)</f>
        <v>0</v>
      </c>
      <c r="T2101" s="26">
        <f>IF(COUNTIF($B$4:B2101,B2101)=1,1,0)</f>
        <v>0</v>
      </c>
    </row>
    <row r="2102">
      <c r="A2102" s="14" t="inlineStr">
        <is>
          <t>SALVADOR</t>
        </is>
      </c>
      <c r="B2102" s="26" t="n">
        <v>11</v>
      </c>
      <c r="C2102" s="26" t="n">
        <v>2348</v>
      </c>
      <c r="D2102" s="14" t="inlineStr">
        <is>
          <t>ESCOLA ESTADUAL CÉLIA MATA PIRES</t>
        </is>
      </c>
      <c r="E2102" s="14" t="inlineStr">
        <is>
          <t>JARDIM SANTO INÁCIO</t>
        </is>
      </c>
      <c r="F2102" s="14" t="inlineStr">
        <is>
          <t>RUA DIRETA DE SANTO INÁCIO, S/N - JARDIM SANTO INÁCIO - ZONA URBANA</t>
        </is>
      </c>
      <c r="G2102" s="27" t="inlineStr">
        <is>
          <t>41230-580</t>
        </is>
      </c>
      <c r="H2102" s="15" t="n">
        <v>7</v>
      </c>
      <c r="I2102" s="28" t="inlineStr">
        <is>
          <t>NÃO</t>
        </is>
      </c>
      <c r="J2102" s="29" t="n">
        <v>105.3</v>
      </c>
      <c r="K2102" s="14" t="str">
        <f>IF(J2102="","7. Acima de 2 km",IF(J2102&lt;=50,"1. Até 50 m",IF(J2102&lt;=100,"2. De 50 a 100 m",IF(J2102&lt;=200,"3. De 100 a 200 m",IF(J2102&lt;=300,"4. De 200 a 300 m",IF(J2102&lt;=500,"5. De 300 a 500 m","6. De 500 m a 2 km"))))))</f>
        <v>3. De 100 a 200 m</v>
      </c>
      <c r="L2102" s="26" t="n">
        <v>0</v>
      </c>
      <c r="M2102" s="26" t="n">
        <v>0</v>
      </c>
      <c r="N2102" s="26" t="n">
        <v>2</v>
      </c>
      <c r="O2102" s="26" t="n">
        <v>3</v>
      </c>
      <c r="P2102" s="30" t="n">
        <v>-12.9272883</v>
      </c>
      <c r="Q2102" s="30" t="n">
        <v>-38.4610195</v>
      </c>
      <c r="R2102" s="14" t="inlineStr">
        <is>
          <t>CARTÓRIO DA 11ª ZONA ELEITORAL, 1ª AVENIDA DO CENTRO ADMINISTRATIVO DA BAHIA, 150, SALVADOR-BA.</t>
        </is>
      </c>
      <c r="S2102" s="26">
        <f>IF(A2102=A2101,0,1)</f>
        <v>0</v>
      </c>
      <c r="T2102" s="26">
        <f>IF(COUNTIF($B$4:B2102,B2102)=1,1,0)</f>
        <v>0</v>
      </c>
    </row>
    <row r="2103">
      <c r="A2103" s="14" t="inlineStr">
        <is>
          <t>SALVADOR</t>
        </is>
      </c>
      <c r="B2103" s="26" t="n">
        <v>11</v>
      </c>
      <c r="C2103" s="26" t="n">
        <v>2372</v>
      </c>
      <c r="D2103" s="14" t="inlineStr">
        <is>
          <t>ESCOLA MUNICIPAL CONSELHEIRO LUIZ ROGÉRIO</t>
        </is>
      </c>
      <c r="E2103" s="14" t="inlineStr">
        <is>
          <t>dom avelar</t>
        </is>
      </c>
      <c r="F2103" s="14" t="inlineStr">
        <is>
          <t>RUA DOS FRANCISCANOS, N 15</t>
        </is>
      </c>
      <c r="G2103" s="27" t="inlineStr">
        <is>
          <t>41315-000</t>
        </is>
      </c>
      <c r="H2103" s="15" t="n">
        <v>6</v>
      </c>
      <c r="I2103" s="28" t="inlineStr">
        <is>
          <t>SIM</t>
        </is>
      </c>
      <c r="J2103" s="29" t="n">
        <v>91.5</v>
      </c>
      <c r="K2103" s="14" t="str">
        <f>IF(J2103="","7. Acima de 2 km",IF(J2103&lt;=50,"1. Até 50 m",IF(J2103&lt;=100,"2. De 50 a 100 m",IF(J2103&lt;=200,"3. De 100 a 200 m",IF(J2103&lt;=300,"4. De 200 a 300 m",IF(J2103&lt;=500,"5. De 300 a 500 m","6. De 500 m a 2 km"))))))</f>
        <v>2. De 50 a 100 m</v>
      </c>
      <c r="L2103" s="26" t="n">
        <v>0</v>
      </c>
      <c r="M2103" s="26" t="n">
        <v>1</v>
      </c>
      <c r="N2103" s="26" t="n">
        <v>1</v>
      </c>
      <c r="O2103" s="26" t="n">
        <v>3</v>
      </c>
      <c r="P2103" s="30" t="n">
        <v>-12.9042337</v>
      </c>
      <c r="Q2103" s="30" t="n">
        <v>-38.4285451</v>
      </c>
      <c r="R2103" s="14" t="inlineStr">
        <is>
          <t>CARTÓRIO DA 11ª ZONA ELEITORAL, 1ª AVENIDA DO CENTRO ADMINISTRATIVO DA BAHIA, 150, SALVADOR-BA.</t>
        </is>
      </c>
      <c r="S2103" s="26">
        <f>IF(A2103=A2102,0,1)</f>
        <v>0</v>
      </c>
      <c r="T2103" s="26">
        <f>IF(COUNTIF($B$4:B2103,B2103)=1,1,0)</f>
        <v>0</v>
      </c>
    </row>
    <row r="2104">
      <c r="A2104" s="14" t="inlineStr">
        <is>
          <t>SALVADOR</t>
        </is>
      </c>
      <c r="B2104" s="26" t="n">
        <v>11</v>
      </c>
      <c r="C2104" s="26" t="n">
        <v>2380</v>
      </c>
      <c r="D2104" s="14" t="inlineStr">
        <is>
          <t>COLÉGIO ESTADUAL VILA CANÁRIA</t>
        </is>
      </c>
      <c r="E2104" s="14" t="inlineStr">
        <is>
          <t>VILA CANÁRIA</t>
        </is>
      </c>
      <c r="F2104" s="14" t="inlineStr">
        <is>
          <t>RUA DIRETA DO YPIRANGA, N 59 - ZONA URBANA</t>
        </is>
      </c>
      <c r="G2104" s="27" t="inlineStr">
        <is>
          <t>41390-800</t>
        </is>
      </c>
      <c r="H2104" s="15" t="n">
        <v>17</v>
      </c>
      <c r="I2104" s="28" t="inlineStr">
        <is>
          <t>SIM</t>
        </is>
      </c>
      <c r="J2104" s="29" t="n">
        <v>37.2</v>
      </c>
      <c r="K2104" s="14" t="str">
        <f>IF(J2104="","7. Acima de 2 km",IF(J2104&lt;=50,"1. Até 50 m",IF(J2104&lt;=100,"2. De 50 a 100 m",IF(J2104&lt;=200,"3. De 100 a 200 m",IF(J2104&lt;=300,"4. De 200 a 300 m",IF(J2104&lt;=500,"5. De 300 a 500 m","6. De 500 m a 2 km"))))))</f>
        <v>1. Até 50 m</v>
      </c>
      <c r="L2104" s="26" t="n">
        <v>1</v>
      </c>
      <c r="M2104" s="26" t="n">
        <v>1</v>
      </c>
      <c r="N2104" s="26" t="n">
        <v>1</v>
      </c>
      <c r="O2104" s="26" t="n">
        <v>1</v>
      </c>
      <c r="P2104" s="30" t="n">
        <v>-12.9126064</v>
      </c>
      <c r="Q2104" s="30" t="n">
        <v>-38.4436491</v>
      </c>
      <c r="R2104" s="14" t="inlineStr">
        <is>
          <t>CARTÓRIO DA 11ª ZONA ELEITORAL, 1ª AVENIDA DO CENTRO ADMINISTRATIVO DA BAHIA, 150, SALVADOR-BA.</t>
        </is>
      </c>
      <c r="S2104" s="26">
        <f>IF(A2104=A2103,0,1)</f>
        <v>0</v>
      </c>
      <c r="T2104" s="26">
        <f>IF(COUNTIF($B$4:B2104,B2104)=1,1,0)</f>
        <v>0</v>
      </c>
    </row>
    <row r="2105">
      <c r="A2105" s="14" t="inlineStr">
        <is>
          <t>SALVADOR</t>
        </is>
      </c>
      <c r="B2105" s="26" t="n">
        <v>11</v>
      </c>
      <c r="C2105" s="26" t="n">
        <v>2402</v>
      </c>
      <c r="D2105" s="14" t="inlineStr">
        <is>
          <t>CRECHE ESCOLA COMUNITARIA VIVENDO A INFANCIA</t>
        </is>
      </c>
      <c r="E2105" s="14" t="inlineStr">
        <is>
          <t>CALABETÃO</t>
        </is>
      </c>
      <c r="F2105" s="14" t="inlineStr">
        <is>
          <t>RUA VEREADOR RAIMUNDO URBANO, N 130</t>
        </is>
      </c>
      <c r="G2105" s="27" t="inlineStr">
        <is>
          <t>41227-190</t>
        </is>
      </c>
      <c r="H2105" s="15" t="n">
        <v>2</v>
      </c>
      <c r="I2105" s="28" t="inlineStr">
        <is>
          <t>NÃO</t>
        </is>
      </c>
      <c r="J2105" s="29" t="n">
        <v>736.1</v>
      </c>
      <c r="K2105" s="14" t="str">
        <f>IF(J2105="","7. Acima de 2 km",IF(J2105&lt;=50,"1. Até 50 m",IF(J2105&lt;=100,"2. De 50 a 100 m",IF(J2105&lt;=200,"3. De 100 a 200 m",IF(J2105&lt;=300,"4. De 200 a 300 m",IF(J2105&lt;=500,"5. De 300 a 500 m","6. De 500 m a 2 km"))))))</f>
        <v>6. De 500 m a 2 km</v>
      </c>
      <c r="L2105" s="26" t="n">
        <v>0</v>
      </c>
      <c r="M2105" s="26" t="n">
        <v>0</v>
      </c>
      <c r="N2105" s="26" t="n">
        <v>0</v>
      </c>
      <c r="O2105" s="26" t="n">
        <v>0</v>
      </c>
      <c r="P2105" s="30" t="n">
        <v>-12.9322989</v>
      </c>
      <c r="Q2105" s="30" t="n">
        <v>-38.4673746</v>
      </c>
      <c r="R2105" s="14" t="inlineStr">
        <is>
          <t>CARTÓRIO DA 11ª ZONA ELEITORAL, 1ª AVENIDA DO CENTRO ADMINISTRATIVO DA BAHIA, 150, SALVADOR-BA.</t>
        </is>
      </c>
      <c r="S2105" s="26">
        <f>IF(A2105=A2104,0,1)</f>
        <v>0</v>
      </c>
      <c r="T2105" s="26">
        <f>IF(COUNTIF($B$4:B2105,B2105)=1,1,0)</f>
        <v>0</v>
      </c>
    </row>
    <row r="2106">
      <c r="A2106" s="14" t="inlineStr">
        <is>
          <t>SALVADOR</t>
        </is>
      </c>
      <c r="B2106" s="26" t="n">
        <v>12</v>
      </c>
      <c r="C2106" s="26" t="n">
        <v>1260</v>
      </c>
      <c r="D2106" s="14" t="inlineStr">
        <is>
          <t>ESCOLA ÔMEGA</t>
        </is>
      </c>
      <c r="E2106" s="14" t="inlineStr">
        <is>
          <t>STELLA MARIS</t>
        </is>
      </c>
      <c r="F2106" s="14" t="inlineStr">
        <is>
          <t>RUA GILBERTO FREYRE, S/N - ZONA URBANA</t>
        </is>
      </c>
      <c r="G2106" s="27" t="inlineStr">
        <is>
          <t>41600-590</t>
        </is>
      </c>
      <c r="H2106" s="15" t="n">
        <v>17</v>
      </c>
      <c r="I2106" s="28" t="inlineStr">
        <is>
          <t>SIM</t>
        </is>
      </c>
      <c r="J2106" s="29" t="n">
        <v>91.09999999999999</v>
      </c>
      <c r="K2106" s="14" t="str">
        <f>IF(J2106="","7. Acima de 2 km",IF(J2106&lt;=50,"1. Até 50 m",IF(J2106&lt;=100,"2. De 50 a 100 m",IF(J2106&lt;=200,"3. De 100 a 200 m",IF(J2106&lt;=300,"4. De 200 a 300 m",IF(J2106&lt;=500,"5. De 300 a 500 m","6. De 500 m a 2 km"))))))</f>
        <v>2. De 50 a 100 m</v>
      </c>
      <c r="L2106" s="26" t="n">
        <v>0</v>
      </c>
      <c r="M2106" s="26" t="n">
        <v>1</v>
      </c>
      <c r="N2106" s="26" t="n">
        <v>3</v>
      </c>
      <c r="O2106" s="26" t="n">
        <v>3</v>
      </c>
      <c r="P2106" s="30" t="n">
        <v>-12.9360122</v>
      </c>
      <c r="Q2106" s="30" t="n">
        <v>-38.3306804</v>
      </c>
      <c r="R2106" s="14" t="inlineStr">
        <is>
          <t>CARTÓRIO DA 12ª ZONA ELEITORAL, 1ª AVENIDA DO CENTRO ADMINISTRATIVO DA BAHIA, 150, SALVADOR-BA.</t>
        </is>
      </c>
      <c r="S2106" s="26">
        <f>IF(A2106=A2105,0,1)</f>
        <v>0</v>
      </c>
      <c r="T2106" s="26">
        <f>IF(COUNTIF($B$4:B2106,B2106)=1,1,0)</f>
        <v>1</v>
      </c>
    </row>
    <row r="2107">
      <c r="A2107" s="14" t="inlineStr">
        <is>
          <t>SALVADOR</t>
        </is>
      </c>
      <c r="B2107" s="26" t="n">
        <v>12</v>
      </c>
      <c r="C2107" s="26" t="n">
        <v>1287</v>
      </c>
      <c r="D2107" s="14" t="inlineStr">
        <is>
          <t>COLEGIO ESTADUAL VISCONDE DE MAUÁ</t>
        </is>
      </c>
      <c r="E2107" s="14" t="inlineStr">
        <is>
          <t>SÃO CRISTÓVÃO</t>
        </is>
      </c>
      <c r="F2107" s="14" t="inlineStr">
        <is>
          <t>RUA DA ADUTORA S/N - ZONA URBANA</t>
        </is>
      </c>
      <c r="G2107" s="27" t="inlineStr">
        <is>
          <t>41500-360</t>
        </is>
      </c>
      <c r="H2107" s="15" t="n">
        <v>14</v>
      </c>
      <c r="I2107" s="28" t="inlineStr">
        <is>
          <t>NÃO</t>
        </is>
      </c>
      <c r="J2107" s="29" t="n">
        <v>108.8</v>
      </c>
      <c r="K2107" s="14" t="str">
        <f>IF(J2107="","7. Acima de 2 km",IF(J2107&lt;=50,"1. Até 50 m",IF(J2107&lt;=100,"2. De 50 a 100 m",IF(J2107&lt;=200,"3. De 100 a 200 m",IF(J2107&lt;=300,"4. De 200 a 300 m",IF(J2107&lt;=500,"5. De 300 a 500 m","6. De 500 m a 2 km"))))))</f>
        <v>3. De 100 a 200 m</v>
      </c>
      <c r="L2107" s="26" t="n">
        <v>0</v>
      </c>
      <c r="M2107" s="26" t="n">
        <v>0</v>
      </c>
      <c r="N2107" s="26" t="n">
        <v>2</v>
      </c>
      <c r="O2107" s="26" t="n">
        <v>3</v>
      </c>
      <c r="P2107" s="30" t="n">
        <v>-12.9130849</v>
      </c>
      <c r="Q2107" s="30" t="n">
        <v>-38.3523041</v>
      </c>
      <c r="R2107" s="14" t="inlineStr">
        <is>
          <t>CARTÓRIO DA 12ª ZONA ELEITORAL, 1ª AVENIDA DO CENTRO ADMINISTRATIVO DA BAHIA, 150, SALVADOR-BA.</t>
        </is>
      </c>
      <c r="S2107" s="26">
        <f>IF(A2107=A2106,0,1)</f>
        <v>0</v>
      </c>
      <c r="T2107" s="26">
        <f>IF(COUNTIF($B$4:B2107,B2107)=1,1,0)</f>
        <v>0</v>
      </c>
    </row>
    <row r="2108">
      <c r="A2108" s="14" t="inlineStr">
        <is>
          <t>SALVADOR</t>
        </is>
      </c>
      <c r="B2108" s="26" t="n">
        <v>12</v>
      </c>
      <c r="C2108" s="26" t="n">
        <v>1295</v>
      </c>
      <c r="D2108" s="14" t="inlineStr">
        <is>
          <t>ESCOLA BRIGADEIRO EDUARDO GOMES</t>
        </is>
      </c>
      <c r="E2108" s="14" t="inlineStr">
        <is>
          <t>SÃO CRISTÓVÃO</t>
        </is>
      </c>
      <c r="F2108" s="14" t="inlineStr">
        <is>
          <t>RUA LAURO DE FREITAS 1 - ZONA URBANA</t>
        </is>
      </c>
      <c r="G2108" s="27" t="inlineStr">
        <is>
          <t>41500-190</t>
        </is>
      </c>
      <c r="H2108" s="15" t="n">
        <v>7</v>
      </c>
      <c r="I2108" s="28" t="inlineStr">
        <is>
          <t>NÃO</t>
        </is>
      </c>
      <c r="J2108" s="29" t="n">
        <v>110.4</v>
      </c>
      <c r="K2108" s="14" t="str">
        <f>IF(J2108="","7. Acima de 2 km",IF(J2108&lt;=50,"1. Até 50 m",IF(J2108&lt;=100,"2. De 50 a 100 m",IF(J2108&lt;=200,"3. De 100 a 200 m",IF(J2108&lt;=300,"4. De 200 a 300 m",IF(J2108&lt;=500,"5. De 300 a 500 m","6. De 500 m a 2 km"))))))</f>
        <v>3. De 100 a 200 m</v>
      </c>
      <c r="L2108" s="26" t="n">
        <v>0</v>
      </c>
      <c r="M2108" s="26" t="n">
        <v>0</v>
      </c>
      <c r="N2108" s="26" t="n">
        <v>2</v>
      </c>
      <c r="O2108" s="26" t="n">
        <v>4</v>
      </c>
      <c r="P2108" s="30" t="n">
        <v>-12.9107989</v>
      </c>
      <c r="Q2108" s="30" t="n">
        <v>-38.3510485</v>
      </c>
      <c r="R2108" s="14" t="inlineStr">
        <is>
          <t>CARTÓRIO DA 12ª ZONA ELEITORAL, 1ª AVENIDA DO CENTRO ADMINISTRATIVO DA BAHIA, 150, SALVADOR-BA.</t>
        </is>
      </c>
      <c r="S2108" s="26">
        <f>IF(A2108=A2107,0,1)</f>
        <v>0</v>
      </c>
      <c r="T2108" s="26">
        <f>IF(COUNTIF($B$4:B2108,B2108)=1,1,0)</f>
        <v>0</v>
      </c>
    </row>
    <row r="2109">
      <c r="A2109" s="14" t="inlineStr">
        <is>
          <t>SALVADOR</t>
        </is>
      </c>
      <c r="B2109" s="26" t="n">
        <v>12</v>
      </c>
      <c r="C2109" s="26" t="n">
        <v>1309</v>
      </c>
      <c r="D2109" s="14" t="inlineStr">
        <is>
          <t>COLÉGIO ESTADUAL JOSÉ AUGUSTO TOURINHO DANTAS</t>
        </is>
      </c>
      <c r="E2109" s="14" t="inlineStr">
        <is>
          <t>SÃO CRISTÓVÃO</t>
        </is>
      </c>
      <c r="F2109" s="14" t="inlineStr">
        <is>
          <t>FAZENDA CASSANGE KM 2 - ZONA URBANA</t>
        </is>
      </c>
      <c r="G2109" s="27" t="inlineStr">
        <is>
          <t>40020-000</t>
        </is>
      </c>
      <c r="H2109" s="15" t="n">
        <v>15</v>
      </c>
      <c r="I2109" s="28" t="inlineStr">
        <is>
          <t>NÃO</t>
        </is>
      </c>
      <c r="J2109" s="29" t="n">
        <v>446.9</v>
      </c>
      <c r="K2109" s="14" t="str">
        <f>IF(J2109="","7. Acima de 2 km",IF(J2109&lt;=50,"1. Até 50 m",IF(J2109&lt;=100,"2. De 50 a 100 m",IF(J2109&lt;=200,"3. De 100 a 200 m",IF(J2109&lt;=300,"4. De 200 a 300 m",IF(J2109&lt;=500,"5. De 300 a 500 m","6. De 500 m a 2 km"))))))</f>
        <v>5. De 300 a 500 m</v>
      </c>
      <c r="L2109" s="26" t="n">
        <v>0</v>
      </c>
      <c r="M2109" s="26" t="n">
        <v>0</v>
      </c>
      <c r="N2109" s="26" t="n">
        <v>0</v>
      </c>
      <c r="O2109" s="26" t="n">
        <v>0</v>
      </c>
      <c r="P2109" s="30" t="n">
        <v>-12.9041568</v>
      </c>
      <c r="Q2109" s="30" t="n">
        <v>-38.3627619</v>
      </c>
      <c r="R2109" s="14" t="inlineStr">
        <is>
          <t>CARTÓRIO DA 12ª ZONA ELEITORAL, 1ª AVENIDA DO CENTRO ADMINISTRATIVO DA BAHIA, 150, SALVADOR-BA.</t>
        </is>
      </c>
      <c r="S2109" s="26">
        <f>IF(A2109=A2108,0,1)</f>
        <v>0</v>
      </c>
      <c r="T2109" s="26">
        <f>IF(COUNTIF($B$4:B2109,B2109)=1,1,0)</f>
        <v>0</v>
      </c>
    </row>
    <row r="2110">
      <c r="A2110" s="14" t="inlineStr">
        <is>
          <t>SALVADOR</t>
        </is>
      </c>
      <c r="B2110" s="26" t="n">
        <v>12</v>
      </c>
      <c r="C2110" s="26" t="n">
        <v>1317</v>
      </c>
      <c r="D2110" s="14" t="inlineStr">
        <is>
          <t>ESCOLA ESTADUAL MARECHAL MASCARENHAS DE MORAES</t>
        </is>
      </c>
      <c r="E2110" s="14" t="inlineStr">
        <is>
          <t>ITAPUÃ</t>
        </is>
      </c>
      <c r="F2110" s="14" t="inlineStr">
        <is>
          <t>AV. DORIVAL CAYMMI, S/N - VILA DOS EX-COMBATENTES</t>
        </is>
      </c>
      <c r="G2110" s="27" t="inlineStr">
        <is>
          <t>41635-151</t>
        </is>
      </c>
      <c r="H2110" s="15" t="n">
        <v>16</v>
      </c>
      <c r="I2110" s="28" t="inlineStr">
        <is>
          <t>NÃO</t>
        </is>
      </c>
      <c r="J2110" s="29" t="n">
        <v>218.9</v>
      </c>
      <c r="K2110" s="14" t="str">
        <f>IF(J2110="","7. Acima de 2 km",IF(J2110&lt;=50,"1. Até 50 m",IF(J2110&lt;=100,"2. De 50 a 100 m",IF(J2110&lt;=200,"3. De 100 a 200 m",IF(J2110&lt;=300,"4. De 200 a 300 m",IF(J2110&lt;=500,"5. De 300 a 500 m","6. De 500 m a 2 km"))))))</f>
        <v>4. De 200 a 300 m</v>
      </c>
      <c r="L2110" s="26" t="n">
        <v>0</v>
      </c>
      <c r="M2110" s="26" t="n">
        <v>0</v>
      </c>
      <c r="N2110" s="26" t="n">
        <v>0</v>
      </c>
      <c r="O2110" s="26" t="n">
        <v>1</v>
      </c>
      <c r="P2110" s="30" t="n">
        <v>-12.9333171</v>
      </c>
      <c r="Q2110" s="30" t="n">
        <v>-38.3579069</v>
      </c>
      <c r="R2110" s="14" t="inlineStr">
        <is>
          <t>CARTÓRIO DA 12ª ZONA ELEITORAL, 1ª AVENIDA DO CENTRO ADMINISTRATIVO DA BAHIA, 150, SALVADOR-BA.</t>
        </is>
      </c>
      <c r="S2110" s="26">
        <f>IF(A2110=A2109,0,1)</f>
        <v>0</v>
      </c>
      <c r="T2110" s="26">
        <f>IF(COUNTIF($B$4:B2110,B2110)=1,1,0)</f>
        <v>0</v>
      </c>
    </row>
    <row r="2111">
      <c r="A2111" s="14" t="inlineStr">
        <is>
          <t>SALVADOR</t>
        </is>
      </c>
      <c r="B2111" s="26" t="n">
        <v>12</v>
      </c>
      <c r="C2111" s="26" t="n">
        <v>1325</v>
      </c>
      <c r="D2111" s="14" t="inlineStr">
        <is>
          <t>COLÉGIO MARÍZIA MAIOR</t>
        </is>
      </c>
      <c r="E2111" s="14" t="inlineStr">
        <is>
          <t>STELLA MARIS</t>
        </is>
      </c>
      <c r="F2111" s="14" t="inlineStr">
        <is>
          <t>ALAMEDA PRAIA DE GUARATUBA, S/N - ZONA URBANA</t>
        </is>
      </c>
      <c r="G2111" s="27" t="inlineStr">
        <is>
          <t>41600-270</t>
        </is>
      </c>
      <c r="H2111" s="15" t="n">
        <v>10</v>
      </c>
      <c r="I2111" s="28" t="inlineStr">
        <is>
          <t>NÃO</t>
        </is>
      </c>
      <c r="J2111" s="29" t="n">
        <v>140.8</v>
      </c>
      <c r="K2111" s="14" t="str">
        <f>IF(J2111="","7. Acima de 2 km",IF(J2111&lt;=50,"1. Até 50 m",IF(J2111&lt;=100,"2. De 50 a 100 m",IF(J2111&lt;=200,"3. De 100 a 200 m",IF(J2111&lt;=300,"4. De 200 a 300 m",IF(J2111&lt;=500,"5. De 300 a 500 m","6. De 500 m a 2 km"))))))</f>
        <v>3. De 100 a 200 m</v>
      </c>
      <c r="L2111" s="26" t="n">
        <v>0</v>
      </c>
      <c r="M2111" s="26" t="n">
        <v>0</v>
      </c>
      <c r="N2111" s="26" t="n">
        <v>1</v>
      </c>
      <c r="O2111" s="26" t="n">
        <v>1</v>
      </c>
      <c r="P2111" s="30" t="n">
        <v>-12.9384084</v>
      </c>
      <c r="Q2111" s="30" t="n">
        <v>-38.3401038</v>
      </c>
      <c r="R2111" s="14" t="inlineStr">
        <is>
          <t>CARTÓRIO DA 12ª ZONA ELEITORAL, 1ª AVENIDA DO CENTRO ADMINISTRATIVO DA BAHIA, 150, SALVADOR-BA.</t>
        </is>
      </c>
      <c r="S2111" s="26">
        <f>IF(A2111=A2110,0,1)</f>
        <v>0</v>
      </c>
      <c r="T2111" s="26">
        <f>IF(COUNTIF($B$4:B2111,B2111)=1,1,0)</f>
        <v>0</v>
      </c>
    </row>
    <row r="2112">
      <c r="A2112" s="14" t="inlineStr">
        <is>
          <t>SALVADOR</t>
        </is>
      </c>
      <c r="B2112" s="26" t="n">
        <v>12</v>
      </c>
      <c r="C2112" s="26" t="n">
        <v>1341</v>
      </c>
      <c r="D2112" s="14" t="inlineStr">
        <is>
          <t>COLÉGIO LINCE - CENTRO DE ESTUDOS DIRIGIDOS LTDA</t>
        </is>
      </c>
      <c r="E2112" s="14" t="inlineStr">
        <is>
          <t>JARDIM DAS MARGARIDAS</t>
        </is>
      </c>
      <c r="F2112" s="14" t="inlineStr">
        <is>
          <t>RUA DAS ACÁCIAS AMARELAS, N. 95 - ZONA URBANA</t>
        </is>
      </c>
      <c r="G2112" s="27" t="inlineStr">
        <is>
          <t>41502-310</t>
        </is>
      </c>
      <c r="H2112" s="15" t="n">
        <v>13</v>
      </c>
      <c r="I2112" s="28" t="inlineStr">
        <is>
          <t>NÃO</t>
        </is>
      </c>
      <c r="J2112" s="29" t="n">
        <v>190.3</v>
      </c>
      <c r="K2112" s="14" t="str">
        <f>IF(J2112="","7. Acima de 2 km",IF(J2112&lt;=50,"1. Até 50 m",IF(J2112&lt;=100,"2. De 50 a 100 m",IF(J2112&lt;=200,"3. De 100 a 200 m",IF(J2112&lt;=300,"4. De 200 a 300 m",IF(J2112&lt;=500,"5. De 300 a 500 m","6. De 500 m a 2 km"))))))</f>
        <v>3. De 100 a 200 m</v>
      </c>
      <c r="L2112" s="26" t="n">
        <v>0</v>
      </c>
      <c r="M2112" s="26" t="n">
        <v>0</v>
      </c>
      <c r="N2112" s="26" t="n">
        <v>1</v>
      </c>
      <c r="O2112" s="26" t="n">
        <v>1</v>
      </c>
      <c r="P2112" s="30" t="n">
        <v>-12.8989521</v>
      </c>
      <c r="Q2112" s="30" t="n">
        <v>-38.3538884</v>
      </c>
      <c r="R2112" s="14" t="inlineStr">
        <is>
          <t>CARTÓRIO DA 12ª ZONA ELEITORAL, 1ª AVENIDA DO CENTRO ADMINISTRATIVO DA BAHIA, 150, SALVADOR-BA.</t>
        </is>
      </c>
      <c r="S2112" s="26">
        <f>IF(A2112=A2111,0,1)</f>
        <v>0</v>
      </c>
      <c r="T2112" s="26">
        <f>IF(COUNTIF($B$4:B2112,B2112)=1,1,0)</f>
        <v>0</v>
      </c>
    </row>
    <row r="2113">
      <c r="A2113" s="14" t="inlineStr">
        <is>
          <t>SALVADOR</t>
        </is>
      </c>
      <c r="B2113" s="26" t="n">
        <v>12</v>
      </c>
      <c r="C2113" s="26" t="n">
        <v>1350</v>
      </c>
      <c r="D2113" s="14" t="inlineStr">
        <is>
          <t>COLÉGIO ROTARY</t>
        </is>
      </c>
      <c r="E2113" s="14" t="inlineStr">
        <is>
          <t>ITAPUÃ</t>
        </is>
      </c>
      <c r="F2113" s="14" t="inlineStr">
        <is>
          <t>LADEIRA DO ABAETÉ S/N - ZONA URBANA</t>
        </is>
      </c>
      <c r="G2113" s="27" t="inlineStr">
        <is>
          <t>41610-525</t>
        </is>
      </c>
      <c r="H2113" s="15" t="n">
        <v>34</v>
      </c>
      <c r="I2113" s="28" t="inlineStr">
        <is>
          <t>SIM</t>
        </is>
      </c>
      <c r="J2113" s="29" t="n">
        <v>44.4</v>
      </c>
      <c r="K2113" s="14" t="str">
        <f>IF(J2113="","7. Acima de 2 km",IF(J2113&lt;=50,"1. Até 50 m",IF(J2113&lt;=100,"2. De 50 a 100 m",IF(J2113&lt;=200,"3. De 100 a 200 m",IF(J2113&lt;=300,"4. De 200 a 300 m",IF(J2113&lt;=500,"5. De 300 a 500 m","6. De 500 m a 2 km"))))))</f>
        <v>1. Até 50 m</v>
      </c>
      <c r="L2113" s="26" t="n">
        <v>1</v>
      </c>
      <c r="M2113" s="26" t="n">
        <v>1</v>
      </c>
      <c r="N2113" s="26" t="n">
        <v>1</v>
      </c>
      <c r="O2113" s="26" t="n">
        <v>6</v>
      </c>
      <c r="P2113" s="30" t="n">
        <v>-12.9472956</v>
      </c>
      <c r="Q2113" s="30" t="n">
        <v>-38.3617096</v>
      </c>
      <c r="R2113" s="14" t="inlineStr">
        <is>
          <t>CARTÓRIO DA 12ª ZONA ELEITORAL, 1ª AVENIDA DO CENTRO ADMINISTRATIVO DA BAHIA, 150, SALVADOR-BA.</t>
        </is>
      </c>
      <c r="S2113" s="26">
        <f>IF(A2113=A2112,0,1)</f>
        <v>0</v>
      </c>
      <c r="T2113" s="26">
        <f>IF(COUNTIF($B$4:B2113,B2113)=1,1,0)</f>
        <v>0</v>
      </c>
    </row>
    <row r="2114">
      <c r="A2114" s="14" t="inlineStr">
        <is>
          <t>SALVADOR</t>
        </is>
      </c>
      <c r="B2114" s="26" t="n">
        <v>12</v>
      </c>
      <c r="C2114" s="26" t="n">
        <v>1368</v>
      </c>
      <c r="D2114" s="14" t="inlineStr">
        <is>
          <t>ESCOLA MUNICIPAL DA LAGOA DO ABAETÉ</t>
        </is>
      </c>
      <c r="E2114" s="14" t="inlineStr">
        <is>
          <t>ITAPUÃ</t>
        </is>
      </c>
      <c r="F2114" s="14" t="inlineStr">
        <is>
          <t>TRAVESSA PAULO AFONSO BAQUEIRO, N 17 - ZONA URBANA</t>
        </is>
      </c>
      <c r="G2114" s="27" t="inlineStr">
        <is>
          <t>41611-230</t>
        </is>
      </c>
      <c r="H2114" s="15" t="n">
        <v>11</v>
      </c>
      <c r="I2114" s="28" t="inlineStr">
        <is>
          <t>NÃO</t>
        </is>
      </c>
      <c r="J2114" s="29" t="n">
        <v>539.1</v>
      </c>
      <c r="K2114" s="14" t="str">
        <f>IF(J2114="","7. Acima de 2 km",IF(J2114&lt;=50,"1. Até 50 m",IF(J2114&lt;=100,"2. De 50 a 100 m",IF(J2114&lt;=200,"3. De 100 a 200 m",IF(J2114&lt;=300,"4. De 200 a 300 m",IF(J2114&lt;=500,"5. De 300 a 500 m","6. De 500 m a 2 km"))))))</f>
        <v>6. De 500 m a 2 km</v>
      </c>
      <c r="L2114" s="26" t="n">
        <v>0</v>
      </c>
      <c r="M2114" s="26" t="n">
        <v>0</v>
      </c>
      <c r="N2114" s="26" t="n">
        <v>0</v>
      </c>
      <c r="O2114" s="26" t="n">
        <v>0</v>
      </c>
      <c r="P2114" s="30" t="n">
        <v>-12.9403794</v>
      </c>
      <c r="Q2114" s="30" t="n">
        <v>-38.3576231</v>
      </c>
      <c r="R2114" s="14" t="inlineStr">
        <is>
          <t>CARTÓRIO DA 12ª ZONA ELEITORAL, 1ª AVENIDA DO CENTRO ADMINISTRATIVO DA BAHIA, 150, SALVADOR-BA.</t>
        </is>
      </c>
      <c r="S2114" s="26">
        <f>IF(A2114=A2113,0,1)</f>
        <v>0</v>
      </c>
      <c r="T2114" s="26">
        <f>IF(COUNTIF($B$4:B2114,B2114)=1,1,0)</f>
        <v>0</v>
      </c>
    </row>
    <row r="2115">
      <c r="A2115" s="14" t="inlineStr">
        <is>
          <t>SALVADOR</t>
        </is>
      </c>
      <c r="B2115" s="26" t="n">
        <v>12</v>
      </c>
      <c r="C2115" s="26" t="n">
        <v>1376</v>
      </c>
      <c r="D2115" s="14" t="inlineStr">
        <is>
          <t>COLÉGIO ESTADUAL GOVERNADOR LOMANTO JUNIOR</t>
        </is>
      </c>
      <c r="E2115" s="14" t="inlineStr">
        <is>
          <t>ITAPUÃ</t>
        </is>
      </c>
      <c r="F2115" s="14" t="inlineStr">
        <is>
          <t>RUA PROFESSOR SOUZA BRITO S/N - ZONA URBANA</t>
        </is>
      </c>
      <c r="G2115" s="27" t="inlineStr">
        <is>
          <t>41640-380</t>
        </is>
      </c>
      <c r="H2115" s="15" t="n">
        <v>25</v>
      </c>
      <c r="I2115" s="28" t="inlineStr">
        <is>
          <t>NÃO</t>
        </is>
      </c>
      <c r="J2115" s="29" t="n">
        <v>413.2</v>
      </c>
      <c r="K2115" s="14" t="str">
        <f>IF(J2115="","7. Acima de 2 km",IF(J2115&lt;=50,"1. Até 50 m",IF(J2115&lt;=100,"2. De 50 a 100 m",IF(J2115&lt;=200,"3. De 100 a 200 m",IF(J2115&lt;=300,"4. De 200 a 300 m",IF(J2115&lt;=500,"5. De 300 a 500 m","6. De 500 m a 2 km"))))))</f>
        <v>5. De 300 a 500 m</v>
      </c>
      <c r="L2115" s="26" t="n">
        <v>0</v>
      </c>
      <c r="M2115" s="26" t="n">
        <v>0</v>
      </c>
      <c r="N2115" s="26" t="n">
        <v>0</v>
      </c>
      <c r="O2115" s="26" t="n">
        <v>0</v>
      </c>
      <c r="P2115" s="30" t="n">
        <v>-12.9524494</v>
      </c>
      <c r="Q2115" s="30" t="n">
        <v>-38.3599764</v>
      </c>
      <c r="R2115" s="14" t="inlineStr">
        <is>
          <t>CARTÓRIO DA 12ª ZONA ELEITORAL, 1ª AVENIDA DO CENTRO ADMINISTRATIVO DA BAHIA, 150, SALVADOR-BA.</t>
        </is>
      </c>
      <c r="S2115" s="26">
        <f>IF(A2115=A2114,0,1)</f>
        <v>0</v>
      </c>
      <c r="T2115" s="26">
        <f>IF(COUNTIF($B$4:B2115,B2115)=1,1,0)</f>
        <v>0</v>
      </c>
    </row>
    <row r="2116">
      <c r="A2116" s="14" t="inlineStr">
        <is>
          <t>SALVADOR</t>
        </is>
      </c>
      <c r="B2116" s="26" t="n">
        <v>12</v>
      </c>
      <c r="C2116" s="26" t="n">
        <v>1384</v>
      </c>
      <c r="D2116" s="14" t="inlineStr">
        <is>
          <t>ESCOLA MUNICIPAL PEDRO VELOSO GORDILHO</t>
        </is>
      </c>
      <c r="E2116" s="14" t="inlineStr">
        <is>
          <t>SÃO CRISTÓVÃO</t>
        </is>
      </c>
      <c r="F2116" s="14" t="inlineStr">
        <is>
          <t>AV. ALIOMAR BALEEIRO, SN</t>
        </is>
      </c>
      <c r="G2116" s="27" t="inlineStr">
        <is>
          <t>41500-660</t>
        </is>
      </c>
      <c r="H2116" s="15" t="n">
        <v>6</v>
      </c>
      <c r="I2116" s="28" t="inlineStr">
        <is>
          <t>NÃO</t>
        </is>
      </c>
      <c r="J2116" s="29" t="n">
        <v>148</v>
      </c>
      <c r="K2116" s="14" t="str">
        <f>IF(J2116="","7. Acima de 2 km",IF(J2116&lt;=50,"1. Até 50 m",IF(J2116&lt;=100,"2. De 50 a 100 m",IF(J2116&lt;=200,"3. De 100 a 200 m",IF(J2116&lt;=300,"4. De 200 a 300 m",IF(J2116&lt;=500,"5. De 300 a 500 m","6. De 500 m a 2 km"))))))</f>
        <v>3. De 100 a 200 m</v>
      </c>
      <c r="L2116" s="26" t="n">
        <v>0</v>
      </c>
      <c r="M2116" s="26" t="n">
        <v>0</v>
      </c>
      <c r="N2116" s="26" t="n">
        <v>1</v>
      </c>
      <c r="O2116" s="26" t="n">
        <v>1</v>
      </c>
      <c r="P2116" s="30" t="n">
        <v>-12.9107351</v>
      </c>
      <c r="Q2116" s="30" t="n">
        <v>-38.3546142</v>
      </c>
      <c r="R2116" s="14" t="inlineStr">
        <is>
          <t>CARTÓRIO DA 12ª ZONA ELEITORAL, 1ª AVENIDA DO CENTRO ADMINISTRATIVO DA BAHIA, 150, SALVADOR-BA.</t>
        </is>
      </c>
      <c r="S2116" s="26">
        <f>IF(A2116=A2115,0,1)</f>
        <v>0</v>
      </c>
      <c r="T2116" s="26">
        <f>IF(COUNTIF($B$4:B2116,B2116)=1,1,0)</f>
        <v>0</v>
      </c>
    </row>
    <row r="2117">
      <c r="A2117" s="14" t="inlineStr">
        <is>
          <t>SALVADOR</t>
        </is>
      </c>
      <c r="B2117" s="26" t="n">
        <v>12</v>
      </c>
      <c r="C2117" s="26" t="n">
        <v>1392</v>
      </c>
      <c r="D2117" s="14" t="inlineStr">
        <is>
          <t>COLÉGIO ESTADUAL PEDRO PAULO MARQUES E MARQUES</t>
        </is>
      </c>
      <c r="E2117" s="14" t="inlineStr">
        <is>
          <t>SÃO CRISTÓVÃO</t>
        </is>
      </c>
      <c r="F2117" s="14" t="inlineStr">
        <is>
          <t>AV SÃO CRISTÓVÃO 14</t>
        </is>
      </c>
      <c r="G2117" s="27" t="inlineStr">
        <is>
          <t>41510-333</t>
        </is>
      </c>
      <c r="H2117" s="15" t="n">
        <v>28</v>
      </c>
      <c r="I2117" s="28" t="inlineStr">
        <is>
          <t>SIM</t>
        </is>
      </c>
      <c r="J2117" s="29" t="n">
        <v>38.7</v>
      </c>
      <c r="K2117" s="14" t="str">
        <f>IF(J2117="","7. Acima de 2 km",IF(J2117&lt;=50,"1. Até 50 m",IF(J2117&lt;=100,"2. De 50 a 100 m",IF(J2117&lt;=200,"3. De 100 a 200 m",IF(J2117&lt;=300,"4. De 200 a 300 m",IF(J2117&lt;=500,"5. De 300 a 500 m","6. De 500 m a 2 km"))))))</f>
        <v>1. Até 50 m</v>
      </c>
      <c r="L2117" s="26" t="n">
        <v>1</v>
      </c>
      <c r="M2117" s="26" t="n">
        <v>2</v>
      </c>
      <c r="N2117" s="26" t="n">
        <v>4</v>
      </c>
      <c r="O2117" s="26" t="n">
        <v>4</v>
      </c>
      <c r="P2117" s="30" t="n">
        <v>-12.9173355</v>
      </c>
      <c r="Q2117" s="30" t="n">
        <v>-38.352457</v>
      </c>
      <c r="R2117" s="14" t="inlineStr">
        <is>
          <t>CARTÓRIO DA 12ª ZONA ELEITORAL, 1ª AVENIDA DO CENTRO ADMINISTRATIVO DA BAHIA, 150, SALVADOR-BA.</t>
        </is>
      </c>
      <c r="S2117" s="26">
        <f>IF(A2117=A2116,0,1)</f>
        <v>0</v>
      </c>
      <c r="T2117" s="26">
        <f>IF(COUNTIF($B$4:B2117,B2117)=1,1,0)</f>
        <v>0</v>
      </c>
    </row>
    <row r="2118">
      <c r="A2118" s="14" t="inlineStr">
        <is>
          <t>SALVADOR</t>
        </is>
      </c>
      <c r="B2118" s="26" t="n">
        <v>12</v>
      </c>
      <c r="C2118" s="26" t="n">
        <v>1406</v>
      </c>
      <c r="D2118" s="14" t="inlineStr">
        <is>
          <t>ESCOLA MUNICIPAL BARBOSA ROMEU</t>
        </is>
      </c>
      <c r="E2118" s="14" t="inlineStr">
        <is>
          <t>SÃO CRISTÓVÃO</t>
        </is>
      </c>
      <c r="F2118" s="14" t="inlineStr">
        <is>
          <t>RUA SÃO PAULO S/N - ZONA URBANA</t>
        </is>
      </c>
      <c r="G2118" s="27" t="inlineStr">
        <is>
          <t>41500-110</t>
        </is>
      </c>
      <c r="H2118" s="15" t="n">
        <v>12</v>
      </c>
      <c r="I2118" s="28" t="inlineStr">
        <is>
          <t>SIM</t>
        </is>
      </c>
      <c r="J2118" s="29" t="n">
        <v>76</v>
      </c>
      <c r="K2118" s="14" t="str">
        <f>IF(J2118="","7. Acima de 2 km",IF(J2118&lt;=50,"1. Até 50 m",IF(J2118&lt;=100,"2. De 50 a 100 m",IF(J2118&lt;=200,"3. De 100 a 200 m",IF(J2118&lt;=300,"4. De 200 a 300 m",IF(J2118&lt;=500,"5. De 300 a 500 m","6. De 500 m a 2 km"))))))</f>
        <v>2. De 50 a 100 m</v>
      </c>
      <c r="L2118" s="26" t="n">
        <v>0</v>
      </c>
      <c r="M2118" s="26" t="n">
        <v>1</v>
      </c>
      <c r="N2118" s="26" t="n">
        <v>2</v>
      </c>
      <c r="O2118" s="26" t="n">
        <v>6</v>
      </c>
      <c r="P2118" s="30" t="n">
        <v>-12.9120394</v>
      </c>
      <c r="Q2118" s="30" t="n">
        <v>-38.3496668</v>
      </c>
      <c r="R2118" s="14" t="inlineStr">
        <is>
          <t>CARTÓRIO DA 12ª ZONA ELEITORAL, 1ª AVENIDA DO CENTRO ADMINISTRATIVO DA BAHIA, 150, SALVADOR-BA.</t>
        </is>
      </c>
      <c r="S2118" s="26">
        <f>IF(A2118=A2117,0,1)</f>
        <v>0</v>
      </c>
      <c r="T2118" s="26">
        <f>IF(COUNTIF($B$4:B2118,B2118)=1,1,0)</f>
        <v>0</v>
      </c>
    </row>
    <row r="2119">
      <c r="A2119" s="14" t="inlineStr">
        <is>
          <t>SALVADOR</t>
        </is>
      </c>
      <c r="B2119" s="26" t="n">
        <v>12</v>
      </c>
      <c r="C2119" s="26" t="n">
        <v>1422</v>
      </c>
      <c r="D2119" s="14" t="inlineStr">
        <is>
          <t>ESCOLA MUNICIPAL DO PARQUE SÃO CRISTOVÃO JOÃO FERNANDES CUNHA</t>
        </is>
      </c>
      <c r="E2119" s="14" t="inlineStr">
        <is>
          <t>PARQUE SÃO CRISTÓVÃO</t>
        </is>
      </c>
      <c r="F2119" s="14" t="inlineStr">
        <is>
          <t>RUA DR. ÁLVARO PONTES BAHIA, QUADRA 24</t>
        </is>
      </c>
      <c r="G2119" s="27" t="inlineStr">
        <is>
          <t>41500-610</t>
        </is>
      </c>
      <c r="H2119" s="15" t="n">
        <v>8</v>
      </c>
      <c r="I2119" s="28" t="inlineStr">
        <is>
          <t>NÃO</t>
        </is>
      </c>
      <c r="J2119" s="29" t="n">
        <v>397.1</v>
      </c>
      <c r="K2119" s="14" t="str">
        <f>IF(J2119="","7. Acima de 2 km",IF(J2119&lt;=50,"1. Até 50 m",IF(J2119&lt;=100,"2. De 50 a 100 m",IF(J2119&lt;=200,"3. De 100 a 200 m",IF(J2119&lt;=300,"4. De 200 a 300 m",IF(J2119&lt;=500,"5. De 300 a 500 m","6. De 500 m a 2 km"))))))</f>
        <v>5. De 300 a 500 m</v>
      </c>
      <c r="L2119" s="26" t="n">
        <v>0</v>
      </c>
      <c r="M2119" s="26" t="n">
        <v>0</v>
      </c>
      <c r="N2119" s="26" t="n">
        <v>0</v>
      </c>
      <c r="O2119" s="26" t="n">
        <v>0</v>
      </c>
      <c r="P2119" s="30" t="n">
        <v>-12.9091596</v>
      </c>
      <c r="Q2119" s="30" t="n">
        <v>-38.3663178</v>
      </c>
      <c r="R2119" s="14" t="inlineStr">
        <is>
          <t>CARTÓRIO DA 12ª ZONA ELEITORAL, 1ª AVENIDA DO CENTRO ADMINISTRATIVO DA BAHIA, 150, SALVADOR-BA.</t>
        </is>
      </c>
      <c r="S2119" s="26">
        <f>IF(A2119=A2118,0,1)</f>
        <v>0</v>
      </c>
      <c r="T2119" s="26">
        <f>IF(COUNTIF($B$4:B2119,B2119)=1,1,0)</f>
        <v>0</v>
      </c>
    </row>
    <row r="2120">
      <c r="A2120" s="14" t="inlineStr">
        <is>
          <t>SALVADOR</t>
        </is>
      </c>
      <c r="B2120" s="26" t="n">
        <v>12</v>
      </c>
      <c r="C2120" s="26" t="n">
        <v>1473</v>
      </c>
      <c r="D2120" s="14" t="inlineStr">
        <is>
          <t>ESCOLA MUNICIPAL MANUEL LISBOA</t>
        </is>
      </c>
      <c r="E2120" s="14" t="inlineStr">
        <is>
          <t>ITAPUÃ</t>
        </is>
      </c>
      <c r="F2120" s="14" t="inlineStr">
        <is>
          <t>RUA ANTONINO CASAES, N 199 - ZONA URBANA</t>
        </is>
      </c>
      <c r="G2120" s="27" t="inlineStr">
        <is>
          <t>41635-370</t>
        </is>
      </c>
      <c r="H2120" s="15" t="n">
        <v>7</v>
      </c>
      <c r="I2120" s="28" t="inlineStr">
        <is>
          <t>NÃO</t>
        </is>
      </c>
      <c r="J2120" s="29" t="n">
        <v>140.8</v>
      </c>
      <c r="K2120" s="14" t="str">
        <f>IF(J2120="","7. Acima de 2 km",IF(J2120&lt;=50,"1. Até 50 m",IF(J2120&lt;=100,"2. De 50 a 100 m",IF(J2120&lt;=200,"3. De 100 a 200 m",IF(J2120&lt;=300,"4. De 200 a 300 m",IF(J2120&lt;=500,"5. De 300 a 500 m","6. De 500 m a 2 km"))))))</f>
        <v>3. De 100 a 200 m</v>
      </c>
      <c r="L2120" s="26" t="n">
        <v>0</v>
      </c>
      <c r="M2120" s="26" t="n">
        <v>0</v>
      </c>
      <c r="N2120" s="26" t="n">
        <v>2</v>
      </c>
      <c r="O2120" s="26" t="n">
        <v>2</v>
      </c>
      <c r="P2120" s="30" t="n">
        <v>-12.9484763</v>
      </c>
      <c r="Q2120" s="30" t="n">
        <v>-38.3672403</v>
      </c>
      <c r="R2120" s="14" t="inlineStr">
        <is>
          <t>CARTÓRIO DA 12ª ZONA ELEITORAL, 1ª AVENIDA DO CENTRO ADMINISTRATIVO DA BAHIA, 150, SALVADOR-BA.</t>
        </is>
      </c>
      <c r="S2120" s="26">
        <f>IF(A2120=A2119,0,1)</f>
        <v>0</v>
      </c>
      <c r="T2120" s="26">
        <f>IF(COUNTIF($B$4:B2120,B2120)=1,1,0)</f>
        <v>0</v>
      </c>
    </row>
    <row r="2121">
      <c r="A2121" s="14" t="inlineStr">
        <is>
          <t>SALVADOR</t>
        </is>
      </c>
      <c r="B2121" s="26" t="n">
        <v>12</v>
      </c>
      <c r="C2121" s="26" t="n">
        <v>1481</v>
      </c>
      <c r="D2121" s="14" t="inlineStr">
        <is>
          <t>ESCOLA ESTADUAL JENNY GOMES</t>
        </is>
      </c>
      <c r="E2121" s="14" t="inlineStr">
        <is>
          <t>ITAPUÃ</t>
        </is>
      </c>
      <c r="F2121" s="14" t="inlineStr">
        <is>
          <t>RUA CARAPEBA SN VILA MILITAR DA AERONAUTICA - ZONA URBANA</t>
        </is>
      </c>
      <c r="G2121" s="27" t="inlineStr">
        <is>
          <t>41610-120</t>
        </is>
      </c>
      <c r="H2121" s="15" t="n">
        <v>10</v>
      </c>
      <c r="I2121" s="28" t="inlineStr">
        <is>
          <t>SIM</t>
        </is>
      </c>
      <c r="J2121" s="29" t="n">
        <v>25.4</v>
      </c>
      <c r="K2121" s="14" t="str">
        <f>IF(J2121="","7. Acima de 2 km",IF(J2121&lt;=50,"1. Até 50 m",IF(J2121&lt;=100,"2. De 50 a 100 m",IF(J2121&lt;=200,"3. De 100 a 200 m",IF(J2121&lt;=300,"4. De 200 a 300 m",IF(J2121&lt;=500,"5. De 300 a 500 m","6. De 500 m a 2 km"))))))</f>
        <v>1. Até 50 m</v>
      </c>
      <c r="L2121" s="26" t="n">
        <v>1</v>
      </c>
      <c r="M2121" s="26" t="n">
        <v>2</v>
      </c>
      <c r="N2121" s="26" t="n">
        <v>2</v>
      </c>
      <c r="O2121" s="26" t="n">
        <v>4</v>
      </c>
      <c r="P2121" s="30" t="n">
        <v>-12.9501642</v>
      </c>
      <c r="Q2121" s="30" t="n">
        <v>-38.3719508</v>
      </c>
      <c r="R2121" s="14" t="inlineStr">
        <is>
          <t>CARTÓRIO DA 12ª ZONA ELEITORAL, 1ª AVENIDA DO CENTRO ADMINISTRATIVO DA BAHIA, 150, SALVADOR-BA.</t>
        </is>
      </c>
      <c r="S2121" s="26">
        <f>IF(A2121=A2120,0,1)</f>
        <v>0</v>
      </c>
      <c r="T2121" s="26">
        <f>IF(COUNTIF($B$4:B2121,B2121)=1,1,0)</f>
        <v>0</v>
      </c>
    </row>
    <row r="2122">
      <c r="A2122" s="14" t="inlineStr">
        <is>
          <t>SALVADOR</t>
        </is>
      </c>
      <c r="B2122" s="26" t="n">
        <v>12</v>
      </c>
      <c r="C2122" s="26" t="n">
        <v>1490</v>
      </c>
      <c r="D2122" s="14" t="inlineStr">
        <is>
          <t>ESCOLA MUNICIPAL CIDADE VITÓRIA DA CONQUISTA</t>
        </is>
      </c>
      <c r="E2122" s="14" t="inlineStr">
        <is>
          <t>ITAPUÃ</t>
        </is>
      </c>
      <c r="F2122" s="14" t="inlineStr">
        <is>
          <t>RUA NOSSA SENHORA DO AMPARO DE ITAPUÃ, N 1 - ZONA URBANA</t>
        </is>
      </c>
      <c r="G2122" s="27" t="inlineStr">
        <is>
          <t>41600-515</t>
        </is>
      </c>
      <c r="H2122" s="15" t="n">
        <v>6</v>
      </c>
      <c r="I2122" s="28" t="inlineStr">
        <is>
          <t>NÃO</t>
        </is>
      </c>
      <c r="J2122" s="29" t="n">
        <v>109.1</v>
      </c>
      <c r="K2122" s="14" t="str">
        <f>IF(J2122="","7. Acima de 2 km",IF(J2122&lt;=50,"1. Até 50 m",IF(J2122&lt;=100,"2. De 50 a 100 m",IF(J2122&lt;=200,"3. De 100 a 200 m",IF(J2122&lt;=300,"4. De 200 a 300 m",IF(J2122&lt;=500,"5. De 300 a 500 m","6. De 500 m a 2 km"))))))</f>
        <v>3. De 100 a 200 m</v>
      </c>
      <c r="L2122" s="26" t="n">
        <v>0</v>
      </c>
      <c r="M2122" s="26" t="n">
        <v>0</v>
      </c>
      <c r="N2122" s="26" t="n">
        <v>1</v>
      </c>
      <c r="O2122" s="26" t="n">
        <v>2</v>
      </c>
      <c r="P2122" s="30" t="n">
        <v>-12.9421632</v>
      </c>
      <c r="Q2122" s="30" t="n">
        <v>-38.365801</v>
      </c>
      <c r="R2122" s="14" t="inlineStr">
        <is>
          <t>CARTÓRIO DA 12ª ZONA ELEITORAL, 1ª AVENIDA DO CENTRO ADMINISTRATIVO DA BAHIA, 150, SALVADOR-BA.</t>
        </is>
      </c>
      <c r="S2122" s="26">
        <f>IF(A2122=A2121,0,1)</f>
        <v>0</v>
      </c>
      <c r="T2122" s="26">
        <f>IF(COUNTIF($B$4:B2122,B2122)=1,1,0)</f>
        <v>0</v>
      </c>
    </row>
    <row r="2123">
      <c r="A2123" s="14" t="inlineStr">
        <is>
          <t>SALVADOR</t>
        </is>
      </c>
      <c r="B2123" s="26" t="n">
        <v>12</v>
      </c>
      <c r="C2123" s="26" t="n">
        <v>1503</v>
      </c>
      <c r="D2123" s="14" t="inlineStr">
        <is>
          <t>ESCOLA ESTADUAL IEDA BARRADAS CARNEIRO</t>
        </is>
      </c>
      <c r="E2123" s="14" t="inlineStr">
        <is>
          <t>ALTO DO COQUEIRINHO</t>
        </is>
      </c>
      <c r="F2123" s="14" t="inlineStr">
        <is>
          <t>RUA BOM SUCESSO S/N - ZONA URBANA</t>
        </is>
      </c>
      <c r="G2123" s="27" t="inlineStr">
        <is>
          <t>41600-000</t>
        </is>
      </c>
      <c r="H2123" s="15" t="n">
        <v>7</v>
      </c>
      <c r="I2123" s="28" t="inlineStr">
        <is>
          <t>NÃO</t>
        </is>
      </c>
      <c r="J2123" s="29" t="n">
        <v>379.5</v>
      </c>
      <c r="K2123" s="14" t="str">
        <f>IF(J2123="","7. Acima de 2 km",IF(J2123&lt;=50,"1. Até 50 m",IF(J2123&lt;=100,"2. De 50 a 100 m",IF(J2123&lt;=200,"3. De 100 a 200 m",IF(J2123&lt;=300,"4. De 200 a 300 m",IF(J2123&lt;=500,"5. De 300 a 500 m","6. De 500 m a 2 km"))))))</f>
        <v>5. De 300 a 500 m</v>
      </c>
      <c r="L2123" s="26" t="n">
        <v>0</v>
      </c>
      <c r="M2123" s="26" t="n">
        <v>0</v>
      </c>
      <c r="N2123" s="26" t="n">
        <v>0</v>
      </c>
      <c r="O2123" s="26" t="n">
        <v>0</v>
      </c>
      <c r="P2123" s="30" t="n">
        <v>-12.9408533</v>
      </c>
      <c r="Q2123" s="30" t="n">
        <v>-38.3717574</v>
      </c>
      <c r="R2123" s="14" t="inlineStr">
        <is>
          <t>CARTÓRIO DA 12ª ZONA ELEITORAL, 1ª AVENIDA DO CENTRO ADMINISTRATIVO DA BAHIA, 150, SALVADOR-BA.</t>
        </is>
      </c>
      <c r="S2123" s="26">
        <f>IF(A2123=A2122,0,1)</f>
        <v>0</v>
      </c>
      <c r="T2123" s="26">
        <f>IF(COUNTIF($B$4:B2123,B2123)=1,1,0)</f>
        <v>0</v>
      </c>
    </row>
    <row r="2124">
      <c r="A2124" s="14" t="inlineStr">
        <is>
          <t>SALVADOR</t>
        </is>
      </c>
      <c r="B2124" s="26" t="n">
        <v>12</v>
      </c>
      <c r="C2124" s="26" t="n">
        <v>1511</v>
      </c>
      <c r="D2124" s="14" t="inlineStr">
        <is>
          <t>COLÉGIO SOPHIA</t>
        </is>
      </c>
      <c r="E2124" s="14" t="inlineStr">
        <is>
          <t>ITAPUÃ</t>
        </is>
      </c>
      <c r="F2124" s="14" t="inlineStr">
        <is>
          <t>RUA GENEBALDO FIGUEIREDO, 10 - ZONA URBANA</t>
        </is>
      </c>
      <c r="G2124" s="27" t="inlineStr">
        <is>
          <t>41610-180</t>
        </is>
      </c>
      <c r="H2124" s="15" t="n">
        <v>8</v>
      </c>
      <c r="I2124" s="28" t="inlineStr">
        <is>
          <t>SIM</t>
        </is>
      </c>
      <c r="J2124" s="29" t="n">
        <v>9</v>
      </c>
      <c r="K2124" s="14" t="str">
        <f>IF(J2124="","7. Acima de 2 km",IF(J2124&lt;=50,"1. Até 50 m",IF(J2124&lt;=100,"2. De 50 a 100 m",IF(J2124&lt;=200,"3. De 100 a 200 m",IF(J2124&lt;=300,"4. De 200 a 300 m",IF(J2124&lt;=500,"5. De 300 a 500 m","6. De 500 m a 2 km"))))))</f>
        <v>1. Até 50 m</v>
      </c>
      <c r="L2124" s="26" t="n">
        <v>1</v>
      </c>
      <c r="M2124" s="26" t="n">
        <v>3</v>
      </c>
      <c r="N2124" s="26" t="n">
        <v>5</v>
      </c>
      <c r="O2124" s="26" t="n">
        <v>6</v>
      </c>
      <c r="P2124" s="30" t="n">
        <v>-12.9457143</v>
      </c>
      <c r="Q2124" s="30" t="n">
        <v>-38.3607025</v>
      </c>
      <c r="R2124" s="14" t="inlineStr">
        <is>
          <t>CARTÓRIO DA 12ª ZONA ELEITORAL, 1ª AVENIDA DO CENTRO ADMINISTRATIVO DA BAHIA, 150, SALVADOR-BA.</t>
        </is>
      </c>
      <c r="S2124" s="26">
        <f>IF(A2124=A2123,0,1)</f>
        <v>0</v>
      </c>
      <c r="T2124" s="26">
        <f>IF(COUNTIF($B$4:B2124,B2124)=1,1,0)</f>
        <v>0</v>
      </c>
    </row>
    <row r="2125">
      <c r="A2125" s="14" t="inlineStr">
        <is>
          <t>SALVADOR</t>
        </is>
      </c>
      <c r="B2125" s="26" t="n">
        <v>12</v>
      </c>
      <c r="C2125" s="26" t="n">
        <v>1538</v>
      </c>
      <c r="D2125" s="14" t="inlineStr">
        <is>
          <t>ESCOLA MUNICIPAL OSVALDO GORDILHO</t>
        </is>
      </c>
      <c r="E2125" s="14" t="inlineStr">
        <is>
          <t>SÃO CRISTÓVÃO</t>
        </is>
      </c>
      <c r="F2125" s="14" t="inlineStr">
        <is>
          <t>RUA SANTO AGOSTINHO, 203 - ZONA URBANA</t>
        </is>
      </c>
      <c r="G2125" s="27" t="inlineStr">
        <is>
          <t>41500-370</t>
        </is>
      </c>
      <c r="H2125" s="15" t="n">
        <v>2</v>
      </c>
      <c r="I2125" s="28" t="inlineStr">
        <is>
          <t>NÃO</t>
        </is>
      </c>
      <c r="J2125" s="29" t="n">
        <v>440.6</v>
      </c>
      <c r="K2125" s="14" t="str">
        <f>IF(J2125="","7. Acima de 2 km",IF(J2125&lt;=50,"1. Até 50 m",IF(J2125&lt;=100,"2. De 50 a 100 m",IF(J2125&lt;=200,"3. De 100 a 200 m",IF(J2125&lt;=300,"4. De 200 a 300 m",IF(J2125&lt;=500,"5. De 300 a 500 m","6. De 500 m a 2 km"))))))</f>
        <v>5. De 300 a 500 m</v>
      </c>
      <c r="L2125" s="26" t="n">
        <v>0</v>
      </c>
      <c r="M2125" s="26" t="n">
        <v>0</v>
      </c>
      <c r="N2125" s="26" t="n">
        <v>0</v>
      </c>
      <c r="O2125" s="26" t="n">
        <v>0</v>
      </c>
      <c r="P2125" s="30" t="n">
        <v>-12.9130551</v>
      </c>
      <c r="Q2125" s="30" t="n">
        <v>-38.3580262</v>
      </c>
      <c r="R2125" s="14" t="inlineStr">
        <is>
          <t>CARTÓRIO DA 12ª ZONA ELEITORAL, 1ª AVENIDA DO CENTRO ADMINISTRATIVO DA BAHIA, 150, SALVADOR-BA.</t>
        </is>
      </c>
      <c r="S2125" s="26">
        <f>IF(A2125=A2124,0,1)</f>
        <v>0</v>
      </c>
      <c r="T2125" s="26">
        <f>IF(COUNTIF($B$4:B2125,B2125)=1,1,0)</f>
        <v>0</v>
      </c>
    </row>
    <row r="2126">
      <c r="A2126" s="14" t="inlineStr">
        <is>
          <t>SALVADOR</t>
        </is>
      </c>
      <c r="B2126" s="26" t="n">
        <v>12</v>
      </c>
      <c r="C2126" s="26" t="n">
        <v>1554</v>
      </c>
      <c r="D2126" s="14" t="inlineStr">
        <is>
          <t>ESCOLA MUNICIPAL JARDIM DAS MARGARIDAS</t>
        </is>
      </c>
      <c r="E2126" s="14" t="inlineStr">
        <is>
          <t>JARDIM DAS MARGARIDAS</t>
        </is>
      </c>
      <c r="F2126" s="14" t="inlineStr">
        <is>
          <t>RUA JOAQUIM FERREIRA, S/N - ZONA URBANA</t>
        </is>
      </c>
      <c r="G2126" s="27" t="inlineStr">
        <is>
          <t>41502-200</t>
        </is>
      </c>
      <c r="H2126" s="15" t="n">
        <v>5</v>
      </c>
      <c r="I2126" s="28" t="inlineStr">
        <is>
          <t>NÃO</t>
        </is>
      </c>
      <c r="J2126" s="29" t="n">
        <v>601.5</v>
      </c>
      <c r="K2126" s="14" t="str">
        <f>IF(J2126="","7. Acima de 2 km",IF(J2126&lt;=50,"1. Até 50 m",IF(J2126&lt;=100,"2. De 50 a 100 m",IF(J2126&lt;=200,"3. De 100 a 200 m",IF(J2126&lt;=300,"4. De 200 a 300 m",IF(J2126&lt;=500,"5. De 300 a 500 m","6. De 500 m a 2 km"))))))</f>
        <v>6. De 500 m a 2 km</v>
      </c>
      <c r="L2126" s="26" t="n">
        <v>0</v>
      </c>
      <c r="M2126" s="26" t="n">
        <v>0</v>
      </c>
      <c r="N2126" s="26" t="n">
        <v>0</v>
      </c>
      <c r="O2126" s="26" t="n">
        <v>0</v>
      </c>
      <c r="P2126" s="30" t="n">
        <v>-12.8933749</v>
      </c>
      <c r="Q2126" s="30" t="n">
        <v>-38.3612521</v>
      </c>
      <c r="R2126" s="14" t="inlineStr">
        <is>
          <t>CARTÓRIO DA 12ª ZONA ELEITORAL, 1ª AVENIDA DO CENTRO ADMINISTRATIVO DA BAHIA, 150, SALVADOR-BA.</t>
        </is>
      </c>
      <c r="S2126" s="26">
        <f>IF(A2126=A2125,0,1)</f>
        <v>0</v>
      </c>
      <c r="T2126" s="26">
        <f>IF(COUNTIF($B$4:B2126,B2126)=1,1,0)</f>
        <v>0</v>
      </c>
    </row>
    <row r="2127">
      <c r="A2127" s="14" t="inlineStr">
        <is>
          <t>SALVADOR</t>
        </is>
      </c>
      <c r="B2127" s="26" t="n">
        <v>12</v>
      </c>
      <c r="C2127" s="26" t="n">
        <v>1570</v>
      </c>
      <c r="D2127" s="14" t="inlineStr">
        <is>
          <t>ESCOLA GÊNESIS</t>
        </is>
      </c>
      <c r="E2127" s="14" t="inlineStr">
        <is>
          <t>STELLA MARIS</t>
        </is>
      </c>
      <c r="F2127" s="14" t="inlineStr">
        <is>
          <t>RUA CAPITÃO MELO, 185 - ZONA URBANA</t>
        </is>
      </c>
      <c r="G2127" s="27" t="inlineStr">
        <is>
          <t>41600-610</t>
        </is>
      </c>
      <c r="H2127" s="15" t="n">
        <v>8</v>
      </c>
      <c r="I2127" s="28" t="inlineStr">
        <is>
          <t>SIM</t>
        </is>
      </c>
      <c r="J2127" s="29" t="n">
        <v>52.5</v>
      </c>
      <c r="K2127" s="14" t="str">
        <f>IF(J2127="","7. Acima de 2 km",IF(J2127&lt;=50,"1. Até 50 m",IF(J2127&lt;=100,"2. De 50 a 100 m",IF(J2127&lt;=200,"3. De 100 a 200 m",IF(J2127&lt;=300,"4. De 200 a 300 m",IF(J2127&lt;=500,"5. De 300 a 500 m","6. De 500 m a 2 km"))))))</f>
        <v>2. De 50 a 100 m</v>
      </c>
      <c r="L2127" s="26" t="n">
        <v>0</v>
      </c>
      <c r="M2127" s="26" t="n">
        <v>1</v>
      </c>
      <c r="N2127" s="26" t="n">
        <v>3</v>
      </c>
      <c r="O2127" s="26" t="n">
        <v>4</v>
      </c>
      <c r="P2127" s="30" t="n">
        <v>-12.936907</v>
      </c>
      <c r="Q2127" s="30" t="n">
        <v>-38.3322523</v>
      </c>
      <c r="R2127" s="14" t="inlineStr">
        <is>
          <t>CARTÓRIO DA 12ª ZONA ELEITORAL, 1ª AVENIDA DO CENTRO ADMINISTRATIVO DA BAHIA, 150, SALVADOR-BA.</t>
        </is>
      </c>
      <c r="S2127" s="26">
        <f>IF(A2127=A2126,0,1)</f>
        <v>0</v>
      </c>
      <c r="T2127" s="26">
        <f>IF(COUNTIF($B$4:B2127,B2127)=1,1,0)</f>
        <v>0</v>
      </c>
    </row>
    <row r="2128">
      <c r="A2128" s="14" t="inlineStr">
        <is>
          <t>SALVADOR</t>
        </is>
      </c>
      <c r="B2128" s="26" t="n">
        <v>12</v>
      </c>
      <c r="C2128" s="26" t="n">
        <v>1597</v>
      </c>
      <c r="D2128" s="14" t="inlineStr">
        <is>
          <t>CRECHE E PRÉ ESCOLA PRIMEIRO PASSO DE ITAPUÃ MALÊ DEBALÊ</t>
        </is>
      </c>
      <c r="E2128" s="14" t="inlineStr">
        <is>
          <t>ITAPUÃ</t>
        </is>
      </c>
      <c r="F2128" s="14" t="inlineStr">
        <is>
          <t>LADEIRA DO MIRANTE, S/N - ZONA URBANA</t>
        </is>
      </c>
      <c r="G2128" s="27" t="inlineStr">
        <is>
          <t>41640-080</t>
        </is>
      </c>
      <c r="H2128" s="15" t="n">
        <v>5</v>
      </c>
      <c r="I2128" s="28" t="inlineStr">
        <is>
          <t>SIM</t>
        </is>
      </c>
      <c r="J2128" s="29" t="n">
        <v>57.9</v>
      </c>
      <c r="K2128" s="14" t="str">
        <f>IF(J2128="","7. Acima de 2 km",IF(J2128&lt;=50,"1. Até 50 m",IF(J2128&lt;=100,"2. De 50 a 100 m",IF(J2128&lt;=200,"3. De 100 a 200 m",IF(J2128&lt;=300,"4. De 200 a 300 m",IF(J2128&lt;=500,"5. De 300 a 500 m","6. De 500 m a 2 km"))))))</f>
        <v>2. De 50 a 100 m</v>
      </c>
      <c r="L2128" s="26" t="n">
        <v>0</v>
      </c>
      <c r="M2128" s="26" t="n">
        <v>2</v>
      </c>
      <c r="N2128" s="26" t="n">
        <v>4</v>
      </c>
      <c r="O2128" s="26" t="n">
        <v>5</v>
      </c>
      <c r="P2128" s="30" t="n">
        <v>-12.9440392</v>
      </c>
      <c r="Q2128" s="30" t="n">
        <v>-38.3611414</v>
      </c>
      <c r="R2128" s="14" t="inlineStr">
        <is>
          <t>CARTÓRIO DA 12ª ZONA ELEITORAL, 1ª AVENIDA DO CENTRO ADMINISTRATIVO DA BAHIA, 150, SALVADOR-BA.</t>
        </is>
      </c>
      <c r="S2128" s="26">
        <f>IF(A2128=A2127,0,1)</f>
        <v>0</v>
      </c>
      <c r="T2128" s="26">
        <f>IF(COUNTIF($B$4:B2128,B2128)=1,1,0)</f>
        <v>0</v>
      </c>
    </row>
    <row r="2129">
      <c r="A2129" s="14" t="inlineStr">
        <is>
          <t>SALVADOR</t>
        </is>
      </c>
      <c r="B2129" s="26" t="n">
        <v>12</v>
      </c>
      <c r="C2129" s="26" t="n">
        <v>1619</v>
      </c>
      <c r="D2129" s="14" t="inlineStr">
        <is>
          <t>ESCOLA SULAMERICANA</t>
        </is>
      </c>
      <c r="E2129" s="14" t="inlineStr">
        <is>
          <t>PRAIA DO FLAMENGO</t>
        </is>
      </c>
      <c r="F2129" s="14" t="inlineStr">
        <is>
          <t>RUA THALES DE AZEVEDO, 26 ZONA URBANA</t>
        </is>
      </c>
      <c r="G2129" s="27" t="inlineStr">
        <is>
          <t>41603-280</t>
        </is>
      </c>
      <c r="H2129" s="15" t="n">
        <v>4</v>
      </c>
      <c r="I2129" s="28" t="inlineStr">
        <is>
          <t>NÃO</t>
        </is>
      </c>
      <c r="J2129" s="29" t="n">
        <v>161.4</v>
      </c>
      <c r="K2129" s="14" t="str">
        <f>IF(J2129="","7. Acima de 2 km",IF(J2129&lt;=50,"1. Até 50 m",IF(J2129&lt;=100,"2. De 50 a 100 m",IF(J2129&lt;=200,"3. De 100 a 200 m",IF(J2129&lt;=300,"4. De 200 a 300 m",IF(J2129&lt;=500,"5. De 300 a 500 m","6. De 500 m a 2 km"))))))</f>
        <v>3. De 100 a 200 m</v>
      </c>
      <c r="L2129" s="26" t="n">
        <v>0</v>
      </c>
      <c r="M2129" s="26" t="n">
        <v>0</v>
      </c>
      <c r="N2129" s="26" t="n">
        <v>2</v>
      </c>
      <c r="O2129" s="26" t="n">
        <v>2</v>
      </c>
      <c r="P2129" s="30" t="n">
        <v>-12.9256862</v>
      </c>
      <c r="Q2129" s="30" t="n">
        <v>-38.3172473</v>
      </c>
      <c r="R2129" s="14" t="inlineStr">
        <is>
          <t>CARTÓRIO DA 12ª ZONA ELEITORAL, 1ª AVENIDA DO CENTRO ADMINISTRATIVO DA BAHIA, 150, SALVADOR-BA.</t>
        </is>
      </c>
      <c r="S2129" s="26">
        <f>IF(A2129=A2128,0,1)</f>
        <v>0</v>
      </c>
      <c r="T2129" s="26">
        <f>IF(COUNTIF($B$4:B2129,B2129)=1,1,0)</f>
        <v>0</v>
      </c>
    </row>
    <row r="2130">
      <c r="A2130" s="14" t="inlineStr">
        <is>
          <t>SALVADOR</t>
        </is>
      </c>
      <c r="B2130" s="26" t="n">
        <v>12</v>
      </c>
      <c r="C2130" s="26" t="n">
        <v>1627</v>
      </c>
      <c r="D2130" s="14" t="inlineStr">
        <is>
          <t>SEDE DO BLOCO MALÊ DEBALÊ</t>
        </is>
      </c>
      <c r="E2130" s="14" t="inlineStr">
        <is>
          <t>ITAPUÃ</t>
        </is>
      </c>
      <c r="F2130" s="14" t="inlineStr">
        <is>
          <t>ALTO DO ABAETÉ, SN - ZONA URBANA</t>
        </is>
      </c>
      <c r="G2130" s="27" t="inlineStr">
        <is>
          <t>41610-510</t>
        </is>
      </c>
      <c r="H2130" s="15" t="n">
        <v>6</v>
      </c>
      <c r="I2130" s="28" t="inlineStr">
        <is>
          <t>SIM</t>
        </is>
      </c>
      <c r="J2130" s="29" t="n">
        <v>78.5</v>
      </c>
      <c r="K2130" s="14" t="str">
        <f>IF(J2130="","7. Acima de 2 km",IF(J2130&lt;=50,"1. Até 50 m",IF(J2130&lt;=100,"2. De 50 a 100 m",IF(J2130&lt;=200,"3. De 100 a 200 m",IF(J2130&lt;=300,"4. De 200 a 300 m",IF(J2130&lt;=500,"5. De 300 a 500 m","6. De 500 m a 2 km"))))))</f>
        <v>2. De 50 a 100 m</v>
      </c>
      <c r="L2130" s="26" t="n">
        <v>0</v>
      </c>
      <c r="M2130" s="26" t="n">
        <v>1</v>
      </c>
      <c r="N2130" s="26" t="n">
        <v>4</v>
      </c>
      <c r="O2130" s="26" t="n">
        <v>5</v>
      </c>
      <c r="P2130" s="30" t="n">
        <v>-12.9441968</v>
      </c>
      <c r="Q2130" s="30" t="n">
        <v>-38.3617163</v>
      </c>
      <c r="R2130" s="14" t="inlineStr">
        <is>
          <t>CARTÓRIO DA 12ª ZONA ELEITORAL, 1ª AVENIDA DO CENTRO ADMINISTRATIVO DA BAHIA, 150, SALVADOR-BA.</t>
        </is>
      </c>
      <c r="S2130" s="26">
        <f>IF(A2130=A2129,0,1)</f>
        <v>0</v>
      </c>
      <c r="T2130" s="26">
        <f>IF(COUNTIF($B$4:B2130,B2130)=1,1,0)</f>
        <v>0</v>
      </c>
    </row>
    <row r="2131">
      <c r="A2131" s="14" t="inlineStr">
        <is>
          <t>SALVADOR</t>
        </is>
      </c>
      <c r="B2131" s="26" t="n">
        <v>12</v>
      </c>
      <c r="C2131" s="26" t="n">
        <v>1635</v>
      </c>
      <c r="D2131" s="14" t="inlineStr">
        <is>
          <t>ESCOLA MUNICIPAL LAURA SALES DE ALMEIDA</t>
        </is>
      </c>
      <c r="E2131" s="14" t="inlineStr">
        <is>
          <t>SÃO CRISTÓVÃO</t>
        </is>
      </c>
      <c r="F2131" s="14" t="inlineStr">
        <is>
          <t>RUA ESPERANÇA DO VILA VERDE, 146 - ZONA URBANA</t>
        </is>
      </c>
      <c r="G2131" s="27" t="inlineStr">
        <is>
          <t>41510-197</t>
        </is>
      </c>
      <c r="H2131" s="15" t="n">
        <v>1</v>
      </c>
      <c r="I2131" s="28" t="inlineStr">
        <is>
          <t>NÃO</t>
        </is>
      </c>
      <c r="J2131" s="29" t="n">
        <v>649.2</v>
      </c>
      <c r="K2131" s="14" t="str">
        <f>IF(J2131="","7. Acima de 2 km",IF(J2131&lt;=50,"1. Até 50 m",IF(J2131&lt;=100,"2. De 50 a 100 m",IF(J2131&lt;=200,"3. De 100 a 200 m",IF(J2131&lt;=300,"4. De 200 a 300 m",IF(J2131&lt;=500,"5. De 300 a 500 m","6. De 500 m a 2 km"))))))</f>
        <v>6. De 500 m a 2 km</v>
      </c>
      <c r="L2131" s="26" t="n">
        <v>0</v>
      </c>
      <c r="M2131" s="26" t="n">
        <v>0</v>
      </c>
      <c r="N2131" s="26" t="n">
        <v>0</v>
      </c>
      <c r="O2131" s="26" t="n">
        <v>0</v>
      </c>
      <c r="P2131" s="30" t="n">
        <v>-12.9130125</v>
      </c>
      <c r="Q2131" s="30" t="n">
        <v>-38.3784644</v>
      </c>
      <c r="R2131" s="14" t="inlineStr">
        <is>
          <t>CARTÓRIO DA 12ª ZONA ELEITORAL, 1ª AVENIDA DO CENTRO ADMINISTRATIVO DA BAHIA, 150, SALVADOR-BA.</t>
        </is>
      </c>
      <c r="S2131" s="26">
        <f>IF(A2131=A2130,0,1)</f>
        <v>0</v>
      </c>
      <c r="T2131" s="26">
        <f>IF(COUNTIF($B$4:B2131,B2131)=1,1,0)</f>
        <v>0</v>
      </c>
    </row>
    <row r="2132">
      <c r="A2132" s="14" t="inlineStr">
        <is>
          <t>SALVADOR</t>
        </is>
      </c>
      <c r="B2132" s="26" t="n">
        <v>13</v>
      </c>
      <c r="C2132" s="26" t="n">
        <v>1015</v>
      </c>
      <c r="D2132" s="14" t="inlineStr">
        <is>
          <t>ESCOLA NOSSA SENHORA DA LUZ</t>
        </is>
      </c>
      <c r="E2132" s="14" t="inlineStr">
        <is>
          <t>PITUBA</t>
        </is>
      </c>
      <c r="F2132" s="14" t="inlineStr">
        <is>
          <t>RUA CEARÁ, 852 - ZONA URBANA</t>
        </is>
      </c>
      <c r="G2132" s="27" t="inlineStr">
        <is>
          <t>41830-451</t>
        </is>
      </c>
      <c r="H2132" s="15" t="n">
        <v>10</v>
      </c>
      <c r="I2132" s="28" t="inlineStr">
        <is>
          <t>SIM</t>
        </is>
      </c>
      <c r="J2132" s="29" t="n">
        <v>50.9</v>
      </c>
      <c r="K2132" s="14" t="str">
        <f>IF(J2132="","7. Acima de 2 km",IF(J2132&lt;=50,"1. Até 50 m",IF(J2132&lt;=100,"2. De 50 a 100 m",IF(J2132&lt;=200,"3. De 100 a 200 m",IF(J2132&lt;=300,"4. De 200 a 300 m",IF(J2132&lt;=500,"5. De 300 a 500 m","6. De 500 m a 2 km"))))))</f>
        <v>2. De 50 a 100 m</v>
      </c>
      <c r="L2132" s="26" t="n">
        <v>0</v>
      </c>
      <c r="M2132" s="26" t="n">
        <v>1</v>
      </c>
      <c r="N2132" s="26" t="n">
        <v>1</v>
      </c>
      <c r="O2132" s="26" t="n">
        <v>2</v>
      </c>
      <c r="P2132" s="30" t="n">
        <v>-13.002851</v>
      </c>
      <c r="Q2132" s="30" t="n">
        <v>-38.4596137</v>
      </c>
      <c r="R2132" s="14" t="inlineStr">
        <is>
          <t>CARTÓRIO DA 13ª ZONA ELEITORAL, 1ª AVENIDA DO CENTRO ADMINISTRATIVO DA BAHIA, 150, SALVADOR-BA.</t>
        </is>
      </c>
      <c r="S2132" s="26">
        <f>IF(A2132=A2131,0,1)</f>
        <v>0</v>
      </c>
      <c r="T2132" s="26">
        <f>IF(COUNTIF($B$4:B2132,B2132)=1,1,0)</f>
        <v>1</v>
      </c>
    </row>
    <row r="2133">
      <c r="A2133" s="14" t="inlineStr">
        <is>
          <t>SALVADOR</t>
        </is>
      </c>
      <c r="B2133" s="26" t="n">
        <v>13</v>
      </c>
      <c r="C2133" s="26" t="n">
        <v>1023</v>
      </c>
      <c r="D2133" s="14" t="inlineStr">
        <is>
          <t>COLÉGIO SARTRE-COC - UNIDADE NOBEL</t>
        </is>
      </c>
      <c r="E2133" s="14" t="inlineStr">
        <is>
          <t>ITAIGARA</t>
        </is>
      </c>
      <c r="F2133" s="14" t="inlineStr">
        <is>
          <t>RUA JOÃO VARELA, 184 - ZONA URBANA</t>
        </is>
      </c>
      <c r="G2133" s="27" t="inlineStr">
        <is>
          <t>41815-070</t>
        </is>
      </c>
      <c r="H2133" s="15" t="n">
        <v>17</v>
      </c>
      <c r="I2133" s="28" t="inlineStr">
        <is>
          <t>NÃO</t>
        </is>
      </c>
      <c r="J2133" s="29" t="n">
        <v>100.1</v>
      </c>
      <c r="K2133" s="14" t="str">
        <f>IF(J2133="","7. Acima de 2 km",IF(J2133&lt;=50,"1. Até 50 m",IF(J2133&lt;=100,"2. De 50 a 100 m",IF(J2133&lt;=200,"3. De 100 a 200 m",IF(J2133&lt;=300,"4. De 200 a 300 m",IF(J2133&lt;=500,"5. De 300 a 500 m","6. De 500 m a 2 km"))))))</f>
        <v>3. De 100 a 200 m</v>
      </c>
      <c r="L2133" s="26" t="n">
        <v>0</v>
      </c>
      <c r="M2133" s="26" t="n">
        <v>0</v>
      </c>
      <c r="N2133" s="26" t="n">
        <v>2</v>
      </c>
      <c r="O2133" s="26" t="n">
        <v>5</v>
      </c>
      <c r="P2133" s="30" t="n">
        <v>-12.9909638</v>
      </c>
      <c r="Q2133" s="30" t="n">
        <v>-38.4625102</v>
      </c>
      <c r="R2133" s="14" t="inlineStr">
        <is>
          <t>CARTÓRIO DA 13ª ZONA ELEITORAL, 1ª AVENIDA DO CENTRO ADMINISTRATIVO DA BAHIA, 150, SALVADOR-BA.</t>
        </is>
      </c>
      <c r="S2133" s="26">
        <f>IF(A2133=A2132,0,1)</f>
        <v>0</v>
      </c>
      <c r="T2133" s="26">
        <f>IF(COUNTIF($B$4:B2133,B2133)=1,1,0)</f>
        <v>0</v>
      </c>
    </row>
    <row r="2134">
      <c r="A2134" s="14" t="inlineStr">
        <is>
          <t>SALVADOR</t>
        </is>
      </c>
      <c r="B2134" s="26" t="n">
        <v>13</v>
      </c>
      <c r="C2134" s="26" t="n">
        <v>1031</v>
      </c>
      <c r="D2134" s="14" t="inlineStr">
        <is>
          <t>COLÉGIO BERNOULLI</t>
        </is>
      </c>
      <c r="E2134" s="14" t="inlineStr">
        <is>
          <t>PITUBA</t>
        </is>
      </c>
      <c r="F2134" s="14" t="inlineStr">
        <is>
          <t>PRAÇA MARCONI, N 60 - ZONA URBANA</t>
        </is>
      </c>
      <c r="G2134" s="27" t="inlineStr">
        <is>
          <t>41810-225</t>
        </is>
      </c>
      <c r="H2134" s="15" t="n">
        <v>13</v>
      </c>
      <c r="I2134" s="28" t="inlineStr">
        <is>
          <t>SIM</t>
        </is>
      </c>
      <c r="J2134" s="29" t="n">
        <v>61</v>
      </c>
      <c r="K2134" s="14" t="str">
        <f>IF(J2134="","7. Acima de 2 km",IF(J2134&lt;=50,"1. Até 50 m",IF(J2134&lt;=100,"2. De 50 a 100 m",IF(J2134&lt;=200,"3. De 100 a 200 m",IF(J2134&lt;=300,"4. De 200 a 300 m",IF(J2134&lt;=500,"5. De 300 a 500 m","6. De 500 m a 2 km"))))))</f>
        <v>2. De 50 a 100 m</v>
      </c>
      <c r="L2134" s="26" t="n">
        <v>0</v>
      </c>
      <c r="M2134" s="26" t="n">
        <v>2</v>
      </c>
      <c r="N2134" s="26" t="n">
        <v>2</v>
      </c>
      <c r="O2134" s="26" t="n">
        <v>3</v>
      </c>
      <c r="P2134" s="30" t="n">
        <v>-13.0023969</v>
      </c>
      <c r="Q2134" s="30" t="n">
        <v>-38.4552229</v>
      </c>
      <c r="R2134" s="14" t="inlineStr">
        <is>
          <t>CARTÓRIO DA 13ª ZONA ELEITORAL, 1ª AVENIDA DO CENTRO ADMINISTRATIVO DA BAHIA, 150, SALVADOR-BA.</t>
        </is>
      </c>
      <c r="S2134" s="26">
        <f>IF(A2134=A2133,0,1)</f>
        <v>0</v>
      </c>
      <c r="T2134" s="26">
        <f>IF(COUNTIF($B$4:B2134,B2134)=1,1,0)</f>
        <v>0</v>
      </c>
    </row>
    <row r="2135">
      <c r="A2135" s="14" t="inlineStr">
        <is>
          <t>SALVADOR</t>
        </is>
      </c>
      <c r="B2135" s="26" t="n">
        <v>13</v>
      </c>
      <c r="C2135" s="26" t="n">
        <v>1066</v>
      </c>
      <c r="D2135" s="14" t="inlineStr">
        <is>
          <t>COLÉGIO SÃO PAULO</t>
        </is>
      </c>
      <c r="E2135" s="14" t="inlineStr">
        <is>
          <t>ITAIGARA</t>
        </is>
      </c>
      <c r="F2135" s="14" t="inlineStr">
        <is>
          <t>RUA LUIZ PORTELA DA SILVA, N 628 - ZONA URBANA</t>
        </is>
      </c>
      <c r="G2135" s="27" t="inlineStr">
        <is>
          <t>41815-290</t>
        </is>
      </c>
      <c r="H2135" s="15" t="n">
        <v>17</v>
      </c>
      <c r="I2135" s="28" t="inlineStr">
        <is>
          <t>NÃO</t>
        </is>
      </c>
      <c r="J2135" s="29" t="n">
        <v>493.1</v>
      </c>
      <c r="K2135" s="14" t="str">
        <f>IF(J2135="","7. Acima de 2 km",IF(J2135&lt;=50,"1. Até 50 m",IF(J2135&lt;=100,"2. De 50 a 100 m",IF(J2135&lt;=200,"3. De 100 a 200 m",IF(J2135&lt;=300,"4. De 200 a 300 m",IF(J2135&lt;=500,"5. De 300 a 500 m","6. De 500 m a 2 km"))))))</f>
        <v>5. De 300 a 500 m</v>
      </c>
      <c r="L2135" s="26" t="n">
        <v>0</v>
      </c>
      <c r="M2135" s="26" t="n">
        <v>0</v>
      </c>
      <c r="N2135" s="26" t="n">
        <v>0</v>
      </c>
      <c r="O2135" s="26" t="n">
        <v>0</v>
      </c>
      <c r="P2135" s="30" t="n">
        <v>-12.9913509</v>
      </c>
      <c r="Q2135" s="30" t="n">
        <v>-38.4693248</v>
      </c>
      <c r="R2135" s="14" t="inlineStr">
        <is>
          <t>CARTÓRIO DA 13ª ZONA ELEITORAL, 1ª AVENIDA DO CENTRO ADMINISTRATIVO DA BAHIA, 150, SALVADOR-BA.</t>
        </is>
      </c>
      <c r="S2135" s="26">
        <f>IF(A2135=A2134,0,1)</f>
        <v>0</v>
      </c>
      <c r="T2135" s="26">
        <f>IF(COUNTIF($B$4:B2135,B2135)=1,1,0)</f>
        <v>0</v>
      </c>
    </row>
    <row r="2136">
      <c r="A2136" s="14" t="inlineStr">
        <is>
          <t>SALVADOR</t>
        </is>
      </c>
      <c r="B2136" s="26" t="n">
        <v>13</v>
      </c>
      <c r="C2136" s="26" t="n">
        <v>1074</v>
      </c>
      <c r="D2136" s="14" t="inlineStr">
        <is>
          <t>ESCOLA RAPHAEL SERRAVALLE</t>
        </is>
      </c>
      <c r="E2136" s="14" t="inlineStr">
        <is>
          <t>PITUBA</t>
        </is>
      </c>
      <c r="F2136" s="14" t="inlineStr">
        <is>
          <t>RUA GUILLARD MUNIZ, S/N - ZONA URBANA</t>
        </is>
      </c>
      <c r="G2136" s="27" t="inlineStr">
        <is>
          <t>41810-110</t>
        </is>
      </c>
      <c r="H2136" s="15" t="n">
        <v>20</v>
      </c>
      <c r="I2136" s="28" t="inlineStr">
        <is>
          <t>NÃO</t>
        </is>
      </c>
      <c r="J2136" s="29" t="n">
        <v>148.1</v>
      </c>
      <c r="K2136" s="14" t="str">
        <f>IF(J2136="","7. Acima de 2 km",IF(J2136&lt;=50,"1. Até 50 m",IF(J2136&lt;=100,"2. De 50 a 100 m",IF(J2136&lt;=200,"3. De 100 a 200 m",IF(J2136&lt;=300,"4. De 200 a 300 m",IF(J2136&lt;=500,"5. De 300 a 500 m","6. De 500 m a 2 km"))))))</f>
        <v>3. De 100 a 200 m</v>
      </c>
      <c r="L2136" s="26" t="n">
        <v>0</v>
      </c>
      <c r="M2136" s="26" t="n">
        <v>0</v>
      </c>
      <c r="N2136" s="26" t="n">
        <v>1</v>
      </c>
      <c r="O2136" s="26" t="n">
        <v>3</v>
      </c>
      <c r="P2136" s="30" t="n">
        <v>-12.9917989</v>
      </c>
      <c r="Q2136" s="30" t="n">
        <v>-38.4567391</v>
      </c>
      <c r="R2136" s="14" t="inlineStr">
        <is>
          <t>CARTÓRIO DA 13ª ZONA ELEITORAL, 1ª AVENIDA DO CENTRO ADMINISTRATIVO DA BAHIA, 150, SALVADOR-BA.</t>
        </is>
      </c>
      <c r="S2136" s="26">
        <f>IF(A2136=A2135,0,1)</f>
        <v>0</v>
      </c>
      <c r="T2136" s="26">
        <f>IF(COUNTIF($B$4:B2136,B2136)=1,1,0)</f>
        <v>0</v>
      </c>
    </row>
    <row r="2137">
      <c r="A2137" s="14" t="inlineStr">
        <is>
          <t>SALVADOR</t>
        </is>
      </c>
      <c r="B2137" s="26" t="n">
        <v>13</v>
      </c>
      <c r="C2137" s="26" t="n">
        <v>1090</v>
      </c>
      <c r="D2137" s="14" t="inlineStr">
        <is>
          <t>COLÉGIO SARTRE COC</t>
        </is>
      </c>
      <c r="E2137" s="14" t="inlineStr">
        <is>
          <t>ITAIGARA</t>
        </is>
      </c>
      <c r="F2137" s="14" t="inlineStr">
        <is>
          <t>RUA REITOR MACEDO COSTA, 180 - ZONA URBANA</t>
        </is>
      </c>
      <c r="G2137" s="27" t="inlineStr">
        <is>
          <t>41815-150</t>
        </is>
      </c>
      <c r="H2137" s="15" t="n">
        <v>17</v>
      </c>
      <c r="I2137" s="28" t="inlineStr">
        <is>
          <t>NÃO</t>
        </is>
      </c>
      <c r="J2137" s="29" t="n">
        <v>282.8</v>
      </c>
      <c r="K2137" s="14" t="str">
        <f>IF(J2137="","7. Acima de 2 km",IF(J2137&lt;=50,"1. Até 50 m",IF(J2137&lt;=100,"2. De 50 a 100 m",IF(J2137&lt;=200,"3. De 100 a 200 m",IF(J2137&lt;=300,"4. De 200 a 300 m",IF(J2137&lt;=500,"5. De 300 a 500 m","6. De 500 m a 2 km"))))))</f>
        <v>4. De 200 a 300 m</v>
      </c>
      <c r="L2137" s="26" t="n">
        <v>0</v>
      </c>
      <c r="M2137" s="26" t="n">
        <v>0</v>
      </c>
      <c r="N2137" s="26" t="n">
        <v>0</v>
      </c>
      <c r="O2137" s="26" t="n">
        <v>1</v>
      </c>
      <c r="P2137" s="30" t="n">
        <v>-12.9938354</v>
      </c>
      <c r="Q2137" s="30" t="n">
        <v>-38.4707656</v>
      </c>
      <c r="R2137" s="14" t="inlineStr">
        <is>
          <t>CARTÓRIO DA 13ª ZONA ELEITORAL, 1ª AVENIDA DO CENTRO ADMINISTRATIVO DA BAHIA, 150, SALVADOR-BA.</t>
        </is>
      </c>
      <c r="S2137" s="26">
        <f>IF(A2137=A2136,0,1)</f>
        <v>0</v>
      </c>
      <c r="T2137" s="26">
        <f>IF(COUNTIF($B$4:B2137,B2137)=1,1,0)</f>
        <v>0</v>
      </c>
    </row>
    <row r="2138">
      <c r="A2138" s="14" t="inlineStr">
        <is>
          <t>SALVADOR</t>
        </is>
      </c>
      <c r="B2138" s="26" t="n">
        <v>13</v>
      </c>
      <c r="C2138" s="26" t="n">
        <v>1120</v>
      </c>
      <c r="D2138" s="14" t="inlineStr">
        <is>
          <t>COLÉGIO OFICINA</t>
        </is>
      </c>
      <c r="E2138" s="14" t="inlineStr">
        <is>
          <t>PITUBA</t>
        </is>
      </c>
      <c r="F2138" s="14" t="inlineStr">
        <is>
          <t>RUA MIGUEL NAVARRO Y CANIZARES, N 423 - ZONA URBANA</t>
        </is>
      </c>
      <c r="G2138" s="27" t="inlineStr">
        <is>
          <t>41820-210</t>
        </is>
      </c>
      <c r="H2138" s="15" t="n">
        <v>17</v>
      </c>
      <c r="I2138" s="28" t="inlineStr">
        <is>
          <t>NÃO</t>
        </is>
      </c>
      <c r="J2138" s="29" t="n">
        <v>154.4</v>
      </c>
      <c r="K2138" s="14" t="str">
        <f>IF(J2138="","7. Acima de 2 km",IF(J2138&lt;=50,"1. Até 50 m",IF(J2138&lt;=100,"2. De 50 a 100 m",IF(J2138&lt;=200,"3. De 100 a 200 m",IF(J2138&lt;=300,"4. De 200 a 300 m",IF(J2138&lt;=500,"5. De 300 a 500 m","6. De 500 m a 2 km"))))))</f>
        <v>3. De 100 a 200 m</v>
      </c>
      <c r="L2138" s="26" t="n">
        <v>0</v>
      </c>
      <c r="M2138" s="26" t="n">
        <v>0</v>
      </c>
      <c r="N2138" s="26" t="n">
        <v>1</v>
      </c>
      <c r="O2138" s="26" t="n">
        <v>6</v>
      </c>
      <c r="P2138" s="30" t="n">
        <v>-12.9918449</v>
      </c>
      <c r="Q2138" s="30" t="n">
        <v>-38.4533634</v>
      </c>
      <c r="R2138" s="14" t="inlineStr">
        <is>
          <t>CARTÓRIO DA 13ª ZONA ELEITORAL, 1ª AVENIDA DO CENTRO ADMINISTRATIVO DA BAHIA, 150, SALVADOR-BA.</t>
        </is>
      </c>
      <c r="S2138" s="26">
        <f>IF(A2138=A2137,0,1)</f>
        <v>0</v>
      </c>
      <c r="T2138" s="26">
        <f>IF(COUNTIF($B$4:B2138,B2138)=1,1,0)</f>
        <v>0</v>
      </c>
    </row>
    <row r="2139">
      <c r="A2139" s="14" t="inlineStr">
        <is>
          <t>SALVADOR</t>
        </is>
      </c>
      <c r="B2139" s="26" t="n">
        <v>13</v>
      </c>
      <c r="C2139" s="26" t="n">
        <v>1139</v>
      </c>
      <c r="D2139" s="14" t="inlineStr">
        <is>
          <t>COLÉGIO INTEGRAL</t>
        </is>
      </c>
      <c r="E2139" s="14" t="inlineStr">
        <is>
          <t>PITUBA</t>
        </is>
      </c>
      <c r="F2139" s="14" t="inlineStr">
        <is>
          <t>RUA FERNANDO MENEZES DE GÓES, 570 - ZONA URBANA</t>
        </is>
      </c>
      <c r="G2139" s="27" t="inlineStr">
        <is>
          <t>41810-700</t>
        </is>
      </c>
      <c r="H2139" s="15" t="n">
        <v>13</v>
      </c>
      <c r="I2139" s="28" t="inlineStr">
        <is>
          <t>SIM</t>
        </is>
      </c>
      <c r="J2139" s="29" t="n">
        <v>85.90000000000001</v>
      </c>
      <c r="K2139" s="14" t="str">
        <f>IF(J2139="","7. Acima de 2 km",IF(J2139&lt;=50,"1. Até 50 m",IF(J2139&lt;=100,"2. De 50 a 100 m",IF(J2139&lt;=200,"3. De 100 a 200 m",IF(J2139&lt;=300,"4. De 200 a 300 m",IF(J2139&lt;=500,"5. De 300 a 500 m","6. De 500 m a 2 km"))))))</f>
        <v>2. De 50 a 100 m</v>
      </c>
      <c r="L2139" s="26" t="n">
        <v>0</v>
      </c>
      <c r="M2139" s="26" t="n">
        <v>2</v>
      </c>
      <c r="N2139" s="26" t="n">
        <v>3</v>
      </c>
      <c r="O2139" s="26" t="n">
        <v>4</v>
      </c>
      <c r="P2139" s="30" t="n">
        <v>-12.9995275</v>
      </c>
      <c r="Q2139" s="30" t="n">
        <v>-38.4495474</v>
      </c>
      <c r="R2139" s="14" t="inlineStr">
        <is>
          <t>CARTÓRIO DA 13ª ZONA ELEITORAL, 1ª AVENIDA DO CENTRO ADMINISTRATIVO DA BAHIA, 150, SALVADOR-BA.</t>
        </is>
      </c>
      <c r="S2139" s="26">
        <f>IF(A2139=A2138,0,1)</f>
        <v>0</v>
      </c>
      <c r="T2139" s="26">
        <f>IF(COUNTIF($B$4:B2139,B2139)=1,1,0)</f>
        <v>0</v>
      </c>
    </row>
    <row r="2140">
      <c r="A2140" s="14" t="inlineStr">
        <is>
          <t>SALVADOR</t>
        </is>
      </c>
      <c r="B2140" s="26" t="n">
        <v>13</v>
      </c>
      <c r="C2140" s="26" t="n">
        <v>1147</v>
      </c>
      <c r="D2140" s="14" t="inlineStr">
        <is>
          <t>ESCOLA GIRASSOL</t>
        </is>
      </c>
      <c r="E2140" s="14" t="inlineStr">
        <is>
          <t>ITAIGARA</t>
        </is>
      </c>
      <c r="F2140" s="14" t="inlineStr">
        <is>
          <t>RUA SÍLVIO VALENTE, 384 - ZONA URBANA</t>
        </is>
      </c>
      <c r="G2140" s="27" t="inlineStr">
        <is>
          <t>41815-370</t>
        </is>
      </c>
      <c r="H2140" s="15" t="n">
        <v>15</v>
      </c>
      <c r="I2140" s="28" t="inlineStr">
        <is>
          <t>NÃO</t>
        </is>
      </c>
      <c r="J2140" s="29" t="n">
        <v>188.5</v>
      </c>
      <c r="K2140" s="14" t="str">
        <f>IF(J2140="","7. Acima de 2 km",IF(J2140&lt;=50,"1. Até 50 m",IF(J2140&lt;=100,"2. De 50 a 100 m",IF(J2140&lt;=200,"3. De 100 a 200 m",IF(J2140&lt;=300,"4. De 200 a 300 m",IF(J2140&lt;=500,"5. De 300 a 500 m","6. De 500 m a 2 km"))))))</f>
        <v>3. De 100 a 200 m</v>
      </c>
      <c r="L2140" s="26" t="n">
        <v>0</v>
      </c>
      <c r="M2140" s="26" t="n">
        <v>0</v>
      </c>
      <c r="N2140" s="26" t="n">
        <v>2</v>
      </c>
      <c r="O2140" s="26" t="n">
        <v>2</v>
      </c>
      <c r="P2140" s="30" t="n">
        <v>-12.99735</v>
      </c>
      <c r="Q2140" s="30" t="n">
        <v>-38.4621917</v>
      </c>
      <c r="R2140" s="14" t="inlineStr">
        <is>
          <t>CARTÓRIO DA 13ª ZONA ELEITORAL, 1ª AVENIDA DO CENTRO ADMINISTRATIVO DA BAHIA, 150, SALVADOR-BA.</t>
        </is>
      </c>
      <c r="S2140" s="26">
        <f>IF(A2140=A2139,0,1)</f>
        <v>0</v>
      </c>
      <c r="T2140" s="26">
        <f>IF(COUNTIF($B$4:B2140,B2140)=1,1,0)</f>
        <v>0</v>
      </c>
    </row>
    <row r="2141">
      <c r="A2141" s="14" t="inlineStr">
        <is>
          <t>SALVADOR</t>
        </is>
      </c>
      <c r="B2141" s="26" t="n">
        <v>13</v>
      </c>
      <c r="C2141" s="26" t="n">
        <v>1260</v>
      </c>
      <c r="D2141" s="14" t="inlineStr">
        <is>
          <t>COLÉGIO ANCHIETA</t>
        </is>
      </c>
      <c r="E2141" s="14" t="inlineStr">
        <is>
          <t>PITUBA</t>
        </is>
      </c>
      <c r="F2141" s="14" t="inlineStr">
        <is>
          <t>PRAÇA PADRE ANCHIETA, N 126 - ZONA URBANA</t>
        </is>
      </c>
      <c r="G2141" s="27" t="inlineStr">
        <is>
          <t>41810-830</t>
        </is>
      </c>
      <c r="H2141" s="15" t="n">
        <v>17</v>
      </c>
      <c r="I2141" s="28" t="inlineStr">
        <is>
          <t>NÃO</t>
        </is>
      </c>
      <c r="J2141" s="29" t="n">
        <v>226.8</v>
      </c>
      <c r="K2141" s="14" t="str">
        <f>IF(J2141="","7. Acima de 2 km",IF(J2141&lt;=50,"1. Até 50 m",IF(J2141&lt;=100,"2. De 50 a 100 m",IF(J2141&lt;=200,"3. De 100 a 200 m",IF(J2141&lt;=300,"4. De 200 a 300 m",IF(J2141&lt;=500,"5. De 300 a 500 m","6. De 500 m a 2 km"))))))</f>
        <v>4. De 200 a 300 m</v>
      </c>
      <c r="L2141" s="26" t="n">
        <v>0</v>
      </c>
      <c r="M2141" s="26" t="n">
        <v>0</v>
      </c>
      <c r="N2141" s="26" t="n">
        <v>0</v>
      </c>
      <c r="O2141" s="26" t="n">
        <v>3</v>
      </c>
      <c r="P2141" s="30" t="n">
        <v>-13.0023075</v>
      </c>
      <c r="Q2141" s="30" t="n">
        <v>-38.4529522</v>
      </c>
      <c r="R2141" s="14" t="inlineStr">
        <is>
          <t>CARTÓRIO DA 13ª ZONA ELEITORAL, 1ª AVENIDA DO CENTRO ADMINISTRATIVO DA BAHIA, 150, SALVADOR-BA.</t>
        </is>
      </c>
      <c r="S2141" s="26">
        <f>IF(A2141=A2140,0,1)</f>
        <v>0</v>
      </c>
      <c r="T2141" s="26">
        <f>IF(COUNTIF($B$4:B2141,B2141)=1,1,0)</f>
        <v>0</v>
      </c>
    </row>
    <row r="2142">
      <c r="A2142" s="14" t="inlineStr">
        <is>
          <t>SALVADOR</t>
        </is>
      </c>
      <c r="B2142" s="26" t="n">
        <v>13</v>
      </c>
      <c r="C2142" s="26" t="n">
        <v>1295</v>
      </c>
      <c r="D2142" s="14" t="inlineStr">
        <is>
          <t>COLÉGIO ESTADUAL PROFESSOR CARLOS SANT'ANNA</t>
        </is>
      </c>
      <c r="E2142" s="14" t="inlineStr">
        <is>
          <t>NORDESTE DE AMARALINA</t>
        </is>
      </c>
      <c r="F2142" s="14" t="inlineStr">
        <is>
          <t>RUA ALTO DOS COQUEIROS S/N  - ZONA URBANA</t>
        </is>
      </c>
      <c r="G2142" s="27" t="inlineStr">
        <is>
          <t>40315-170</t>
        </is>
      </c>
      <c r="H2142" s="15" t="n">
        <v>14</v>
      </c>
      <c r="I2142" s="28" t="inlineStr">
        <is>
          <t>SIM</t>
        </is>
      </c>
      <c r="J2142" s="29" t="n">
        <v>66</v>
      </c>
      <c r="K2142" s="14" t="str">
        <f>IF(J2142="","7. Acima de 2 km",IF(J2142&lt;=50,"1. Até 50 m",IF(J2142&lt;=100,"2. De 50 a 100 m",IF(J2142&lt;=200,"3. De 100 a 200 m",IF(J2142&lt;=300,"4. De 200 a 300 m",IF(J2142&lt;=500,"5. De 300 a 500 m","6. De 500 m a 2 km"))))))</f>
        <v>2. De 50 a 100 m</v>
      </c>
      <c r="L2142" s="26" t="n">
        <v>0</v>
      </c>
      <c r="M2142" s="26" t="n">
        <v>1</v>
      </c>
      <c r="N2142" s="26" t="n">
        <v>1</v>
      </c>
      <c r="O2142" s="26" t="n">
        <v>2</v>
      </c>
      <c r="P2142" s="30" t="n">
        <v>-13.00482933</v>
      </c>
      <c r="Q2142" s="30" t="n">
        <v>-38.46780272</v>
      </c>
      <c r="R2142" s="14" t="inlineStr">
        <is>
          <t>CARTÓRIO DA 13ª ZONA ELEITORAL, 1ª AVENIDA DO CENTRO ADMINISTRATIVO DA BAHIA, 150, SALVADOR-BA.</t>
        </is>
      </c>
      <c r="S2142" s="26">
        <f>IF(A2142=A2141,0,1)</f>
        <v>0</v>
      </c>
      <c r="T2142" s="26">
        <f>IF(COUNTIF($B$4:B2142,B2142)=1,1,0)</f>
        <v>0</v>
      </c>
    </row>
    <row r="2143">
      <c r="A2143" s="14" t="inlineStr">
        <is>
          <t>SALVADOR</t>
        </is>
      </c>
      <c r="B2143" s="26" t="n">
        <v>13</v>
      </c>
      <c r="C2143" s="26" t="n">
        <v>1317</v>
      </c>
      <c r="D2143" s="14" t="inlineStr">
        <is>
          <t>COLÉGIO CARLOS CORREA DE MENEZES SANT'ANNA II</t>
        </is>
      </c>
      <c r="E2143" s="14" t="inlineStr">
        <is>
          <t>PITUBA</t>
        </is>
      </c>
      <c r="F2143" s="14" t="inlineStr">
        <is>
          <t>RUA PARÁ, S/N, BECO DA CULTURA - ZONA URBANA</t>
        </is>
      </c>
      <c r="G2143" s="27" t="inlineStr">
        <is>
          <t>40315-170</t>
        </is>
      </c>
      <c r="H2143" s="15" t="n">
        <v>20</v>
      </c>
      <c r="I2143" s="28" t="inlineStr">
        <is>
          <t>SIM</t>
        </is>
      </c>
      <c r="J2143" s="29" t="n">
        <v>68.59999999999999</v>
      </c>
      <c r="K2143" s="14" t="str">
        <f>IF(J2143="","7. Acima de 2 km",IF(J2143&lt;=50,"1. Até 50 m",IF(J2143&lt;=100,"2. De 50 a 100 m",IF(J2143&lt;=200,"3. De 100 a 200 m",IF(J2143&lt;=300,"4. De 200 a 300 m",IF(J2143&lt;=500,"5. De 300 a 500 m","6. De 500 m a 2 km"))))))</f>
        <v>2. De 50 a 100 m</v>
      </c>
      <c r="L2143" s="26" t="n">
        <v>0</v>
      </c>
      <c r="M2143" s="26" t="n">
        <v>1</v>
      </c>
      <c r="N2143" s="26" t="n">
        <v>1</v>
      </c>
      <c r="O2143" s="26" t="n">
        <v>2</v>
      </c>
      <c r="P2143" s="30" t="n">
        <v>-13.0049745</v>
      </c>
      <c r="Q2143" s="30" t="n">
        <v>-38.4675113</v>
      </c>
      <c r="R2143" s="14" t="inlineStr">
        <is>
          <t>CARTÓRIO DA 13ª ZONA ELEITORAL, 1ª AVENIDA DO CENTRO ADMINISTRATIVO DA BAHIA, 150, SALVADOR-BA.</t>
        </is>
      </c>
      <c r="S2143" s="26">
        <f>IF(A2143=A2142,0,1)</f>
        <v>0</v>
      </c>
      <c r="T2143" s="26">
        <f>IF(COUNTIF($B$4:B2143,B2143)=1,1,0)</f>
        <v>0</v>
      </c>
    </row>
    <row r="2144">
      <c r="A2144" s="14" t="inlineStr">
        <is>
          <t>SALVADOR</t>
        </is>
      </c>
      <c r="B2144" s="26" t="n">
        <v>13</v>
      </c>
      <c r="C2144" s="26" t="n">
        <v>1325</v>
      </c>
      <c r="D2144" s="14" t="inlineStr">
        <is>
          <t>ESCOLA DE 1. GRAU SÁTIRO DIAS</t>
        </is>
      </c>
      <c r="E2144" s="14" t="inlineStr">
        <is>
          <t>PITUBA</t>
        </is>
      </c>
      <c r="F2144" s="14" t="inlineStr">
        <is>
          <t>RUA PARÁ 346 - ZONA URBANA</t>
        </is>
      </c>
      <c r="G2144" s="27" t="inlineStr">
        <is>
          <t>41830-070</t>
        </is>
      </c>
      <c r="H2144" s="15" t="n">
        <v>14</v>
      </c>
      <c r="I2144" s="28" t="inlineStr">
        <is>
          <t>NÃO</t>
        </is>
      </c>
      <c r="J2144" s="29" t="n">
        <v>209.6</v>
      </c>
      <c r="K2144" s="14" t="str">
        <f>IF(J2144="","7. Acima de 2 km",IF(J2144&lt;=50,"1. Até 50 m",IF(J2144&lt;=100,"2. De 50 a 100 m",IF(J2144&lt;=200,"3. De 100 a 200 m",IF(J2144&lt;=300,"4. De 200 a 300 m",IF(J2144&lt;=500,"5. De 300 a 500 m","6. De 500 m a 2 km"))))))</f>
        <v>4. De 200 a 300 m</v>
      </c>
      <c r="L2144" s="26" t="n">
        <v>0</v>
      </c>
      <c r="M2144" s="26" t="n">
        <v>0</v>
      </c>
      <c r="N2144" s="26" t="n">
        <v>0</v>
      </c>
      <c r="O2144" s="26" t="n">
        <v>4</v>
      </c>
      <c r="P2144" s="30" t="n">
        <v>-13.0081524</v>
      </c>
      <c r="Q2144" s="30" t="n">
        <v>-38.4668644</v>
      </c>
      <c r="R2144" s="14" t="inlineStr">
        <is>
          <t>CARTÓRIO DA 13ª ZONA ELEITORAL, 1ª AVENIDA DO CENTRO ADMINISTRATIVO DA BAHIA, 150, SALVADOR-BA.</t>
        </is>
      </c>
      <c r="S2144" s="26">
        <f>IF(A2144=A2143,0,1)</f>
        <v>0</v>
      </c>
      <c r="T2144" s="26">
        <f>IF(COUNTIF($B$4:B2144,B2144)=1,1,0)</f>
        <v>0</v>
      </c>
    </row>
    <row r="2145">
      <c r="A2145" s="14" t="inlineStr">
        <is>
          <t>SALVADOR</t>
        </is>
      </c>
      <c r="B2145" s="26" t="n">
        <v>13</v>
      </c>
      <c r="C2145" s="26" t="n">
        <v>1350</v>
      </c>
      <c r="D2145" s="14" t="inlineStr">
        <is>
          <t>ESCOLA TEODORO SAMPAIO</t>
        </is>
      </c>
      <c r="E2145" s="14" t="inlineStr">
        <is>
          <t>SANTA CRUZ</t>
        </is>
      </c>
      <c r="F2145" s="14" t="inlineStr">
        <is>
          <t>RUA DOUTOR ARMANDO COLAVOLPE  265 - ZONA URBANA</t>
        </is>
      </c>
      <c r="G2145" s="27" t="inlineStr">
        <is>
          <t>41925-025</t>
        </is>
      </c>
      <c r="H2145" s="15" t="n">
        <v>10</v>
      </c>
      <c r="I2145" s="28" t="inlineStr">
        <is>
          <t>NÃO</t>
        </is>
      </c>
      <c r="J2145" s="29" t="n">
        <v>206.7</v>
      </c>
      <c r="K2145" s="14" t="str">
        <f>IF(J2145="","7. Acima de 2 km",IF(J2145&lt;=50,"1. Até 50 m",IF(J2145&lt;=100,"2. De 50 a 100 m",IF(J2145&lt;=200,"3. De 100 a 200 m",IF(J2145&lt;=300,"4. De 200 a 300 m",IF(J2145&lt;=500,"5. De 300 a 500 m","6. De 500 m a 2 km"))))))</f>
        <v>4. De 200 a 300 m</v>
      </c>
      <c r="L2145" s="26" t="n">
        <v>0</v>
      </c>
      <c r="M2145" s="26" t="n">
        <v>0</v>
      </c>
      <c r="N2145" s="26" t="n">
        <v>0</v>
      </c>
      <c r="O2145" s="26" t="n">
        <v>1</v>
      </c>
      <c r="P2145" s="30" t="n">
        <v>-13.0033767</v>
      </c>
      <c r="Q2145" s="30" t="n">
        <v>-38.4762233</v>
      </c>
      <c r="R2145" s="14" t="inlineStr">
        <is>
          <t>CARTÓRIO DA 13ª ZONA ELEITORAL, 1ª AVENIDA DO CENTRO ADMINISTRATIVO DA BAHIA, 150, SALVADOR-BA.</t>
        </is>
      </c>
      <c r="S2145" s="26">
        <f>IF(A2145=A2144,0,1)</f>
        <v>0</v>
      </c>
      <c r="T2145" s="26">
        <f>IF(COUNTIF($B$4:B2145,B2145)=1,1,0)</f>
        <v>0</v>
      </c>
    </row>
    <row r="2146">
      <c r="A2146" s="14" t="inlineStr">
        <is>
          <t>SALVADOR</t>
        </is>
      </c>
      <c r="B2146" s="26" t="n">
        <v>13</v>
      </c>
      <c r="C2146" s="26" t="n">
        <v>1384</v>
      </c>
      <c r="D2146" s="14" t="inlineStr">
        <is>
          <t>ESCOLA ESTADUAL POLIVALENTE DE AMARALINA</t>
        </is>
      </c>
      <c r="E2146" s="14" t="inlineStr">
        <is>
          <t>PITUBA</t>
        </is>
      </c>
      <c r="F2146" s="14" t="inlineStr">
        <is>
          <t>RUA PARÁ 221 BECO DA CULTURA - ZONA URBANA</t>
        </is>
      </c>
      <c r="G2146" s="27" t="inlineStr">
        <is>
          <t>41927-000</t>
        </is>
      </c>
      <c r="H2146" s="15" t="n">
        <v>9</v>
      </c>
      <c r="I2146" s="28" t="inlineStr">
        <is>
          <t>NÃO</t>
        </is>
      </c>
      <c r="J2146" s="29" t="n">
        <v>110</v>
      </c>
      <c r="K2146" s="14" t="str">
        <f>IF(J2146="","7. Acima de 2 km",IF(J2146&lt;=50,"1. Até 50 m",IF(J2146&lt;=100,"2. De 50 a 100 m",IF(J2146&lt;=200,"3. De 100 a 200 m",IF(J2146&lt;=300,"4. De 200 a 300 m",IF(J2146&lt;=500,"5. De 300 a 500 m","6. De 500 m a 2 km"))))))</f>
        <v>3. De 100 a 200 m</v>
      </c>
      <c r="L2146" s="26" t="n">
        <v>0</v>
      </c>
      <c r="M2146" s="26" t="n">
        <v>0</v>
      </c>
      <c r="N2146" s="26" t="n">
        <v>2</v>
      </c>
      <c r="O2146" s="26" t="n">
        <v>2</v>
      </c>
      <c r="P2146" s="30" t="n">
        <v>-13.0060367</v>
      </c>
      <c r="Q2146" s="30" t="n">
        <v>-38.4687467</v>
      </c>
      <c r="R2146" s="14" t="inlineStr">
        <is>
          <t>CARTÓRIO DA 13ª ZONA ELEITORAL, 1ª AVENIDA DO CENTRO ADMINISTRATIVO DA BAHIA, 150, SALVADOR-BA.</t>
        </is>
      </c>
      <c r="S2146" s="26">
        <f>IF(A2146=A2145,0,1)</f>
        <v>0</v>
      </c>
      <c r="T2146" s="26">
        <f>IF(COUNTIF($B$4:B2146,B2146)=1,1,0)</f>
        <v>0</v>
      </c>
    </row>
    <row r="2147">
      <c r="A2147" s="14" t="inlineStr">
        <is>
          <t>SALVADOR</t>
        </is>
      </c>
      <c r="B2147" s="26" t="n">
        <v>13</v>
      </c>
      <c r="C2147" s="26" t="n">
        <v>1406</v>
      </c>
      <c r="D2147" s="14" t="inlineStr">
        <is>
          <t>ESCOLA CLARICE PEREIRA DOS SANTOS</t>
        </is>
      </c>
      <c r="E2147" s="14" t="inlineStr">
        <is>
          <t>SANTA CRUZ</t>
        </is>
      </c>
      <c r="F2147" s="14" t="inlineStr">
        <is>
          <t>RUA DO FUTURO S/N - ZONA URBANA</t>
        </is>
      </c>
      <c r="G2147" s="27" t="inlineStr">
        <is>
          <t>41925-490</t>
        </is>
      </c>
      <c r="H2147" s="15" t="n">
        <v>11</v>
      </c>
      <c r="I2147" s="28" t="inlineStr">
        <is>
          <t>NÃO</t>
        </is>
      </c>
      <c r="J2147" s="29" t="n">
        <v>275.4</v>
      </c>
      <c r="K2147" s="14" t="str">
        <f>IF(J2147="","7. Acima de 2 km",IF(J2147&lt;=50,"1. Até 50 m",IF(J2147&lt;=100,"2. De 50 a 100 m",IF(J2147&lt;=200,"3. De 100 a 200 m",IF(J2147&lt;=300,"4. De 200 a 300 m",IF(J2147&lt;=500,"5. De 300 a 500 m","6. De 500 m a 2 km"))))))</f>
        <v>4. De 200 a 300 m</v>
      </c>
      <c r="L2147" s="26" t="n">
        <v>0</v>
      </c>
      <c r="M2147" s="26" t="n">
        <v>0</v>
      </c>
      <c r="N2147" s="26" t="n">
        <v>0</v>
      </c>
      <c r="O2147" s="26" t="n">
        <v>1</v>
      </c>
      <c r="P2147" s="30" t="n">
        <v>-13.0007802</v>
      </c>
      <c r="Q2147" s="30" t="n">
        <v>-38.4755268</v>
      </c>
      <c r="R2147" s="14" t="inlineStr">
        <is>
          <t>CARTÓRIO DA 13ª ZONA ELEITORAL, 1ª AVENIDA DO CENTRO ADMINISTRATIVO DA BAHIA, 150, SALVADOR-BA.</t>
        </is>
      </c>
      <c r="S2147" s="26">
        <f>IF(A2147=A2146,0,1)</f>
        <v>0</v>
      </c>
      <c r="T2147" s="26">
        <f>IF(COUNTIF($B$4:B2147,B2147)=1,1,0)</f>
        <v>0</v>
      </c>
    </row>
    <row r="2148">
      <c r="A2148" s="14" t="inlineStr">
        <is>
          <t>SALVADOR</t>
        </is>
      </c>
      <c r="B2148" s="26" t="n">
        <v>13</v>
      </c>
      <c r="C2148" s="26" t="n">
        <v>1422</v>
      </c>
      <c r="D2148" s="14" t="inlineStr">
        <is>
          <t>ESCOLA ESTADUAL DE 1. GRAU JOSÉ CALAZANS BRANDÃO DA SILVA</t>
        </is>
      </c>
      <c r="E2148" s="14" t="inlineStr">
        <is>
          <t>SANTA CRUZ</t>
        </is>
      </c>
      <c r="F2148" s="14" t="inlineStr">
        <is>
          <t>RUA DO FUTURO SN - ZONA URBANA</t>
        </is>
      </c>
      <c r="G2148" s="27" t="inlineStr">
        <is>
          <t>41925-490</t>
        </is>
      </c>
      <c r="H2148" s="15" t="n">
        <v>9</v>
      </c>
      <c r="I2148" s="28" t="inlineStr">
        <is>
          <t>NÃO</t>
        </is>
      </c>
      <c r="J2148" s="29" t="n">
        <v>201.4</v>
      </c>
      <c r="K2148" s="14" t="str">
        <f>IF(J2148="","7. Acima de 2 km",IF(J2148&lt;=50,"1. Até 50 m",IF(J2148&lt;=100,"2. De 50 a 100 m",IF(J2148&lt;=200,"3. De 100 a 200 m",IF(J2148&lt;=300,"4. De 200 a 300 m",IF(J2148&lt;=500,"5. De 300 a 500 m","6. De 500 m a 2 km"))))))</f>
        <v>4. De 200 a 300 m</v>
      </c>
      <c r="L2148" s="26" t="n">
        <v>0</v>
      </c>
      <c r="M2148" s="26" t="n">
        <v>0</v>
      </c>
      <c r="N2148" s="26" t="n">
        <v>0</v>
      </c>
      <c r="O2148" s="26" t="n">
        <v>1</v>
      </c>
      <c r="P2148" s="30" t="n">
        <v>-13.0006036</v>
      </c>
      <c r="Q2148" s="30" t="n">
        <v>-38.4763305</v>
      </c>
      <c r="R2148" s="14" t="inlineStr">
        <is>
          <t>CARTÓRIO DA 13ª ZONA ELEITORAL, 1ª AVENIDA DO CENTRO ADMINISTRATIVO DA BAHIA, 150, SALVADOR-BA.</t>
        </is>
      </c>
      <c r="S2148" s="26">
        <f>IF(A2148=A2147,0,1)</f>
        <v>0</v>
      </c>
      <c r="T2148" s="26">
        <f>IF(COUNTIF($B$4:B2148,B2148)=1,1,0)</f>
        <v>0</v>
      </c>
    </row>
    <row r="2149">
      <c r="A2149" s="14" t="inlineStr">
        <is>
          <t>SALVADOR</t>
        </is>
      </c>
      <c r="B2149" s="26" t="n">
        <v>13</v>
      </c>
      <c r="C2149" s="26" t="n">
        <v>1430</v>
      </c>
      <c r="D2149" s="14" t="inlineStr">
        <is>
          <t>COLÉGIO MÓDULO</t>
        </is>
      </c>
      <c r="E2149" s="14" t="inlineStr">
        <is>
          <t>PITUBA</t>
        </is>
      </c>
      <c r="F2149" s="14" t="inlineStr">
        <is>
          <t>AV. PROF. MAGALHÃES NETO, 1177 - ZONA URBANA</t>
        </is>
      </c>
      <c r="G2149" s="27" t="inlineStr">
        <is>
          <t>41810-011</t>
        </is>
      </c>
      <c r="H2149" s="15" t="n">
        <v>8</v>
      </c>
      <c r="I2149" s="28" t="inlineStr">
        <is>
          <t>SIM</t>
        </is>
      </c>
      <c r="J2149" s="29" t="n">
        <v>41.6</v>
      </c>
      <c r="K2149" s="14" t="str">
        <f>IF(J2149="","7. Acima de 2 km",IF(J2149&lt;=50,"1. Até 50 m",IF(J2149&lt;=100,"2. De 50 a 100 m",IF(J2149&lt;=200,"3. De 100 a 200 m",IF(J2149&lt;=300,"4. De 200 a 300 m",IF(J2149&lt;=500,"5. De 300 a 500 m","6. De 500 m a 2 km"))))))</f>
        <v>1. Até 50 m</v>
      </c>
      <c r="L2149" s="26" t="n">
        <v>1</v>
      </c>
      <c r="M2149" s="26" t="n">
        <v>1</v>
      </c>
      <c r="N2149" s="26" t="n">
        <v>2</v>
      </c>
      <c r="O2149" s="26" t="n">
        <v>3</v>
      </c>
      <c r="P2149" s="30" t="n">
        <v>-12.9896951</v>
      </c>
      <c r="Q2149" s="30" t="n">
        <v>-38.4504942</v>
      </c>
      <c r="R2149" s="14" t="inlineStr">
        <is>
          <t>CARTÓRIO DA 13ª ZONA ELEITORAL, 1ª AVENIDA DO CENTRO ADMINISTRATIVO DA BAHIA, 150, SALVADOR-BA.</t>
        </is>
      </c>
      <c r="S2149" s="26">
        <f>IF(A2149=A2148,0,1)</f>
        <v>0</v>
      </c>
      <c r="T2149" s="26">
        <f>IF(COUNTIF($B$4:B2149,B2149)=1,1,0)</f>
        <v>0</v>
      </c>
    </row>
    <row r="2150">
      <c r="A2150" s="14" t="inlineStr">
        <is>
          <t>SALVADOR</t>
        </is>
      </c>
      <c r="B2150" s="26" t="n">
        <v>13</v>
      </c>
      <c r="C2150" s="26" t="n">
        <v>1449</v>
      </c>
      <c r="D2150" s="14" t="inlineStr">
        <is>
          <t>ESCOLA MUNICIPAL ZULMIRA TORRES</t>
        </is>
      </c>
      <c r="E2150" s="14" t="inlineStr">
        <is>
          <t>NORDESTE DE AMARALINA</t>
        </is>
      </c>
      <c r="F2150" s="14" t="inlineStr">
        <is>
          <t>RUA BECO DA CULTURA, 221 - ZONA URBANA</t>
        </is>
      </c>
      <c r="G2150" s="27" t="inlineStr">
        <is>
          <t>41906-190</t>
        </is>
      </c>
      <c r="H2150" s="15" t="n">
        <v>2</v>
      </c>
      <c r="I2150" s="28" t="inlineStr">
        <is>
          <t>SIM</t>
        </is>
      </c>
      <c r="J2150" s="29" t="n">
        <v>38.8</v>
      </c>
      <c r="K2150" s="14" t="str">
        <f>IF(J2150="","7. Acima de 2 km",IF(J2150&lt;=50,"1. Até 50 m",IF(J2150&lt;=100,"2. De 50 a 100 m",IF(J2150&lt;=200,"3. De 100 a 200 m",IF(J2150&lt;=300,"4. De 200 a 300 m",IF(J2150&lt;=500,"5. De 300 a 500 m","6. De 500 m a 2 km"))))))</f>
        <v>1. Até 50 m</v>
      </c>
      <c r="L2150" s="26" t="n">
        <v>1</v>
      </c>
      <c r="M2150" s="26" t="n">
        <v>1</v>
      </c>
      <c r="N2150" s="26" t="n">
        <v>1</v>
      </c>
      <c r="O2150" s="26" t="n">
        <v>2</v>
      </c>
      <c r="P2150" s="30" t="n">
        <v>-13.005659</v>
      </c>
      <c r="Q2150" s="30" t="n">
        <v>-38.4682106</v>
      </c>
      <c r="R2150" s="14" t="inlineStr">
        <is>
          <t>CARTÓRIO DA 13ª ZONA ELEITORAL, 1ª AVENIDA DO CENTRO ADMINISTRATIVO DA BAHIA, 150, SALVADOR-BA.</t>
        </is>
      </c>
      <c r="S2150" s="26">
        <f>IF(A2150=A2149,0,1)</f>
        <v>0</v>
      </c>
      <c r="T2150" s="26">
        <f>IF(COUNTIF($B$4:B2150,B2150)=1,1,0)</f>
        <v>0</v>
      </c>
    </row>
    <row r="2151">
      <c r="A2151" s="14" t="inlineStr">
        <is>
          <t>SALVADOR</t>
        </is>
      </c>
      <c r="B2151" s="26" t="n">
        <v>13</v>
      </c>
      <c r="C2151" s="26" t="n">
        <v>1457</v>
      </c>
      <c r="D2151" s="14" t="inlineStr">
        <is>
          <t>FACULDADE BATISTA BRASILEIRA</t>
        </is>
      </c>
      <c r="E2151" s="14" t="inlineStr">
        <is>
          <t>ITAIGARA</t>
        </is>
      </c>
      <c r="F2151" s="14" t="inlineStr">
        <is>
          <t>RUA ALTINO SERBETO DE BARROS, N 174 - ZONA URBANA</t>
        </is>
      </c>
      <c r="G2151" s="27" t="inlineStr">
        <is>
          <t>41830-492</t>
        </is>
      </c>
      <c r="H2151" s="15" t="n">
        <v>12</v>
      </c>
      <c r="I2151" s="28" t="inlineStr">
        <is>
          <t>NÃO</t>
        </is>
      </c>
      <c r="J2151" s="29" t="n">
        <v>133.6</v>
      </c>
      <c r="K2151" s="14" t="str">
        <f>IF(J2151="","7. Acima de 2 km",IF(J2151&lt;=50,"1. Até 50 m",IF(J2151&lt;=100,"2. De 50 a 100 m",IF(J2151&lt;=200,"3. De 100 a 200 m",IF(J2151&lt;=300,"4. De 200 a 300 m",IF(J2151&lt;=500,"5. De 300 a 500 m","6. De 500 m a 2 km"))))))</f>
        <v>3. De 100 a 200 m</v>
      </c>
      <c r="L2151" s="26" t="n">
        <v>0</v>
      </c>
      <c r="M2151" s="26" t="n">
        <v>0</v>
      </c>
      <c r="N2151" s="26" t="n">
        <v>4</v>
      </c>
      <c r="O2151" s="26" t="n">
        <v>6</v>
      </c>
      <c r="P2151" s="30" t="n">
        <v>-12.9983742</v>
      </c>
      <c r="Q2151" s="30" t="n">
        <v>-38.4648941</v>
      </c>
      <c r="R2151" s="14" t="inlineStr">
        <is>
          <t>CARTÓRIO DA 13ª ZONA ELEITORAL, 1ª AVENIDA DO CENTRO ADMINISTRATIVO DA BAHIA, 150, SALVADOR-BA.</t>
        </is>
      </c>
      <c r="S2151" s="26">
        <f>IF(A2151=A2150,0,1)</f>
        <v>0</v>
      </c>
      <c r="T2151" s="26">
        <f>IF(COUNTIF($B$4:B2151,B2151)=1,1,0)</f>
        <v>0</v>
      </c>
    </row>
    <row r="2152">
      <c r="A2152" s="14" t="inlineStr">
        <is>
          <t>SALVADOR</t>
        </is>
      </c>
      <c r="B2152" s="26" t="n">
        <v>13</v>
      </c>
      <c r="C2152" s="26" t="n">
        <v>1465</v>
      </c>
      <c r="D2152" s="14" t="inlineStr">
        <is>
          <t>COLÉGIO BERNOULLI CAMINHO DAS ÁRVORES</t>
        </is>
      </c>
      <c r="E2152" s="14" t="inlineStr">
        <is>
          <t>CAMINHO DAS ÁRVORES</t>
        </is>
      </c>
      <c r="F2152" s="14" t="inlineStr">
        <is>
          <t>ALAMEDA DAS CATABAS, 156 - ZONA URBANA</t>
        </is>
      </c>
      <c r="G2152" s="27" t="inlineStr">
        <is>
          <t>41820-440</t>
        </is>
      </c>
      <c r="H2152" s="15" t="n">
        <v>1</v>
      </c>
      <c r="I2152" s="28" t="inlineStr">
        <is>
          <t>NÃO</t>
        </is>
      </c>
      <c r="J2152" s="29" t="n">
        <v>148.9</v>
      </c>
      <c r="K2152" s="14" t="str">
        <f>IF(J2152="","7. Acima de 2 km",IF(J2152&lt;=50,"1. Até 50 m",IF(J2152&lt;=100,"2. De 50 a 100 m",IF(J2152&lt;=200,"3. De 100 a 200 m",IF(J2152&lt;=300,"4. De 200 a 300 m",IF(J2152&lt;=500,"5. De 300 a 500 m","6. De 500 m a 2 km"))))))</f>
        <v>3. De 100 a 200 m</v>
      </c>
      <c r="L2152" s="26" t="n">
        <v>0</v>
      </c>
      <c r="M2152" s="26" t="n">
        <v>0</v>
      </c>
      <c r="N2152" s="26" t="n">
        <v>1</v>
      </c>
      <c r="O2152" s="26" t="n">
        <v>2</v>
      </c>
      <c r="P2152" s="30" t="n">
        <v>-12.9850714</v>
      </c>
      <c r="Q2152" s="30" t="n">
        <v>-38.4538924</v>
      </c>
      <c r="R2152" s="14" t="inlineStr">
        <is>
          <t>CARTÓRIO DA 13ª ZONA ELEITORAL, 1ª AVENIDA DO CENTRO ADMINISTRATIVO DA BAHIA, 150, SALVADOR-BA.</t>
        </is>
      </c>
      <c r="S2152" s="26">
        <f>IF(A2152=A2151,0,1)</f>
        <v>0</v>
      </c>
      <c r="T2152" s="26">
        <f>IF(COUNTIF($B$4:B2152,B2152)=1,1,0)</f>
        <v>0</v>
      </c>
    </row>
    <row r="2153">
      <c r="A2153" s="14" t="inlineStr">
        <is>
          <t>SALVADOR</t>
        </is>
      </c>
      <c r="B2153" s="26" t="n">
        <v>13</v>
      </c>
      <c r="C2153" s="26" t="n">
        <v>1473</v>
      </c>
      <c r="D2153" s="14" t="inlineStr">
        <is>
          <t>ESCOLA MUNICIPAL ARTUR DE SALES</t>
        </is>
      </c>
      <c r="E2153" s="14" t="inlineStr">
        <is>
          <t>SANTA CRUZ</t>
        </is>
      </c>
      <c r="F2153" s="14" t="inlineStr">
        <is>
          <t>RUA ANTONIO CARLOS MAGALHÃES - SANTA CRUZ</t>
        </is>
      </c>
      <c r="G2153" s="27" t="inlineStr">
        <is>
          <t>41927-235</t>
        </is>
      </c>
      <c r="H2153" s="15" t="n">
        <v>8</v>
      </c>
      <c r="I2153" s="28" t="inlineStr">
        <is>
          <t>NÃO</t>
        </is>
      </c>
      <c r="J2153" s="29" t="n">
        <v>347</v>
      </c>
      <c r="K2153" s="14" t="str">
        <f>IF(J2153="","7. Acima de 2 km",IF(J2153&lt;=50,"1. Até 50 m",IF(J2153&lt;=100,"2. De 50 a 100 m",IF(J2153&lt;=200,"3. De 100 a 200 m",IF(J2153&lt;=300,"4. De 200 a 300 m",IF(J2153&lt;=500,"5. De 300 a 500 m","6. De 500 m a 2 km"))))))</f>
        <v>5. De 300 a 500 m</v>
      </c>
      <c r="L2153" s="26" t="n">
        <v>0</v>
      </c>
      <c r="M2153" s="26" t="n">
        <v>0</v>
      </c>
      <c r="N2153" s="26" t="n">
        <v>0</v>
      </c>
      <c r="O2153" s="26" t="n">
        <v>0</v>
      </c>
      <c r="P2153" s="30" t="n">
        <v>-13.0022732</v>
      </c>
      <c r="Q2153" s="30" t="n">
        <v>-38.4774854</v>
      </c>
      <c r="R2153" s="14" t="inlineStr">
        <is>
          <t>CARTÓRIO DA 13ª ZONA ELEITORAL, 1ª AVENIDA DO CENTRO ADMINISTRATIVO DA BAHIA, 150, SALVADOR-BA.</t>
        </is>
      </c>
      <c r="S2153" s="26">
        <f>IF(A2153=A2152,0,1)</f>
        <v>0</v>
      </c>
      <c r="T2153" s="26">
        <f>IF(COUNTIF($B$4:B2153,B2153)=1,1,0)</f>
        <v>0</v>
      </c>
    </row>
    <row r="2154">
      <c r="A2154" s="14" t="inlineStr">
        <is>
          <t>SALVADOR</t>
        </is>
      </c>
      <c r="B2154" s="26" t="n">
        <v>14</v>
      </c>
      <c r="C2154" s="26" t="n">
        <v>1325</v>
      </c>
      <c r="D2154" s="14" t="inlineStr">
        <is>
          <t>ESCOLA MUNICIPAL NOVO HORIZONTE</t>
        </is>
      </c>
      <c r="E2154" s="14" t="inlineStr">
        <is>
          <t>NOVO HORIZONTE</t>
        </is>
      </c>
      <c r="F2154" s="14" t="inlineStr">
        <is>
          <t>RUA ALBINO FERNANDES, S/N, FIM DE LINHA - ZONA URBANA</t>
        </is>
      </c>
      <c r="G2154" s="27" t="inlineStr">
        <is>
          <t>41218-770</t>
        </is>
      </c>
      <c r="H2154" s="15" t="n">
        <v>12</v>
      </c>
      <c r="I2154" s="28" t="inlineStr">
        <is>
          <t>NÃO</t>
        </is>
      </c>
      <c r="J2154" s="29" t="n">
        <v>521.6</v>
      </c>
      <c r="K2154" s="14" t="str">
        <f>IF(J2154="","7. Acima de 2 km",IF(J2154&lt;=50,"1. Até 50 m",IF(J2154&lt;=100,"2. De 50 a 100 m",IF(J2154&lt;=200,"3. De 100 a 200 m",IF(J2154&lt;=300,"4. De 200 a 300 m",IF(J2154&lt;=500,"5. De 300 a 500 m","6. De 500 m a 2 km"))))))</f>
        <v>6. De 500 m a 2 km</v>
      </c>
      <c r="L2154" s="26" t="n">
        <v>0</v>
      </c>
      <c r="M2154" s="26" t="n">
        <v>0</v>
      </c>
      <c r="N2154" s="26" t="n">
        <v>0</v>
      </c>
      <c r="O2154" s="26" t="n">
        <v>0</v>
      </c>
      <c r="P2154" s="30" t="n">
        <v>-12.9427399</v>
      </c>
      <c r="Q2154" s="30" t="n">
        <v>-38.4386694</v>
      </c>
      <c r="R2154" s="14" t="inlineStr">
        <is>
          <t>CARTÓRIO DA 14ª ZONA ELEITORAL, 1ª AVENIDA DO CENTRO ADMINISTRATIVO DA BAHIA, 150, SALVADOR-BA.</t>
        </is>
      </c>
      <c r="S2154" s="26">
        <f>IF(A2154=A2153,0,1)</f>
        <v>0</v>
      </c>
      <c r="T2154" s="26">
        <f>IF(COUNTIF($B$4:B2154,B2154)=1,1,0)</f>
        <v>1</v>
      </c>
    </row>
    <row r="2155">
      <c r="A2155" s="14" t="inlineStr">
        <is>
          <t>SALVADOR</t>
        </is>
      </c>
      <c r="B2155" s="26" t="n">
        <v>14</v>
      </c>
      <c r="C2155" s="26" t="n">
        <v>1414</v>
      </c>
      <c r="D2155" s="14" t="inlineStr">
        <is>
          <t>ESCOLA ACELINO MAXIMIANO DA ENCARNAÇÃO</t>
        </is>
      </c>
      <c r="E2155" s="14" t="inlineStr">
        <is>
          <t>SUSSUARANA</t>
        </is>
      </c>
      <c r="F2155" s="14" t="inlineStr">
        <is>
          <t>RUA FLÁVIO CAVALCANTE, S/N - ZONA URBANA</t>
        </is>
      </c>
      <c r="G2155" s="27" t="inlineStr">
        <is>
          <t>41214-490</t>
        </is>
      </c>
      <c r="H2155" s="15" t="n">
        <v>7</v>
      </c>
      <c r="I2155" s="28" t="inlineStr">
        <is>
          <t>NÃO</t>
        </is>
      </c>
      <c r="J2155" s="29" t="n">
        <v>242.2</v>
      </c>
      <c r="K2155" s="14" t="str">
        <f>IF(J2155="","7. Acima de 2 km",IF(J2155&lt;=50,"1. Até 50 m",IF(J2155&lt;=100,"2. De 50 a 100 m",IF(J2155&lt;=200,"3. De 100 a 200 m",IF(J2155&lt;=300,"4. De 200 a 300 m",IF(J2155&lt;=500,"5. De 300 a 500 m","6. De 500 m a 2 km"))))))</f>
        <v>4. De 200 a 300 m</v>
      </c>
      <c r="L2155" s="26" t="n">
        <v>0</v>
      </c>
      <c r="M2155" s="26" t="n">
        <v>0</v>
      </c>
      <c r="N2155" s="26" t="n">
        <v>0</v>
      </c>
      <c r="O2155" s="26" t="n">
        <v>2</v>
      </c>
      <c r="P2155" s="30" t="n">
        <v>-12.9306453</v>
      </c>
      <c r="Q2155" s="30" t="n">
        <v>-38.4426287</v>
      </c>
      <c r="R2155" s="14" t="inlineStr">
        <is>
          <t>CARTÓRIO DA 14ª ZONA ELEITORAL, 1ª AVENIDA DO CENTRO ADMINISTRATIVO DA BAHIA, 150, SALVADOR-BA.</t>
        </is>
      </c>
      <c r="S2155" s="26">
        <f>IF(A2155=A2154,0,1)</f>
        <v>0</v>
      </c>
      <c r="T2155" s="26">
        <f>IF(COUNTIF($B$4:B2155,B2155)=1,1,0)</f>
        <v>0</v>
      </c>
    </row>
    <row r="2156">
      <c r="A2156" s="14" t="inlineStr">
        <is>
          <t>SALVADOR</t>
        </is>
      </c>
      <c r="B2156" s="26" t="n">
        <v>14</v>
      </c>
      <c r="C2156" s="26" t="n">
        <v>1430</v>
      </c>
      <c r="D2156" s="14" t="inlineStr">
        <is>
          <t>COLÉGIO ESTADUAL HELENA MAGALHÃES</t>
        </is>
      </c>
      <c r="E2156" s="14" t="inlineStr">
        <is>
          <t>TANCREDO NEVES</t>
        </is>
      </c>
      <c r="F2156" s="14" t="inlineStr">
        <is>
          <t>RUA DIRETA DE TANCREDO NEVES, S/N - ZONA URBANA</t>
        </is>
      </c>
      <c r="G2156" s="27" t="inlineStr">
        <is>
          <t>41205-000</t>
        </is>
      </c>
      <c r="H2156" s="15" t="n">
        <v>15</v>
      </c>
      <c r="I2156" s="28" t="inlineStr">
        <is>
          <t>NÃO</t>
        </is>
      </c>
      <c r="J2156" s="29" t="n">
        <v>795.1</v>
      </c>
      <c r="K2156" s="14" t="str">
        <f>IF(J2156="","7. Acima de 2 km",IF(J2156&lt;=50,"1. Até 50 m",IF(J2156&lt;=100,"2. De 50 a 100 m",IF(J2156&lt;=200,"3. De 100 a 200 m",IF(J2156&lt;=300,"4. De 200 a 300 m",IF(J2156&lt;=500,"5. De 300 a 500 m","6. De 500 m a 2 km"))))))</f>
        <v>6. De 500 m a 2 km</v>
      </c>
      <c r="L2156" s="26" t="n">
        <v>0</v>
      </c>
      <c r="M2156" s="26" t="n">
        <v>0</v>
      </c>
      <c r="N2156" s="26" t="n">
        <v>0</v>
      </c>
      <c r="O2156" s="26" t="n">
        <v>0</v>
      </c>
      <c r="P2156" s="30" t="n">
        <v>-12.9439902</v>
      </c>
      <c r="Q2156" s="30" t="n">
        <v>-38.4491574</v>
      </c>
      <c r="R2156" s="14" t="inlineStr">
        <is>
          <t>CARTÓRIO DA 14ª ZONA ELEITORAL, 1ª AVENIDA DO CENTRO ADMINISTRATIVO DA BAHIA, 150, SALVADOR-BA.</t>
        </is>
      </c>
      <c r="S2156" s="26">
        <f>IF(A2156=A2155,0,1)</f>
        <v>0</v>
      </c>
      <c r="T2156" s="26">
        <f>IF(COUNTIF($B$4:B2156,B2156)=1,1,0)</f>
        <v>0</v>
      </c>
    </row>
    <row r="2157">
      <c r="A2157" s="14" t="inlineStr">
        <is>
          <t>SALVADOR</t>
        </is>
      </c>
      <c r="B2157" s="26" t="n">
        <v>14</v>
      </c>
      <c r="C2157" s="26" t="n">
        <v>1546</v>
      </c>
      <c r="D2157" s="14" t="inlineStr">
        <is>
          <t>CENTRO MUN. DE EDUCAÇÃO INFANTIL CECY ANDRADE</t>
        </is>
      </c>
      <c r="E2157" s="14" t="inlineStr">
        <is>
          <t>SUSSUARANA</t>
        </is>
      </c>
      <c r="F2157" s="14" t="inlineStr">
        <is>
          <t>RUA FLÁVIO CAVALCANTE S/N - FIM DE LINHA - ZONA URBANA</t>
        </is>
      </c>
      <c r="G2157" s="27" t="inlineStr">
        <is>
          <t>41214-490</t>
        </is>
      </c>
      <c r="H2157" s="15" t="n">
        <v>6</v>
      </c>
      <c r="I2157" s="28" t="inlineStr">
        <is>
          <t>NÃO</t>
        </is>
      </c>
      <c r="J2157" s="29" t="n">
        <v>258.9</v>
      </c>
      <c r="K2157" s="14" t="str">
        <f>IF(J2157="","7. Acima de 2 km",IF(J2157&lt;=50,"1. Até 50 m",IF(J2157&lt;=100,"2. De 50 a 100 m",IF(J2157&lt;=200,"3. De 100 a 200 m",IF(J2157&lt;=300,"4. De 200 a 300 m",IF(J2157&lt;=500,"5. De 300 a 500 m","6. De 500 m a 2 km"))))))</f>
        <v>4. De 200 a 300 m</v>
      </c>
      <c r="L2157" s="26" t="n">
        <v>0</v>
      </c>
      <c r="M2157" s="26" t="n">
        <v>0</v>
      </c>
      <c r="N2157" s="26" t="n">
        <v>0</v>
      </c>
      <c r="O2157" s="26" t="n">
        <v>2</v>
      </c>
      <c r="P2157" s="30" t="n">
        <v>-12.9303379</v>
      </c>
      <c r="Q2157" s="30" t="n">
        <v>-38.442584</v>
      </c>
      <c r="R2157" s="14" t="inlineStr">
        <is>
          <t>CARTÓRIO DA 14ª ZONA ELEITORAL, 1ª AVENIDA DO CENTRO ADMINISTRATIVO DA BAHIA, 150, SALVADOR-BA.</t>
        </is>
      </c>
      <c r="S2157" s="26">
        <f>IF(A2157=A2156,0,1)</f>
        <v>0</v>
      </c>
      <c r="T2157" s="26">
        <f>IF(COUNTIF($B$4:B2157,B2157)=1,1,0)</f>
        <v>0</v>
      </c>
    </row>
    <row r="2158">
      <c r="A2158" s="14" t="inlineStr">
        <is>
          <t>SALVADOR</t>
        </is>
      </c>
      <c r="B2158" s="26" t="n">
        <v>14</v>
      </c>
      <c r="C2158" s="26" t="n">
        <v>1562</v>
      </c>
      <c r="D2158" s="14" t="inlineStr">
        <is>
          <t>COLÉGIO ESTADUAL DE TEMPO INTEGRAL ZUMBI DOS PALMARES</t>
        </is>
      </c>
      <c r="E2158" s="14" t="inlineStr">
        <is>
          <t>TANCREDO NEVES</t>
        </is>
      </c>
      <c r="F2158" s="14" t="inlineStr">
        <is>
          <t>RUA PARAIBA, S/N - FIM DE LINHA - ZONA URBANA</t>
        </is>
      </c>
      <c r="G2158" s="27" t="inlineStr">
        <is>
          <t>41207-310</t>
        </is>
      </c>
      <c r="H2158" s="15" t="n">
        <v>28</v>
      </c>
      <c r="I2158" s="28" t="inlineStr">
        <is>
          <t>NÃO</t>
        </is>
      </c>
      <c r="J2158" s="29" t="n">
        <v>1078.5</v>
      </c>
      <c r="K2158" s="14" t="str">
        <f>IF(J2158="","7. Acima de 2 km",IF(J2158&lt;=50,"1. Até 50 m",IF(J2158&lt;=100,"2. De 50 a 100 m",IF(J2158&lt;=200,"3. De 100 a 200 m",IF(J2158&lt;=300,"4. De 200 a 300 m",IF(J2158&lt;=500,"5. De 300 a 500 m","6. De 500 m a 2 km"))))))</f>
        <v>6. De 500 m a 2 km</v>
      </c>
      <c r="L2158" s="26" t="n">
        <v>0</v>
      </c>
      <c r="M2158" s="26" t="n">
        <v>0</v>
      </c>
      <c r="N2158" s="26" t="n">
        <v>0</v>
      </c>
      <c r="O2158" s="26" t="n">
        <v>0</v>
      </c>
      <c r="P2158" s="30" t="n">
        <v>-12.9479655</v>
      </c>
      <c r="Q2158" s="30" t="n">
        <v>-38.4497829</v>
      </c>
      <c r="R2158" s="14" t="inlineStr">
        <is>
          <t>CARTÓRIO DA 14ª ZONA ELEITORAL, 1ª AVENIDA DO CENTRO ADMINISTRATIVO DA BAHIA, 150, SALVADOR-BA.</t>
        </is>
      </c>
      <c r="S2158" s="26">
        <f>IF(A2158=A2157,0,1)</f>
        <v>0</v>
      </c>
      <c r="T2158" s="26">
        <f>IF(COUNTIF($B$4:B2158,B2158)=1,1,0)</f>
        <v>0</v>
      </c>
    </row>
    <row r="2159">
      <c r="A2159" s="14" t="inlineStr">
        <is>
          <t>SALVADOR</t>
        </is>
      </c>
      <c r="B2159" s="26" t="n">
        <v>14</v>
      </c>
      <c r="C2159" s="26" t="n">
        <v>1635</v>
      </c>
      <c r="D2159" s="14" t="inlineStr">
        <is>
          <t>ESCOLA MUNICIPAL MARIA DA CONCEIÇÃO SANTIAGO IMBASSAHY</t>
        </is>
      </c>
      <c r="E2159" s="14" t="inlineStr">
        <is>
          <t>TANCREDO NEVES</t>
        </is>
      </c>
      <c r="F2159" s="14" t="inlineStr">
        <is>
          <t>ESTRADA DAS BARREIRAS, S/N - ZONA URBANA</t>
        </is>
      </c>
      <c r="G2159" s="27" t="inlineStr">
        <is>
          <t>41225-160</t>
        </is>
      </c>
      <c r="H2159" s="15" t="n">
        <v>9</v>
      </c>
      <c r="I2159" s="28" t="inlineStr">
        <is>
          <t>NÃO</t>
        </is>
      </c>
      <c r="J2159" s="29" t="n">
        <v>338.8</v>
      </c>
      <c r="K2159" s="14" t="str">
        <f>IF(J2159="","7. Acima de 2 km",IF(J2159&lt;=50,"1. Até 50 m",IF(J2159&lt;=100,"2. De 50 a 100 m",IF(J2159&lt;=200,"3. De 100 a 200 m",IF(J2159&lt;=300,"4. De 200 a 300 m",IF(J2159&lt;=500,"5. De 300 a 500 m","6. De 500 m a 2 km"))))))</f>
        <v>5. De 300 a 500 m</v>
      </c>
      <c r="L2159" s="26" t="n">
        <v>0</v>
      </c>
      <c r="M2159" s="26" t="n">
        <v>0</v>
      </c>
      <c r="N2159" s="26" t="n">
        <v>0</v>
      </c>
      <c r="O2159" s="26" t="n">
        <v>0</v>
      </c>
      <c r="P2159" s="30" t="n">
        <v>-12.9402086</v>
      </c>
      <c r="Q2159" s="30" t="n">
        <v>-38.4512443</v>
      </c>
      <c r="R2159" s="14" t="inlineStr">
        <is>
          <t>CARTÓRIO DA 14ª ZONA ELEITORAL, 1ª AVENIDA DO CENTRO ADMINISTRATIVO DA BAHIA, 150, SALVADOR-BA.</t>
        </is>
      </c>
      <c r="S2159" s="26">
        <f>IF(A2159=A2158,0,1)</f>
        <v>0</v>
      </c>
      <c r="T2159" s="26">
        <f>IF(COUNTIF($B$4:B2159,B2159)=1,1,0)</f>
        <v>0</v>
      </c>
    </row>
    <row r="2160">
      <c r="A2160" s="14" t="inlineStr">
        <is>
          <t>SALVADOR</t>
        </is>
      </c>
      <c r="B2160" s="26" t="n">
        <v>14</v>
      </c>
      <c r="C2160" s="26" t="n">
        <v>1767</v>
      </c>
      <c r="D2160" s="14" t="inlineStr">
        <is>
          <t>ESCOLA MUNICIPAL ERALDO TINOCO</t>
        </is>
      </c>
      <c r="E2160" s="14" t="inlineStr">
        <is>
          <t>SUSSUARANA</t>
        </is>
      </c>
      <c r="F2160" s="14" t="inlineStr">
        <is>
          <t>AV. ULYSSES GUIMARÃES, - PRÓXIMO À CASA DO CAMINHO - ZONA URBANA</t>
        </is>
      </c>
      <c r="G2160" s="27" t="inlineStr">
        <is>
          <t>41213-000</t>
        </is>
      </c>
      <c r="H2160" s="15" t="n">
        <v>14</v>
      </c>
      <c r="I2160" s="28" t="inlineStr">
        <is>
          <t>NÃO</t>
        </is>
      </c>
      <c r="J2160" s="29" t="n">
        <v>316.8</v>
      </c>
      <c r="K2160" s="14" t="str">
        <f>IF(J2160="","7. Acima de 2 km",IF(J2160&lt;=50,"1. Até 50 m",IF(J2160&lt;=100,"2. De 50 a 100 m",IF(J2160&lt;=200,"3. De 100 a 200 m",IF(J2160&lt;=300,"4. De 200 a 300 m",IF(J2160&lt;=500,"5. De 300 a 500 m","6. De 500 m a 2 km"))))))</f>
        <v>5. De 300 a 500 m</v>
      </c>
      <c r="L2160" s="26" t="n">
        <v>0</v>
      </c>
      <c r="M2160" s="26" t="n">
        <v>0</v>
      </c>
      <c r="N2160" s="26" t="n">
        <v>0</v>
      </c>
      <c r="O2160" s="26" t="n">
        <v>0</v>
      </c>
      <c r="P2160" s="30" t="n">
        <v>-12.934077</v>
      </c>
      <c r="Q2160" s="30" t="n">
        <v>-38.4473745</v>
      </c>
      <c r="R2160" s="14" t="inlineStr">
        <is>
          <t>CARTÓRIO DA 14ª ZONA ELEITORAL, 1ª AVENIDA DO CENTRO ADMINISTRATIVO DA BAHIA, 150, SALVADOR-BA.</t>
        </is>
      </c>
      <c r="S2160" s="26">
        <f>IF(A2160=A2159,0,1)</f>
        <v>0</v>
      </c>
      <c r="T2160" s="26">
        <f>IF(COUNTIF($B$4:B2160,B2160)=1,1,0)</f>
        <v>0</v>
      </c>
    </row>
    <row r="2161">
      <c r="A2161" s="14" t="inlineStr">
        <is>
          <t>SALVADOR</t>
        </is>
      </c>
      <c r="B2161" s="26" t="n">
        <v>14</v>
      </c>
      <c r="C2161" s="26" t="n">
        <v>1775</v>
      </c>
      <c r="D2161" s="14" t="inlineStr">
        <is>
          <t>ESCOLA MUNICIPAL 22 DE ABRIL</t>
        </is>
      </c>
      <c r="E2161" s="14" t="inlineStr">
        <is>
          <t>TANCREDO NEVES</t>
        </is>
      </c>
      <c r="F2161" s="14" t="inlineStr">
        <is>
          <t>R.  BAHIA, SN - ZONA URBANA</t>
        </is>
      </c>
      <c r="G2161" s="27" t="inlineStr">
        <is>
          <t>41210-000</t>
        </is>
      </c>
      <c r="H2161" s="15" t="n">
        <v>6</v>
      </c>
      <c r="I2161" s="28" t="inlineStr">
        <is>
          <t>NÃO</t>
        </is>
      </c>
      <c r="J2161" s="29" t="n">
        <v>1078.7</v>
      </c>
      <c r="K2161" s="14" t="str">
        <f>IF(J2161="","7. Acima de 2 km",IF(J2161&lt;=50,"1. Até 50 m",IF(J2161&lt;=100,"2. De 50 a 100 m",IF(J2161&lt;=200,"3. De 100 a 200 m",IF(J2161&lt;=300,"4. De 200 a 300 m",IF(J2161&lt;=500,"5. De 300 a 500 m","6. De 500 m a 2 km"))))))</f>
        <v>6. De 500 m a 2 km</v>
      </c>
      <c r="L2161" s="26" t="n">
        <v>0</v>
      </c>
      <c r="M2161" s="26" t="n">
        <v>0</v>
      </c>
      <c r="N2161" s="26" t="n">
        <v>0</v>
      </c>
      <c r="O2161" s="26" t="n">
        <v>0</v>
      </c>
      <c r="P2161" s="30" t="n">
        <v>-12.945973</v>
      </c>
      <c r="Q2161" s="30" t="n">
        <v>-38.4475126</v>
      </c>
      <c r="R2161" s="14" t="inlineStr">
        <is>
          <t>CARTÓRIO DA 14ª ZONA ELEITORAL, 1ª AVENIDA DO CENTRO ADMINISTRATIVO DA BAHIA, 150, SALVADOR-BA.</t>
        </is>
      </c>
      <c r="S2161" s="26">
        <f>IF(A2161=A2160,0,1)</f>
        <v>0</v>
      </c>
      <c r="T2161" s="26">
        <f>IF(COUNTIF($B$4:B2161,B2161)=1,1,0)</f>
        <v>0</v>
      </c>
    </row>
    <row r="2162">
      <c r="A2162" s="14" t="inlineStr">
        <is>
          <t>SALVADOR</t>
        </is>
      </c>
      <c r="B2162" s="26" t="n">
        <v>14</v>
      </c>
      <c r="C2162" s="26" t="n">
        <v>1856</v>
      </c>
      <c r="D2162" s="14" t="inlineStr">
        <is>
          <t>COLÉGIO ESTADUAL DE 1 GRAU VALE DOS LAGOS</t>
        </is>
      </c>
      <c r="E2162" s="14" t="inlineStr">
        <is>
          <t>SÃO MARCOS</t>
        </is>
      </c>
      <c r="F2162" s="14" t="inlineStr">
        <is>
          <t>ESTRADA DAS MURIÇOCAS S/N CJ. HABIT VALE DOS LAGOS - ZONA URBANA</t>
        </is>
      </c>
      <c r="G2162" s="27" t="inlineStr">
        <is>
          <t>41250-420</t>
        </is>
      </c>
      <c r="H2162" s="15" t="n">
        <v>24</v>
      </c>
      <c r="I2162" s="28" t="inlineStr">
        <is>
          <t>SIM</t>
        </is>
      </c>
      <c r="J2162" s="29" t="n">
        <v>39.7</v>
      </c>
      <c r="K2162" s="14" t="str">
        <f>IF(J2162="","7. Acima de 2 km",IF(J2162&lt;=50,"1. Até 50 m",IF(J2162&lt;=100,"2. De 50 a 100 m",IF(J2162&lt;=200,"3. De 100 a 200 m",IF(J2162&lt;=300,"4. De 200 a 300 m",IF(J2162&lt;=500,"5. De 300 a 500 m","6. De 500 m a 2 km"))))))</f>
        <v>1. Até 50 m</v>
      </c>
      <c r="L2162" s="26" t="n">
        <v>1</v>
      </c>
      <c r="M2162" s="26" t="n">
        <v>1</v>
      </c>
      <c r="N2162" s="26" t="n">
        <v>1</v>
      </c>
      <c r="O2162" s="26" t="n">
        <v>1</v>
      </c>
      <c r="P2162" s="30" t="n">
        <v>-12.9335807</v>
      </c>
      <c r="Q2162" s="30" t="n">
        <v>-38.4214761</v>
      </c>
      <c r="R2162" s="14" t="inlineStr">
        <is>
          <t>CARTÓRIO DA 14ª ZONA ELEITORAL, 1ª AVENIDA DO CENTRO ADMINISTRATIVO DA BAHIA, 150, SALVADOR-BA.</t>
        </is>
      </c>
      <c r="S2162" s="26">
        <f>IF(A2162=A2161,0,1)</f>
        <v>0</v>
      </c>
      <c r="T2162" s="26">
        <f>IF(COUNTIF($B$4:B2162,B2162)=1,1,0)</f>
        <v>0</v>
      </c>
    </row>
    <row r="2163">
      <c r="A2163" s="14" t="inlineStr">
        <is>
          <t>SALVADOR</t>
        </is>
      </c>
      <c r="B2163" s="26" t="n">
        <v>14</v>
      </c>
      <c r="C2163" s="26" t="n">
        <v>1864</v>
      </c>
      <c r="D2163" s="14" t="inlineStr">
        <is>
          <t>ESCOLA ESTADUAL NORMA RIBEIRO</t>
        </is>
      </c>
      <c r="E2163" s="14" t="inlineStr">
        <is>
          <t>ARENOSO</t>
        </is>
      </c>
      <c r="F2163" s="14" t="inlineStr">
        <is>
          <t>2A TRAVESSA GILBERTO BARROS, 01 - ZONA URBANA</t>
        </is>
      </c>
      <c r="G2163" s="27" t="inlineStr">
        <is>
          <t>41211-840</t>
        </is>
      </c>
      <c r="H2163" s="15" t="n">
        <v>11</v>
      </c>
      <c r="I2163" s="28" t="inlineStr">
        <is>
          <t>NÃO</t>
        </is>
      </c>
      <c r="J2163" s="29" t="n">
        <v>961.8</v>
      </c>
      <c r="K2163" s="14" t="str">
        <f>IF(J2163="","7. Acima de 2 km",IF(J2163&lt;=50,"1. Até 50 m",IF(J2163&lt;=100,"2. De 50 a 100 m",IF(J2163&lt;=200,"3. De 100 a 200 m",IF(J2163&lt;=300,"4. De 200 a 300 m",IF(J2163&lt;=500,"5. De 300 a 500 m","6. De 500 m a 2 km"))))))</f>
        <v>6. De 500 m a 2 km</v>
      </c>
      <c r="L2163" s="26" t="n">
        <v>0</v>
      </c>
      <c r="M2163" s="26" t="n">
        <v>0</v>
      </c>
      <c r="N2163" s="26" t="n">
        <v>0</v>
      </c>
      <c r="O2163" s="26" t="n">
        <v>0</v>
      </c>
      <c r="P2163" s="30" t="n">
        <v>-12.9459394</v>
      </c>
      <c r="Q2163" s="30" t="n">
        <v>-38.4433644</v>
      </c>
      <c r="R2163" s="14" t="inlineStr">
        <is>
          <t>CARTÓRIO DA 14ª ZONA ELEITORAL, 1ª AVENIDA DO CENTRO ADMINISTRATIVO DA BAHIA, 150, SALVADOR-BA.</t>
        </is>
      </c>
      <c r="S2163" s="26">
        <f>IF(A2163=A2162,0,1)</f>
        <v>0</v>
      </c>
      <c r="T2163" s="26">
        <f>IF(COUNTIF($B$4:B2163,B2163)=1,1,0)</f>
        <v>0</v>
      </c>
    </row>
    <row r="2164">
      <c r="A2164" s="14" t="inlineStr">
        <is>
          <t>SALVADOR</t>
        </is>
      </c>
      <c r="B2164" s="26" t="n">
        <v>14</v>
      </c>
      <c r="C2164" s="26" t="n">
        <v>1880</v>
      </c>
      <c r="D2164" s="14" t="inlineStr">
        <is>
          <t>ESCOLA ESTADUAL CLARICE SANTIAGO SANTOS (ANTIGA LUÍS E. MAGALHÃES</t>
        </is>
      </c>
      <c r="E2164" s="14" t="inlineStr">
        <is>
          <t>ARENOSO</t>
        </is>
      </c>
      <c r="F2164" s="14" t="inlineStr">
        <is>
          <t>RUA MANOEL RUFINO, S/N - ZONA URBANA</t>
        </is>
      </c>
      <c r="G2164" s="27" t="inlineStr">
        <is>
          <t>41205-240</t>
        </is>
      </c>
      <c r="H2164" s="15" t="n">
        <v>16</v>
      </c>
      <c r="I2164" s="28" t="inlineStr">
        <is>
          <t>NÃO</t>
        </is>
      </c>
      <c r="J2164" s="29" t="n">
        <v>536.3</v>
      </c>
      <c r="K2164" s="14" t="str">
        <f>IF(J2164="","7. Acima de 2 km",IF(J2164&lt;=50,"1. Até 50 m",IF(J2164&lt;=100,"2. De 50 a 100 m",IF(J2164&lt;=200,"3. De 100 a 200 m",IF(J2164&lt;=300,"4. De 200 a 300 m",IF(J2164&lt;=500,"5. De 300 a 500 m","6. De 500 m a 2 km"))))))</f>
        <v>6. De 500 m a 2 km</v>
      </c>
      <c r="L2164" s="26" t="n">
        <v>0</v>
      </c>
      <c r="M2164" s="26" t="n">
        <v>0</v>
      </c>
      <c r="N2164" s="26" t="n">
        <v>0</v>
      </c>
      <c r="O2164" s="26" t="n">
        <v>0</v>
      </c>
      <c r="P2164" s="30" t="n">
        <v>-12.9496646</v>
      </c>
      <c r="Q2164" s="30" t="n">
        <v>-38.4424342</v>
      </c>
      <c r="R2164" s="14" t="inlineStr">
        <is>
          <t>CARTÓRIO DA 14ª ZONA ELEITORAL, 1ª AVENIDA DO CENTRO ADMINISTRATIVO DA BAHIA, 150, SALVADOR-BA.</t>
        </is>
      </c>
      <c r="S2164" s="26">
        <f>IF(A2164=A2163,0,1)</f>
        <v>0</v>
      </c>
      <c r="T2164" s="26">
        <f>IF(COUNTIF($B$4:B2164,B2164)=1,1,0)</f>
        <v>0</v>
      </c>
    </row>
    <row r="2165">
      <c r="A2165" s="14" t="inlineStr">
        <is>
          <t>SALVADOR</t>
        </is>
      </c>
      <c r="B2165" s="26" t="n">
        <v>14</v>
      </c>
      <c r="C2165" s="26" t="n">
        <v>1899</v>
      </c>
      <c r="D2165" s="14" t="inlineStr">
        <is>
          <t>ESCOLA MUNICIPAL DR. ORLANDO IMBASSAHY</t>
        </is>
      </c>
      <c r="E2165" s="14" t="inlineStr">
        <is>
          <t>SÃO MARCOS</t>
        </is>
      </c>
      <c r="F2165" s="14" t="inlineStr">
        <is>
          <t>AVENIDA SÃO RAFAEL, S/N - ZONA URBANA</t>
        </is>
      </c>
      <c r="G2165" s="27" t="inlineStr">
        <is>
          <t>41253-190</t>
        </is>
      </c>
      <c r="H2165" s="15" t="n">
        <v>14</v>
      </c>
      <c r="I2165" s="28" t="inlineStr">
        <is>
          <t>SIM</t>
        </is>
      </c>
      <c r="J2165" s="29" t="n">
        <v>93.8</v>
      </c>
      <c r="K2165" s="14" t="str">
        <f>IF(J2165="","7. Acima de 2 km",IF(J2165&lt;=50,"1. Até 50 m",IF(J2165&lt;=100,"2. De 50 a 100 m",IF(J2165&lt;=200,"3. De 100 a 200 m",IF(J2165&lt;=300,"4. De 200 a 300 m",IF(J2165&lt;=500,"5. De 300 a 500 m","6. De 500 m a 2 km"))))))</f>
        <v>2. De 50 a 100 m</v>
      </c>
      <c r="L2165" s="26" t="n">
        <v>0</v>
      </c>
      <c r="M2165" s="26" t="n">
        <v>1</v>
      </c>
      <c r="N2165" s="26" t="n">
        <v>2</v>
      </c>
      <c r="O2165" s="26" t="n">
        <v>2</v>
      </c>
      <c r="P2165" s="30" t="n">
        <v>-12.928215</v>
      </c>
      <c r="Q2165" s="30" t="n">
        <v>-38.4325324</v>
      </c>
      <c r="R2165" s="14" t="inlineStr">
        <is>
          <t>CARTÓRIO DA 14ª ZONA ELEITORAL, 1ª AVENIDA DO CENTRO ADMINISTRATIVO DA BAHIA, 150, SALVADOR-BA.</t>
        </is>
      </c>
      <c r="S2165" s="26">
        <f>IF(A2165=A2164,0,1)</f>
        <v>0</v>
      </c>
      <c r="T2165" s="26">
        <f>IF(COUNTIF($B$4:B2165,B2165)=1,1,0)</f>
        <v>0</v>
      </c>
    </row>
    <row r="2166">
      <c r="A2166" s="14" t="inlineStr">
        <is>
          <t>SALVADOR</t>
        </is>
      </c>
      <c r="B2166" s="26" t="n">
        <v>14</v>
      </c>
      <c r="C2166" s="26" t="n">
        <v>1902</v>
      </c>
      <c r="D2166" s="14" t="inlineStr">
        <is>
          <t>COLÉGIO ESTADUAL DAVID MENDES PEREIRA</t>
        </is>
      </c>
      <c r="E2166" s="14" t="inlineStr">
        <is>
          <t>SÃO MARCOS</t>
        </is>
      </c>
      <c r="F2166" s="14" t="inlineStr">
        <is>
          <t>CONJ COLINA DO MAR, VIA B-1, 49 - ZONA URBANA</t>
        </is>
      </c>
      <c r="G2166" s="27" t="inlineStr">
        <is>
          <t>41250-520</t>
        </is>
      </c>
      <c r="H2166" s="15" t="n">
        <v>20</v>
      </c>
      <c r="I2166" s="28" t="inlineStr">
        <is>
          <t>SIM</t>
        </is>
      </c>
      <c r="J2166" s="29" t="n">
        <v>89.7</v>
      </c>
      <c r="K2166" s="14" t="str">
        <f>IF(J2166="","7. Acima de 2 km",IF(J2166&lt;=50,"1. Até 50 m",IF(J2166&lt;=100,"2. De 50 a 100 m",IF(J2166&lt;=200,"3. De 100 a 200 m",IF(J2166&lt;=300,"4. De 200 a 300 m",IF(J2166&lt;=500,"5. De 300 a 500 m","6. De 500 m a 2 km"))))))</f>
        <v>2. De 50 a 100 m</v>
      </c>
      <c r="L2166" s="26" t="n">
        <v>0</v>
      </c>
      <c r="M2166" s="26" t="n">
        <v>1</v>
      </c>
      <c r="N2166" s="26" t="n">
        <v>2</v>
      </c>
      <c r="O2166" s="26" t="n">
        <v>4</v>
      </c>
      <c r="P2166" s="30" t="n">
        <v>-12.9343498</v>
      </c>
      <c r="Q2166" s="30" t="n">
        <v>-38.4277548</v>
      </c>
      <c r="R2166" s="14" t="inlineStr">
        <is>
          <t>CARTÓRIO DA 14ª ZONA ELEITORAL, 1ª AVENIDA DO CENTRO ADMINISTRATIVO DA BAHIA, 150, SALVADOR-BA.</t>
        </is>
      </c>
      <c r="S2166" s="26">
        <f>IF(A2166=A2165,0,1)</f>
        <v>0</v>
      </c>
      <c r="T2166" s="26">
        <f>IF(COUNTIF($B$4:B2166,B2166)=1,1,0)</f>
        <v>0</v>
      </c>
    </row>
    <row r="2167">
      <c r="A2167" s="14" t="inlineStr">
        <is>
          <t>SALVADOR</t>
        </is>
      </c>
      <c r="B2167" s="26" t="n">
        <v>14</v>
      </c>
      <c r="C2167" s="26" t="n">
        <v>1910</v>
      </c>
      <c r="D2167" s="14" t="inlineStr">
        <is>
          <t>COLÉGIO ESTADUAL DE APLICAÇÃO ANÍSIO TEIXEIRA</t>
        </is>
      </c>
      <c r="E2167" s="14" t="inlineStr">
        <is>
          <t>SÃO MARCOS</t>
        </is>
      </c>
      <c r="F2167" s="14" t="inlineStr">
        <is>
          <t>ESTRADA DAS MURIÇOCAS, S/N - ZONA URBANA</t>
        </is>
      </c>
      <c r="G2167" s="27" t="inlineStr">
        <is>
          <t>41250-420</t>
        </is>
      </c>
      <c r="H2167" s="15" t="n">
        <v>20</v>
      </c>
      <c r="I2167" s="28" t="inlineStr">
        <is>
          <t>NÃO</t>
        </is>
      </c>
      <c r="J2167" s="29" t="n">
        <v>201.8</v>
      </c>
      <c r="K2167" s="14" t="str">
        <f>IF(J2167="","7. Acima de 2 km",IF(J2167&lt;=50,"1. Até 50 m",IF(J2167&lt;=100,"2. De 50 a 100 m",IF(J2167&lt;=200,"3. De 100 a 200 m",IF(J2167&lt;=300,"4. De 200 a 300 m",IF(J2167&lt;=500,"5. De 300 a 500 m","6. De 500 m a 2 km"))))))</f>
        <v>4. De 200 a 300 m</v>
      </c>
      <c r="L2167" s="26" t="n">
        <v>0</v>
      </c>
      <c r="M2167" s="26" t="n">
        <v>0</v>
      </c>
      <c r="N2167" s="26" t="n">
        <v>0</v>
      </c>
      <c r="O2167" s="26" t="n">
        <v>2</v>
      </c>
      <c r="P2167" s="30" t="n">
        <v>-12.9372472</v>
      </c>
      <c r="Q2167" s="30" t="n">
        <v>-38.4153705</v>
      </c>
      <c r="R2167" s="14" t="inlineStr">
        <is>
          <t>CARTÓRIO DA 14ª ZONA ELEITORAL, 1ª AVENIDA DO CENTRO ADMINISTRATIVO DA BAHIA, 150, SALVADOR-BA.</t>
        </is>
      </c>
      <c r="S2167" s="26">
        <f>IF(A2167=A2166,0,1)</f>
        <v>0</v>
      </c>
      <c r="T2167" s="26">
        <f>IF(COUNTIF($B$4:B2167,B2167)=1,1,0)</f>
        <v>0</v>
      </c>
    </row>
    <row r="2168">
      <c r="A2168" s="14" t="inlineStr">
        <is>
          <t>SALVADOR</t>
        </is>
      </c>
      <c r="B2168" s="26" t="n">
        <v>14</v>
      </c>
      <c r="C2168" s="26" t="n">
        <v>1929</v>
      </c>
      <c r="D2168" s="14" t="inlineStr">
        <is>
          <t>ESCOLA MUNICIPAL MARIA DOLORES</t>
        </is>
      </c>
      <c r="E2168" s="14" t="inlineStr">
        <is>
          <t>TANCREDO NEVES</t>
        </is>
      </c>
      <c r="F2168" s="14" t="inlineStr">
        <is>
          <t>RUA SÃO PAULO, 56, LOT. ALTO DA BELA VISTA - ZONA URBANA</t>
        </is>
      </c>
      <c r="G2168" s="27" t="inlineStr">
        <is>
          <t>41207-220</t>
        </is>
      </c>
      <c r="H2168" s="15" t="n">
        <v>7</v>
      </c>
      <c r="I2168" s="28" t="inlineStr">
        <is>
          <t>NÃO</t>
        </is>
      </c>
      <c r="J2168" s="29" t="n">
        <v>703</v>
      </c>
      <c r="K2168" s="14" t="str">
        <f>IF(J2168="","7. Acima de 2 km",IF(J2168&lt;=50,"1. Até 50 m",IF(J2168&lt;=100,"2. De 50 a 100 m",IF(J2168&lt;=200,"3. De 100 a 200 m",IF(J2168&lt;=300,"4. De 200 a 300 m",IF(J2168&lt;=500,"5. De 300 a 500 m","6. De 500 m a 2 km"))))))</f>
        <v>6. De 500 m a 2 km</v>
      </c>
      <c r="L2168" s="26" t="n">
        <v>0</v>
      </c>
      <c r="M2168" s="26" t="n">
        <v>0</v>
      </c>
      <c r="N2168" s="26" t="n">
        <v>0</v>
      </c>
      <c r="O2168" s="26" t="n">
        <v>0</v>
      </c>
      <c r="P2168" s="30" t="n">
        <v>-12.9413974</v>
      </c>
      <c r="Q2168" s="30" t="n">
        <v>-38.4421055</v>
      </c>
      <c r="R2168" s="14" t="inlineStr">
        <is>
          <t>CARTÓRIO DA 14ª ZONA ELEITORAL, 1ª AVENIDA DO CENTRO ADMINISTRATIVO DA BAHIA, 150, SALVADOR-BA.</t>
        </is>
      </c>
      <c r="S2168" s="26">
        <f>IF(A2168=A2167,0,1)</f>
        <v>0</v>
      </c>
      <c r="T2168" s="26">
        <f>IF(COUNTIF($B$4:B2168,B2168)=1,1,0)</f>
        <v>0</v>
      </c>
    </row>
    <row r="2169">
      <c r="A2169" s="14" t="inlineStr">
        <is>
          <t>SALVADOR</t>
        </is>
      </c>
      <c r="B2169" s="26" t="n">
        <v>14</v>
      </c>
      <c r="C2169" s="26" t="n">
        <v>2020</v>
      </c>
      <c r="D2169" s="14" t="inlineStr">
        <is>
          <t>CENTRO DE INTEGRAÇÃO FAMILIAR - CEIFAR</t>
        </is>
      </c>
      <c r="E2169" s="14" t="inlineStr">
        <is>
          <t>TANCREDO NEVES</t>
        </is>
      </c>
      <c r="F2169" s="14" t="inlineStr">
        <is>
          <t>R. DIRETA DE TANCREDO NEVES, 402-E - ZONA URBANA</t>
        </is>
      </c>
      <c r="G2169" s="27" t="inlineStr">
        <is>
          <t>41205-000</t>
        </is>
      </c>
      <c r="H2169" s="15" t="n">
        <v>9</v>
      </c>
      <c r="I2169" s="28" t="inlineStr">
        <is>
          <t>NÃO</t>
        </is>
      </c>
      <c r="J2169" s="29" t="n">
        <v>559.5</v>
      </c>
      <c r="K2169" s="14" t="str">
        <f>IF(J2169="","7. Acima de 2 km",IF(J2169&lt;=50,"1. Até 50 m",IF(J2169&lt;=100,"2. De 50 a 100 m",IF(J2169&lt;=200,"3. De 100 a 200 m",IF(J2169&lt;=300,"4. De 200 a 300 m",IF(J2169&lt;=500,"5. De 300 a 500 m","6. De 500 m a 2 km"))))))</f>
        <v>6. De 500 m a 2 km</v>
      </c>
      <c r="L2169" s="26" t="n">
        <v>0</v>
      </c>
      <c r="M2169" s="26" t="n">
        <v>0</v>
      </c>
      <c r="N2169" s="26" t="n">
        <v>0</v>
      </c>
      <c r="O2169" s="26" t="n">
        <v>0</v>
      </c>
      <c r="P2169" s="30" t="n">
        <v>-12.9417627</v>
      </c>
      <c r="Q2169" s="30" t="n">
        <v>-38.4499107</v>
      </c>
      <c r="R2169" s="14" t="inlineStr">
        <is>
          <t>CARTÓRIO DA 14ª ZONA ELEITORAL, 1ª AVENIDA DO CENTRO ADMINISTRATIVO DA BAHIA, 150, SALVADOR-BA.</t>
        </is>
      </c>
      <c r="S2169" s="26">
        <f>IF(A2169=A2168,0,1)</f>
        <v>0</v>
      </c>
      <c r="T2169" s="26">
        <f>IF(COUNTIF($B$4:B2169,B2169)=1,1,0)</f>
        <v>0</v>
      </c>
    </row>
    <row r="2170">
      <c r="A2170" s="14" t="inlineStr">
        <is>
          <t>SALVADOR</t>
        </is>
      </c>
      <c r="B2170" s="26" t="n">
        <v>14</v>
      </c>
      <c r="C2170" s="26" t="n">
        <v>2062</v>
      </c>
      <c r="D2170" s="14" t="inlineStr">
        <is>
          <t>COLÉGIO ESTADUAL DE TEMPO INTEGRAL SÃO DANIEL COMBONI</t>
        </is>
      </c>
      <c r="E2170" s="14" t="inlineStr">
        <is>
          <t>SUSSUARANA</t>
        </is>
      </c>
      <c r="F2170" s="14" t="inlineStr">
        <is>
          <t>2A TRAVESSA MOISÉS MENDES, 02 - ZONA URBANA</t>
        </is>
      </c>
      <c r="G2170" s="27" t="inlineStr">
        <is>
          <t>41213-665</t>
        </is>
      </c>
      <c r="H2170" s="15" t="n">
        <v>27</v>
      </c>
      <c r="I2170" s="28" t="inlineStr">
        <is>
          <t>SIM</t>
        </is>
      </c>
      <c r="J2170" s="29" t="n">
        <v>71.90000000000001</v>
      </c>
      <c r="K2170" s="14" t="str">
        <f>IF(J2170="","7. Acima de 2 km",IF(J2170&lt;=50,"1. Até 50 m",IF(J2170&lt;=100,"2. De 50 a 100 m",IF(J2170&lt;=200,"3. De 100 a 200 m",IF(J2170&lt;=300,"4. De 200 a 300 m",IF(J2170&lt;=500,"5. De 300 a 500 m","6. De 500 m a 2 km"))))))</f>
        <v>2. De 50 a 100 m</v>
      </c>
      <c r="L2170" s="26" t="n">
        <v>0</v>
      </c>
      <c r="M2170" s="26" t="n">
        <v>1</v>
      </c>
      <c r="N2170" s="26" t="n">
        <v>6</v>
      </c>
      <c r="O2170" s="26" t="n">
        <v>6</v>
      </c>
      <c r="P2170" s="30" t="n">
        <v>-12.9341511</v>
      </c>
      <c r="Q2170" s="30" t="n">
        <v>-38.4391748</v>
      </c>
      <c r="R2170" s="14" t="inlineStr">
        <is>
          <t>CARTÓRIO DA 14ª ZONA ELEITORAL, 1ª AVENIDA DO CENTRO ADMINISTRATIVO DA BAHIA, 150, SALVADOR-BA.</t>
        </is>
      </c>
      <c r="S2170" s="26">
        <f>IF(A2170=A2169,0,1)</f>
        <v>0</v>
      </c>
      <c r="T2170" s="26">
        <f>IF(COUNTIF($B$4:B2170,B2170)=1,1,0)</f>
        <v>0</v>
      </c>
    </row>
    <row r="2171">
      <c r="A2171" s="14" t="inlineStr">
        <is>
          <t>SALVADOR</t>
        </is>
      </c>
      <c r="B2171" s="26" t="n">
        <v>14</v>
      </c>
      <c r="C2171" s="26" t="n">
        <v>2070</v>
      </c>
      <c r="D2171" s="14" t="inlineStr">
        <is>
          <t>ESCOLA MUNICIPAL CLÉRISTON ANDRADE</t>
        </is>
      </c>
      <c r="E2171" s="14" t="inlineStr">
        <is>
          <t>SÃO MARCOS</t>
        </is>
      </c>
      <c r="F2171" s="14" t="inlineStr">
        <is>
          <t>RUA DJALMA SANCHES 106 - ZONA URBANA</t>
        </is>
      </c>
      <c r="G2171" s="27" t="inlineStr">
        <is>
          <t>41253-330</t>
        </is>
      </c>
      <c r="H2171" s="15" t="n">
        <v>35</v>
      </c>
      <c r="I2171" s="28" t="inlineStr">
        <is>
          <t>NÃO</t>
        </is>
      </c>
      <c r="J2171" s="29" t="n">
        <v>193.7</v>
      </c>
      <c r="K2171" s="14" t="str">
        <f>IF(J2171="","7. Acima de 2 km",IF(J2171&lt;=50,"1. Até 50 m",IF(J2171&lt;=100,"2. De 50 a 100 m",IF(J2171&lt;=200,"3. De 100 a 200 m",IF(J2171&lt;=300,"4. De 200 a 300 m",IF(J2171&lt;=500,"5. De 300 a 500 m","6. De 500 m a 2 km"))))))</f>
        <v>3. De 100 a 200 m</v>
      </c>
      <c r="L2171" s="26" t="n">
        <v>0</v>
      </c>
      <c r="M2171" s="26" t="n">
        <v>0</v>
      </c>
      <c r="N2171" s="26" t="n">
        <v>2</v>
      </c>
      <c r="O2171" s="26" t="n">
        <v>2</v>
      </c>
      <c r="P2171" s="30" t="n">
        <v>-12.9262711</v>
      </c>
      <c r="Q2171" s="30" t="n">
        <v>-38.4365629</v>
      </c>
      <c r="R2171" s="14" t="inlineStr">
        <is>
          <t>CARTÓRIO DA 14ª ZONA ELEITORAL, 1ª AVENIDA DO CENTRO ADMINISTRATIVO DA BAHIA, 150, SALVADOR-BA.</t>
        </is>
      </c>
      <c r="S2171" s="26">
        <f>IF(A2171=A2170,0,1)</f>
        <v>0</v>
      </c>
      <c r="T2171" s="26">
        <f>IF(COUNTIF($B$4:B2171,B2171)=1,1,0)</f>
        <v>0</v>
      </c>
    </row>
    <row r="2172">
      <c r="A2172" s="14" t="inlineStr">
        <is>
          <t>SALVADOR</t>
        </is>
      </c>
      <c r="B2172" s="26" t="n">
        <v>15</v>
      </c>
      <c r="C2172" s="26" t="n">
        <v>1538</v>
      </c>
      <c r="D2172" s="14" t="inlineStr">
        <is>
          <t>ESCOLA MUNICIPAL EDUCADOR PAULO FREIRE</t>
        </is>
      </c>
      <c r="E2172" s="14" t="inlineStr">
        <is>
          <t>ARRAIAL DO RETIRO</t>
        </is>
      </c>
      <c r="F2172" s="14" t="inlineStr">
        <is>
          <t>TRAVESSA RIO BRANCO, N. 152</t>
        </is>
      </c>
      <c r="G2172" s="27" t="inlineStr">
        <is>
          <t>40015-140</t>
        </is>
      </c>
      <c r="H2172" s="15" t="n">
        <v>7</v>
      </c>
      <c r="I2172" s="28" t="inlineStr">
        <is>
          <t>NÃO</t>
        </is>
      </c>
      <c r="J2172" s="29" t="n">
        <v>547.9</v>
      </c>
      <c r="K2172" s="14" t="str">
        <f>IF(J2172="","7. Acima de 2 km",IF(J2172&lt;=50,"1. Até 50 m",IF(J2172&lt;=100,"2. De 50 a 100 m",IF(J2172&lt;=200,"3. De 100 a 200 m",IF(J2172&lt;=300,"4. De 200 a 300 m",IF(J2172&lt;=500,"5. De 300 a 500 m","6. De 500 m a 2 km"))))))</f>
        <v>6. De 500 m a 2 km</v>
      </c>
      <c r="L2172" s="26" t="n">
        <v>0</v>
      </c>
      <c r="M2172" s="26" t="n">
        <v>0</v>
      </c>
      <c r="N2172" s="26" t="n">
        <v>0</v>
      </c>
      <c r="O2172" s="26" t="n">
        <v>0</v>
      </c>
      <c r="P2172" s="30" t="n">
        <v>-12.9453873</v>
      </c>
      <c r="Q2172" s="30" t="n">
        <v>-38.4683645</v>
      </c>
      <c r="R2172" s="14" t="inlineStr">
        <is>
          <t>CARTÓRIO DA 15ª ZONA ELEITORAL, 1ª AVENIDA DO CENTRO ADMINISTRATIVO DA BAHIA, 150, SALVADOR-BA.</t>
        </is>
      </c>
      <c r="S2172" s="26">
        <f>IF(A2172=A2171,0,1)</f>
        <v>0</v>
      </c>
      <c r="T2172" s="26">
        <f>IF(COUNTIF($B$4:B2172,B2172)=1,1,0)</f>
        <v>1</v>
      </c>
    </row>
    <row r="2173">
      <c r="A2173" s="14" t="inlineStr">
        <is>
          <t>SALVADOR</t>
        </is>
      </c>
      <c r="B2173" s="26" t="n">
        <v>15</v>
      </c>
      <c r="C2173" s="26" t="n">
        <v>1546</v>
      </c>
      <c r="D2173" s="14" t="inlineStr">
        <is>
          <t>ESCOLA MUNICIPAL PROFESSOR ANTONIO CARVALHO GUEDES</t>
        </is>
      </c>
      <c r="E2173" s="14" t="inlineStr">
        <is>
          <t>CAPELINHA DE SÃO CAETANO</t>
        </is>
      </c>
      <c r="F2173" s="14" t="inlineStr">
        <is>
          <t>RUA DA GLÓRIA, N. 143</t>
        </is>
      </c>
      <c r="G2173" s="27" t="inlineStr">
        <is>
          <t>40760-500</t>
        </is>
      </c>
      <c r="H2173" s="15" t="n">
        <v>8</v>
      </c>
      <c r="I2173" s="28" t="inlineStr">
        <is>
          <t>NÃO</t>
        </is>
      </c>
      <c r="J2173" s="29" t="n">
        <v>353.8</v>
      </c>
      <c r="K2173" s="14" t="str">
        <f>IF(J2173="","7. Acima de 2 km",IF(J2173&lt;=50,"1. Até 50 m",IF(J2173&lt;=100,"2. De 50 a 100 m",IF(J2173&lt;=200,"3. De 100 a 200 m",IF(J2173&lt;=300,"4. De 200 a 300 m",IF(J2173&lt;=500,"5. De 300 a 500 m","6. De 500 m a 2 km"))))))</f>
        <v>5. De 300 a 500 m</v>
      </c>
      <c r="L2173" s="26" t="n">
        <v>0</v>
      </c>
      <c r="M2173" s="26" t="n">
        <v>0</v>
      </c>
      <c r="N2173" s="26" t="n">
        <v>0</v>
      </c>
      <c r="O2173" s="26" t="n">
        <v>0</v>
      </c>
      <c r="P2173" s="30" t="n">
        <v>-12.9303887</v>
      </c>
      <c r="Q2173" s="30" t="n">
        <v>-38.4841337</v>
      </c>
      <c r="R2173" s="14" t="inlineStr">
        <is>
          <t>CARTÓRIO DA 15ª ZONA ELEITORAL, 1ª AVENIDA DO CENTRO ADMINISTRATIVO DA BAHIA, 150, SALVADOR-BA.</t>
        </is>
      </c>
      <c r="S2173" s="26">
        <f>IF(A2173=A2172,0,1)</f>
        <v>0</v>
      </c>
      <c r="T2173" s="26">
        <f>IF(COUNTIF($B$4:B2173,B2173)=1,1,0)</f>
        <v>0</v>
      </c>
    </row>
    <row r="2174">
      <c r="A2174" s="14" t="inlineStr">
        <is>
          <t>SALVADOR</t>
        </is>
      </c>
      <c r="B2174" s="26" t="n">
        <v>15</v>
      </c>
      <c r="C2174" s="26" t="n">
        <v>1570</v>
      </c>
      <c r="D2174" s="14" t="inlineStr">
        <is>
          <t>COLÉGIO ESTADUAL DALVA MATOS</t>
        </is>
      </c>
      <c r="E2174" s="14" t="inlineStr">
        <is>
          <t>LOBATO</t>
        </is>
      </c>
      <c r="F2174" s="14" t="inlineStr">
        <is>
          <t>RUA ATERRO DO JOANES, S/N</t>
        </is>
      </c>
      <c r="G2174" s="27" t="inlineStr">
        <is>
          <t>40470-000</t>
        </is>
      </c>
      <c r="H2174" s="15" t="n">
        <v>15</v>
      </c>
      <c r="I2174" s="28" t="inlineStr">
        <is>
          <t>NÃO</t>
        </is>
      </c>
      <c r="J2174" s="29" t="n">
        <v>675.3</v>
      </c>
      <c r="K2174" s="14" t="str">
        <f>IF(J2174="","7. Acima de 2 km",IF(J2174&lt;=50,"1. Até 50 m",IF(J2174&lt;=100,"2. De 50 a 100 m",IF(J2174&lt;=200,"3. De 100 a 200 m",IF(J2174&lt;=300,"4. De 200 a 300 m",IF(J2174&lt;=500,"5. De 300 a 500 m","6. De 500 m a 2 km"))))))</f>
        <v>6. De 500 m a 2 km</v>
      </c>
      <c r="L2174" s="26" t="n">
        <v>0</v>
      </c>
      <c r="M2174" s="26" t="n">
        <v>0</v>
      </c>
      <c r="N2174" s="26" t="n">
        <v>0</v>
      </c>
      <c r="O2174" s="26" t="n">
        <v>0</v>
      </c>
      <c r="P2174" s="30" t="n">
        <v>-12.9230428</v>
      </c>
      <c r="Q2174" s="30" t="n">
        <v>-38.4909405</v>
      </c>
      <c r="R2174" s="14" t="inlineStr">
        <is>
          <t>CARTÓRIO DA 15ª ZONA ELEITORAL, 1ª AVENIDA DO CENTRO ADMINISTRATIVO DA BAHIA, 150, SALVADOR-BA.</t>
        </is>
      </c>
      <c r="S2174" s="26">
        <f>IF(A2174=A2173,0,1)</f>
        <v>0</v>
      </c>
      <c r="T2174" s="26">
        <f>IF(COUNTIF($B$4:B2174,B2174)=1,1,0)</f>
        <v>0</v>
      </c>
    </row>
    <row r="2175">
      <c r="A2175" s="14" t="inlineStr">
        <is>
          <t>SALVADOR</t>
        </is>
      </c>
      <c r="B2175" s="26" t="n">
        <v>15</v>
      </c>
      <c r="C2175" s="26" t="n">
        <v>1600</v>
      </c>
      <c r="D2175" s="14" t="inlineStr">
        <is>
          <t>ESCOLA MUNICIPAL FRANCISCO MANGABEIRA</t>
        </is>
      </c>
      <c r="E2175" s="14" t="inlineStr">
        <is>
          <t>SÃO CAETANO</t>
        </is>
      </c>
      <c r="F2175" s="14" t="inlineStr">
        <is>
          <t>AVENIDA NESTOR DUARTE, N. 833</t>
        </is>
      </c>
      <c r="G2175" s="27" t="inlineStr">
        <is>
          <t>40015-140</t>
        </is>
      </c>
      <c r="H2175" s="15" t="n">
        <v>8</v>
      </c>
      <c r="I2175" s="28" t="inlineStr">
        <is>
          <t>SIM</t>
        </is>
      </c>
      <c r="J2175" s="29" t="n">
        <v>30</v>
      </c>
      <c r="K2175" s="14" t="str">
        <f>IF(J2175="","7. Acima de 2 km",IF(J2175&lt;=50,"1. Até 50 m",IF(J2175&lt;=100,"2. De 50 a 100 m",IF(J2175&lt;=200,"3. De 100 a 200 m",IF(J2175&lt;=300,"4. De 200 a 300 m",IF(J2175&lt;=500,"5. De 300 a 500 m","6. De 500 m a 2 km"))))))</f>
        <v>1. Até 50 m</v>
      </c>
      <c r="L2175" s="26" t="n">
        <v>1</v>
      </c>
      <c r="M2175" s="26" t="n">
        <v>1</v>
      </c>
      <c r="N2175" s="26" t="n">
        <v>2</v>
      </c>
      <c r="O2175" s="26" t="n">
        <v>2</v>
      </c>
      <c r="P2175" s="30" t="n">
        <v>-12.9333951</v>
      </c>
      <c r="Q2175" s="30" t="n">
        <v>-38.4832361</v>
      </c>
      <c r="R2175" s="14" t="inlineStr">
        <is>
          <t>CARTÓRIO DA 15ª ZONA ELEITORAL, 1ª AVENIDA DO CENTRO ADMINISTRATIVO DA BAHIA, 150, SALVADOR-BA.</t>
        </is>
      </c>
      <c r="S2175" s="26">
        <f>IF(A2175=A2174,0,1)</f>
        <v>0</v>
      </c>
      <c r="T2175" s="26">
        <f>IF(COUNTIF($B$4:B2175,B2175)=1,1,0)</f>
        <v>0</v>
      </c>
    </row>
    <row r="2176">
      <c r="A2176" s="14" t="inlineStr">
        <is>
          <t>SALVADOR</t>
        </is>
      </c>
      <c r="B2176" s="26" t="n">
        <v>15</v>
      </c>
      <c r="C2176" s="26" t="n">
        <v>1619</v>
      </c>
      <c r="D2176" s="14" t="inlineStr">
        <is>
          <t>COLÉGIO ESTADUAL ALBERTO CERQUEIRA</t>
        </is>
      </c>
      <c r="E2176" s="14" t="inlineStr">
        <is>
          <t>SÃO CAETANO</t>
        </is>
      </c>
      <c r="F2176" s="14" t="inlineStr">
        <is>
          <t>RUA ANA MARIANI BITTENCOURT, S/N</t>
        </is>
      </c>
      <c r="G2176" s="27" t="inlineStr">
        <is>
          <t>40390-570</t>
        </is>
      </c>
      <c r="H2176" s="15" t="n">
        <v>11</v>
      </c>
      <c r="I2176" s="28" t="inlineStr">
        <is>
          <t>NÃO</t>
        </is>
      </c>
      <c r="J2176" s="29" t="n">
        <v>289.1</v>
      </c>
      <c r="K2176" s="14" t="str">
        <f>IF(J2176="","7. Acima de 2 km",IF(J2176&lt;=50,"1. Até 50 m",IF(J2176&lt;=100,"2. De 50 a 100 m",IF(J2176&lt;=200,"3. De 100 a 200 m",IF(J2176&lt;=300,"4. De 200 a 300 m",IF(J2176&lt;=500,"5. De 300 a 500 m","6. De 500 m a 2 km"))))))</f>
        <v>4. De 200 a 300 m</v>
      </c>
      <c r="L2176" s="26" t="n">
        <v>0</v>
      </c>
      <c r="M2176" s="26" t="n">
        <v>0</v>
      </c>
      <c r="N2176" s="26" t="n">
        <v>0</v>
      </c>
      <c r="O2176" s="26" t="n">
        <v>1</v>
      </c>
      <c r="P2176" s="30" t="n">
        <v>-12.9357735</v>
      </c>
      <c r="Q2176" s="30" t="n">
        <v>-38.476506</v>
      </c>
      <c r="R2176" s="14" t="inlineStr">
        <is>
          <t>CARTÓRIO DA 15ª ZONA ELEITORAL, 1ª AVENIDA DO CENTRO ADMINISTRATIVO DA BAHIA, 150, SALVADOR-BA.</t>
        </is>
      </c>
      <c r="S2176" s="26">
        <f>IF(A2176=A2175,0,1)</f>
        <v>0</v>
      </c>
      <c r="T2176" s="26">
        <f>IF(COUNTIF($B$4:B2176,B2176)=1,1,0)</f>
        <v>0</v>
      </c>
    </row>
    <row r="2177">
      <c r="A2177" s="14" t="inlineStr">
        <is>
          <t>SALVADOR</t>
        </is>
      </c>
      <c r="B2177" s="26" t="n">
        <v>15</v>
      </c>
      <c r="C2177" s="26" t="n">
        <v>1627</v>
      </c>
      <c r="D2177" s="14" t="inlineStr">
        <is>
          <t>COLÉGIO ESTADUAL DANTAS JÚNIOR</t>
        </is>
      </c>
      <c r="E2177" s="14" t="inlineStr">
        <is>
          <t>LOBATO</t>
        </is>
      </c>
      <c r="F2177" s="14" t="inlineStr">
        <is>
          <t>LADEIRA DOS FIAIS, S/N - ZONA URBANA</t>
        </is>
      </c>
      <c r="G2177" s="27" t="inlineStr">
        <is>
          <t>40470-340</t>
        </is>
      </c>
      <c r="H2177" s="15" t="n">
        <v>6</v>
      </c>
      <c r="I2177" s="28" t="inlineStr">
        <is>
          <t>NÃO</t>
        </is>
      </c>
      <c r="J2177" s="29" t="n">
        <v>371.2</v>
      </c>
      <c r="K2177" s="14" t="str">
        <f>IF(J2177="","7. Acima de 2 km",IF(J2177&lt;=50,"1. Até 50 m",IF(J2177&lt;=100,"2. De 50 a 100 m",IF(J2177&lt;=200,"3. De 100 a 200 m",IF(J2177&lt;=300,"4. De 200 a 300 m",IF(J2177&lt;=500,"5. De 300 a 500 m","6. De 500 m a 2 km"))))))</f>
        <v>5. De 300 a 500 m</v>
      </c>
      <c r="L2177" s="26" t="n">
        <v>0</v>
      </c>
      <c r="M2177" s="26" t="n">
        <v>0</v>
      </c>
      <c r="N2177" s="26" t="n">
        <v>0</v>
      </c>
      <c r="O2177" s="26" t="n">
        <v>0</v>
      </c>
      <c r="P2177" s="30" t="n">
        <v>-12.9284146</v>
      </c>
      <c r="Q2177" s="30" t="n">
        <v>-38.48341</v>
      </c>
      <c r="R2177" s="14" t="inlineStr">
        <is>
          <t>CARTÓRIO DA 15ª ZONA ELEITORAL, 1ª AVENIDA DO CENTRO ADMINISTRATIVO DA BAHIA, 150, SALVADOR-BA.</t>
        </is>
      </c>
      <c r="S2177" s="26">
        <f>IF(A2177=A2176,0,1)</f>
        <v>0</v>
      </c>
      <c r="T2177" s="26">
        <f>IF(COUNTIF($B$4:B2177,B2177)=1,1,0)</f>
        <v>0</v>
      </c>
    </row>
    <row r="2178">
      <c r="A2178" s="14" t="inlineStr">
        <is>
          <t>SALVADOR</t>
        </is>
      </c>
      <c r="B2178" s="26" t="n">
        <v>15</v>
      </c>
      <c r="C2178" s="26" t="n">
        <v>1643</v>
      </c>
      <c r="D2178" s="14" t="inlineStr">
        <is>
          <t>ESCOLA MUNICIPAL ENGENHEIRO GILBERTO PIRES MARINHO</t>
        </is>
      </c>
      <c r="E2178" s="14" t="inlineStr">
        <is>
          <t>BOA VISTA DO LOBATO</t>
        </is>
      </c>
      <c r="F2178" s="14" t="inlineStr">
        <is>
          <t>RUA JOÃO RODRIGUES MENDES, S/N</t>
        </is>
      </c>
      <c r="G2178" s="27" t="inlineStr">
        <is>
          <t>40480-160</t>
        </is>
      </c>
      <c r="H2178" s="15" t="n">
        <v>10</v>
      </c>
      <c r="I2178" s="28" t="inlineStr">
        <is>
          <t>NÃO</t>
        </is>
      </c>
      <c r="J2178" s="29" t="n">
        <v>266</v>
      </c>
      <c r="K2178" s="14" t="str">
        <f>IF(J2178="","7. Acima de 2 km",IF(J2178&lt;=50,"1. Até 50 m",IF(J2178&lt;=100,"2. De 50 a 100 m",IF(J2178&lt;=200,"3. De 100 a 200 m",IF(J2178&lt;=300,"4. De 200 a 300 m",IF(J2178&lt;=500,"5. De 300 a 500 m","6. De 500 m a 2 km"))))))</f>
        <v>4. De 200 a 300 m</v>
      </c>
      <c r="L2178" s="26" t="n">
        <v>0</v>
      </c>
      <c r="M2178" s="26" t="n">
        <v>0</v>
      </c>
      <c r="N2178" s="26" t="n">
        <v>0</v>
      </c>
      <c r="O2178" s="26" t="n">
        <v>1</v>
      </c>
      <c r="P2178" s="30" t="n">
        <v>-12.9190722</v>
      </c>
      <c r="Q2178" s="30" t="n">
        <v>-38.4760295</v>
      </c>
      <c r="R2178" s="14" t="inlineStr">
        <is>
          <t>CARTÓRIO DA 15ª ZONA ELEITORAL, 1ª AVENIDA DO CENTRO ADMINISTRATIVO DA BAHIA, 150, SALVADOR-BA.</t>
        </is>
      </c>
      <c r="S2178" s="26">
        <f>IF(A2178=A2177,0,1)</f>
        <v>0</v>
      </c>
      <c r="T2178" s="26">
        <f>IF(COUNTIF($B$4:B2178,B2178)=1,1,0)</f>
        <v>0</v>
      </c>
    </row>
    <row r="2179">
      <c r="A2179" s="14" t="inlineStr">
        <is>
          <t>SALVADOR</t>
        </is>
      </c>
      <c r="B2179" s="26" t="n">
        <v>15</v>
      </c>
      <c r="C2179" s="26" t="n">
        <v>1651</v>
      </c>
      <c r="D2179" s="14" t="inlineStr">
        <is>
          <t xml:space="preserve">ESCOLA MUNICIPAL ANTÔNIO CARLOS MAGALHÃES </t>
        </is>
      </c>
      <c r="E2179" s="14" t="inlineStr">
        <is>
          <t>SÃO CAETANO</t>
        </is>
      </c>
      <c r="F2179" s="14" t="inlineStr">
        <is>
          <t>RUA ANA MARIANI BITTENCOURT, S/N</t>
        </is>
      </c>
      <c r="G2179" s="27" t="inlineStr">
        <is>
          <t>40391-232</t>
        </is>
      </c>
      <c r="H2179" s="15" t="n">
        <v>7</v>
      </c>
      <c r="I2179" s="28" t="inlineStr">
        <is>
          <t>NÃO</t>
        </is>
      </c>
      <c r="J2179" s="29" t="n">
        <v>207.2</v>
      </c>
      <c r="K2179" s="14" t="str">
        <f>IF(J2179="","7. Acima de 2 km",IF(J2179&lt;=50,"1. Até 50 m",IF(J2179&lt;=100,"2. De 50 a 100 m",IF(J2179&lt;=200,"3. De 100 a 200 m",IF(J2179&lt;=300,"4. De 200 a 300 m",IF(J2179&lt;=500,"5. De 300 a 500 m","6. De 500 m a 2 km"))))))</f>
        <v>4. De 200 a 300 m</v>
      </c>
      <c r="L2179" s="26" t="n">
        <v>0</v>
      </c>
      <c r="M2179" s="26" t="n">
        <v>0</v>
      </c>
      <c r="N2179" s="26" t="n">
        <v>0</v>
      </c>
      <c r="O2179" s="26" t="n">
        <v>3</v>
      </c>
      <c r="P2179" s="30" t="n">
        <v>-12.9349479</v>
      </c>
      <c r="Q2179" s="30" t="n">
        <v>-38.4760704</v>
      </c>
      <c r="R2179" s="14" t="inlineStr">
        <is>
          <t>CARTÓRIO DA 15ª ZONA ELEITORAL, 1ª AVENIDA DO CENTRO ADMINISTRATIVO DA BAHIA, 150, SALVADOR-BA.</t>
        </is>
      </c>
      <c r="S2179" s="26">
        <f>IF(A2179=A2178,0,1)</f>
        <v>0</v>
      </c>
      <c r="T2179" s="26">
        <f>IF(COUNTIF($B$4:B2179,B2179)=1,1,0)</f>
        <v>0</v>
      </c>
    </row>
    <row r="2180">
      <c r="A2180" s="14" t="inlineStr">
        <is>
          <t>SALVADOR</t>
        </is>
      </c>
      <c r="B2180" s="26" t="n">
        <v>15</v>
      </c>
      <c r="C2180" s="26" t="n">
        <v>1660</v>
      </c>
      <c r="D2180" s="14" t="inlineStr">
        <is>
          <t>ESCOLA MUNICIPAL CONSUL SCHINDLER</t>
        </is>
      </c>
      <c r="E2180" s="14" t="inlineStr">
        <is>
          <t>SÃO CAETANO</t>
        </is>
      </c>
      <c r="F2180" s="14" t="inlineStr">
        <is>
          <t>RUA PROFESSOR LEOPOLDO CAMPOS MONTEIRO, S/N</t>
        </is>
      </c>
      <c r="G2180" s="27" t="inlineStr">
        <is>
          <t>40391-232</t>
        </is>
      </c>
      <c r="H2180" s="15" t="n">
        <v>9</v>
      </c>
      <c r="I2180" s="28" t="inlineStr">
        <is>
          <t>SIM</t>
        </is>
      </c>
      <c r="J2180" s="29" t="n">
        <v>35.5</v>
      </c>
      <c r="K2180" s="14" t="str">
        <f>IF(J2180="","7. Acima de 2 km",IF(J2180&lt;=50,"1. Até 50 m",IF(J2180&lt;=100,"2. De 50 a 100 m",IF(J2180&lt;=200,"3. De 100 a 200 m",IF(J2180&lt;=300,"4. De 200 a 300 m",IF(J2180&lt;=500,"5. De 300 a 500 m","6. De 500 m a 2 km"))))))</f>
        <v>1. Até 50 m</v>
      </c>
      <c r="L2180" s="26" t="n">
        <v>1</v>
      </c>
      <c r="M2180" s="26" t="n">
        <v>1</v>
      </c>
      <c r="N2180" s="26" t="n">
        <v>4</v>
      </c>
      <c r="O2180" s="26" t="n">
        <v>4</v>
      </c>
      <c r="P2180" s="30" t="n">
        <v>-12.9333851</v>
      </c>
      <c r="Q2180" s="30" t="n">
        <v>-38.475711</v>
      </c>
      <c r="R2180" s="14" t="inlineStr">
        <is>
          <t>CARTÓRIO DA 15ª ZONA ELEITORAL, 1ª AVENIDA DO CENTRO ADMINISTRATIVO DA BAHIA, 150, SALVADOR-BA.</t>
        </is>
      </c>
      <c r="S2180" s="26">
        <f>IF(A2180=A2179,0,1)</f>
        <v>0</v>
      </c>
      <c r="T2180" s="26">
        <f>IF(COUNTIF($B$4:B2180,B2180)=1,1,0)</f>
        <v>0</v>
      </c>
    </row>
    <row r="2181">
      <c r="A2181" s="14" t="inlineStr">
        <is>
          <t>SALVADOR</t>
        </is>
      </c>
      <c r="B2181" s="26" t="n">
        <v>15</v>
      </c>
      <c r="C2181" s="26" t="n">
        <v>1686</v>
      </c>
      <c r="D2181" s="14" t="inlineStr">
        <is>
          <t>COLÉGIO ESTADUAL DESEMBARGADOR PEDRO RIBEIRO</t>
        </is>
      </c>
      <c r="E2181" s="14" t="inlineStr">
        <is>
          <t>SÃO CAETANO</t>
        </is>
      </c>
      <c r="F2181" s="14" t="inlineStr">
        <is>
          <t>RUA ANA MARIANI BITTENCOURT, N. 7</t>
        </is>
      </c>
      <c r="G2181" s="27" t="inlineStr">
        <is>
          <t>40391-320</t>
        </is>
      </c>
      <c r="H2181" s="15" t="n">
        <v>13</v>
      </c>
      <c r="I2181" s="28" t="inlineStr">
        <is>
          <t>NÃO</t>
        </is>
      </c>
      <c r="J2181" s="29" t="n">
        <v>268.5</v>
      </c>
      <c r="K2181" s="14" t="str">
        <f>IF(J2181="","7. Acima de 2 km",IF(J2181&lt;=50,"1. Até 50 m",IF(J2181&lt;=100,"2. De 50 a 100 m",IF(J2181&lt;=200,"3. De 100 a 200 m",IF(J2181&lt;=300,"4. De 200 a 300 m",IF(J2181&lt;=500,"5. De 300 a 500 m","6. De 500 m a 2 km"))))))</f>
        <v>4. De 200 a 300 m</v>
      </c>
      <c r="L2181" s="26" t="n">
        <v>0</v>
      </c>
      <c r="M2181" s="26" t="n">
        <v>0</v>
      </c>
      <c r="N2181" s="26" t="n">
        <v>0</v>
      </c>
      <c r="O2181" s="26" t="n">
        <v>1</v>
      </c>
      <c r="P2181" s="30" t="n">
        <v>-12.9355656</v>
      </c>
      <c r="Q2181" s="30" t="n">
        <v>-38.4758583</v>
      </c>
      <c r="R2181" s="14" t="inlineStr">
        <is>
          <t>CARTÓRIO DA 15ª ZONA ELEITORAL, 1ª AVENIDA DO CENTRO ADMINISTRATIVO DA BAHIA, 150, SALVADOR-BA.</t>
        </is>
      </c>
      <c r="S2181" s="26">
        <f>IF(A2181=A2180,0,1)</f>
        <v>0</v>
      </c>
      <c r="T2181" s="26">
        <f>IF(COUNTIF($B$4:B2181,B2181)=1,1,0)</f>
        <v>0</v>
      </c>
    </row>
    <row r="2182">
      <c r="A2182" s="14" t="inlineStr">
        <is>
          <t>SALVADOR</t>
        </is>
      </c>
      <c r="B2182" s="26" t="n">
        <v>15</v>
      </c>
      <c r="C2182" s="26" t="n">
        <v>1708</v>
      </c>
      <c r="D2182" s="14" t="inlineStr">
        <is>
          <t>COLÉGIO ESTADUAL TEREZA HELENA MATA PIRES</t>
        </is>
      </c>
      <c r="E2182" s="14" t="inlineStr">
        <is>
          <t>BOA VISTA DO LOBATO</t>
        </is>
      </c>
      <c r="F2182" s="14" t="inlineStr">
        <is>
          <t>RUA DO CAJU, N. 06</t>
        </is>
      </c>
      <c r="G2182" s="27" t="inlineStr">
        <is>
          <t>40484-440</t>
        </is>
      </c>
      <c r="H2182" s="15" t="n">
        <v>11</v>
      </c>
      <c r="I2182" s="28" t="inlineStr">
        <is>
          <t>NÃO</t>
        </is>
      </c>
      <c r="J2182" s="29" t="n">
        <v>106</v>
      </c>
      <c r="K2182" s="14" t="str">
        <f>IF(J2182="","7. Acima de 2 km",IF(J2182&lt;=50,"1. Até 50 m",IF(J2182&lt;=100,"2. De 50 a 100 m",IF(J2182&lt;=200,"3. De 100 a 200 m",IF(J2182&lt;=300,"4. De 200 a 300 m",IF(J2182&lt;=500,"5. De 300 a 500 m","6. De 500 m a 2 km"))))))</f>
        <v>3. De 100 a 200 m</v>
      </c>
      <c r="L2182" s="26" t="n">
        <v>0</v>
      </c>
      <c r="M2182" s="26" t="n">
        <v>0</v>
      </c>
      <c r="N2182" s="26" t="n">
        <v>2</v>
      </c>
      <c r="O2182" s="26" t="n">
        <v>2</v>
      </c>
      <c r="P2182" s="30" t="n">
        <v>-12.908846</v>
      </c>
      <c r="Q2182" s="30" t="n">
        <v>-38.477999</v>
      </c>
      <c r="R2182" s="14" t="inlineStr">
        <is>
          <t>CARTÓRIO DA 15ª ZONA ELEITORAL, 1ª AVENIDA DO CENTRO ADMINISTRATIVO DA BAHIA, 150, SALVADOR-BA.</t>
        </is>
      </c>
      <c r="S2182" s="26">
        <f>IF(A2182=A2181,0,1)</f>
        <v>0</v>
      </c>
      <c r="T2182" s="26">
        <f>IF(COUNTIF($B$4:B2182,B2182)=1,1,0)</f>
        <v>0</v>
      </c>
    </row>
    <row r="2183">
      <c r="A2183" s="14" t="inlineStr">
        <is>
          <t>SALVADOR</t>
        </is>
      </c>
      <c r="B2183" s="26" t="n">
        <v>15</v>
      </c>
      <c r="C2183" s="26" t="n">
        <v>1724</v>
      </c>
      <c r="D2183" s="14" t="inlineStr">
        <is>
          <t>COLÉGIO ESTADUAL LUIZ PINTO DE CARVALHO</t>
        </is>
      </c>
      <c r="E2183" s="14" t="inlineStr">
        <is>
          <t>SÃO CAETANO</t>
        </is>
      </c>
      <c r="F2183" s="14" t="inlineStr">
        <is>
          <t>RUA ANA MARIANI BITTENCOURT, S/N</t>
        </is>
      </c>
      <c r="G2183" s="27" t="inlineStr">
        <is>
          <t>41345-538</t>
        </is>
      </c>
      <c r="H2183" s="15" t="n">
        <v>21</v>
      </c>
      <c r="I2183" s="28" t="inlineStr">
        <is>
          <t>NÃO</t>
        </is>
      </c>
      <c r="J2183" s="29" t="n">
        <v>209</v>
      </c>
      <c r="K2183" s="14" t="str">
        <f>IF(J2183="","7. Acima de 2 km",IF(J2183&lt;=50,"1. Até 50 m",IF(J2183&lt;=100,"2. De 50 a 100 m",IF(J2183&lt;=200,"3. De 100 a 200 m",IF(J2183&lt;=300,"4. De 200 a 300 m",IF(J2183&lt;=500,"5. De 300 a 500 m","6. De 500 m a 2 km"))))))</f>
        <v>4. De 200 a 300 m</v>
      </c>
      <c r="L2183" s="26" t="n">
        <v>0</v>
      </c>
      <c r="M2183" s="26" t="n">
        <v>0</v>
      </c>
      <c r="N2183" s="26" t="n">
        <v>0</v>
      </c>
      <c r="O2183" s="26" t="n">
        <v>4</v>
      </c>
      <c r="P2183" s="30" t="n">
        <v>-12.9348599</v>
      </c>
      <c r="Q2183" s="30" t="n">
        <v>-38.476328</v>
      </c>
      <c r="R2183" s="14" t="inlineStr">
        <is>
          <t>CARTÓRIO DA 15ª ZONA ELEITORAL, 1ª AVENIDA DO CENTRO ADMINISTRATIVO DA BAHIA, 150, SALVADOR-BA.</t>
        </is>
      </c>
      <c r="S2183" s="26">
        <f>IF(A2183=A2182,0,1)</f>
        <v>0</v>
      </c>
      <c r="T2183" s="26">
        <f>IF(COUNTIF($B$4:B2183,B2183)=1,1,0)</f>
        <v>0</v>
      </c>
    </row>
    <row r="2184">
      <c r="A2184" s="14" t="inlineStr">
        <is>
          <t>SALVADOR</t>
        </is>
      </c>
      <c r="B2184" s="26" t="n">
        <v>15</v>
      </c>
      <c r="C2184" s="26" t="n">
        <v>1732</v>
      </c>
      <c r="D2184" s="14" t="inlineStr">
        <is>
          <t>COLÉGIO ESTADUAL ASSIS CHATEAUBRIAND</t>
        </is>
      </c>
      <c r="E2184" s="14" t="inlineStr">
        <is>
          <t>SÃO CAETANO</t>
        </is>
      </c>
      <c r="F2184" s="14" t="inlineStr">
        <is>
          <t>RUA GÉRSON DE CARVALHO, S/N</t>
        </is>
      </c>
      <c r="G2184" s="27" t="inlineStr">
        <is>
          <t>40390-070</t>
        </is>
      </c>
      <c r="H2184" s="15" t="n">
        <v>12</v>
      </c>
      <c r="I2184" s="28" t="inlineStr">
        <is>
          <t>NÃO</t>
        </is>
      </c>
      <c r="J2184" s="29" t="n">
        <v>153.2</v>
      </c>
      <c r="K2184" s="14" t="str">
        <f>IF(J2184="","7. Acima de 2 km",IF(J2184&lt;=50,"1. Até 50 m",IF(J2184&lt;=100,"2. De 50 a 100 m",IF(J2184&lt;=200,"3. De 100 a 200 m",IF(J2184&lt;=300,"4. De 200 a 300 m",IF(J2184&lt;=500,"5. De 300 a 500 m","6. De 500 m a 2 km"))))))</f>
        <v>3. De 100 a 200 m</v>
      </c>
      <c r="L2184" s="26" t="n">
        <v>0</v>
      </c>
      <c r="M2184" s="26" t="n">
        <v>0</v>
      </c>
      <c r="N2184" s="26" t="n">
        <v>1</v>
      </c>
      <c r="O2184" s="26" t="n">
        <v>1</v>
      </c>
      <c r="P2184" s="30" t="n">
        <v>-12.9342152</v>
      </c>
      <c r="Q2184" s="30" t="n">
        <v>-38.4802606</v>
      </c>
      <c r="R2184" s="14" t="inlineStr">
        <is>
          <t>CARTÓRIO DA 15ª ZONA ELEITORAL, 1ª AVENIDA DO CENTRO ADMINISTRATIVO DA BAHIA, 150, SALVADOR-BA.</t>
        </is>
      </c>
      <c r="S2184" s="26">
        <f>IF(A2184=A2183,0,1)</f>
        <v>0</v>
      </c>
      <c r="T2184" s="26">
        <f>IF(COUNTIF($B$4:B2184,B2184)=1,1,0)</f>
        <v>0</v>
      </c>
    </row>
    <row r="2185">
      <c r="A2185" s="14" t="inlineStr">
        <is>
          <t>SALVADOR</t>
        </is>
      </c>
      <c r="B2185" s="26" t="n">
        <v>15</v>
      </c>
      <c r="C2185" s="26" t="n">
        <v>1759</v>
      </c>
      <c r="D2185" s="14" t="inlineStr">
        <is>
          <t>ESCOLA MUNICIPAL BARBOSA RODRIGUES</t>
        </is>
      </c>
      <c r="E2185" s="14" t="inlineStr">
        <is>
          <t>SÃO CAETANO</t>
        </is>
      </c>
      <c r="F2185" s="14" t="inlineStr">
        <is>
          <t>TRAVESSA VITAN, S/N - ZONA URBANA</t>
        </is>
      </c>
      <c r="G2185" s="27" t="inlineStr">
        <is>
          <t>40395-200</t>
        </is>
      </c>
      <c r="H2185" s="15" t="n">
        <v>6</v>
      </c>
      <c r="I2185" s="28" t="inlineStr">
        <is>
          <t>SIM</t>
        </is>
      </c>
      <c r="J2185" s="29" t="n">
        <v>20.2</v>
      </c>
      <c r="K2185" s="14" t="str">
        <f>IF(J2185="","7. Acima de 2 km",IF(J2185&lt;=50,"1. Até 50 m",IF(J2185&lt;=100,"2. De 50 a 100 m",IF(J2185&lt;=200,"3. De 100 a 200 m",IF(J2185&lt;=300,"4. De 200 a 300 m",IF(J2185&lt;=500,"5. De 300 a 500 m","6. De 500 m a 2 km"))))))</f>
        <v>1. Até 50 m</v>
      </c>
      <c r="L2185" s="26" t="n">
        <v>1</v>
      </c>
      <c r="M2185" s="26" t="n">
        <v>2</v>
      </c>
      <c r="N2185" s="26" t="n">
        <v>2</v>
      </c>
      <c r="O2185" s="26" t="n">
        <v>4</v>
      </c>
      <c r="P2185" s="30" t="n">
        <v>-12.9303532</v>
      </c>
      <c r="Q2185" s="30" t="n">
        <v>-38.4750838</v>
      </c>
      <c r="R2185" s="14" t="inlineStr">
        <is>
          <t>CARTÓRIO DA 15ª ZONA ELEITORAL, 1ª AVENIDA DO CENTRO ADMINISTRATIVO DA BAHIA, 150, SALVADOR-BA.</t>
        </is>
      </c>
      <c r="S2185" s="26">
        <f>IF(A2185=A2184,0,1)</f>
        <v>0</v>
      </c>
      <c r="T2185" s="26">
        <f>IF(COUNTIF($B$4:B2185,B2185)=1,1,0)</f>
        <v>0</v>
      </c>
    </row>
    <row r="2186">
      <c r="A2186" s="14" t="inlineStr">
        <is>
          <t>SALVADOR</t>
        </is>
      </c>
      <c r="B2186" s="26" t="n">
        <v>15</v>
      </c>
      <c r="C2186" s="26" t="n">
        <v>1767</v>
      </c>
      <c r="D2186" s="14" t="inlineStr">
        <is>
          <t>ESCOLA MUNICIPAL ASSISTÊNCIA SOCIAL SÃO JOSÉ</t>
        </is>
      </c>
      <c r="E2186" s="14" t="inlineStr">
        <is>
          <t>BOA VISTA DE SÃO CAETANO</t>
        </is>
      </c>
      <c r="F2186" s="14" t="inlineStr">
        <is>
          <t>RUA PROMOTOR RAPOLD FILHO, S/N</t>
        </is>
      </c>
      <c r="G2186" s="27" t="inlineStr">
        <is>
          <t>40390-265</t>
        </is>
      </c>
      <c r="H2186" s="15" t="n">
        <v>8</v>
      </c>
      <c r="I2186" s="28" t="inlineStr">
        <is>
          <t>NÃO</t>
        </is>
      </c>
      <c r="J2186" s="29" t="n">
        <v>519.8</v>
      </c>
      <c r="K2186" s="14" t="str">
        <f>IF(J2186="","7. Acima de 2 km",IF(J2186&lt;=50,"1. Até 50 m",IF(J2186&lt;=100,"2. De 50 a 100 m",IF(J2186&lt;=200,"3. De 100 a 200 m",IF(J2186&lt;=300,"4. De 200 a 300 m",IF(J2186&lt;=500,"5. De 300 a 500 m","6. De 500 m a 2 km"))))))</f>
        <v>6. De 500 m a 2 km</v>
      </c>
      <c r="L2186" s="26" t="n">
        <v>0</v>
      </c>
      <c r="M2186" s="26" t="n">
        <v>0</v>
      </c>
      <c r="N2186" s="26" t="n">
        <v>0</v>
      </c>
      <c r="O2186" s="26" t="n">
        <v>0</v>
      </c>
      <c r="P2186" s="30" t="n">
        <v>-12.9287483</v>
      </c>
      <c r="Q2186" s="30" t="n">
        <v>-38.4797855</v>
      </c>
      <c r="R2186" s="14" t="inlineStr">
        <is>
          <t>CARTÓRIO DA 15ª ZONA ELEITORAL, 1ª AVENIDA DO CENTRO ADMINISTRATIVO DA BAHIA, 150, SALVADOR-BA.</t>
        </is>
      </c>
      <c r="S2186" s="26">
        <f>IF(A2186=A2185,0,1)</f>
        <v>0</v>
      </c>
      <c r="T2186" s="26">
        <f>IF(COUNTIF($B$4:B2186,B2186)=1,1,0)</f>
        <v>0</v>
      </c>
    </row>
    <row r="2187">
      <c r="A2187" s="14" t="inlineStr">
        <is>
          <t>SALVADOR</t>
        </is>
      </c>
      <c r="B2187" s="26" t="n">
        <v>15</v>
      </c>
      <c r="C2187" s="26" t="n">
        <v>1775</v>
      </c>
      <c r="D2187" s="14" t="inlineStr">
        <is>
          <t>ESCOLA MUNICIPAL XAVIER MARQUES</t>
        </is>
      </c>
      <c r="E2187" s="14" t="inlineStr">
        <is>
          <t>BOM JUÁ</t>
        </is>
      </c>
      <c r="F2187" s="14" t="inlineStr">
        <is>
          <t>RUA DIREITA DO BOM JUÁ Nº 782 - ZONA URBANA</t>
        </is>
      </c>
      <c r="G2187" s="27" t="inlineStr">
        <is>
          <t>40353-290</t>
        </is>
      </c>
      <c r="H2187" s="15" t="n">
        <v>9</v>
      </c>
      <c r="I2187" s="28" t="inlineStr">
        <is>
          <t>SIM</t>
        </is>
      </c>
      <c r="J2187" s="29" t="n">
        <v>44.5</v>
      </c>
      <c r="K2187" s="14" t="str">
        <f>IF(J2187="","7. Acima de 2 km",IF(J2187&lt;=50,"1. Até 50 m",IF(J2187&lt;=100,"2. De 50 a 100 m",IF(J2187&lt;=200,"3. De 100 a 200 m",IF(J2187&lt;=300,"4. De 200 a 300 m",IF(J2187&lt;=500,"5. De 300 a 500 m","6. De 500 m a 2 km"))))))</f>
        <v>1. Até 50 m</v>
      </c>
      <c r="L2187" s="26" t="n">
        <v>1</v>
      </c>
      <c r="M2187" s="26" t="n">
        <v>1</v>
      </c>
      <c r="N2187" s="26" t="n">
        <v>1</v>
      </c>
      <c r="O2187" s="26" t="n">
        <v>1</v>
      </c>
      <c r="P2187" s="30" t="n">
        <v>-12.9404183</v>
      </c>
      <c r="Q2187" s="30" t="n">
        <v>-38.4746385</v>
      </c>
      <c r="R2187" s="14" t="inlineStr">
        <is>
          <t>CARTÓRIO DA 15ª ZONA ELEITORAL, 1ª AVENIDA DO CENTRO ADMINISTRATIVO DA BAHIA, 150, SALVADOR-BA.</t>
        </is>
      </c>
      <c r="S2187" s="26">
        <f>IF(A2187=A2186,0,1)</f>
        <v>0</v>
      </c>
      <c r="T2187" s="26">
        <f>IF(COUNTIF($B$4:B2187,B2187)=1,1,0)</f>
        <v>0</v>
      </c>
    </row>
    <row r="2188">
      <c r="A2188" s="14" t="inlineStr">
        <is>
          <t>SALVADOR</t>
        </is>
      </c>
      <c r="B2188" s="26" t="n">
        <v>15</v>
      </c>
      <c r="C2188" s="26" t="n">
        <v>1783</v>
      </c>
      <c r="D2188" s="14" t="inlineStr">
        <is>
          <t>ESCOLA MUNICIPAL CORAÇÃO DE JESUS</t>
        </is>
      </c>
      <c r="E2188" s="14" t="inlineStr">
        <is>
          <t>LOBATO</t>
        </is>
      </c>
      <c r="F2188" s="14" t="inlineStr">
        <is>
          <t>RUA DA MAMORANA, 31-A, BAIXA DO CACAU</t>
        </is>
      </c>
      <c r="G2188" s="27" t="inlineStr">
        <is>
          <t>40486-195</t>
        </is>
      </c>
      <c r="H2188" s="15" t="n">
        <v>5</v>
      </c>
      <c r="I2188" s="28" t="inlineStr">
        <is>
          <t>NÃO</t>
        </is>
      </c>
      <c r="J2188" s="29" t="n">
        <v>266.2</v>
      </c>
      <c r="K2188" s="14" t="str">
        <f>IF(J2188="","7. Acima de 2 km",IF(J2188&lt;=50,"1. Até 50 m",IF(J2188&lt;=100,"2. De 50 a 100 m",IF(J2188&lt;=200,"3. De 100 a 200 m",IF(J2188&lt;=300,"4. De 200 a 300 m",IF(J2188&lt;=500,"5. De 300 a 500 m","6. De 500 m a 2 km"))))))</f>
        <v>4. De 200 a 300 m</v>
      </c>
      <c r="L2188" s="26" t="n">
        <v>0</v>
      </c>
      <c r="M2188" s="26" t="n">
        <v>0</v>
      </c>
      <c r="N2188" s="26" t="n">
        <v>0</v>
      </c>
      <c r="O2188" s="26" t="n">
        <v>2</v>
      </c>
      <c r="P2188" s="30" t="n">
        <v>-12.9331247</v>
      </c>
      <c r="Q2188" s="30" t="n">
        <v>-38.4878266</v>
      </c>
      <c r="R2188" s="14" t="inlineStr">
        <is>
          <t>CARTÓRIO DA 15ª ZONA ELEITORAL, 1ª AVENIDA DO CENTRO ADMINISTRATIVO DA BAHIA, 150, SALVADOR-BA.</t>
        </is>
      </c>
      <c r="S2188" s="26">
        <f>IF(A2188=A2187,0,1)</f>
        <v>0</v>
      </c>
      <c r="T2188" s="26">
        <f>IF(COUNTIF($B$4:B2188,B2188)=1,1,0)</f>
        <v>0</v>
      </c>
    </row>
    <row r="2189">
      <c r="A2189" s="14" t="inlineStr">
        <is>
          <t>SALVADOR</t>
        </is>
      </c>
      <c r="B2189" s="26" t="n">
        <v>15</v>
      </c>
      <c r="C2189" s="26" t="n">
        <v>1791</v>
      </c>
      <c r="D2189" s="14" t="inlineStr">
        <is>
          <t>COLÉGIO ESTADUAL PROF. JOSÉ BARRETO DE ARAÚJO BASTOS</t>
        </is>
      </c>
      <c r="E2189" s="14" t="inlineStr">
        <is>
          <t>SÃO CAETANO</t>
        </is>
      </c>
      <c r="F2189" s="14" t="inlineStr">
        <is>
          <t>RUA DO BAMBUÍ, S/N</t>
        </is>
      </c>
      <c r="G2189" s="27" t="inlineStr">
        <is>
          <t>40391-108</t>
        </is>
      </c>
      <c r="H2189" s="15" t="n">
        <v>18</v>
      </c>
      <c r="I2189" s="28" t="inlineStr">
        <is>
          <t>SIM</t>
        </is>
      </c>
      <c r="J2189" s="29" t="n">
        <v>45.3</v>
      </c>
      <c r="K2189" s="14" t="str">
        <f>IF(J2189="","7. Acima de 2 km",IF(J2189&lt;=50,"1. Até 50 m",IF(J2189&lt;=100,"2. De 50 a 100 m",IF(J2189&lt;=200,"3. De 100 a 200 m",IF(J2189&lt;=300,"4. De 200 a 300 m",IF(J2189&lt;=500,"5. De 300 a 500 m","6. De 500 m a 2 km"))))))</f>
        <v>1. Até 50 m</v>
      </c>
      <c r="L2189" s="26" t="n">
        <v>1</v>
      </c>
      <c r="M2189" s="26" t="n">
        <v>1</v>
      </c>
      <c r="N2189" s="26" t="n">
        <v>2</v>
      </c>
      <c r="O2189" s="26" t="n">
        <v>4</v>
      </c>
      <c r="P2189" s="30" t="n">
        <v>-12.9308321</v>
      </c>
      <c r="Q2189" s="30" t="n">
        <v>-38.4740052</v>
      </c>
      <c r="R2189" s="14" t="inlineStr">
        <is>
          <t>CARTÓRIO DA 15ª ZONA ELEITORAL, 1ª AVENIDA DO CENTRO ADMINISTRATIVO DA BAHIA, 150, SALVADOR-BA.</t>
        </is>
      </c>
      <c r="S2189" s="26">
        <f>IF(A2189=A2188,0,1)</f>
        <v>0</v>
      </c>
      <c r="T2189" s="26">
        <f>IF(COUNTIF($B$4:B2189,B2189)=1,1,0)</f>
        <v>0</v>
      </c>
    </row>
    <row r="2190">
      <c r="A2190" s="14" t="inlineStr">
        <is>
          <t>SALVADOR</t>
        </is>
      </c>
      <c r="B2190" s="26" t="n">
        <v>15</v>
      </c>
      <c r="C2190" s="26" t="n">
        <v>1805</v>
      </c>
      <c r="D2190" s="14" t="inlineStr">
        <is>
          <t>ESCOLA MUNICIPAL HELENA MAGALHÃES</t>
        </is>
      </c>
      <c r="E2190" s="14" t="inlineStr">
        <is>
          <t>BOA VISTA DE SÃO CAETANO</t>
        </is>
      </c>
      <c r="F2190" s="14" t="inlineStr">
        <is>
          <t>RUA OITO DE DEZEMBRO, S/N.</t>
        </is>
      </c>
      <c r="G2190" s="27" t="inlineStr">
        <is>
          <t>40387-120</t>
        </is>
      </c>
      <c r="H2190" s="15" t="n">
        <v>12</v>
      </c>
      <c r="I2190" s="28" t="inlineStr">
        <is>
          <t>NÃO</t>
        </is>
      </c>
      <c r="J2190" s="29" t="n">
        <v>427.4</v>
      </c>
      <c r="K2190" s="14" t="str">
        <f>IF(J2190="","7. Acima de 2 km",IF(J2190&lt;=50,"1. Até 50 m",IF(J2190&lt;=100,"2. De 50 a 100 m",IF(J2190&lt;=200,"3. De 100 a 200 m",IF(J2190&lt;=300,"4. De 200 a 300 m",IF(J2190&lt;=500,"5. De 300 a 500 m","6. De 500 m a 2 km"))))))</f>
        <v>5. De 300 a 500 m</v>
      </c>
      <c r="L2190" s="26" t="n">
        <v>0</v>
      </c>
      <c r="M2190" s="26" t="n">
        <v>0</v>
      </c>
      <c r="N2190" s="26" t="n">
        <v>0</v>
      </c>
      <c r="O2190" s="26" t="n">
        <v>0</v>
      </c>
      <c r="P2190" s="30" t="n">
        <v>-12.9255145</v>
      </c>
      <c r="Q2190" s="30" t="n">
        <v>-38.4774253</v>
      </c>
      <c r="R2190" s="14" t="inlineStr">
        <is>
          <t>CARTÓRIO DA 15ª ZONA ELEITORAL, 1ª AVENIDA DO CENTRO ADMINISTRATIVO DA BAHIA, 150, SALVADOR-BA.</t>
        </is>
      </c>
      <c r="S2190" s="26">
        <f>IF(A2190=A2189,0,1)</f>
        <v>0</v>
      </c>
      <c r="T2190" s="26">
        <f>IF(COUNTIF($B$4:B2190,B2190)=1,1,0)</f>
        <v>0</v>
      </c>
    </row>
    <row r="2191">
      <c r="A2191" s="14" t="inlineStr">
        <is>
          <t>SALVADOR</t>
        </is>
      </c>
      <c r="B2191" s="26" t="n">
        <v>15</v>
      </c>
      <c r="C2191" s="26" t="n">
        <v>1864</v>
      </c>
      <c r="D2191" s="14" t="inlineStr">
        <is>
          <t>ESCOLA ESTADUAL DR. AILTON PINTO DE ANDRADE</t>
        </is>
      </c>
      <c r="E2191" s="14" t="inlineStr">
        <is>
          <t>LOBATO</t>
        </is>
      </c>
      <c r="F2191" s="14" t="inlineStr">
        <is>
          <t>AVENIDA JOANES CENTRO OESTE, S/N</t>
        </is>
      </c>
      <c r="G2191" s="27" t="inlineStr">
        <is>
          <t>40472-185</t>
        </is>
      </c>
      <c r="H2191" s="15" t="n">
        <v>10</v>
      </c>
      <c r="I2191" s="28" t="inlineStr">
        <is>
          <t>NÃO</t>
        </is>
      </c>
      <c r="J2191" s="29" t="n">
        <v>268.2</v>
      </c>
      <c r="K2191" s="14" t="str">
        <f>IF(J2191="","7. Acima de 2 km",IF(J2191&lt;=50,"1. Até 50 m",IF(J2191&lt;=100,"2. De 50 a 100 m",IF(J2191&lt;=200,"3. De 100 a 200 m",IF(J2191&lt;=300,"4. De 200 a 300 m",IF(J2191&lt;=500,"5. De 300 a 500 m","6. De 500 m a 2 km"))))))</f>
        <v>4. De 200 a 300 m</v>
      </c>
      <c r="L2191" s="26" t="n">
        <v>0</v>
      </c>
      <c r="M2191" s="26" t="n">
        <v>0</v>
      </c>
      <c r="N2191" s="26" t="n">
        <v>0</v>
      </c>
      <c r="O2191" s="26" t="n">
        <v>1</v>
      </c>
      <c r="P2191" s="30" t="n">
        <v>-12.9252793</v>
      </c>
      <c r="Q2191" s="30" t="n">
        <v>-38.4873914</v>
      </c>
      <c r="R2191" s="14" t="inlineStr">
        <is>
          <t>CARTÓRIO DA 15ª ZONA ELEITORAL, 1ª AVENIDA DO CENTRO ADMINISTRATIVO DA BAHIA, 150, SALVADOR-BA.</t>
        </is>
      </c>
      <c r="S2191" s="26">
        <f>IF(A2191=A2190,0,1)</f>
        <v>0</v>
      </c>
      <c r="T2191" s="26">
        <f>IF(COUNTIF($B$4:B2191,B2191)=1,1,0)</f>
        <v>0</v>
      </c>
    </row>
    <row r="2192">
      <c r="A2192" s="14" t="inlineStr">
        <is>
          <t>SALVADOR</t>
        </is>
      </c>
      <c r="B2192" s="26" t="n">
        <v>15</v>
      </c>
      <c r="C2192" s="26" t="n">
        <v>1872</v>
      </c>
      <c r="D2192" s="14" t="inlineStr">
        <is>
          <t>COLÉGIO ESTADUAL PROFESSOR EDSON DE SOUZA CARNEIRO</t>
        </is>
      </c>
      <c r="E2192" s="14" t="inlineStr">
        <is>
          <t>SÃO CAETANO</t>
        </is>
      </c>
      <c r="F2192" s="14" t="inlineStr">
        <is>
          <t>LARGO DA ARGERAL, S/N</t>
        </is>
      </c>
      <c r="G2192" s="27" t="inlineStr">
        <is>
          <t>40470-000</t>
        </is>
      </c>
      <c r="H2192" s="15" t="n">
        <v>13</v>
      </c>
      <c r="I2192" s="28" t="inlineStr">
        <is>
          <t>NÃO</t>
        </is>
      </c>
      <c r="J2192" s="29" t="n">
        <v>162.8</v>
      </c>
      <c r="K2192" s="14" t="str">
        <f>IF(J2192="","7. Acima de 2 km",IF(J2192&lt;=50,"1. Até 50 m",IF(J2192&lt;=100,"2. De 50 a 100 m",IF(J2192&lt;=200,"3. De 100 a 200 m",IF(J2192&lt;=300,"4. De 200 a 300 m",IF(J2192&lt;=500,"5. De 300 a 500 m","6. De 500 m a 2 km"))))))</f>
        <v>3. De 100 a 200 m</v>
      </c>
      <c r="L2192" s="26" t="n">
        <v>0</v>
      </c>
      <c r="M2192" s="26" t="n">
        <v>0</v>
      </c>
      <c r="N2192" s="26" t="n">
        <v>1</v>
      </c>
      <c r="O2192" s="26" t="n">
        <v>2</v>
      </c>
      <c r="P2192" s="30" t="n">
        <v>-12.9325958</v>
      </c>
      <c r="Q2192" s="30" t="n">
        <v>-38.4822719</v>
      </c>
      <c r="R2192" s="14" t="inlineStr">
        <is>
          <t>CARTÓRIO DA 15ª ZONA ELEITORAL, 1ª AVENIDA DO CENTRO ADMINISTRATIVO DA BAHIA, 150, SALVADOR-BA.</t>
        </is>
      </c>
      <c r="S2192" s="26">
        <f>IF(A2192=A2191,0,1)</f>
        <v>0</v>
      </c>
      <c r="T2192" s="26">
        <f>IF(COUNTIF($B$4:B2192,B2192)=1,1,0)</f>
        <v>0</v>
      </c>
    </row>
    <row r="2193">
      <c r="A2193" s="14" t="inlineStr">
        <is>
          <t>SALVADOR</t>
        </is>
      </c>
      <c r="B2193" s="26" t="n">
        <v>15</v>
      </c>
      <c r="C2193" s="26" t="n">
        <v>1910</v>
      </c>
      <c r="D2193" s="14" t="inlineStr">
        <is>
          <t>CMEI - MÁRIO ALTENFELDER</t>
        </is>
      </c>
      <c r="E2193" s="14" t="inlineStr">
        <is>
          <t>LOBATO</t>
        </is>
      </c>
      <c r="F2193" s="14" t="inlineStr">
        <is>
          <t>RUA ATERRO DO JOANES, S/N</t>
        </is>
      </c>
      <c r="G2193" s="27" t="inlineStr">
        <is>
          <t>40470-690</t>
        </is>
      </c>
      <c r="H2193" s="15" t="n">
        <v>16</v>
      </c>
      <c r="I2193" s="28" t="inlineStr">
        <is>
          <t>NÃO</t>
        </is>
      </c>
      <c r="J2193" s="29" t="n">
        <v>242.7</v>
      </c>
      <c r="K2193" s="14" t="str">
        <f>IF(J2193="","7. Acima de 2 km",IF(J2193&lt;=50,"1. Até 50 m",IF(J2193&lt;=100,"2. De 50 a 100 m",IF(J2193&lt;=200,"3. De 100 a 200 m",IF(J2193&lt;=300,"4. De 200 a 300 m",IF(J2193&lt;=500,"5. De 300 a 500 m","6. De 500 m a 2 km"))))))</f>
        <v>4. De 200 a 300 m</v>
      </c>
      <c r="L2193" s="26" t="n">
        <v>0</v>
      </c>
      <c r="M2193" s="26" t="n">
        <v>0</v>
      </c>
      <c r="N2193" s="26" t="n">
        <v>0</v>
      </c>
      <c r="O2193" s="26" t="n">
        <v>1</v>
      </c>
      <c r="P2193" s="30" t="n">
        <v>-12.9249933</v>
      </c>
      <c r="Q2193" s="30" t="n">
        <v>-38.4871991</v>
      </c>
      <c r="R2193" s="14" t="inlineStr">
        <is>
          <t>CARTÓRIO DA 15ª ZONA ELEITORAL, 1ª AVENIDA DO CENTRO ADMINISTRATIVO DA BAHIA, 150, SALVADOR-BA.</t>
        </is>
      </c>
      <c r="S2193" s="26">
        <f>IF(A2193=A2192,0,1)</f>
        <v>0</v>
      </c>
      <c r="T2193" s="26">
        <f>IF(COUNTIF($B$4:B2193,B2193)=1,1,0)</f>
        <v>0</v>
      </c>
    </row>
    <row r="2194">
      <c r="A2194" s="14" t="inlineStr">
        <is>
          <t>SALVADOR</t>
        </is>
      </c>
      <c r="B2194" s="26" t="n">
        <v>15</v>
      </c>
      <c r="C2194" s="26" t="n">
        <v>1929</v>
      </c>
      <c r="D2194" s="14" t="inlineStr">
        <is>
          <t>ESCOLA MUNICIPAL EUFROSINA MIRANDA</t>
        </is>
      </c>
      <c r="E2194" s="14" t="inlineStr">
        <is>
          <t>LOBATO</t>
        </is>
      </c>
      <c r="F2194" s="14" t="inlineStr">
        <is>
          <t>RUA ATERRO DO JOANES, N. 96</t>
        </is>
      </c>
      <c r="G2194" s="27" t="inlineStr">
        <is>
          <t>40472-185</t>
        </is>
      </c>
      <c r="H2194" s="15" t="n">
        <v>9</v>
      </c>
      <c r="I2194" s="28" t="inlineStr">
        <is>
          <t>SIM</t>
        </is>
      </c>
      <c r="J2194" s="29" t="n">
        <v>20.4</v>
      </c>
      <c r="K2194" s="14" t="str">
        <f>IF(J2194="","7. Acima de 2 km",IF(J2194&lt;=50,"1. Até 50 m",IF(J2194&lt;=100,"2. De 50 a 100 m",IF(J2194&lt;=200,"3. De 100 a 200 m",IF(J2194&lt;=300,"4. De 200 a 300 m",IF(J2194&lt;=500,"5. De 300 a 500 m","6. De 500 m a 2 km"))))))</f>
        <v>1. Até 50 m</v>
      </c>
      <c r="L2194" s="26" t="n">
        <v>1</v>
      </c>
      <c r="M2194" s="26" t="n">
        <v>1</v>
      </c>
      <c r="N2194" s="26" t="n">
        <v>1</v>
      </c>
      <c r="O2194" s="26" t="n">
        <v>1</v>
      </c>
      <c r="P2194" s="30" t="n">
        <v>-12.9247723</v>
      </c>
      <c r="Q2194" s="30" t="n">
        <v>-38.4851583</v>
      </c>
      <c r="R2194" s="14" t="inlineStr">
        <is>
          <t>CARTÓRIO DA 15ª ZONA ELEITORAL, 1ª AVENIDA DO CENTRO ADMINISTRATIVO DA BAHIA, 150, SALVADOR-BA.</t>
        </is>
      </c>
      <c r="S2194" s="26">
        <f>IF(A2194=A2193,0,1)</f>
        <v>0</v>
      </c>
      <c r="T2194" s="26">
        <f>IF(COUNTIF($B$4:B2194,B2194)=1,1,0)</f>
        <v>0</v>
      </c>
    </row>
    <row r="2195">
      <c r="A2195" s="14" t="inlineStr">
        <is>
          <t>SALVADOR</t>
        </is>
      </c>
      <c r="B2195" s="26" t="n">
        <v>15</v>
      </c>
      <c r="C2195" s="26" t="n">
        <v>1937</v>
      </c>
      <c r="D2195" s="14" t="inlineStr">
        <is>
          <t>ESCOLA MUNICIPAL MARIA DE LOURDES SANTANA ALVES</t>
        </is>
      </c>
      <c r="E2195" s="14" t="inlineStr">
        <is>
          <t>CAPELINHA DE SÃO CAETANO</t>
        </is>
      </c>
      <c r="F2195" s="14" t="inlineStr">
        <is>
          <t>RUA PADRE ANTÔNIO VIEIRA, N. 176</t>
        </is>
      </c>
      <c r="G2195" s="27" t="inlineStr">
        <is>
          <t>40393-000</t>
        </is>
      </c>
      <c r="H2195" s="15" t="n">
        <v>11</v>
      </c>
      <c r="I2195" s="28" t="inlineStr">
        <is>
          <t>NÃO</t>
        </is>
      </c>
      <c r="J2195" s="29" t="n">
        <v>257.5</v>
      </c>
      <c r="K2195" s="14" t="str">
        <f>IF(J2195="","7. Acima de 2 km",IF(J2195&lt;=50,"1. Até 50 m",IF(J2195&lt;=100,"2. De 50 a 100 m",IF(J2195&lt;=200,"3. De 100 a 200 m",IF(J2195&lt;=300,"4. De 200 a 300 m",IF(J2195&lt;=500,"5. De 300 a 500 m","6. De 500 m a 2 km"))))))</f>
        <v>4. De 200 a 300 m</v>
      </c>
      <c r="L2195" s="26" t="n">
        <v>0</v>
      </c>
      <c r="M2195" s="26" t="n">
        <v>0</v>
      </c>
      <c r="N2195" s="26" t="n">
        <v>0</v>
      </c>
      <c r="O2195" s="26" t="n">
        <v>2</v>
      </c>
      <c r="P2195" s="30" t="n">
        <v>-12.9295609</v>
      </c>
      <c r="Q2195" s="30" t="n">
        <v>-38.4847063</v>
      </c>
      <c r="R2195" s="14" t="inlineStr">
        <is>
          <t>CARTÓRIO DA 15ª ZONA ELEITORAL, 1ª AVENIDA DO CENTRO ADMINISTRATIVO DA BAHIA, 150, SALVADOR-BA.</t>
        </is>
      </c>
      <c r="S2195" s="26">
        <f>IF(A2195=A2194,0,1)</f>
        <v>0</v>
      </c>
      <c r="T2195" s="26">
        <f>IF(COUNTIF($B$4:B2195,B2195)=1,1,0)</f>
        <v>0</v>
      </c>
    </row>
    <row r="2196">
      <c r="A2196" s="14" t="inlineStr">
        <is>
          <t>SALVADOR</t>
        </is>
      </c>
      <c r="B2196" s="26" t="n">
        <v>16</v>
      </c>
      <c r="C2196" s="26" t="n">
        <v>1015</v>
      </c>
      <c r="D2196" s="14" t="inlineStr">
        <is>
          <t>SECRETARIA DA SAÚDE DO ESTADO DA BAHIA</t>
        </is>
      </c>
      <c r="E2196" s="14" t="inlineStr">
        <is>
          <t>CENTRO ADMINISTRATIVO DA BAHIA</t>
        </is>
      </c>
      <c r="F2196" s="14" t="inlineStr">
        <is>
          <t>QUARTA AVENIDA, S/N - ZONA URBANA</t>
        </is>
      </c>
      <c r="G2196" s="27" t="inlineStr">
        <is>
          <t>41746-900</t>
        </is>
      </c>
      <c r="H2196" s="15" t="n">
        <v>8</v>
      </c>
      <c r="I2196" s="28" t="inlineStr">
        <is>
          <t>NÃO</t>
        </is>
      </c>
      <c r="J2196" s="29" t="n">
        <v>236.1</v>
      </c>
      <c r="K2196" s="14" t="str">
        <f>IF(J2196="","7. Acima de 2 km",IF(J2196&lt;=50,"1. Até 50 m",IF(J2196&lt;=100,"2. De 50 a 100 m",IF(J2196&lt;=200,"3. De 100 a 200 m",IF(J2196&lt;=300,"4. De 200 a 300 m",IF(J2196&lt;=500,"5. De 300 a 500 m","6. De 500 m a 2 km"))))))</f>
        <v>4. De 200 a 300 m</v>
      </c>
      <c r="L2196" s="26" t="n">
        <v>0</v>
      </c>
      <c r="M2196" s="26" t="n">
        <v>0</v>
      </c>
      <c r="N2196" s="26" t="n">
        <v>0</v>
      </c>
      <c r="O2196" s="26" t="n">
        <v>1</v>
      </c>
      <c r="P2196" s="30" t="n">
        <v>-12.9448747</v>
      </c>
      <c r="Q2196" s="30" t="n">
        <v>-38.428743</v>
      </c>
      <c r="R2196" s="14" t="inlineStr">
        <is>
          <t>CARTÓRIO DA 16ª ZONA ELEITORAL, 1ª AVENIDA DO CENTRO ADMINISTRATIVO DA BAHIA, 150, SALVADOR-BA.</t>
        </is>
      </c>
      <c r="S2196" s="26">
        <f>IF(A2196=A2195,0,1)</f>
        <v>0</v>
      </c>
      <c r="T2196" s="26">
        <f>IF(COUNTIF($B$4:B2196,B2196)=1,1,0)</f>
        <v>1</v>
      </c>
    </row>
    <row r="2197">
      <c r="A2197" s="14" t="inlineStr">
        <is>
          <t>SALVADOR</t>
        </is>
      </c>
      <c r="B2197" s="26" t="n">
        <v>16</v>
      </c>
      <c r="C2197" s="26" t="n">
        <v>1031</v>
      </c>
      <c r="D2197" s="14" t="inlineStr">
        <is>
          <t>ESCOLA MUNICIPAL SANTA ISABEL</t>
        </is>
      </c>
      <c r="E2197" s="14" t="inlineStr">
        <is>
          <t>NOVA SUSSUARANA</t>
        </is>
      </c>
      <c r="F2197" s="14" t="inlineStr">
        <is>
          <t>RUA RUBENS ZARDIVAL, S/N  - ZONA URBANA</t>
        </is>
      </c>
      <c r="G2197" s="27" t="inlineStr">
        <is>
          <t>41215-000</t>
        </is>
      </c>
      <c r="H2197" s="15" t="n">
        <v>9</v>
      </c>
      <c r="I2197" s="28" t="inlineStr">
        <is>
          <t>NÃO</t>
        </is>
      </c>
      <c r="J2197" s="29" t="n">
        <v>194</v>
      </c>
      <c r="K2197" s="14" t="str">
        <f>IF(J2197="","7. Acima de 2 km",IF(J2197&lt;=50,"1. Até 50 m",IF(J2197&lt;=100,"2. De 50 a 100 m",IF(J2197&lt;=200,"3. De 100 a 200 m",IF(J2197&lt;=300,"4. De 200 a 300 m",IF(J2197&lt;=500,"5. De 300 a 500 m","6. De 500 m a 2 km"))))))</f>
        <v>3. De 100 a 200 m</v>
      </c>
      <c r="L2197" s="26" t="n">
        <v>0</v>
      </c>
      <c r="M2197" s="26" t="n">
        <v>0</v>
      </c>
      <c r="N2197" s="26" t="n">
        <v>1</v>
      </c>
      <c r="O2197" s="26" t="n">
        <v>1</v>
      </c>
      <c r="P2197" s="30" t="n">
        <v>-12.9401334</v>
      </c>
      <c r="Q2197" s="30" t="n">
        <v>-38.4347225</v>
      </c>
      <c r="R2197" s="14" t="inlineStr">
        <is>
          <t>CARTÓRIO DA 16ª ZONA ELEITORAL, 1ª AVENIDA DO CENTRO ADMINISTRATIVO DA BAHIA, 150, SALVADOR-BA.</t>
        </is>
      </c>
      <c r="S2197" s="26">
        <f>IF(A2197=A2196,0,1)</f>
        <v>0</v>
      </c>
      <c r="T2197" s="26">
        <f>IF(COUNTIF($B$4:B2197,B2197)=1,1,0)</f>
        <v>0</v>
      </c>
    </row>
    <row r="2198">
      <c r="A2198" s="14" t="inlineStr">
        <is>
          <t>SALVADOR</t>
        </is>
      </c>
      <c r="B2198" s="26" t="n">
        <v>16</v>
      </c>
      <c r="C2198" s="26" t="n">
        <v>1040</v>
      </c>
      <c r="D2198" s="14" t="inlineStr">
        <is>
          <t>SECRETARIA DE EDUCAÇÃO DO ESTADO DA BAHIA</t>
        </is>
      </c>
      <c r="E2198" s="14" t="inlineStr">
        <is>
          <t>CENTRO ADMINISTRATIVO DA BAHIA</t>
        </is>
      </c>
      <c r="F2198" s="14" t="inlineStr">
        <is>
          <t>QUINTA AVENIDA, 550 - ZONA URBANA</t>
        </is>
      </c>
      <c r="G2198" s="27" t="inlineStr">
        <is>
          <t>41746-900</t>
        </is>
      </c>
      <c r="H2198" s="15" t="n">
        <v>4</v>
      </c>
      <c r="I2198" s="28" t="inlineStr">
        <is>
          <t>NÃO</t>
        </is>
      </c>
      <c r="J2198" s="29" t="n">
        <v>363.8</v>
      </c>
      <c r="K2198" s="14" t="str">
        <f>IF(J2198="","7. Acima de 2 km",IF(J2198&lt;=50,"1. Até 50 m",IF(J2198&lt;=100,"2. De 50 a 100 m",IF(J2198&lt;=200,"3. De 100 a 200 m",IF(J2198&lt;=300,"4. De 200 a 300 m",IF(J2198&lt;=500,"5. De 300 a 500 m","6. De 500 m a 2 km"))))))</f>
        <v>5. De 300 a 500 m</v>
      </c>
      <c r="L2198" s="26" t="n">
        <v>0</v>
      </c>
      <c r="M2198" s="26" t="n">
        <v>0</v>
      </c>
      <c r="N2198" s="26" t="n">
        <v>0</v>
      </c>
      <c r="O2198" s="26" t="n">
        <v>0</v>
      </c>
      <c r="P2198" s="30" t="n">
        <v>-12.9441034</v>
      </c>
      <c r="Q2198" s="30" t="n">
        <v>-38.4315521</v>
      </c>
      <c r="R2198" s="14" t="inlineStr">
        <is>
          <t>CARTÓRIO DA 16ª ZONA ELEITORAL, 1ª AVENIDA DO CENTRO ADMINISTRATIVO DA BAHIA, 150, SALVADOR-BA.</t>
        </is>
      </c>
      <c r="S2198" s="26">
        <f>IF(A2198=A2197,0,1)</f>
        <v>0</v>
      </c>
      <c r="T2198" s="26">
        <f>IF(COUNTIF($B$4:B2198,B2198)=1,1,0)</f>
        <v>0</v>
      </c>
    </row>
    <row r="2199">
      <c r="A2199" s="14" t="inlineStr">
        <is>
          <t>SALVADOR</t>
        </is>
      </c>
      <c r="B2199" s="26" t="n">
        <v>16</v>
      </c>
      <c r="C2199" s="26" t="n">
        <v>1058</v>
      </c>
      <c r="D2199" s="14" t="inlineStr">
        <is>
          <t>ESCOLA ESTADUAL DE PRIMEIRO GRAU RUTE PACHECO</t>
        </is>
      </c>
      <c r="E2199" s="14" t="inlineStr">
        <is>
          <t>NOVA SUSSUARANA</t>
        </is>
      </c>
      <c r="F2199" s="14" t="inlineStr">
        <is>
          <t>RUA RÉGIA BARRETO, S/N - ZONA URBANA</t>
        </is>
      </c>
      <c r="G2199" s="27" t="inlineStr">
        <is>
          <t>41215-030</t>
        </is>
      </c>
      <c r="H2199" s="15" t="n">
        <v>11</v>
      </c>
      <c r="I2199" s="28" t="inlineStr">
        <is>
          <t>NÃO</t>
        </is>
      </c>
      <c r="J2199" s="29" t="n">
        <v>239.7</v>
      </c>
      <c r="K2199" s="14" t="str">
        <f>IF(J2199="","7. Acima de 2 km",IF(J2199&lt;=50,"1. Até 50 m",IF(J2199&lt;=100,"2. De 50 a 100 m",IF(J2199&lt;=200,"3. De 100 a 200 m",IF(J2199&lt;=300,"4. De 200 a 300 m",IF(J2199&lt;=500,"5. De 300 a 500 m","6. De 500 m a 2 km"))))))</f>
        <v>4. De 200 a 300 m</v>
      </c>
      <c r="L2199" s="26" t="n">
        <v>0</v>
      </c>
      <c r="M2199" s="26" t="n">
        <v>0</v>
      </c>
      <c r="N2199" s="26" t="n">
        <v>0</v>
      </c>
      <c r="O2199" s="26" t="n">
        <v>2</v>
      </c>
      <c r="P2199" s="30" t="n">
        <v>-12.9353221</v>
      </c>
      <c r="Q2199" s="30" t="n">
        <v>-38.4359899</v>
      </c>
      <c r="R2199" s="14" t="inlineStr">
        <is>
          <t>CARTÓRIO DA 16ª ZONA ELEITORAL, 1ª AVENIDA DO CENTRO ADMINISTRATIVO DA BAHIA, 150, SALVADOR-BA.</t>
        </is>
      </c>
      <c r="S2199" s="26">
        <f>IF(A2199=A2198,0,1)</f>
        <v>0</v>
      </c>
      <c r="T2199" s="26">
        <f>IF(COUNTIF($B$4:B2199,B2199)=1,1,0)</f>
        <v>0</v>
      </c>
    </row>
    <row r="2200">
      <c r="A2200" s="14" t="inlineStr">
        <is>
          <t>SALVADOR</t>
        </is>
      </c>
      <c r="B2200" s="26" t="n">
        <v>16</v>
      </c>
      <c r="C2200" s="26" t="n">
        <v>1074</v>
      </c>
      <c r="D2200" s="14" t="inlineStr">
        <is>
          <t>COLÉGIO ESTADUAL MAESTRO HEITOR VILA LOBOS</t>
        </is>
      </c>
      <c r="E2200" s="14" t="inlineStr">
        <is>
          <t>CABULA VI</t>
        </is>
      </c>
      <c r="F2200" s="14" t="inlineStr">
        <is>
          <t>RUA TEODULO DE ALBULQUERQUE, S/N - ZONA URBANA</t>
        </is>
      </c>
      <c r="G2200" s="27" t="inlineStr">
        <is>
          <t>41181-045</t>
        </is>
      </c>
      <c r="H2200" s="15" t="n">
        <v>15</v>
      </c>
      <c r="I2200" s="28" t="inlineStr">
        <is>
          <t>SIM</t>
        </is>
      </c>
      <c r="J2200" s="29" t="n">
        <v>60</v>
      </c>
      <c r="K2200" s="14" t="str">
        <f>IF(J2200="","7. Acima de 2 km",IF(J2200&lt;=50,"1. Até 50 m",IF(J2200&lt;=100,"2. De 50 a 100 m",IF(J2200&lt;=200,"3. De 100 a 200 m",IF(J2200&lt;=300,"4. De 200 a 300 m",IF(J2200&lt;=500,"5. De 300 a 500 m","6. De 500 m a 2 km"))))))</f>
        <v>2. De 50 a 100 m</v>
      </c>
      <c r="L2200" s="26" t="n">
        <v>0</v>
      </c>
      <c r="M2200" s="26" t="n">
        <v>1</v>
      </c>
      <c r="N2200" s="26" t="n">
        <v>2</v>
      </c>
      <c r="O2200" s="26" t="n">
        <v>4</v>
      </c>
      <c r="P2200" s="30" t="n">
        <v>-12.9545834</v>
      </c>
      <c r="Q2200" s="30" t="n">
        <v>-38.4404432</v>
      </c>
      <c r="R2200" s="14" t="inlineStr">
        <is>
          <t>CARTÓRIO DA 16ª ZONA ELEITORAL, 1ª AVENIDA DO CENTRO ADMINISTRATIVO DA BAHIA, 150, SALVADOR-BA.</t>
        </is>
      </c>
      <c r="S2200" s="26">
        <f>IF(A2200=A2199,0,1)</f>
        <v>0</v>
      </c>
      <c r="T2200" s="26">
        <f>IF(COUNTIF($B$4:B2200,B2200)=1,1,0)</f>
        <v>0</v>
      </c>
    </row>
    <row r="2201">
      <c r="A2201" s="14" t="inlineStr">
        <is>
          <t>SALVADOR</t>
        </is>
      </c>
      <c r="B2201" s="26" t="n">
        <v>16</v>
      </c>
      <c r="C2201" s="26" t="n">
        <v>1112</v>
      </c>
      <c r="D2201" s="14" t="inlineStr">
        <is>
          <t>ESCOLA ESTADUAL ELIZABETE CHAVES VELOSO</t>
        </is>
      </c>
      <c r="E2201" s="14" t="inlineStr">
        <is>
          <t>CABULA VI</t>
        </is>
      </c>
      <c r="F2201" s="14" t="inlineStr">
        <is>
          <t>RUA TEÓDULO ALBUQUERQUE, S/N - ZONA URBANA</t>
        </is>
      </c>
      <c r="G2201" s="27" t="inlineStr">
        <is>
          <t>41180-620</t>
        </is>
      </c>
      <c r="H2201" s="15" t="n">
        <v>10</v>
      </c>
      <c r="I2201" s="28" t="inlineStr">
        <is>
          <t>NÃO</t>
        </is>
      </c>
      <c r="J2201" s="29" t="n">
        <v>181.7</v>
      </c>
      <c r="K2201" s="14" t="str">
        <f>IF(J2201="","7. Acima de 2 km",IF(J2201&lt;=50,"1. Até 50 m",IF(J2201&lt;=100,"2. De 50 a 100 m",IF(J2201&lt;=200,"3. De 100 a 200 m",IF(J2201&lt;=300,"4. De 200 a 300 m",IF(J2201&lt;=500,"5. De 300 a 500 m","6. De 500 m a 2 km"))))))</f>
        <v>3. De 100 a 200 m</v>
      </c>
      <c r="L2201" s="26" t="n">
        <v>0</v>
      </c>
      <c r="M2201" s="26" t="n">
        <v>0</v>
      </c>
      <c r="N2201" s="26" t="n">
        <v>2</v>
      </c>
      <c r="O2201" s="26" t="n">
        <v>3</v>
      </c>
      <c r="P2201" s="30" t="n">
        <v>-12.9557165</v>
      </c>
      <c r="Q2201" s="30" t="n">
        <v>-38.4373575</v>
      </c>
      <c r="R2201" s="14" t="inlineStr">
        <is>
          <t>CARTÓRIO DA 16ª ZONA ELEITORAL, 1ª AVENIDA DO CENTRO ADMINISTRATIVO DA BAHIA, 150, SALVADOR-BA.</t>
        </is>
      </c>
      <c r="S2201" s="26">
        <f>IF(A2201=A2200,0,1)</f>
        <v>0</v>
      </c>
      <c r="T2201" s="26">
        <f>IF(COUNTIF($B$4:B2201,B2201)=1,1,0)</f>
        <v>0</v>
      </c>
    </row>
    <row r="2202">
      <c r="A2202" s="14" t="inlineStr">
        <is>
          <t>SALVADOR</t>
        </is>
      </c>
      <c r="B2202" s="26" t="n">
        <v>16</v>
      </c>
      <c r="C2202" s="26" t="n">
        <v>1198</v>
      </c>
      <c r="D2202" s="14" t="inlineStr">
        <is>
          <t>ESCOLA MUNICIPAL DEPUTADO GERSINO COELHO</t>
        </is>
      </c>
      <c r="E2202" s="14" t="inlineStr">
        <is>
          <t>SABOEIRO</t>
        </is>
      </c>
      <c r="F2202" s="14" t="inlineStr">
        <is>
          <t>CONJUNTO DORON, S/N - ZONA URBANA</t>
        </is>
      </c>
      <c r="G2202" s="27" t="inlineStr">
        <is>
          <t>41180-400</t>
        </is>
      </c>
      <c r="H2202" s="15" t="n">
        <v>17</v>
      </c>
      <c r="I2202" s="28" t="inlineStr">
        <is>
          <t>NÃO</t>
        </is>
      </c>
      <c r="J2202" s="29" t="n">
        <v>153.4</v>
      </c>
      <c r="K2202" s="14" t="str">
        <f>IF(J2202="","7. Acima de 2 km",IF(J2202&lt;=50,"1. Até 50 m",IF(J2202&lt;=100,"2. De 50 a 100 m",IF(J2202&lt;=200,"3. De 100 a 200 m",IF(J2202&lt;=300,"4. De 200 a 300 m",IF(J2202&lt;=500,"5. De 300 a 500 m","6. De 500 m a 2 km"))))))</f>
        <v>3. De 100 a 200 m</v>
      </c>
      <c r="L2202" s="26" t="n">
        <v>0</v>
      </c>
      <c r="M2202" s="26" t="n">
        <v>0</v>
      </c>
      <c r="N2202" s="26" t="n">
        <v>3</v>
      </c>
      <c r="O2202" s="26" t="n">
        <v>3</v>
      </c>
      <c r="P2202" s="30" t="n">
        <v>-12.9570831</v>
      </c>
      <c r="Q2202" s="30" t="n">
        <v>-38.4429746</v>
      </c>
      <c r="R2202" s="14" t="inlineStr">
        <is>
          <t>CARTÓRIO DA 16ª ZONA ELEITORAL, 1ª AVENIDA DO CENTRO ADMINISTRATIVO DA BAHIA, 150, SALVADOR-BA.</t>
        </is>
      </c>
      <c r="S2202" s="26">
        <f>IF(A2202=A2201,0,1)</f>
        <v>0</v>
      </c>
      <c r="T2202" s="26">
        <f>IF(COUNTIF($B$4:B2202,B2202)=1,1,0)</f>
        <v>0</v>
      </c>
    </row>
    <row r="2203">
      <c r="A2203" s="14" t="inlineStr">
        <is>
          <t>SALVADOR</t>
        </is>
      </c>
      <c r="B2203" s="26" t="n">
        <v>16</v>
      </c>
      <c r="C2203" s="26" t="n">
        <v>1228</v>
      </c>
      <c r="D2203" s="14" t="inlineStr">
        <is>
          <t>SECRETARIA DO PLANEJAMENTO- SEPLAN</t>
        </is>
      </c>
      <c r="E2203" s="14" t="inlineStr">
        <is>
          <t>CENTRO ADMINISTRATIVO DA BAHIA</t>
        </is>
      </c>
      <c r="F2203" s="14" t="inlineStr">
        <is>
          <t>SEGUNDA  AVENIDA, 250</t>
        </is>
      </c>
      <c r="G2203" s="27" t="inlineStr">
        <is>
          <t>41745-003</t>
        </is>
      </c>
      <c r="H2203" s="15" t="n">
        <v>8</v>
      </c>
      <c r="I2203" s="28" t="inlineStr">
        <is>
          <t>SIM</t>
        </is>
      </c>
      <c r="J2203" s="29" t="n">
        <v>90</v>
      </c>
      <c r="K2203" s="14" t="str">
        <f>IF(J2203="","7. Acima de 2 km",IF(J2203&lt;=50,"1. Até 50 m",IF(J2203&lt;=100,"2. De 50 a 100 m",IF(J2203&lt;=200,"3. De 100 a 200 m",IF(J2203&lt;=300,"4. De 200 a 300 m",IF(J2203&lt;=500,"5. De 300 a 500 m","6. De 500 m a 2 km"))))))</f>
        <v>2. De 50 a 100 m</v>
      </c>
      <c r="L2203" s="26" t="n">
        <v>0</v>
      </c>
      <c r="M2203" s="26" t="n">
        <v>2</v>
      </c>
      <c r="N2203" s="26" t="n">
        <v>7</v>
      </c>
      <c r="O2203" s="26" t="n">
        <v>8</v>
      </c>
      <c r="P2203" s="30" t="n">
        <v>-12.9553901</v>
      </c>
      <c r="Q2203" s="30" t="n">
        <v>-38.430513</v>
      </c>
      <c r="R2203" s="14" t="inlineStr">
        <is>
          <t>CARTÓRIO DA 16ª ZONA ELEITORAL, 1ª AVENIDA DO CENTRO ADMINISTRATIVO DA BAHIA, 150, SALVADOR-BA.</t>
        </is>
      </c>
      <c r="S2203" s="26">
        <f>IF(A2203=A2202,0,1)</f>
        <v>0</v>
      </c>
      <c r="T2203" s="26">
        <f>IF(COUNTIF($B$4:B2203,B2203)=1,1,0)</f>
        <v>0</v>
      </c>
    </row>
    <row r="2204">
      <c r="A2204" s="14" t="inlineStr">
        <is>
          <t>SALVADOR</t>
        </is>
      </c>
      <c r="B2204" s="26" t="n">
        <v>16</v>
      </c>
      <c r="C2204" s="26" t="n">
        <v>1252</v>
      </c>
      <c r="D2204" s="14" t="inlineStr">
        <is>
          <t>TRIBUNAL REGIONAL ELEITORAL DO ESTADO DA BAHIA</t>
        </is>
      </c>
      <c r="E2204" s="14" t="inlineStr">
        <is>
          <t>CENTRO ADMINISTRATIVO DA BAHIA</t>
        </is>
      </c>
      <c r="F2204" s="14" t="inlineStr">
        <is>
          <t>PRIMEIRA AVENIDA, 150 - CENTRO ADMINISTRATIVO DA BAHIA</t>
        </is>
      </c>
      <c r="G2204" s="27" t="inlineStr">
        <is>
          <t>41745-001</t>
        </is>
      </c>
      <c r="H2204" s="15" t="n">
        <v>5</v>
      </c>
      <c r="I2204" s="28" t="inlineStr">
        <is>
          <t>NÃO</t>
        </is>
      </c>
      <c r="J2204" s="29" t="n">
        <v>104.2</v>
      </c>
      <c r="K2204" s="14" t="str">
        <f>IF(J2204="","7. Acima de 2 km",IF(J2204&lt;=50,"1. Até 50 m",IF(J2204&lt;=100,"2. De 50 a 100 m",IF(J2204&lt;=200,"3. De 100 a 200 m",IF(J2204&lt;=300,"4. De 200 a 300 m",IF(J2204&lt;=500,"5. De 300 a 500 m","6. De 500 m a 2 km"))))))</f>
        <v>3. De 100 a 200 m</v>
      </c>
      <c r="L2204" s="26" t="n">
        <v>0</v>
      </c>
      <c r="M2204" s="26" t="n">
        <v>0</v>
      </c>
      <c r="N2204" s="26" t="n">
        <v>1</v>
      </c>
      <c r="O2204" s="26" t="n">
        <v>2</v>
      </c>
      <c r="P2204" s="30" t="n">
        <v>-12.9515304</v>
      </c>
      <c r="Q2204" s="30" t="n">
        <v>-38.4272909</v>
      </c>
      <c r="R2204" s="14" t="inlineStr">
        <is>
          <t>CARTÓRIO DA 16ª ZONA ELEITORAL, 1ª AVENIDA DO CENTRO ADMINISTRATIVO DA BAHIA, 150, SALVADOR-BA.</t>
        </is>
      </c>
      <c r="S2204" s="26">
        <f>IF(A2204=A2203,0,1)</f>
        <v>0</v>
      </c>
      <c r="T2204" s="26">
        <f>IF(COUNTIF($B$4:B2204,B2204)=1,1,0)</f>
        <v>0</v>
      </c>
    </row>
    <row r="2205">
      <c r="A2205" s="14" t="inlineStr">
        <is>
          <t>SALVADOR</t>
        </is>
      </c>
      <c r="B2205" s="26" t="n">
        <v>16</v>
      </c>
      <c r="C2205" s="26" t="n">
        <v>1376</v>
      </c>
      <c r="D2205" s="14" t="inlineStr">
        <is>
          <t>ESCOLA MUNICIPAL JESUS DE NAZARÉ</t>
        </is>
      </c>
      <c r="E2205" s="14" t="inlineStr">
        <is>
          <t>NOVA SUSSUARANA</t>
        </is>
      </c>
      <c r="F2205" s="14" t="inlineStr">
        <is>
          <t>RUA RUBENS ZARDIVAL, S/N - FIM DE LINHA - ZONA URBANA</t>
        </is>
      </c>
      <c r="G2205" s="27" t="inlineStr">
        <is>
          <t>41216-720</t>
        </is>
      </c>
      <c r="H2205" s="15" t="n">
        <v>5</v>
      </c>
      <c r="I2205" s="28" t="inlineStr">
        <is>
          <t>NÃO</t>
        </is>
      </c>
      <c r="J2205" s="29" t="n">
        <v>384.4</v>
      </c>
      <c r="K2205" s="14" t="str">
        <f>IF(J2205="","7. Acima de 2 km",IF(J2205&lt;=50,"1. Até 50 m",IF(J2205&lt;=100,"2. De 50 a 100 m",IF(J2205&lt;=200,"3. De 100 a 200 m",IF(J2205&lt;=300,"4. De 200 a 300 m",IF(J2205&lt;=500,"5. De 300 a 500 m","6. De 500 m a 2 km"))))))</f>
        <v>5. De 300 a 500 m</v>
      </c>
      <c r="L2205" s="26" t="n">
        <v>0</v>
      </c>
      <c r="M2205" s="26" t="n">
        <v>0</v>
      </c>
      <c r="N2205" s="26" t="n">
        <v>0</v>
      </c>
      <c r="O2205" s="26" t="n">
        <v>0</v>
      </c>
      <c r="P2205" s="30" t="n">
        <v>-12.936615</v>
      </c>
      <c r="Q2205" s="30" t="n">
        <v>-38.43227</v>
      </c>
      <c r="R2205" s="14" t="inlineStr">
        <is>
          <t>CARTÓRIO DA 16ª ZONA ELEITORAL, 1ª AVENIDA DO CENTRO ADMINISTRATIVO DA BAHIA, 150, SALVADOR-BA.</t>
        </is>
      </c>
      <c r="S2205" s="26">
        <f>IF(A2205=A2204,0,1)</f>
        <v>0</v>
      </c>
      <c r="T2205" s="26">
        <f>IF(COUNTIF($B$4:B2205,B2205)=1,1,0)</f>
        <v>0</v>
      </c>
    </row>
    <row r="2206">
      <c r="A2206" s="14" t="inlineStr">
        <is>
          <t>SALVADOR</t>
        </is>
      </c>
      <c r="B2206" s="26" t="n">
        <v>16</v>
      </c>
      <c r="C2206" s="26" t="n">
        <v>1473</v>
      </c>
      <c r="D2206" s="14" t="inlineStr">
        <is>
          <t>ESCOLA MUNICIPAL DO ALTO DA CACHOEIRINHA NELSON MALEIRO</t>
        </is>
      </c>
      <c r="E2206" s="14" t="inlineStr">
        <is>
          <t>CABULA VI</t>
        </is>
      </c>
      <c r="F2206" s="14" t="inlineStr">
        <is>
          <t>ESTRADA DA CACHOEIRINHA, S/N - ZONA URBANA</t>
        </is>
      </c>
      <c r="G2206" s="27" t="inlineStr">
        <is>
          <t>41181-057</t>
        </is>
      </c>
      <c r="H2206" s="15" t="n">
        <v>6</v>
      </c>
      <c r="I2206" s="28" t="inlineStr">
        <is>
          <t>SIM</t>
        </is>
      </c>
      <c r="J2206" s="29" t="n">
        <v>73.8</v>
      </c>
      <c r="K2206" s="14" t="str">
        <f>IF(J2206="","7. Acima de 2 km",IF(J2206&lt;=50,"1. Até 50 m",IF(J2206&lt;=100,"2. De 50 a 100 m",IF(J2206&lt;=200,"3. De 100 a 200 m",IF(J2206&lt;=300,"4. De 200 a 300 m",IF(J2206&lt;=500,"5. De 300 a 500 m","6. De 500 m a 2 km"))))))</f>
        <v>2. De 50 a 100 m</v>
      </c>
      <c r="L2206" s="26" t="n">
        <v>0</v>
      </c>
      <c r="M2206" s="26" t="n">
        <v>2</v>
      </c>
      <c r="N2206" s="26" t="n">
        <v>3</v>
      </c>
      <c r="O2206" s="26" t="n">
        <v>3</v>
      </c>
      <c r="P2206" s="30" t="n">
        <v>-12.9544263</v>
      </c>
      <c r="Q2206" s="30" t="n">
        <v>-38.4375676</v>
      </c>
      <c r="R2206" s="14" t="inlineStr">
        <is>
          <t>CARTÓRIO DA 16ª ZONA ELEITORAL, 1ª AVENIDA DO CENTRO ADMINISTRATIVO DA BAHIA, 150, SALVADOR-BA.</t>
        </is>
      </c>
      <c r="S2206" s="26">
        <f>IF(A2206=A2205,0,1)</f>
        <v>0</v>
      </c>
      <c r="T2206" s="26">
        <f>IF(COUNTIF($B$4:B2206,B2206)=1,1,0)</f>
        <v>0</v>
      </c>
    </row>
    <row r="2207">
      <c r="A2207" s="14" t="inlineStr">
        <is>
          <t>SALVADOR</t>
        </is>
      </c>
      <c r="B2207" s="26" t="n">
        <v>16</v>
      </c>
      <c r="C2207" s="26" t="n">
        <v>1520</v>
      </c>
      <c r="D2207" s="14" t="inlineStr">
        <is>
          <t>CENTRO EDUCACIONAL CREMILDA AZEVEDO - CECA</t>
        </is>
      </c>
      <c r="E2207" s="14" t="inlineStr">
        <is>
          <t>PERNAMBUÉS</t>
        </is>
      </c>
      <c r="F2207" s="14" t="inlineStr">
        <is>
          <t>AVENIDA HILDA, 37-A - ZONA URBANA</t>
        </is>
      </c>
      <c r="G2207" s="27" t="inlineStr">
        <is>
          <t>41110-200</t>
        </is>
      </c>
      <c r="H2207" s="15" t="n">
        <v>3</v>
      </c>
      <c r="I2207" s="28" t="inlineStr">
        <is>
          <t>NÃO</t>
        </is>
      </c>
      <c r="J2207" s="29" t="n">
        <v>192.3</v>
      </c>
      <c r="K2207" s="14" t="str">
        <f>IF(J2207="","7. Acima de 2 km",IF(J2207&lt;=50,"1. Até 50 m",IF(J2207&lt;=100,"2. De 50 a 100 m",IF(J2207&lt;=200,"3. De 100 a 200 m",IF(J2207&lt;=300,"4. De 200 a 300 m",IF(J2207&lt;=500,"5. De 300 a 500 m","6. De 500 m a 2 km"))))))</f>
        <v>3. De 100 a 200 m</v>
      </c>
      <c r="L2207" s="26" t="n">
        <v>0</v>
      </c>
      <c r="M2207" s="26" t="n">
        <v>0</v>
      </c>
      <c r="N2207" s="26" t="n">
        <v>1</v>
      </c>
      <c r="O2207" s="26" t="n">
        <v>1</v>
      </c>
      <c r="P2207" s="30" t="n">
        <v>-12.9721386</v>
      </c>
      <c r="Q2207" s="30" t="n">
        <v>-38.4618063</v>
      </c>
      <c r="R2207" s="14" t="inlineStr">
        <is>
          <t>CARTÓRIO DA 16ª ZONA ELEITORAL, 1ª AVENIDA DO CENTRO ADMINISTRATIVO DA BAHIA, 150, SALVADOR-BA.</t>
        </is>
      </c>
      <c r="S2207" s="26">
        <f>IF(A2207=A2206,0,1)</f>
        <v>0</v>
      </c>
      <c r="T2207" s="26">
        <f>IF(COUNTIF($B$4:B2207,B2207)=1,1,0)</f>
        <v>0</v>
      </c>
    </row>
    <row r="2208">
      <c r="A2208" s="14" t="inlineStr">
        <is>
          <t>SALVADOR</t>
        </is>
      </c>
      <c r="B2208" s="26" t="n">
        <v>16</v>
      </c>
      <c r="C2208" s="26" t="n">
        <v>1538</v>
      </c>
      <c r="D2208" s="14" t="inlineStr">
        <is>
          <t>ESCOLA MUNICIPAL DE PERNAMBUÉS</t>
        </is>
      </c>
      <c r="E2208" s="14" t="inlineStr">
        <is>
          <t>PERNAMBUÉS</t>
        </is>
      </c>
      <c r="F2208" s="14" t="inlineStr">
        <is>
          <t>AVENIDA SÃO PAULO, S/N - ZONA URBANA</t>
        </is>
      </c>
      <c r="G2208" s="27" t="inlineStr">
        <is>
          <t>41185-270</t>
        </is>
      </c>
      <c r="H2208" s="15" t="n">
        <v>12</v>
      </c>
      <c r="I2208" s="28" t="inlineStr">
        <is>
          <t>NÃO</t>
        </is>
      </c>
      <c r="J2208" s="29" t="n">
        <v>157.4</v>
      </c>
      <c r="K2208" s="14" t="str">
        <f>IF(J2208="","7. Acima de 2 km",IF(J2208&lt;=50,"1. Até 50 m",IF(J2208&lt;=100,"2. De 50 a 100 m",IF(J2208&lt;=200,"3. De 100 a 200 m",IF(J2208&lt;=300,"4. De 200 a 300 m",IF(J2208&lt;=500,"5. De 300 a 500 m","6. De 500 m a 2 km"))))))</f>
        <v>3. De 100 a 200 m</v>
      </c>
      <c r="L2208" s="26" t="n">
        <v>0</v>
      </c>
      <c r="M2208" s="26" t="n">
        <v>0</v>
      </c>
      <c r="N2208" s="26" t="n">
        <v>1</v>
      </c>
      <c r="O2208" s="26" t="n">
        <v>2</v>
      </c>
      <c r="P2208" s="30" t="n">
        <v>-12.9729453</v>
      </c>
      <c r="Q2208" s="30" t="n">
        <v>-38.4549383</v>
      </c>
      <c r="R2208" s="14" t="inlineStr">
        <is>
          <t>CARTÓRIO DA 16ª ZONA ELEITORAL, 1ª AVENIDA DO CENTRO ADMINISTRATIVO DA BAHIA, 150, SALVADOR-BA.</t>
        </is>
      </c>
      <c r="S2208" s="26">
        <f>IF(A2208=A2207,0,1)</f>
        <v>0</v>
      </c>
      <c r="T2208" s="26">
        <f>IF(COUNTIF($B$4:B2208,B2208)=1,1,0)</f>
        <v>0</v>
      </c>
    </row>
    <row r="2209">
      <c r="A2209" s="14" t="inlineStr">
        <is>
          <t>SALVADOR</t>
        </is>
      </c>
      <c r="B2209" s="26" t="n">
        <v>16</v>
      </c>
      <c r="C2209" s="26" t="n">
        <v>1546</v>
      </c>
      <c r="D2209" s="14" t="inlineStr">
        <is>
          <t>ESCOLA HILDETE BAHIA SOUZA</t>
        </is>
      </c>
      <c r="E2209" s="14" t="inlineStr">
        <is>
          <t>PERNAMBUÉS</t>
        </is>
      </c>
      <c r="F2209" s="14" t="inlineStr">
        <is>
          <t>RUA BOTUPORÃ, QUADRA 2, CHÁCARA PERSEVERANÇA, S/N - ZONA URBANA</t>
        </is>
      </c>
      <c r="G2209" s="27" t="inlineStr">
        <is>
          <t>41100-060</t>
        </is>
      </c>
      <c r="H2209" s="15" t="n">
        <v>17</v>
      </c>
      <c r="I2209" s="28" t="inlineStr">
        <is>
          <t>NÃO</t>
        </is>
      </c>
      <c r="J2209" s="29" t="n">
        <v>259.7</v>
      </c>
      <c r="K2209" s="14" t="str">
        <f>IF(J2209="","7. Acima de 2 km",IF(J2209&lt;=50,"1. Até 50 m",IF(J2209&lt;=100,"2. De 50 a 100 m",IF(J2209&lt;=200,"3. De 100 a 200 m",IF(J2209&lt;=300,"4. De 200 a 300 m",IF(J2209&lt;=500,"5. De 300 a 500 m","6. De 500 m a 2 km"))))))</f>
        <v>4. De 200 a 300 m</v>
      </c>
      <c r="L2209" s="26" t="n">
        <v>0</v>
      </c>
      <c r="M2209" s="26" t="n">
        <v>0</v>
      </c>
      <c r="N2209" s="26" t="n">
        <v>0</v>
      </c>
      <c r="O2209" s="26" t="n">
        <v>1</v>
      </c>
      <c r="P2209" s="30" t="n">
        <v>-12.9688188</v>
      </c>
      <c r="Q2209" s="30" t="n">
        <v>-38.4632712</v>
      </c>
      <c r="R2209" s="14" t="inlineStr">
        <is>
          <t>CARTÓRIO DA 16ª ZONA ELEITORAL, 1ª AVENIDA DO CENTRO ADMINISTRATIVO DA BAHIA, 150, SALVADOR-BA.</t>
        </is>
      </c>
      <c r="S2209" s="26">
        <f>IF(A2209=A2208,0,1)</f>
        <v>0</v>
      </c>
      <c r="T2209" s="26">
        <f>IF(COUNTIF($B$4:B2209,B2209)=1,1,0)</f>
        <v>0</v>
      </c>
    </row>
    <row r="2210">
      <c r="A2210" s="14" t="inlineStr">
        <is>
          <t>SALVADOR</t>
        </is>
      </c>
      <c r="B2210" s="26" t="n">
        <v>16</v>
      </c>
      <c r="C2210" s="26" t="n">
        <v>1554</v>
      </c>
      <c r="D2210" s="14" t="inlineStr">
        <is>
          <t>COLÉGIO ESTADUAL KLEBER PACHECO</t>
        </is>
      </c>
      <c r="E2210" s="14" t="inlineStr">
        <is>
          <t>PERNAMBUÉS</t>
        </is>
      </c>
      <c r="F2210" s="14" t="inlineStr">
        <is>
          <t>RUA NUMA POMPÍLIO BITTENCOURT, S/N - ZONA URBANA</t>
        </is>
      </c>
      <c r="G2210" s="27" t="inlineStr">
        <is>
          <t>41100-170</t>
        </is>
      </c>
      <c r="H2210" s="15" t="n">
        <v>15</v>
      </c>
      <c r="I2210" s="28" t="inlineStr">
        <is>
          <t>SIM</t>
        </is>
      </c>
      <c r="J2210" s="29" t="n">
        <v>94.7</v>
      </c>
      <c r="K2210" s="14" t="str">
        <f>IF(J2210="","7. Acima de 2 km",IF(J2210&lt;=50,"1. Até 50 m",IF(J2210&lt;=100,"2. De 50 a 100 m",IF(J2210&lt;=200,"3. De 100 a 200 m",IF(J2210&lt;=300,"4. De 200 a 300 m",IF(J2210&lt;=500,"5. De 300 a 500 m","6. De 500 m a 2 km"))))))</f>
        <v>2. De 50 a 100 m</v>
      </c>
      <c r="L2210" s="26" t="n">
        <v>0</v>
      </c>
      <c r="M2210" s="26" t="n">
        <v>1</v>
      </c>
      <c r="N2210" s="26" t="n">
        <v>2</v>
      </c>
      <c r="O2210" s="26" t="n">
        <v>3</v>
      </c>
      <c r="P2210" s="30" t="n">
        <v>-12.9711514</v>
      </c>
      <c r="Q2210" s="30" t="n">
        <v>-38.4708756</v>
      </c>
      <c r="R2210" s="14" t="inlineStr">
        <is>
          <t>CARTÓRIO DA 16ª ZONA ELEITORAL, 1ª AVENIDA DO CENTRO ADMINISTRATIVO DA BAHIA, 150, SALVADOR-BA.</t>
        </is>
      </c>
      <c r="S2210" s="26">
        <f>IF(A2210=A2209,0,1)</f>
        <v>0</v>
      </c>
      <c r="T2210" s="26">
        <f>IF(COUNTIF($B$4:B2210,B2210)=1,1,0)</f>
        <v>0</v>
      </c>
    </row>
    <row r="2211">
      <c r="A2211" s="14" t="inlineStr">
        <is>
          <t>SALVADOR</t>
        </is>
      </c>
      <c r="B2211" s="26" t="n">
        <v>16</v>
      </c>
      <c r="C2211" s="26" t="n">
        <v>1562</v>
      </c>
      <c r="D2211" s="14" t="inlineStr">
        <is>
          <t>ESCOLA PROFESSORA MARIINHA TAVARES</t>
        </is>
      </c>
      <c r="E2211" s="14" t="inlineStr">
        <is>
          <t>PERNAMBUÉS</t>
        </is>
      </c>
      <c r="F2211" s="14" t="inlineStr">
        <is>
          <t>RUA PIRAPORA, S/N, JARDIM BRASÍLIA - ZONA URBANA</t>
        </is>
      </c>
      <c r="G2211" s="27" t="inlineStr">
        <is>
          <t>41100-260</t>
        </is>
      </c>
      <c r="H2211" s="15" t="n">
        <v>17</v>
      </c>
      <c r="I2211" s="28" t="inlineStr">
        <is>
          <t>SIM</t>
        </is>
      </c>
      <c r="J2211" s="29" t="n">
        <v>62.9</v>
      </c>
      <c r="K2211" s="14" t="str">
        <f>IF(J2211="","7. Acima de 2 km",IF(J2211&lt;=50,"1. Até 50 m",IF(J2211&lt;=100,"2. De 50 a 100 m",IF(J2211&lt;=200,"3. De 100 a 200 m",IF(J2211&lt;=300,"4. De 200 a 300 m",IF(J2211&lt;=500,"5. De 300 a 500 m","6. De 500 m a 2 km"))))))</f>
        <v>2. De 50 a 100 m</v>
      </c>
      <c r="L2211" s="26" t="n">
        <v>0</v>
      </c>
      <c r="M2211" s="26" t="n">
        <v>2</v>
      </c>
      <c r="N2211" s="26" t="n">
        <v>2</v>
      </c>
      <c r="O2211" s="26" t="n">
        <v>3</v>
      </c>
      <c r="P2211" s="30" t="n">
        <v>-12.9718165</v>
      </c>
      <c r="Q2211" s="30" t="n">
        <v>-38.4710444</v>
      </c>
      <c r="R2211" s="14" t="inlineStr">
        <is>
          <t>CARTÓRIO DA 16ª ZONA ELEITORAL, 1ª AVENIDA DO CENTRO ADMINISTRATIVO DA BAHIA, 150, SALVADOR-BA.</t>
        </is>
      </c>
      <c r="S2211" s="26">
        <f>IF(A2211=A2210,0,1)</f>
        <v>0</v>
      </c>
      <c r="T2211" s="26">
        <f>IF(COUNTIF($B$4:B2211,B2211)=1,1,0)</f>
        <v>0</v>
      </c>
    </row>
    <row r="2212">
      <c r="A2212" s="14" t="inlineStr">
        <is>
          <t>SALVADOR</t>
        </is>
      </c>
      <c r="B2212" s="26" t="n">
        <v>16</v>
      </c>
      <c r="C2212" s="26" t="n">
        <v>1570</v>
      </c>
      <c r="D2212" s="14" t="inlineStr">
        <is>
          <t>ESCOLA MUNICIPAL TOMAZ GONZAGA</t>
        </is>
      </c>
      <c r="E2212" s="14" t="inlineStr">
        <is>
          <t>PERNAMBUÉS</t>
        </is>
      </c>
      <c r="F2212" s="14" t="inlineStr">
        <is>
          <t>RUA TOMAZ GONZAGA, S/N - ZONA URBANA</t>
        </is>
      </c>
      <c r="G2212" s="27" t="inlineStr">
        <is>
          <t>41100-000</t>
        </is>
      </c>
      <c r="H2212" s="15" t="n">
        <v>8</v>
      </c>
      <c r="I2212" s="28" t="inlineStr">
        <is>
          <t>NÃO</t>
        </is>
      </c>
      <c r="J2212" s="29" t="n">
        <v>185.4</v>
      </c>
      <c r="K2212" s="14" t="str">
        <f>IF(J2212="","7. Acima de 2 km",IF(J2212&lt;=50,"1. Até 50 m",IF(J2212&lt;=100,"2. De 50 a 100 m",IF(J2212&lt;=200,"3. De 100 a 200 m",IF(J2212&lt;=300,"4. De 200 a 300 m",IF(J2212&lt;=500,"5. De 300 a 500 m","6. De 500 m a 2 km"))))))</f>
        <v>3. De 100 a 200 m</v>
      </c>
      <c r="L2212" s="26" t="n">
        <v>0</v>
      </c>
      <c r="M2212" s="26" t="n">
        <v>0</v>
      </c>
      <c r="N2212" s="26" t="n">
        <v>1</v>
      </c>
      <c r="O2212" s="26" t="n">
        <v>2</v>
      </c>
      <c r="P2212" s="30" t="n">
        <v>-12.9664576</v>
      </c>
      <c r="Q2212" s="30" t="n">
        <v>-38.4630633</v>
      </c>
      <c r="R2212" s="14" t="inlineStr">
        <is>
          <t>CARTÓRIO DA 16ª ZONA ELEITORAL, 1ª AVENIDA DO CENTRO ADMINISTRATIVO DA BAHIA, 150, SALVADOR-BA.</t>
        </is>
      </c>
      <c r="S2212" s="26">
        <f>IF(A2212=A2211,0,1)</f>
        <v>0</v>
      </c>
      <c r="T2212" s="26">
        <f>IF(COUNTIF($B$4:B2212,B2212)=1,1,0)</f>
        <v>0</v>
      </c>
    </row>
    <row r="2213">
      <c r="A2213" s="14" t="inlineStr">
        <is>
          <t>SALVADOR</t>
        </is>
      </c>
      <c r="B2213" s="26" t="n">
        <v>16</v>
      </c>
      <c r="C2213" s="26" t="n">
        <v>1589</v>
      </c>
      <c r="D2213" s="14" t="inlineStr">
        <is>
          <t>ESCOLA ALIOMAR BALEEIRO</t>
        </is>
      </c>
      <c r="E2213" s="14" t="inlineStr">
        <is>
          <t>PERNAMBUÉS</t>
        </is>
      </c>
      <c r="F2213" s="14" t="inlineStr">
        <is>
          <t>RUA SATURNO, S/N - ZONA URBANA</t>
        </is>
      </c>
      <c r="G2213" s="27" t="inlineStr">
        <is>
          <t>41110-070</t>
        </is>
      </c>
      <c r="H2213" s="15" t="n">
        <v>31</v>
      </c>
      <c r="I2213" s="28" t="inlineStr">
        <is>
          <t>NÃO</t>
        </is>
      </c>
      <c r="J2213" s="29" t="n">
        <v>102.9</v>
      </c>
      <c r="K2213" s="14" t="str">
        <f>IF(J2213="","7. Acima de 2 km",IF(J2213&lt;=50,"1. Até 50 m",IF(J2213&lt;=100,"2. De 50 a 100 m",IF(J2213&lt;=200,"3. De 100 a 200 m",IF(J2213&lt;=300,"4. De 200 a 300 m",IF(J2213&lt;=500,"5. De 300 a 500 m","6. De 500 m a 2 km"))))))</f>
        <v>3. De 100 a 200 m</v>
      </c>
      <c r="L2213" s="26" t="n">
        <v>0</v>
      </c>
      <c r="M2213" s="26" t="n">
        <v>0</v>
      </c>
      <c r="N2213" s="26" t="n">
        <v>1</v>
      </c>
      <c r="O2213" s="26" t="n">
        <v>1</v>
      </c>
      <c r="P2213" s="30" t="n">
        <v>-12.965801</v>
      </c>
      <c r="Q2213" s="30" t="n">
        <v>-38.4606166</v>
      </c>
      <c r="R2213" s="14" t="inlineStr">
        <is>
          <t>CARTÓRIO DA 16ª ZONA ELEITORAL, 1ª AVENIDA DO CENTRO ADMINISTRATIVO DA BAHIA, 150, SALVADOR-BA.</t>
        </is>
      </c>
      <c r="S2213" s="26">
        <f>IF(A2213=A2212,0,1)</f>
        <v>0</v>
      </c>
      <c r="T2213" s="26">
        <f>IF(COUNTIF($B$4:B2213,B2213)=1,1,0)</f>
        <v>0</v>
      </c>
    </row>
    <row r="2214">
      <c r="A2214" s="14" t="inlineStr">
        <is>
          <t>SALVADOR</t>
        </is>
      </c>
      <c r="B2214" s="26" t="n">
        <v>16</v>
      </c>
      <c r="C2214" s="26" t="n">
        <v>1600</v>
      </c>
      <c r="D2214" s="14" t="inlineStr">
        <is>
          <t>CENTRO SOCIAL URBANO DOS PERNAMBUÉS</t>
        </is>
      </c>
      <c r="E2214" s="14" t="inlineStr">
        <is>
          <t>PERNAMBUÉS</t>
        </is>
      </c>
      <c r="F2214" s="14" t="inlineStr">
        <is>
          <t>RUA THOMAZ GONZAGA, S/N - ZONA URBANA</t>
        </is>
      </c>
      <c r="G2214" s="27" t="inlineStr">
        <is>
          <t>41100-000</t>
        </is>
      </c>
      <c r="H2214" s="15" t="n">
        <v>10</v>
      </c>
      <c r="I2214" s="28" t="inlineStr">
        <is>
          <t>NÃO</t>
        </is>
      </c>
      <c r="J2214" s="29" t="n">
        <v>134.3</v>
      </c>
      <c r="K2214" s="14" t="str">
        <f>IF(J2214="","7. Acima de 2 km",IF(J2214&lt;=50,"1. Até 50 m",IF(J2214&lt;=100,"2. De 50 a 100 m",IF(J2214&lt;=200,"3. De 100 a 200 m",IF(J2214&lt;=300,"4. De 200 a 300 m",IF(J2214&lt;=500,"5. De 300 a 500 m","6. De 500 m a 2 km"))))))</f>
        <v>3. De 100 a 200 m</v>
      </c>
      <c r="L2214" s="26" t="n">
        <v>0</v>
      </c>
      <c r="M2214" s="26" t="n">
        <v>0</v>
      </c>
      <c r="N2214" s="26" t="n">
        <v>1</v>
      </c>
      <c r="O2214" s="26" t="n">
        <v>2</v>
      </c>
      <c r="P2214" s="30" t="n">
        <v>-12.965592</v>
      </c>
      <c r="Q2214" s="30" t="n">
        <v>-38.4638929</v>
      </c>
      <c r="R2214" s="14" t="inlineStr">
        <is>
          <t>CARTÓRIO DA 16ª ZONA ELEITORAL, 1ª AVENIDA DO CENTRO ADMINISTRATIVO DA BAHIA, 150, SALVADOR-BA.</t>
        </is>
      </c>
      <c r="S2214" s="26">
        <f>IF(A2214=A2213,0,1)</f>
        <v>0</v>
      </c>
      <c r="T2214" s="26">
        <f>IF(COUNTIF($B$4:B2214,B2214)=1,1,0)</f>
        <v>0</v>
      </c>
    </row>
    <row r="2215">
      <c r="A2215" s="14" t="inlineStr">
        <is>
          <t>SALVADOR</t>
        </is>
      </c>
      <c r="B2215" s="26" t="n">
        <v>16</v>
      </c>
      <c r="C2215" s="26" t="n">
        <v>1619</v>
      </c>
      <c r="D2215" s="14" t="inlineStr">
        <is>
          <t>COLÉGIO DARCY RIBEIRO</t>
        </is>
      </c>
      <c r="E2215" s="14" t="inlineStr">
        <is>
          <t>PERNAMBUÉS</t>
        </is>
      </c>
      <c r="F2215" s="14" t="inlineStr">
        <is>
          <t>RUA TOMAZ GONZAGA, N 76 - ZONA URBANA</t>
        </is>
      </c>
      <c r="G2215" s="27" t="inlineStr">
        <is>
          <t>41100-183</t>
        </is>
      </c>
      <c r="H2215" s="15" t="n">
        <v>8</v>
      </c>
      <c r="I2215" s="28" t="inlineStr">
        <is>
          <t>SIM</t>
        </is>
      </c>
      <c r="J2215" s="29" t="n">
        <v>46.3</v>
      </c>
      <c r="K2215" s="14" t="str">
        <f>IF(J2215="","7. Acima de 2 km",IF(J2215&lt;=50,"1. Até 50 m",IF(J2215&lt;=100,"2. De 50 a 100 m",IF(J2215&lt;=200,"3. De 100 a 200 m",IF(J2215&lt;=300,"4. De 200 a 300 m",IF(J2215&lt;=500,"5. De 300 a 500 m","6. De 500 m a 2 km"))))))</f>
        <v>1. Até 50 m</v>
      </c>
      <c r="L2215" s="26" t="n">
        <v>1</v>
      </c>
      <c r="M2215" s="26" t="n">
        <v>1</v>
      </c>
      <c r="N2215" s="26" t="n">
        <v>1</v>
      </c>
      <c r="O2215" s="26" t="n">
        <v>3</v>
      </c>
      <c r="P2215" s="30" t="n">
        <v>-12.9650794</v>
      </c>
      <c r="Q2215" s="30" t="n">
        <v>-38.4687693</v>
      </c>
      <c r="R2215" s="14" t="inlineStr">
        <is>
          <t>CARTÓRIO DA 16ª ZONA ELEITORAL, 1ª AVENIDA DO CENTRO ADMINISTRATIVO DA BAHIA, 150, SALVADOR-BA.</t>
        </is>
      </c>
      <c r="S2215" s="26">
        <f>IF(A2215=A2214,0,1)</f>
        <v>0</v>
      </c>
      <c r="T2215" s="26">
        <f>IF(COUNTIF($B$4:B2215,B2215)=1,1,0)</f>
        <v>0</v>
      </c>
    </row>
    <row r="2216">
      <c r="A2216" s="14" t="inlineStr">
        <is>
          <t>SALVADOR</t>
        </is>
      </c>
      <c r="B2216" s="26" t="n">
        <v>16</v>
      </c>
      <c r="C2216" s="26" t="n">
        <v>1635</v>
      </c>
      <c r="D2216" s="14" t="inlineStr">
        <is>
          <t>ESCOLA ESTADUAL DE 1º GRAU GOVERNADOR OTÁVIO MANGABEIRA</t>
        </is>
      </c>
      <c r="E2216" s="14" t="inlineStr">
        <is>
          <t>SABOEIRO</t>
        </is>
      </c>
      <c r="F2216" s="14" t="inlineStr">
        <is>
          <t>BECO DA CORUJA, S/N - ZONA URBANA</t>
        </is>
      </c>
      <c r="G2216" s="27" t="inlineStr">
        <is>
          <t>41180-710</t>
        </is>
      </c>
      <c r="H2216" s="15" t="n">
        <v>17</v>
      </c>
      <c r="I2216" s="28" t="inlineStr">
        <is>
          <t>NÃO</t>
        </is>
      </c>
      <c r="J2216" s="29" t="n">
        <v>271.4</v>
      </c>
      <c r="K2216" s="14" t="str">
        <f>IF(J2216="","7. Acima de 2 km",IF(J2216&lt;=50,"1. Até 50 m",IF(J2216&lt;=100,"2. De 50 a 100 m",IF(J2216&lt;=200,"3. De 100 a 200 m",IF(J2216&lt;=300,"4. De 200 a 300 m",IF(J2216&lt;=500,"5. De 300 a 500 m","6. De 500 m a 2 km"))))))</f>
        <v>4. De 200 a 300 m</v>
      </c>
      <c r="L2216" s="26" t="n">
        <v>0</v>
      </c>
      <c r="M2216" s="26" t="n">
        <v>0</v>
      </c>
      <c r="N2216" s="26" t="n">
        <v>0</v>
      </c>
      <c r="O2216" s="26" t="n">
        <v>1</v>
      </c>
      <c r="P2216" s="30" t="n">
        <v>-12.9600317</v>
      </c>
      <c r="Q2216" s="30" t="n">
        <v>-38.448187</v>
      </c>
      <c r="R2216" s="14" t="inlineStr">
        <is>
          <t>CARTÓRIO DA 16ª ZONA ELEITORAL, 1ª AVENIDA DO CENTRO ADMINISTRATIVO DA BAHIA, 150, SALVADOR-BA.</t>
        </is>
      </c>
      <c r="S2216" s="26">
        <f>IF(A2216=A2215,0,1)</f>
        <v>0</v>
      </c>
      <c r="T2216" s="26">
        <f>IF(COUNTIF($B$4:B2216,B2216)=1,1,0)</f>
        <v>0</v>
      </c>
    </row>
    <row r="2217">
      <c r="A2217" s="14" t="inlineStr">
        <is>
          <t>SALVADOR</t>
        </is>
      </c>
      <c r="B2217" s="26" t="n">
        <v>16</v>
      </c>
      <c r="C2217" s="26" t="n">
        <v>1660</v>
      </c>
      <c r="D2217" s="14" t="inlineStr">
        <is>
          <t>CENTRO EDUCACIONAL MARIA JOSÉ</t>
        </is>
      </c>
      <c r="E2217" s="14" t="inlineStr">
        <is>
          <t>PERNAMBUÉS</t>
        </is>
      </c>
      <c r="F2217" s="14" t="inlineStr">
        <is>
          <t>RUA RENATO CINCURÁ, 17 - ZONA URBANA</t>
        </is>
      </c>
      <c r="G2217" s="27" t="inlineStr">
        <is>
          <t>41110-010</t>
        </is>
      </c>
      <c r="H2217" s="15" t="n">
        <v>12</v>
      </c>
      <c r="I2217" s="28" t="inlineStr">
        <is>
          <t>NÃO</t>
        </is>
      </c>
      <c r="J2217" s="29" t="n">
        <v>147.9</v>
      </c>
      <c r="K2217" s="14" t="str">
        <f>IF(J2217="","7. Acima de 2 km",IF(J2217&lt;=50,"1. Até 50 m",IF(J2217&lt;=100,"2. De 50 a 100 m",IF(J2217&lt;=200,"3. De 100 a 200 m",IF(J2217&lt;=300,"4. De 200 a 300 m",IF(J2217&lt;=500,"5. De 300 a 500 m","6. De 500 m a 2 km"))))))</f>
        <v>3. De 100 a 200 m</v>
      </c>
      <c r="L2217" s="26" t="n">
        <v>0</v>
      </c>
      <c r="M2217" s="26" t="n">
        <v>0</v>
      </c>
      <c r="N2217" s="26" t="n">
        <v>1</v>
      </c>
      <c r="O2217" s="26" t="n">
        <v>2</v>
      </c>
      <c r="P2217" s="30" t="n">
        <v>-12.9655382</v>
      </c>
      <c r="Q2217" s="30" t="n">
        <v>-38.4637716</v>
      </c>
      <c r="R2217" s="14" t="inlineStr">
        <is>
          <t>CARTÓRIO DA 16ª ZONA ELEITORAL, 1ª AVENIDA DO CENTRO ADMINISTRATIVO DA BAHIA, 150, SALVADOR-BA.</t>
        </is>
      </c>
      <c r="S2217" s="26">
        <f>IF(A2217=A2216,0,1)</f>
        <v>0</v>
      </c>
      <c r="T2217" s="26">
        <f>IF(COUNTIF($B$4:B2217,B2217)=1,1,0)</f>
        <v>0</v>
      </c>
    </row>
    <row r="2218">
      <c r="A2218" s="14" t="inlineStr">
        <is>
          <t>SALVADOR</t>
        </is>
      </c>
      <c r="B2218" s="26" t="n">
        <v>16</v>
      </c>
      <c r="C2218" s="26" t="n">
        <v>1694</v>
      </c>
      <c r="D2218" s="14" t="inlineStr">
        <is>
          <t>ESCOLA MUNICIPAL CANABRAVA</t>
        </is>
      </c>
      <c r="E2218" s="14" t="inlineStr">
        <is>
          <t>CANABRAVA</t>
        </is>
      </c>
      <c r="F2218" s="14" t="inlineStr">
        <is>
          <t>RUA ARTEMIO CASTRO VALENTE, N 1496 - ZONA URBANA</t>
        </is>
      </c>
      <c r="G2218" s="27" t="inlineStr">
        <is>
          <t>41260-300</t>
        </is>
      </c>
      <c r="H2218" s="15" t="n">
        <v>5</v>
      </c>
      <c r="I2218" s="28" t="inlineStr">
        <is>
          <t>SIM</t>
        </is>
      </c>
      <c r="J2218" s="29" t="n">
        <v>77.40000000000001</v>
      </c>
      <c r="K2218" s="14" t="str">
        <f>IF(J2218="","7. Acima de 2 km",IF(J2218&lt;=50,"1. Até 50 m",IF(J2218&lt;=100,"2. De 50 a 100 m",IF(J2218&lt;=200,"3. De 100 a 200 m",IF(J2218&lt;=300,"4. De 200 a 300 m",IF(J2218&lt;=500,"5. De 300 a 500 m","6. De 500 m a 2 km"))))))</f>
        <v>2. De 50 a 100 m</v>
      </c>
      <c r="L2218" s="26" t="n">
        <v>0</v>
      </c>
      <c r="M2218" s="26" t="n">
        <v>1</v>
      </c>
      <c r="N2218" s="26" t="n">
        <v>1</v>
      </c>
      <c r="O2218" s="26" t="n">
        <v>3</v>
      </c>
      <c r="P2218" s="30" t="n">
        <v>-12.9239708</v>
      </c>
      <c r="Q2218" s="30" t="n">
        <v>-38.4215684</v>
      </c>
      <c r="R2218" s="14" t="inlineStr">
        <is>
          <t>CARTÓRIO DA 16ª ZONA ELEITORAL, 1ª AVENIDA DO CENTRO ADMINISTRATIVO DA BAHIA, 150, SALVADOR-BA.</t>
        </is>
      </c>
      <c r="S2218" s="26">
        <f>IF(A2218=A2217,0,1)</f>
        <v>0</v>
      </c>
      <c r="T2218" s="26">
        <f>IF(COUNTIF($B$4:B2218,B2218)=1,1,0)</f>
        <v>0</v>
      </c>
    </row>
    <row r="2219">
      <c r="A2219" s="14" t="inlineStr">
        <is>
          <t>SALVADOR</t>
        </is>
      </c>
      <c r="B2219" s="26" t="n">
        <v>16</v>
      </c>
      <c r="C2219" s="26" t="n">
        <v>1708</v>
      </c>
      <c r="D2219" s="14" t="inlineStr">
        <is>
          <t>ESCOLA MUNICIPAL SYD PORTO BRANDÃO</t>
        </is>
      </c>
      <c r="E2219" s="14" t="inlineStr">
        <is>
          <t>VALE DOS LAGOS</t>
        </is>
      </c>
      <c r="F2219" s="14" t="inlineStr">
        <is>
          <t>RUA  ALCIONE DIAS, 06 - ZONA URBANA</t>
        </is>
      </c>
      <c r="G2219" s="27" t="inlineStr">
        <is>
          <t>41256-285</t>
        </is>
      </c>
      <c r="H2219" s="15" t="n">
        <v>9</v>
      </c>
      <c r="I2219" s="28" t="inlineStr">
        <is>
          <t>SIM</t>
        </is>
      </c>
      <c r="J2219" s="29" t="n">
        <v>50.9</v>
      </c>
      <c r="K2219" s="14" t="str">
        <f>IF(J2219="","7. Acima de 2 km",IF(J2219&lt;=50,"1. Até 50 m",IF(J2219&lt;=100,"2. De 50 a 100 m",IF(J2219&lt;=200,"3. De 100 a 200 m",IF(J2219&lt;=300,"4. De 200 a 300 m",IF(J2219&lt;=500,"5. De 300 a 500 m","6. De 500 m a 2 km"))))))</f>
        <v>2. De 50 a 100 m</v>
      </c>
      <c r="L2219" s="26" t="n">
        <v>0</v>
      </c>
      <c r="M2219" s="26" t="n">
        <v>1</v>
      </c>
      <c r="N2219" s="26" t="n">
        <v>1</v>
      </c>
      <c r="O2219" s="26" t="n">
        <v>1</v>
      </c>
      <c r="P2219" s="30" t="n">
        <v>-12.925344</v>
      </c>
      <c r="Q2219" s="30" t="n">
        <v>-38.4198846</v>
      </c>
      <c r="R2219" s="14" t="inlineStr">
        <is>
          <t>CARTÓRIO DA 16ª ZONA ELEITORAL, 1ª AVENIDA DO CENTRO ADMINISTRATIVO DA BAHIA, 150, SALVADOR-BA.</t>
        </is>
      </c>
      <c r="S2219" s="26">
        <f>IF(A2219=A2218,0,1)</f>
        <v>0</v>
      </c>
      <c r="T2219" s="26">
        <f>IF(COUNTIF($B$4:B2219,B2219)=1,1,0)</f>
        <v>0</v>
      </c>
    </row>
    <row r="2220">
      <c r="A2220" s="14" t="inlineStr">
        <is>
          <t>SALVADOR</t>
        </is>
      </c>
      <c r="B2220" s="26" t="n">
        <v>16</v>
      </c>
      <c r="C2220" s="26" t="n">
        <v>1716</v>
      </c>
      <c r="D2220" s="14" t="inlineStr">
        <is>
          <t>CRECHE E PRÉ ESCOLA PRIMEIRO PASSO CANABRAVA</t>
        </is>
      </c>
      <c r="E2220" s="14" t="inlineStr">
        <is>
          <t>CANABRAVA</t>
        </is>
      </c>
      <c r="F2220" s="14" t="inlineStr">
        <is>
          <t>RUA TRÊS MANGUEIRAS, S/N - ZONA URBANA</t>
        </is>
      </c>
      <c r="G2220" s="27" t="inlineStr">
        <is>
          <t>41260-330</t>
        </is>
      </c>
      <c r="H2220" s="15" t="n">
        <v>5</v>
      </c>
      <c r="I2220" s="28" t="inlineStr">
        <is>
          <t>NÃO</t>
        </is>
      </c>
      <c r="J2220" s="29" t="n">
        <v>197.7</v>
      </c>
      <c r="K2220" s="14" t="str">
        <f>IF(J2220="","7. Acima de 2 km",IF(J2220&lt;=50,"1. Até 50 m",IF(J2220&lt;=100,"2. De 50 a 100 m",IF(J2220&lt;=200,"3. De 100 a 200 m",IF(J2220&lt;=300,"4. De 200 a 300 m",IF(J2220&lt;=500,"5. De 300 a 500 m","6. De 500 m a 2 km"))))))</f>
        <v>3. De 100 a 200 m</v>
      </c>
      <c r="L2220" s="26" t="n">
        <v>0</v>
      </c>
      <c r="M2220" s="26" t="n">
        <v>0</v>
      </c>
      <c r="N2220" s="26" t="n">
        <v>1</v>
      </c>
      <c r="O2220" s="26" t="n">
        <v>1</v>
      </c>
      <c r="P2220" s="30" t="n">
        <v>-12.9271831</v>
      </c>
      <c r="Q2220" s="30" t="n">
        <v>-38.4140677</v>
      </c>
      <c r="R2220" s="14" t="inlineStr">
        <is>
          <t>CARTÓRIO DA 16ª ZONA ELEITORAL, 1ª AVENIDA DO CENTRO ADMINISTRATIVO DA BAHIA, 150, SALVADOR-BA.</t>
        </is>
      </c>
      <c r="S2220" s="26">
        <f>IF(A2220=A2219,0,1)</f>
        <v>0</v>
      </c>
      <c r="T2220" s="26">
        <f>IF(COUNTIF($B$4:B2220,B2220)=1,1,0)</f>
        <v>0</v>
      </c>
    </row>
    <row r="2221">
      <c r="A2221" s="14" t="inlineStr">
        <is>
          <t>SALVADOR</t>
        </is>
      </c>
      <c r="B2221" s="26" t="n">
        <v>17</v>
      </c>
      <c r="C2221" s="26" t="n">
        <v>1619</v>
      </c>
      <c r="D2221" s="14" t="inlineStr">
        <is>
          <t>ESCOLA MUNICIPAL MANOEL FAUSTINO</t>
        </is>
      </c>
      <c r="E2221" s="14" t="inlineStr">
        <is>
          <t>ITACARANHA</t>
        </is>
      </c>
      <c r="F2221" s="14" t="inlineStr">
        <is>
          <t>RUA JOÃO CARMO SOUZA, N. 72 - ZONA URBANA</t>
        </is>
      </c>
      <c r="G2221" s="27" t="inlineStr">
        <is>
          <t>40713-070</t>
        </is>
      </c>
      <c r="H2221" s="15" t="n">
        <v>8</v>
      </c>
      <c r="I2221" s="28" t="inlineStr">
        <is>
          <t>NÃO</t>
        </is>
      </c>
      <c r="J2221" s="29" t="n">
        <v>324.6</v>
      </c>
      <c r="K2221" s="14" t="str">
        <f>IF(J2221="","7. Acima de 2 km",IF(J2221&lt;=50,"1. Até 50 m",IF(J2221&lt;=100,"2. De 50 a 100 m",IF(J2221&lt;=200,"3. De 100 a 200 m",IF(J2221&lt;=300,"4. De 200 a 300 m",IF(J2221&lt;=500,"5. De 300 a 500 m","6. De 500 m a 2 km"))))))</f>
        <v>5. De 300 a 500 m</v>
      </c>
      <c r="L2221" s="26" t="n">
        <v>0</v>
      </c>
      <c r="M2221" s="26" t="n">
        <v>0</v>
      </c>
      <c r="N2221" s="26" t="n">
        <v>0</v>
      </c>
      <c r="O2221" s="26" t="n">
        <v>0</v>
      </c>
      <c r="P2221" s="30" t="n">
        <v>-12.89153333</v>
      </c>
      <c r="Q2221" s="30" t="n">
        <v>-38.485045</v>
      </c>
      <c r="R2221" s="14" t="inlineStr">
        <is>
          <t>CARTÓRIO DA 17ª ZONA ELEITORAL, 1ª AVENIDA DO CENTRO ADMINISTRATIVO DA BAHIA, 150, SALVADOR-BA.</t>
        </is>
      </c>
      <c r="S2221" s="26">
        <f>IF(A2221=A2220,0,1)</f>
        <v>0</v>
      </c>
      <c r="T2221" s="26">
        <f>IF(COUNTIF($B$4:B2221,B2221)=1,1,0)</f>
        <v>1</v>
      </c>
    </row>
    <row r="2222">
      <c r="A2222" s="14" t="inlineStr">
        <is>
          <t>SALVADOR</t>
        </is>
      </c>
      <c r="B2222" s="26" t="n">
        <v>17</v>
      </c>
      <c r="C2222" s="26" t="n">
        <v>1627</v>
      </c>
      <c r="D2222" s="14" t="inlineStr">
        <is>
          <t>ESCOLA SÃO BRAZ</t>
        </is>
      </c>
      <c r="E2222" s="14" t="inlineStr">
        <is>
          <t>PLATAFORMA</t>
        </is>
      </c>
      <c r="F2222" s="14" t="inlineStr">
        <is>
          <t>RUA ÚRSULA CATARINO 36 - ZONA URBANA</t>
        </is>
      </c>
      <c r="G2222" s="27" t="inlineStr">
        <is>
          <t>40710-680</t>
        </is>
      </c>
      <c r="H2222" s="15" t="n">
        <v>8</v>
      </c>
      <c r="I2222" s="28" t="inlineStr">
        <is>
          <t>NÃO</t>
        </is>
      </c>
      <c r="J2222" s="29" t="n">
        <v>329.9</v>
      </c>
      <c r="K2222" s="14" t="str">
        <f>IF(J2222="","7. Acima de 2 km",IF(J2222&lt;=50,"1. Até 50 m",IF(J2222&lt;=100,"2. De 50 a 100 m",IF(J2222&lt;=200,"3. De 100 a 200 m",IF(J2222&lt;=300,"4. De 200 a 300 m",IF(J2222&lt;=500,"5. De 300 a 500 m","6. De 500 m a 2 km"))))))</f>
        <v>5. De 300 a 500 m</v>
      </c>
      <c r="L2222" s="26" t="n">
        <v>0</v>
      </c>
      <c r="M2222" s="26" t="n">
        <v>0</v>
      </c>
      <c r="N2222" s="26" t="n">
        <v>0</v>
      </c>
      <c r="O2222" s="26" t="n">
        <v>0</v>
      </c>
      <c r="P2222" s="30" t="n">
        <v>-12.900545</v>
      </c>
      <c r="Q2222" s="30" t="n">
        <v>-38.49004167</v>
      </c>
      <c r="R2222" s="14" t="inlineStr">
        <is>
          <t>CARTÓRIO DA 17ª ZONA ELEITORAL, 1ª AVENIDA DO CENTRO ADMINISTRATIVO DA BAHIA, 150, SALVADOR-BA.</t>
        </is>
      </c>
      <c r="S2222" s="26">
        <f>IF(A2222=A2221,0,1)</f>
        <v>0</v>
      </c>
      <c r="T2222" s="26">
        <f>IF(COUNTIF($B$4:B2222,B2222)=1,1,0)</f>
        <v>0</v>
      </c>
    </row>
    <row r="2223">
      <c r="A2223" s="14" t="inlineStr">
        <is>
          <t>SALVADOR</t>
        </is>
      </c>
      <c r="B2223" s="26" t="n">
        <v>17</v>
      </c>
      <c r="C2223" s="26" t="n">
        <v>1651</v>
      </c>
      <c r="D2223" s="14" t="inlineStr">
        <is>
          <t>ESCOLA ÚRSULA CATARINO</t>
        </is>
      </c>
      <c r="E2223" s="14" t="inlineStr">
        <is>
          <t>PLATAFORMA</t>
        </is>
      </c>
      <c r="F2223" s="14" t="inlineStr">
        <is>
          <t>RUA ÚRSULA CATARINO, 48 - ZONA URBANA</t>
        </is>
      </c>
      <c r="G2223" s="27" t="inlineStr">
        <is>
          <t>40710-680</t>
        </is>
      </c>
      <c r="H2223" s="15" t="n">
        <v>7</v>
      </c>
      <c r="I2223" s="28" t="inlineStr">
        <is>
          <t>NÃO</t>
        </is>
      </c>
      <c r="J2223" s="29" t="n">
        <v>263.2</v>
      </c>
      <c r="K2223" s="14" t="str">
        <f>IF(J2223="","7. Acima de 2 km",IF(J2223&lt;=50,"1. Até 50 m",IF(J2223&lt;=100,"2. De 50 a 100 m",IF(J2223&lt;=200,"3. De 100 a 200 m",IF(J2223&lt;=300,"4. De 200 a 300 m",IF(J2223&lt;=500,"5. De 300 a 500 m","6. De 500 m a 2 km"))))))</f>
        <v>4. De 200 a 300 m</v>
      </c>
      <c r="L2223" s="26" t="n">
        <v>0</v>
      </c>
      <c r="M2223" s="26" t="n">
        <v>0</v>
      </c>
      <c r="N2223" s="26" t="n">
        <v>0</v>
      </c>
      <c r="O2223" s="26" t="n">
        <v>2</v>
      </c>
      <c r="P2223" s="30" t="n">
        <v>-12.89901667</v>
      </c>
      <c r="Q2223" s="30" t="n">
        <v>-38.48919833</v>
      </c>
      <c r="R2223" s="14" t="inlineStr">
        <is>
          <t>CARTÓRIO DA 17ª ZONA ELEITORAL, 1ª AVENIDA DO CENTRO ADMINISTRATIVO DA BAHIA, 150, SALVADOR-BA.</t>
        </is>
      </c>
      <c r="S2223" s="26">
        <f>IF(A2223=A2222,0,1)</f>
        <v>0</v>
      </c>
      <c r="T2223" s="26">
        <f>IF(COUNTIF($B$4:B2223,B2223)=1,1,0)</f>
        <v>0</v>
      </c>
    </row>
    <row r="2224">
      <c r="A2224" s="14" t="inlineStr">
        <is>
          <t>SALVADOR</t>
        </is>
      </c>
      <c r="B2224" s="26" t="n">
        <v>17</v>
      </c>
      <c r="C2224" s="26" t="n">
        <v>1708</v>
      </c>
      <c r="D2224" s="14" t="inlineStr">
        <is>
          <t>ESCOLA DE 1. GRAU DOUTOR LUIZ ROGÉRIO DE SOUZA</t>
        </is>
      </c>
      <c r="E2224" s="14" t="inlineStr">
        <is>
          <t>PLATAFORMA</t>
        </is>
      </c>
      <c r="F2224" s="14" t="inlineStr">
        <is>
          <t>CONJUNTO BAÍA DE TODOS OS SANTOS RUA D QUADRA 6 - ZONA URBANA</t>
        </is>
      </c>
      <c r="G2224" s="27" t="inlineStr">
        <is>
          <t>40715-110</t>
        </is>
      </c>
      <c r="H2224" s="15" t="n">
        <v>10</v>
      </c>
      <c r="I2224" s="28" t="inlineStr">
        <is>
          <t>NÃO</t>
        </is>
      </c>
      <c r="J2224" s="29" t="n">
        <v>408.2</v>
      </c>
      <c r="K2224" s="14" t="str">
        <f>IF(J2224="","7. Acima de 2 km",IF(J2224&lt;=50,"1. Até 50 m",IF(J2224&lt;=100,"2. De 50 a 100 m",IF(J2224&lt;=200,"3. De 100 a 200 m",IF(J2224&lt;=300,"4. De 200 a 300 m",IF(J2224&lt;=500,"5. De 300 a 500 m","6. De 500 m a 2 km"))))))</f>
        <v>5. De 300 a 500 m</v>
      </c>
      <c r="L2224" s="26" t="n">
        <v>0</v>
      </c>
      <c r="M2224" s="26" t="n">
        <v>0</v>
      </c>
      <c r="N2224" s="26" t="n">
        <v>0</v>
      </c>
      <c r="O2224" s="26" t="n">
        <v>0</v>
      </c>
      <c r="P2224" s="30" t="n">
        <v>-12.89628</v>
      </c>
      <c r="Q2224" s="30" t="n">
        <v>-38.4746</v>
      </c>
      <c r="R2224" s="14" t="inlineStr">
        <is>
          <t>CARTÓRIO DA 17ª ZONA ELEITORAL, 1ª AVENIDA DO CENTRO ADMINISTRATIVO DA BAHIA, 150, SALVADOR-BA.</t>
        </is>
      </c>
      <c r="S2224" s="26">
        <f>IF(A2224=A2223,0,1)</f>
        <v>0</v>
      </c>
      <c r="T2224" s="26">
        <f>IF(COUNTIF($B$4:B2224,B2224)=1,1,0)</f>
        <v>0</v>
      </c>
    </row>
    <row r="2225">
      <c r="A2225" s="14" t="inlineStr">
        <is>
          <t>SALVADOR</t>
        </is>
      </c>
      <c r="B2225" s="26" t="n">
        <v>17</v>
      </c>
      <c r="C2225" s="26" t="n">
        <v>1716</v>
      </c>
      <c r="D2225" s="14" t="inlineStr">
        <is>
          <t>COLÉGIO ESTADUAL PLATAFORMA</t>
        </is>
      </c>
      <c r="E2225" s="14" t="inlineStr">
        <is>
          <t>PLATAFORMA</t>
        </is>
      </c>
      <c r="F2225" s="14" t="inlineStr">
        <is>
          <t>RUA NOVA BRASÍLIA, 32 - ZONA URBANA</t>
        </is>
      </c>
      <c r="G2225" s="27" t="inlineStr">
        <is>
          <t>40710-590</t>
        </is>
      </c>
      <c r="H2225" s="15" t="n">
        <v>8</v>
      </c>
      <c r="I2225" s="28" t="inlineStr">
        <is>
          <t>SIM</t>
        </is>
      </c>
      <c r="J2225" s="29" t="n">
        <v>79.2</v>
      </c>
      <c r="K2225" s="14" t="str">
        <f>IF(J2225="","7. Acima de 2 km",IF(J2225&lt;=50,"1. Até 50 m",IF(J2225&lt;=100,"2. De 50 a 100 m",IF(J2225&lt;=200,"3. De 100 a 200 m",IF(J2225&lt;=300,"4. De 200 a 300 m",IF(J2225&lt;=500,"5. De 300 a 500 m","6. De 500 m a 2 km"))))))</f>
        <v>2. De 50 a 100 m</v>
      </c>
      <c r="L2225" s="26" t="n">
        <v>0</v>
      </c>
      <c r="M2225" s="26" t="n">
        <v>1</v>
      </c>
      <c r="N2225" s="26" t="n">
        <v>1</v>
      </c>
      <c r="O2225" s="26" t="n">
        <v>1</v>
      </c>
      <c r="P2225" s="30" t="n">
        <v>-12.89937833</v>
      </c>
      <c r="Q2225" s="30" t="n">
        <v>-38.48708167</v>
      </c>
      <c r="R2225" s="14" t="inlineStr">
        <is>
          <t>CARTÓRIO DA 17ª ZONA ELEITORAL, 1ª AVENIDA DO CENTRO ADMINISTRATIVO DA BAHIA, 150, SALVADOR-BA.</t>
        </is>
      </c>
      <c r="S2225" s="26">
        <f>IF(A2225=A2224,0,1)</f>
        <v>0</v>
      </c>
      <c r="T2225" s="26">
        <f>IF(COUNTIF($B$4:B2225,B2225)=1,1,0)</f>
        <v>0</v>
      </c>
    </row>
    <row r="2226">
      <c r="A2226" s="14" t="inlineStr">
        <is>
          <t>SALVADOR</t>
        </is>
      </c>
      <c r="B2226" s="26" t="n">
        <v>17</v>
      </c>
      <c r="C2226" s="26" t="n">
        <v>1775</v>
      </c>
      <c r="D2226" s="14" t="inlineStr">
        <is>
          <t>ESCOLA RIBEIRO DE ARAUJO</t>
        </is>
      </c>
      <c r="E2226" s="14" t="inlineStr">
        <is>
          <t>PLATAFORMA</t>
        </is>
      </c>
      <c r="F2226" s="14" t="inlineStr">
        <is>
          <t>RUA VINTE E QUATRO DE OUTUBRO, 120 - ZONA URBANA</t>
        </is>
      </c>
      <c r="G2226" s="27" t="inlineStr">
        <is>
          <t>40710-760</t>
        </is>
      </c>
      <c r="H2226" s="15" t="n">
        <v>5</v>
      </c>
      <c r="I2226" s="28" t="inlineStr">
        <is>
          <t>NÃO</t>
        </is>
      </c>
      <c r="J2226" s="29" t="n">
        <v>192.5</v>
      </c>
      <c r="K2226" s="14" t="str">
        <f>IF(J2226="","7. Acima de 2 km",IF(J2226&lt;=50,"1. Até 50 m",IF(J2226&lt;=100,"2. De 50 a 100 m",IF(J2226&lt;=200,"3. De 100 a 200 m",IF(J2226&lt;=300,"4. De 200 a 300 m",IF(J2226&lt;=500,"5. De 300 a 500 m","6. De 500 m a 2 km"))))))</f>
        <v>3. De 100 a 200 m</v>
      </c>
      <c r="L2226" s="26" t="n">
        <v>0</v>
      </c>
      <c r="M2226" s="26" t="n">
        <v>0</v>
      </c>
      <c r="N2226" s="26" t="n">
        <v>1</v>
      </c>
      <c r="O2226" s="26" t="n">
        <v>2</v>
      </c>
      <c r="P2226" s="30" t="n">
        <v>-12.89857</v>
      </c>
      <c r="Q2226" s="30" t="n">
        <v>-38.48788667</v>
      </c>
      <c r="R2226" s="14" t="inlineStr">
        <is>
          <t>CARTÓRIO DA 17ª ZONA ELEITORAL, 1ª AVENIDA DO CENTRO ADMINISTRATIVO DA BAHIA, 150, SALVADOR-BA.</t>
        </is>
      </c>
      <c r="S2226" s="26">
        <f>IF(A2226=A2225,0,1)</f>
        <v>0</v>
      </c>
      <c r="T2226" s="26">
        <f>IF(COUNTIF($B$4:B2226,B2226)=1,1,0)</f>
        <v>0</v>
      </c>
    </row>
    <row r="2227">
      <c r="A2227" s="14" t="inlineStr">
        <is>
          <t>SALVADOR</t>
        </is>
      </c>
      <c r="B2227" s="26" t="n">
        <v>17</v>
      </c>
      <c r="C2227" s="26" t="n">
        <v>1813</v>
      </c>
      <c r="D2227" s="14" t="inlineStr">
        <is>
          <t>ESCOLA PADRE NORBERTO</t>
        </is>
      </c>
      <c r="E2227" s="14" t="inlineStr">
        <is>
          <t>ALTO DO CABRITO</t>
        </is>
      </c>
      <c r="F2227" s="14" t="inlineStr">
        <is>
          <t>RUA PADRE NORBERTO RODRIGUES, S/N - ZONA URBANA</t>
        </is>
      </c>
      <c r="G2227" s="27" t="inlineStr">
        <is>
          <t>40485-770</t>
        </is>
      </c>
      <c r="H2227" s="15" t="n">
        <v>12</v>
      </c>
      <c r="I2227" s="28" t="inlineStr">
        <is>
          <t>NÃO</t>
        </is>
      </c>
      <c r="J2227" s="29" t="n">
        <v>199.5</v>
      </c>
      <c r="K2227" s="14" t="str">
        <f>IF(J2227="","7. Acima de 2 km",IF(J2227&lt;=50,"1. Até 50 m",IF(J2227&lt;=100,"2. De 50 a 100 m",IF(J2227&lt;=200,"3. De 100 a 200 m",IF(J2227&lt;=300,"4. De 200 a 300 m",IF(J2227&lt;=500,"5. De 300 a 500 m","6. De 500 m a 2 km"))))))</f>
        <v>3. De 100 a 200 m</v>
      </c>
      <c r="L2227" s="26" t="n">
        <v>0</v>
      </c>
      <c r="M2227" s="26" t="n">
        <v>0</v>
      </c>
      <c r="N2227" s="26" t="n">
        <v>1</v>
      </c>
      <c r="O2227" s="26" t="n">
        <v>2</v>
      </c>
      <c r="P2227" s="30" t="n">
        <v>-12.915255</v>
      </c>
      <c r="Q2227" s="30" t="n">
        <v>-38.478415</v>
      </c>
      <c r="R2227" s="14" t="inlineStr">
        <is>
          <t>CARTÓRIO DA 17ª ZONA ELEITORAL, 1ª AVENIDA DO CENTRO ADMINISTRATIVO DA BAHIA, 150, SALVADOR-BA.</t>
        </is>
      </c>
      <c r="S2227" s="26">
        <f>IF(A2227=A2226,0,1)</f>
        <v>0</v>
      </c>
      <c r="T2227" s="26">
        <f>IF(COUNTIF($B$4:B2227,B2227)=1,1,0)</f>
        <v>0</v>
      </c>
    </row>
    <row r="2228">
      <c r="A2228" s="14" t="inlineStr">
        <is>
          <t>SALVADOR</t>
        </is>
      </c>
      <c r="B2228" s="26" t="n">
        <v>17</v>
      </c>
      <c r="C2228" s="26" t="n">
        <v>1830</v>
      </c>
      <c r="D2228" s="14" t="inlineStr">
        <is>
          <t>ESCOLA JOAQUIM MAGALHÃES</t>
        </is>
      </c>
      <c r="E2228" s="14" t="inlineStr">
        <is>
          <t>ITACARANHA</t>
        </is>
      </c>
      <c r="F2228" s="14" t="inlineStr">
        <is>
          <t>RUA DO CURRALINHO, S/N - ZONA URBANA</t>
        </is>
      </c>
      <c r="G2228" s="27" t="inlineStr">
        <is>
          <t>40715-190</t>
        </is>
      </c>
      <c r="H2228" s="15" t="n">
        <v>9</v>
      </c>
      <c r="I2228" s="28" t="inlineStr">
        <is>
          <t>NÃO</t>
        </is>
      </c>
      <c r="J2228" s="29" t="n">
        <v>647.3</v>
      </c>
      <c r="K2228" s="14" t="str">
        <f>IF(J2228="","7. Acima de 2 km",IF(J2228&lt;=50,"1. Até 50 m",IF(J2228&lt;=100,"2. De 50 a 100 m",IF(J2228&lt;=200,"3. De 100 a 200 m",IF(J2228&lt;=300,"4. De 200 a 300 m",IF(J2228&lt;=500,"5. De 300 a 500 m","6. De 500 m a 2 km"))))))</f>
        <v>6. De 500 m a 2 km</v>
      </c>
      <c r="L2228" s="26" t="n">
        <v>0</v>
      </c>
      <c r="M2228" s="26" t="n">
        <v>0</v>
      </c>
      <c r="N2228" s="26" t="n">
        <v>0</v>
      </c>
      <c r="O2228" s="26" t="n">
        <v>0</v>
      </c>
      <c r="P2228" s="30" t="n">
        <v>-12.88706667</v>
      </c>
      <c r="Q2228" s="30" t="n">
        <v>-38.47402667</v>
      </c>
      <c r="R2228" s="14" t="inlineStr">
        <is>
          <t>CARTÓRIO DA 17ª ZONA ELEITORAL, 1ª AVENIDA DO CENTRO ADMINISTRATIVO DA BAHIA, 150, SALVADOR-BA.</t>
        </is>
      </c>
      <c r="S2228" s="26">
        <f>IF(A2228=A2227,0,1)</f>
        <v>0</v>
      </c>
      <c r="T2228" s="26">
        <f>IF(COUNTIF($B$4:B2228,B2228)=1,1,0)</f>
        <v>0</v>
      </c>
    </row>
    <row r="2229">
      <c r="A2229" s="14" t="inlineStr">
        <is>
          <t>SALVADOR</t>
        </is>
      </c>
      <c r="B2229" s="26" t="n">
        <v>17</v>
      </c>
      <c r="C2229" s="26" t="n">
        <v>1848</v>
      </c>
      <c r="D2229" s="14" t="inlineStr">
        <is>
          <t>ESCOLA DE 1. GRAU JOSIAS DE ALMEIDA MELO</t>
        </is>
      </c>
      <c r="E2229" s="14" t="inlineStr">
        <is>
          <t>ITACARANHA</t>
        </is>
      </c>
      <c r="F2229" s="14" t="inlineStr">
        <is>
          <t>RUA JOSÉ JOAQUIM ALVES 1 CJ. HABITACIONAL SR. DO BONFIM - ZONA URBANA</t>
        </is>
      </c>
      <c r="G2229" s="27" t="inlineStr">
        <is>
          <t>40715-100</t>
        </is>
      </c>
      <c r="H2229" s="15" t="n">
        <v>9</v>
      </c>
      <c r="I2229" s="28" t="inlineStr">
        <is>
          <t>NÃO</t>
        </is>
      </c>
      <c r="J2229" s="29" t="n">
        <v>299.1</v>
      </c>
      <c r="K2229" s="14" t="str">
        <f>IF(J2229="","7. Acima de 2 km",IF(J2229&lt;=50,"1. Até 50 m",IF(J2229&lt;=100,"2. De 50 a 100 m",IF(J2229&lt;=200,"3. De 100 a 200 m",IF(J2229&lt;=300,"4. De 200 a 300 m",IF(J2229&lt;=500,"5. De 300 a 500 m","6. De 500 m a 2 km"))))))</f>
        <v>4. De 200 a 300 m</v>
      </c>
      <c r="L2229" s="26" t="n">
        <v>0</v>
      </c>
      <c r="M2229" s="26" t="n">
        <v>0</v>
      </c>
      <c r="N2229" s="26" t="n">
        <v>0</v>
      </c>
      <c r="O2229" s="26" t="n">
        <v>1</v>
      </c>
      <c r="P2229" s="30" t="n">
        <v>-12.89022167</v>
      </c>
      <c r="Q2229" s="30" t="n">
        <v>-38.47787333</v>
      </c>
      <c r="R2229" s="14" t="inlineStr">
        <is>
          <t>CARTÓRIO DA 17ª ZONA ELEITORAL, 1ª AVENIDA DO CENTRO ADMINISTRATIVO DA BAHIA, 150, SALVADOR-BA.</t>
        </is>
      </c>
      <c r="S2229" s="26">
        <f>IF(A2229=A2228,0,1)</f>
        <v>0</v>
      </c>
      <c r="T2229" s="26">
        <f>IF(COUNTIF($B$4:B2229,B2229)=1,1,0)</f>
        <v>0</v>
      </c>
    </row>
    <row r="2230">
      <c r="A2230" s="14" t="inlineStr">
        <is>
          <t>SALVADOR</t>
        </is>
      </c>
      <c r="B2230" s="26" t="n">
        <v>17</v>
      </c>
      <c r="C2230" s="26" t="n">
        <v>1856</v>
      </c>
      <c r="D2230" s="14" t="inlineStr">
        <is>
          <t>COLÉGIO ESTADUAL CLÉRISTON ANDRADE</t>
        </is>
      </c>
      <c r="E2230" s="14" t="inlineStr">
        <is>
          <t>ITACARANHA</t>
        </is>
      </c>
      <c r="F2230" s="14" t="inlineStr">
        <is>
          <t>RUA SERGIMIRIM, S/N - ZONA URBANA</t>
        </is>
      </c>
      <c r="G2230" s="27" t="inlineStr">
        <is>
          <t>40713-295</t>
        </is>
      </c>
      <c r="H2230" s="15" t="n">
        <v>24</v>
      </c>
      <c r="I2230" s="28" t="inlineStr">
        <is>
          <t>NÃO</t>
        </is>
      </c>
      <c r="J2230" s="29" t="n">
        <v>835.2</v>
      </c>
      <c r="K2230" s="14" t="str">
        <f>IF(J2230="","7. Acima de 2 km",IF(J2230&lt;=50,"1. Até 50 m",IF(J2230&lt;=100,"2. De 50 a 100 m",IF(J2230&lt;=200,"3. De 100 a 200 m",IF(J2230&lt;=300,"4. De 200 a 300 m",IF(J2230&lt;=500,"5. De 300 a 500 m","6. De 500 m a 2 km"))))))</f>
        <v>6. De 500 m a 2 km</v>
      </c>
      <c r="L2230" s="26" t="n">
        <v>0</v>
      </c>
      <c r="M2230" s="26" t="n">
        <v>0</v>
      </c>
      <c r="N2230" s="26" t="n">
        <v>0</v>
      </c>
      <c r="O2230" s="26" t="n">
        <v>0</v>
      </c>
      <c r="P2230" s="30" t="n">
        <v>-12.88660333</v>
      </c>
      <c r="Q2230" s="30" t="n">
        <v>-38.48187667</v>
      </c>
      <c r="R2230" s="14" t="inlineStr">
        <is>
          <t>CARTÓRIO DA 17ª ZONA ELEITORAL, 1ª AVENIDA DO CENTRO ADMINISTRATIVO DA BAHIA, 150, SALVADOR-BA.</t>
        </is>
      </c>
      <c r="S2230" s="26">
        <f>IF(A2230=A2229,0,1)</f>
        <v>0</v>
      </c>
      <c r="T2230" s="26">
        <f>IF(COUNTIF($B$4:B2230,B2230)=1,1,0)</f>
        <v>0</v>
      </c>
    </row>
    <row r="2231">
      <c r="A2231" s="14" t="inlineStr">
        <is>
          <t>SALVADOR</t>
        </is>
      </c>
      <c r="B2231" s="26" t="n">
        <v>17</v>
      </c>
      <c r="C2231" s="26" t="n">
        <v>1864</v>
      </c>
      <c r="D2231" s="14" t="inlineStr">
        <is>
          <t>ESCOLA DOUTOR EDUARDO DOTO</t>
        </is>
      </c>
      <c r="E2231" s="14" t="inlineStr">
        <is>
          <t>PRAIA GRANDE</t>
        </is>
      </c>
      <c r="F2231" s="14" t="inlineStr">
        <is>
          <t>RUA PEDRO GORDILHO, N 335 - ZONA URBANA</t>
        </is>
      </c>
      <c r="G2231" s="27" t="inlineStr">
        <is>
          <t>40725-355</t>
        </is>
      </c>
      <c r="H2231" s="15" t="n">
        <v>6</v>
      </c>
      <c r="I2231" s="28" t="inlineStr">
        <is>
          <t>NÃO</t>
        </is>
      </c>
      <c r="J2231" s="29" t="n">
        <v>246.2</v>
      </c>
      <c r="K2231" s="14" t="str">
        <f>IF(J2231="","7. Acima de 2 km",IF(J2231&lt;=50,"1. Até 50 m",IF(J2231&lt;=100,"2. De 50 a 100 m",IF(J2231&lt;=200,"3. De 100 a 200 m",IF(J2231&lt;=300,"4. De 200 a 300 m",IF(J2231&lt;=500,"5. De 300 a 500 m","6. De 500 m a 2 km"))))))</f>
        <v>4. De 200 a 300 m</v>
      </c>
      <c r="L2231" s="26" t="n">
        <v>0</v>
      </c>
      <c r="M2231" s="26" t="n">
        <v>0</v>
      </c>
      <c r="N2231" s="26" t="n">
        <v>0</v>
      </c>
      <c r="O2231" s="26" t="n">
        <v>2</v>
      </c>
      <c r="P2231" s="30" t="n">
        <v>-12.87154167</v>
      </c>
      <c r="Q2231" s="30" t="n">
        <v>-38.47778833</v>
      </c>
      <c r="R2231" s="14" t="inlineStr">
        <is>
          <t>CARTÓRIO DA 17ª ZONA ELEITORAL, 1ª AVENIDA DO CENTRO ADMINISTRATIVO DA BAHIA, 150, SALVADOR-BA.</t>
        </is>
      </c>
      <c r="S2231" s="26">
        <f>IF(A2231=A2230,0,1)</f>
        <v>0</v>
      </c>
      <c r="T2231" s="26">
        <f>IF(COUNTIF($B$4:B2231,B2231)=1,1,0)</f>
        <v>0</v>
      </c>
    </row>
    <row r="2232">
      <c r="A2232" s="14" t="inlineStr">
        <is>
          <t>SALVADOR</t>
        </is>
      </c>
      <c r="B2232" s="26" t="n">
        <v>17</v>
      </c>
      <c r="C2232" s="26" t="n">
        <v>1910</v>
      </c>
      <c r="D2232" s="14" t="inlineStr">
        <is>
          <t>ESCOLA MUNICIPAL DE PERIPERI</t>
        </is>
      </c>
      <c r="E2232" s="14" t="inlineStr">
        <is>
          <t>PERIPERI</t>
        </is>
      </c>
      <c r="F2232" s="14" t="inlineStr">
        <is>
          <t>RUA DA METALURGICA, 1 - ZONA URBANA</t>
        </is>
      </c>
      <c r="G2232" s="27" t="inlineStr">
        <is>
          <t>40740-170</t>
        </is>
      </c>
      <c r="H2232" s="15" t="n">
        <v>18</v>
      </c>
      <c r="I2232" s="28" t="inlineStr">
        <is>
          <t>NÃO</t>
        </is>
      </c>
      <c r="J2232" s="29" t="n">
        <v>227.6</v>
      </c>
      <c r="K2232" s="14" t="str">
        <f>IF(J2232="","7. Acima de 2 km",IF(J2232&lt;=50,"1. Até 50 m",IF(J2232&lt;=100,"2. De 50 a 100 m",IF(J2232&lt;=200,"3. De 100 a 200 m",IF(J2232&lt;=300,"4. De 200 a 300 m",IF(J2232&lt;=500,"5. De 300 a 500 m","6. De 500 m a 2 km"))))))</f>
        <v>4. De 200 a 300 m</v>
      </c>
      <c r="L2232" s="26" t="n">
        <v>0</v>
      </c>
      <c r="M2232" s="26" t="n">
        <v>0</v>
      </c>
      <c r="N2232" s="26" t="n">
        <v>0</v>
      </c>
      <c r="O2232" s="26" t="n">
        <v>1</v>
      </c>
      <c r="P2232" s="30" t="n">
        <v>-12.87006667</v>
      </c>
      <c r="Q2232" s="30" t="n">
        <v>-38.473605</v>
      </c>
      <c r="R2232" s="14" t="inlineStr">
        <is>
          <t>CARTÓRIO DA 17ª ZONA ELEITORAL, 1ª AVENIDA DO CENTRO ADMINISTRATIVO DA BAHIA, 150, SALVADOR-BA.</t>
        </is>
      </c>
      <c r="S2232" s="26">
        <f>IF(A2232=A2231,0,1)</f>
        <v>0</v>
      </c>
      <c r="T2232" s="26">
        <f>IF(COUNTIF($B$4:B2232,B2232)=1,1,0)</f>
        <v>0</v>
      </c>
    </row>
    <row r="2233">
      <c r="A2233" s="14" t="inlineStr">
        <is>
          <t>SALVADOR</t>
        </is>
      </c>
      <c r="B2233" s="26" t="n">
        <v>17</v>
      </c>
      <c r="C2233" s="26" t="n">
        <v>1929</v>
      </c>
      <c r="D2233" s="14" t="inlineStr">
        <is>
          <t>ESCOLA ESTADUAL PROFESSORA MARIA ANITA</t>
        </is>
      </c>
      <c r="E2233" s="14" t="inlineStr">
        <is>
          <t>PERIPERI</t>
        </is>
      </c>
      <c r="F2233" s="14" t="inlineStr">
        <is>
          <t>CONJUNTO COLINAS DE PERIPERI II, S/N - ZONA URBANA</t>
        </is>
      </c>
      <c r="G2233" s="27" t="inlineStr">
        <is>
          <t>40725-630</t>
        </is>
      </c>
      <c r="H2233" s="15" t="n">
        <v>12</v>
      </c>
      <c r="I2233" s="28" t="inlineStr">
        <is>
          <t>NÃO</t>
        </is>
      </c>
      <c r="J2233" s="29" t="n">
        <v>752.1</v>
      </c>
      <c r="K2233" s="14" t="str">
        <f>IF(J2233="","7. Acima de 2 km",IF(J2233&lt;=50,"1. Até 50 m",IF(J2233&lt;=100,"2. De 50 a 100 m",IF(J2233&lt;=200,"3. De 100 a 200 m",IF(J2233&lt;=300,"4. De 200 a 300 m",IF(J2233&lt;=500,"5. De 300 a 500 m","6. De 500 m a 2 km"))))))</f>
        <v>6. De 500 m a 2 km</v>
      </c>
      <c r="L2233" s="26" t="n">
        <v>0</v>
      </c>
      <c r="M2233" s="26" t="n">
        <v>0</v>
      </c>
      <c r="N2233" s="26" t="n">
        <v>0</v>
      </c>
      <c r="O2233" s="26" t="n">
        <v>0</v>
      </c>
      <c r="P2233" s="30" t="n">
        <v>-12.87088</v>
      </c>
      <c r="Q2233" s="30" t="n">
        <v>-38.4617</v>
      </c>
      <c r="R2233" s="14" t="inlineStr">
        <is>
          <t>CARTÓRIO DA 17ª ZONA ELEITORAL, 1ª AVENIDA DO CENTRO ADMINISTRATIVO DA BAHIA, 150, SALVADOR-BA.</t>
        </is>
      </c>
      <c r="S2233" s="26">
        <f>IF(A2233=A2232,0,1)</f>
        <v>0</v>
      </c>
      <c r="T2233" s="26">
        <f>IF(COUNTIF($B$4:B2233,B2233)=1,1,0)</f>
        <v>0</v>
      </c>
    </row>
    <row r="2234">
      <c r="A2234" s="14" t="inlineStr">
        <is>
          <t>SALVADOR</t>
        </is>
      </c>
      <c r="B2234" s="26" t="n">
        <v>17</v>
      </c>
      <c r="C2234" s="26" t="n">
        <v>1937</v>
      </c>
      <c r="D2234" s="14" t="inlineStr">
        <is>
          <t>COLÉGIO ESTADUAL PRAIA GRANDE</t>
        </is>
      </c>
      <c r="E2234" s="14" t="inlineStr">
        <is>
          <t>PERIPERI</t>
        </is>
      </c>
      <c r="F2234" s="14" t="inlineStr">
        <is>
          <t>RUA ROSALVO BARBOSA ROMEU, S/N - ZONA URBANA</t>
        </is>
      </c>
      <c r="G2234" s="27" t="inlineStr">
        <is>
          <t>40720-550</t>
        </is>
      </c>
      <c r="H2234" s="15" t="n">
        <v>26</v>
      </c>
      <c r="I2234" s="28" t="inlineStr">
        <is>
          <t>SIM</t>
        </is>
      </c>
      <c r="J2234" s="29" t="n">
        <v>96.09999999999999</v>
      </c>
      <c r="K2234" s="14" t="str">
        <f>IF(J2234="","7. Acima de 2 km",IF(J2234&lt;=50,"1. Até 50 m",IF(J2234&lt;=100,"2. De 50 a 100 m",IF(J2234&lt;=200,"3. De 100 a 200 m",IF(J2234&lt;=300,"4. De 200 a 300 m",IF(J2234&lt;=500,"5. De 300 a 500 m","6. De 500 m a 2 km"))))))</f>
        <v>2. De 50 a 100 m</v>
      </c>
      <c r="L2234" s="26" t="n">
        <v>0</v>
      </c>
      <c r="M2234" s="26" t="n">
        <v>1</v>
      </c>
      <c r="N2234" s="26" t="n">
        <v>1</v>
      </c>
      <c r="O2234" s="26" t="n">
        <v>1</v>
      </c>
      <c r="P2234" s="30" t="n">
        <v>-12.86896667</v>
      </c>
      <c r="Q2234" s="30" t="n">
        <v>-38.47314333</v>
      </c>
      <c r="R2234" s="14" t="inlineStr">
        <is>
          <t>CARTÓRIO DA 17ª ZONA ELEITORAL, 1ª AVENIDA DO CENTRO ADMINISTRATIVO DA BAHIA, 150, SALVADOR-BA.</t>
        </is>
      </c>
      <c r="S2234" s="26">
        <f>IF(A2234=A2233,0,1)</f>
        <v>0</v>
      </c>
      <c r="T2234" s="26">
        <f>IF(COUNTIF($B$4:B2234,B2234)=1,1,0)</f>
        <v>0</v>
      </c>
    </row>
    <row r="2235">
      <c r="A2235" s="14" t="inlineStr">
        <is>
          <t>SALVADOR</t>
        </is>
      </c>
      <c r="B2235" s="26" t="n">
        <v>17</v>
      </c>
      <c r="C2235" s="26" t="n">
        <v>1945</v>
      </c>
      <c r="D2235" s="14" t="inlineStr">
        <is>
          <t>ESCOLA MIRANTES DE PERIPERI</t>
        </is>
      </c>
      <c r="E2235" s="14" t="inlineStr">
        <is>
          <t>MIRANTES DE PERIPERI</t>
        </is>
      </c>
      <c r="F2235" s="14" t="inlineStr">
        <is>
          <t>RUA DO CURIÓ, S/N - ZONA URBANA</t>
        </is>
      </c>
      <c r="G2235" s="27" t="inlineStr">
        <is>
          <t>40720-272</t>
        </is>
      </c>
      <c r="H2235" s="15" t="n">
        <v>9</v>
      </c>
      <c r="I2235" s="28" t="inlineStr">
        <is>
          <t>SIM</t>
        </is>
      </c>
      <c r="J2235" s="29" t="n">
        <v>83.5</v>
      </c>
      <c r="K2235" s="14" t="str">
        <f>IF(J2235="","7. Acima de 2 km",IF(J2235&lt;=50,"1. Até 50 m",IF(J2235&lt;=100,"2. De 50 a 100 m",IF(J2235&lt;=200,"3. De 100 a 200 m",IF(J2235&lt;=300,"4. De 200 a 300 m",IF(J2235&lt;=500,"5. De 300 a 500 m","6. De 500 m a 2 km"))))))</f>
        <v>2. De 50 a 100 m</v>
      </c>
      <c r="L2235" s="26" t="n">
        <v>0</v>
      </c>
      <c r="M2235" s="26" t="n">
        <v>1</v>
      </c>
      <c r="N2235" s="26" t="n">
        <v>1</v>
      </c>
      <c r="O2235" s="26" t="n">
        <v>1</v>
      </c>
      <c r="P2235" s="30" t="n">
        <v>-12.873925</v>
      </c>
      <c r="Q2235" s="30" t="n">
        <v>-38.46731333</v>
      </c>
      <c r="R2235" s="14" t="inlineStr">
        <is>
          <t>CARTÓRIO DA 17ª ZONA ELEITORAL, 1ª AVENIDA DO CENTRO ADMINISTRATIVO DA BAHIA, 150, SALVADOR-BA.</t>
        </is>
      </c>
      <c r="S2235" s="26">
        <f>IF(A2235=A2234,0,1)</f>
        <v>0</v>
      </c>
      <c r="T2235" s="26">
        <f>IF(COUNTIF($B$4:B2235,B2235)=1,1,0)</f>
        <v>0</v>
      </c>
    </row>
    <row r="2236">
      <c r="A2236" s="14" t="inlineStr">
        <is>
          <t>SALVADOR</t>
        </is>
      </c>
      <c r="B2236" s="26" t="n">
        <v>17</v>
      </c>
      <c r="C2236" s="26" t="n">
        <v>1953</v>
      </c>
      <c r="D2236" s="14" t="inlineStr">
        <is>
          <t>ESCOLA MUNICIPAL SENHOR DO BONFIM</t>
        </is>
      </c>
      <c r="E2236" s="14" t="inlineStr">
        <is>
          <t>PLATAFORMA</t>
        </is>
      </c>
      <c r="F2236" s="14" t="inlineStr">
        <is>
          <t>CONJUNTO SENHOR DO BONFIM, RUA A, QD 5, S/N - ZONA URBANA</t>
        </is>
      </c>
      <c r="G2236" s="27" t="inlineStr">
        <is>
          <t>40715-805</t>
        </is>
      </c>
      <c r="H2236" s="15" t="n">
        <v>12</v>
      </c>
      <c r="I2236" s="28" t="inlineStr">
        <is>
          <t>NÃO</t>
        </is>
      </c>
      <c r="J2236" s="29" t="n">
        <v>334.5</v>
      </c>
      <c r="K2236" s="14" t="str">
        <f>IF(J2236="","7. Acima de 2 km",IF(J2236&lt;=50,"1. Até 50 m",IF(J2236&lt;=100,"2. De 50 a 100 m",IF(J2236&lt;=200,"3. De 100 a 200 m",IF(J2236&lt;=300,"4. De 200 a 300 m",IF(J2236&lt;=500,"5. De 300 a 500 m","6. De 500 m a 2 km"))))))</f>
        <v>5. De 300 a 500 m</v>
      </c>
      <c r="L2236" s="26" t="n">
        <v>0</v>
      </c>
      <c r="M2236" s="26" t="n">
        <v>0</v>
      </c>
      <c r="N2236" s="26" t="n">
        <v>0</v>
      </c>
      <c r="O2236" s="26" t="n">
        <v>0</v>
      </c>
      <c r="P2236" s="30" t="n">
        <v>-12.88994167</v>
      </c>
      <c r="Q2236" s="30" t="n">
        <v>-38.47803167</v>
      </c>
      <c r="R2236" s="14" t="inlineStr">
        <is>
          <t>CARTÓRIO DA 17ª ZONA ELEITORAL, 1ª AVENIDA DO CENTRO ADMINISTRATIVO DA BAHIA, 150, SALVADOR-BA.</t>
        </is>
      </c>
      <c r="S2236" s="26">
        <f>IF(A2236=A2235,0,1)</f>
        <v>0</v>
      </c>
      <c r="T2236" s="26">
        <f>IF(COUNTIF($B$4:B2236,B2236)=1,1,0)</f>
        <v>0</v>
      </c>
    </row>
    <row r="2237">
      <c r="A2237" s="14" t="inlineStr">
        <is>
          <t>SALVADOR</t>
        </is>
      </c>
      <c r="B2237" s="26" t="n">
        <v>17</v>
      </c>
      <c r="C2237" s="26" t="n">
        <v>1961</v>
      </c>
      <c r="D2237" s="14" t="inlineStr">
        <is>
          <t>ESCOLA MUNICIPAL D EUGÊNIO DE ARAÚJO SALES</t>
        </is>
      </c>
      <c r="E2237" s="14" t="inlineStr">
        <is>
          <t>PERIPERI</t>
        </is>
      </c>
      <c r="F2237" s="14" t="inlineStr">
        <is>
          <t>RUA AMBRÓSIO CALMON, N 15 - ZONA URBANA</t>
        </is>
      </c>
      <c r="G2237" s="27" t="inlineStr">
        <is>
          <t>40725-630</t>
        </is>
      </c>
      <c r="H2237" s="15" t="n">
        <v>7</v>
      </c>
      <c r="I2237" s="28" t="inlineStr">
        <is>
          <t>NÃO</t>
        </is>
      </c>
      <c r="J2237" s="29" t="n">
        <v>220.7</v>
      </c>
      <c r="K2237" s="14" t="str">
        <f>IF(J2237="","7. Acima de 2 km",IF(J2237&lt;=50,"1. Até 50 m",IF(J2237&lt;=100,"2. De 50 a 100 m",IF(J2237&lt;=200,"3. De 100 a 200 m",IF(J2237&lt;=300,"4. De 200 a 300 m",IF(J2237&lt;=500,"5. De 300 a 500 m","6. De 500 m a 2 km"))))))</f>
        <v>4. De 200 a 300 m</v>
      </c>
      <c r="L2237" s="26" t="n">
        <v>0</v>
      </c>
      <c r="M2237" s="26" t="n">
        <v>0</v>
      </c>
      <c r="N2237" s="26" t="n">
        <v>0</v>
      </c>
      <c r="O2237" s="26" t="n">
        <v>5</v>
      </c>
      <c r="P2237" s="30" t="n">
        <v>-12.86613833</v>
      </c>
      <c r="Q2237" s="30" t="n">
        <v>-38.47480167</v>
      </c>
      <c r="R2237" s="14" t="inlineStr">
        <is>
          <t>CARTÓRIO DA 17ª ZONA ELEITORAL, 1ª AVENIDA DO CENTRO ADMINISTRATIVO DA BAHIA, 150, SALVADOR-BA.</t>
        </is>
      </c>
      <c r="S2237" s="26">
        <f>IF(A2237=A2236,0,1)</f>
        <v>0</v>
      </c>
      <c r="T2237" s="26">
        <f>IF(COUNTIF($B$4:B2237,B2237)=1,1,0)</f>
        <v>0</v>
      </c>
    </row>
    <row r="2238">
      <c r="A2238" s="14" t="inlineStr">
        <is>
          <t>SALVADOR</t>
        </is>
      </c>
      <c r="B2238" s="26" t="n">
        <v>17</v>
      </c>
      <c r="C2238" s="26" t="n">
        <v>1970</v>
      </c>
      <c r="D2238" s="14" t="inlineStr">
        <is>
          <t>ESCOLA SARA VIOLETA DE MELLO KÉRTESZ</t>
        </is>
      </c>
      <c r="E2238" s="14" t="inlineStr">
        <is>
          <t>ALTO DA TEREZINHA</t>
        </is>
      </c>
      <c r="F2238" s="14" t="inlineStr">
        <is>
          <t>RUA GETÚLIO VARGAS S/N - ZONA URBANA</t>
        </is>
      </c>
      <c r="G2238" s="27" t="inlineStr">
        <is>
          <t>40713-180</t>
        </is>
      </c>
      <c r="H2238" s="15" t="n">
        <v>12</v>
      </c>
      <c r="I2238" s="28" t="inlineStr">
        <is>
          <t>NÃO</t>
        </is>
      </c>
      <c r="J2238" s="29" t="n">
        <v>860.9</v>
      </c>
      <c r="K2238" s="14" t="str">
        <f>IF(J2238="","7. Acima de 2 km",IF(J2238&lt;=50,"1. Até 50 m",IF(J2238&lt;=100,"2. De 50 a 100 m",IF(J2238&lt;=200,"3. De 100 a 200 m",IF(J2238&lt;=300,"4. De 200 a 300 m",IF(J2238&lt;=500,"5. De 300 a 500 m","6. De 500 m a 2 km"))))))</f>
        <v>6. De 500 m a 2 km</v>
      </c>
      <c r="L2238" s="26" t="n">
        <v>0</v>
      </c>
      <c r="M2238" s="26" t="n">
        <v>0</v>
      </c>
      <c r="N2238" s="26" t="n">
        <v>0</v>
      </c>
      <c r="O2238" s="26" t="n">
        <v>0</v>
      </c>
      <c r="P2238" s="30" t="n">
        <v>-12.87852333</v>
      </c>
      <c r="Q2238" s="30" t="n">
        <v>-38.47420167</v>
      </c>
      <c r="R2238" s="14" t="inlineStr">
        <is>
          <t>CARTÓRIO DA 17ª ZONA ELEITORAL, 1ª AVENIDA DO CENTRO ADMINISTRATIVO DA BAHIA, 150, SALVADOR-BA.</t>
        </is>
      </c>
      <c r="S2238" s="26">
        <f>IF(A2238=A2237,0,1)</f>
        <v>0</v>
      </c>
      <c r="T2238" s="26">
        <f>IF(COUNTIF($B$4:B2238,B2238)=1,1,0)</f>
        <v>0</v>
      </c>
    </row>
    <row r="2239">
      <c r="A2239" s="14" t="inlineStr">
        <is>
          <t>SALVADOR</t>
        </is>
      </c>
      <c r="B2239" s="26" t="n">
        <v>17</v>
      </c>
      <c r="C2239" s="26" t="n">
        <v>1988</v>
      </c>
      <c r="D2239" s="14" t="inlineStr">
        <is>
          <t>ESCOLA MUNICIPAL MANOEL HENRIQUE DA SILVA BARRADAS</t>
        </is>
      </c>
      <c r="E2239" s="14" t="inlineStr">
        <is>
          <t>ILHA AMARELA</t>
        </is>
      </c>
      <c r="F2239" s="14" t="inlineStr">
        <is>
          <t>RUA DO OURICURI, N 150 - ZONA URBANA</t>
        </is>
      </c>
      <c r="G2239" s="27" t="inlineStr">
        <is>
          <t>40715-250</t>
        </is>
      </c>
      <c r="H2239" s="15" t="n">
        <v>6</v>
      </c>
      <c r="I2239" s="28" t="inlineStr">
        <is>
          <t>NÃO</t>
        </is>
      </c>
      <c r="J2239" s="29" t="n">
        <v>590.3</v>
      </c>
      <c r="K2239" s="14" t="str">
        <f>IF(J2239="","7. Acima de 2 km",IF(J2239&lt;=50,"1. Até 50 m",IF(J2239&lt;=100,"2. De 50 a 100 m",IF(J2239&lt;=200,"3. De 100 a 200 m",IF(J2239&lt;=300,"4. De 200 a 300 m",IF(J2239&lt;=500,"5. De 300 a 500 m","6. De 500 m a 2 km"))))))</f>
        <v>6. De 500 m a 2 km</v>
      </c>
      <c r="L2239" s="26" t="n">
        <v>0</v>
      </c>
      <c r="M2239" s="26" t="n">
        <v>0</v>
      </c>
      <c r="N2239" s="26" t="n">
        <v>0</v>
      </c>
      <c r="O2239" s="26" t="n">
        <v>0</v>
      </c>
      <c r="P2239" s="30" t="n">
        <v>-12.88905667</v>
      </c>
      <c r="Q2239" s="30" t="n">
        <v>-38.47212167</v>
      </c>
      <c r="R2239" s="14" t="inlineStr">
        <is>
          <t>CARTÓRIO DA 17ª ZONA ELEITORAL, 1ª AVENIDA DO CENTRO ADMINISTRATIVO DA BAHIA, 150, SALVADOR-BA.</t>
        </is>
      </c>
      <c r="S2239" s="26">
        <f>IF(A2239=A2238,0,1)</f>
        <v>0</v>
      </c>
      <c r="T2239" s="26">
        <f>IF(COUNTIF($B$4:B2239,B2239)=1,1,0)</f>
        <v>0</v>
      </c>
    </row>
    <row r="2240">
      <c r="A2240" s="14" t="inlineStr">
        <is>
          <t>SALVADOR</t>
        </is>
      </c>
      <c r="B2240" s="26" t="n">
        <v>17</v>
      </c>
      <c r="C2240" s="26" t="n">
        <v>2003</v>
      </c>
      <c r="D2240" s="14" t="inlineStr">
        <is>
          <t>CENTRO  MUNICIPAL DE EDUCAÇÃO INFANTIL DEPUTADO LOURIVAL EVANGELISTA</t>
        </is>
      </c>
      <c r="E2240" s="14" t="inlineStr">
        <is>
          <t>PLATAFORMA</t>
        </is>
      </c>
      <c r="F2240" s="14" t="inlineStr">
        <is>
          <t>RUA URÇULA CATARINO S/N - ZONA URBANA</t>
        </is>
      </c>
      <c r="G2240" s="27" t="inlineStr">
        <is>
          <t>40710-680</t>
        </is>
      </c>
      <c r="H2240" s="15" t="n">
        <v>5</v>
      </c>
      <c r="I2240" s="28" t="inlineStr">
        <is>
          <t>NÃO</t>
        </is>
      </c>
      <c r="J2240" s="29" t="n">
        <v>206.6</v>
      </c>
      <c r="K2240" s="14" t="str">
        <f>IF(J2240="","7. Acima de 2 km",IF(J2240&lt;=50,"1. Até 50 m",IF(J2240&lt;=100,"2. De 50 a 100 m",IF(J2240&lt;=200,"3. De 100 a 200 m",IF(J2240&lt;=300,"4. De 200 a 300 m",IF(J2240&lt;=500,"5. De 300 a 500 m","6. De 500 m a 2 km"))))))</f>
        <v>4. De 200 a 300 m</v>
      </c>
      <c r="L2240" s="26" t="n">
        <v>0</v>
      </c>
      <c r="M2240" s="26" t="n">
        <v>0</v>
      </c>
      <c r="N2240" s="26" t="n">
        <v>0</v>
      </c>
      <c r="O2240" s="26" t="n">
        <v>2</v>
      </c>
      <c r="P2240" s="30" t="n">
        <v>-12.898265</v>
      </c>
      <c r="Q2240" s="30" t="n">
        <v>-38.48889667</v>
      </c>
      <c r="R2240" s="14" t="inlineStr">
        <is>
          <t>CARTÓRIO DA 17ª ZONA ELEITORAL, 1ª AVENIDA DO CENTRO ADMINISTRATIVO DA BAHIA, 150, SALVADOR-BA.</t>
        </is>
      </c>
      <c r="S2240" s="26">
        <f>IF(A2240=A2239,0,1)</f>
        <v>0</v>
      </c>
      <c r="T2240" s="26">
        <f>IF(COUNTIF($B$4:B2240,B2240)=1,1,0)</f>
        <v>0</v>
      </c>
    </row>
    <row r="2241">
      <c r="A2241" s="14" t="inlineStr">
        <is>
          <t>SALVADOR</t>
        </is>
      </c>
      <c r="B2241" s="26" t="n">
        <v>17</v>
      </c>
      <c r="C2241" s="26" t="n">
        <v>2011</v>
      </c>
      <c r="D2241" s="14" t="inlineStr">
        <is>
          <t>ESCOLA MUNICIPAL SANTA TEREZINHA</t>
        </is>
      </c>
      <c r="E2241" s="14" t="inlineStr">
        <is>
          <t>ALTO DA TEREZINHA</t>
        </is>
      </c>
      <c r="F2241" s="14" t="inlineStr">
        <is>
          <t>RUA DIRETA DA TEREZINHA</t>
        </is>
      </c>
      <c r="G2241" s="27" t="inlineStr">
        <is>
          <t>41711-160</t>
        </is>
      </c>
      <c r="H2241" s="15" t="n">
        <v>3</v>
      </c>
      <c r="I2241" s="28" t="inlineStr">
        <is>
          <t>NÃO</t>
        </is>
      </c>
      <c r="J2241" s="29" t="n">
        <v>1040.1</v>
      </c>
      <c r="K2241" s="14" t="str">
        <f>IF(J2241="","7. Acima de 2 km",IF(J2241&lt;=50,"1. Até 50 m",IF(J2241&lt;=100,"2. De 50 a 100 m",IF(J2241&lt;=200,"3. De 100 a 200 m",IF(J2241&lt;=300,"4. De 200 a 300 m",IF(J2241&lt;=500,"5. De 300 a 500 m","6. De 500 m a 2 km"))))))</f>
        <v>6. De 500 m a 2 km</v>
      </c>
      <c r="L2241" s="26" t="n">
        <v>0</v>
      </c>
      <c r="M2241" s="26" t="n">
        <v>0</v>
      </c>
      <c r="N2241" s="26" t="n">
        <v>0</v>
      </c>
      <c r="O2241" s="26" t="n">
        <v>0</v>
      </c>
      <c r="P2241" s="30" t="n">
        <v>-12.88313333</v>
      </c>
      <c r="Q2241" s="30" t="n">
        <v>-38.47725167</v>
      </c>
      <c r="R2241" s="14" t="inlineStr">
        <is>
          <t>CARTÓRIO DA 17ª ZONA ELEITORAL, 1ª AVENIDA DO CENTRO ADMINISTRATIVO DA BAHIA, 150, SALVADOR-BA.</t>
        </is>
      </c>
      <c r="S2241" s="26">
        <f>IF(A2241=A2240,0,1)</f>
        <v>0</v>
      </c>
      <c r="T2241" s="26">
        <f>IF(COUNTIF($B$4:B2241,B2241)=1,1,0)</f>
        <v>0</v>
      </c>
    </row>
    <row r="2242">
      <c r="A2242" s="14" t="inlineStr">
        <is>
          <t>SALVADOR</t>
        </is>
      </c>
      <c r="B2242" s="26" t="n">
        <v>18</v>
      </c>
      <c r="C2242" s="26" t="n">
        <v>1015</v>
      </c>
      <c r="D2242" s="14" t="inlineStr">
        <is>
          <t>COLÉGIO ESTADUAL DE TEMPO INTEGRAL DUQUE DE CAXIAS</t>
        </is>
      </c>
      <c r="E2242" s="14" t="inlineStr">
        <is>
          <t>LIBERDADE</t>
        </is>
      </c>
      <c r="F2242" s="14" t="inlineStr">
        <is>
          <t>ESTRADA DA LIBERDADE, S/N - ZONA URBANA</t>
        </is>
      </c>
      <c r="G2242" s="27" t="inlineStr">
        <is>
          <t>40375-016</t>
        </is>
      </c>
      <c r="H2242" s="15" t="n">
        <v>33</v>
      </c>
      <c r="I2242" s="28" t="inlineStr">
        <is>
          <t>SIM</t>
        </is>
      </c>
      <c r="J2242" s="29" t="n">
        <v>20.3</v>
      </c>
      <c r="K2242" s="14" t="str">
        <f>IF(J2242="","7. Acima de 2 km",IF(J2242&lt;=50,"1. Até 50 m",IF(J2242&lt;=100,"2. De 50 a 100 m",IF(J2242&lt;=200,"3. De 100 a 200 m",IF(J2242&lt;=300,"4. De 200 a 300 m",IF(J2242&lt;=500,"5. De 300 a 500 m","6. De 500 m a 2 km"))))))</f>
        <v>1. Até 50 m</v>
      </c>
      <c r="L2242" s="26" t="n">
        <v>1</v>
      </c>
      <c r="M2242" s="26" t="n">
        <v>1</v>
      </c>
      <c r="N2242" s="26" t="n">
        <v>2</v>
      </c>
      <c r="O2242" s="26" t="n">
        <v>3</v>
      </c>
      <c r="P2242" s="30" t="n">
        <v>-12.94785806</v>
      </c>
      <c r="Q2242" s="30" t="n">
        <v>-38.49377061</v>
      </c>
      <c r="R2242" s="14" t="inlineStr">
        <is>
          <t>CARTÓRIO DA 18ª ZONA ELEITORAL, 1ª AVENIDA DO CENTRO ADMINISTRATIVO DA BAHIA, 150, SALVADOR-BA.</t>
        </is>
      </c>
      <c r="S2242" s="26">
        <f>IF(A2242=A2241,0,1)</f>
        <v>0</v>
      </c>
      <c r="T2242" s="26">
        <f>IF(COUNTIF($B$4:B2242,B2242)=1,1,0)</f>
        <v>1</v>
      </c>
    </row>
    <row r="2243">
      <c r="A2243" s="14" t="inlineStr">
        <is>
          <t>SALVADOR</t>
        </is>
      </c>
      <c r="B2243" s="26" t="n">
        <v>18</v>
      </c>
      <c r="C2243" s="26" t="n">
        <v>1082</v>
      </c>
      <c r="D2243" s="14" t="inlineStr">
        <is>
          <t>COLÉGIO ADVENTISTA DA LIBERDADE</t>
        </is>
      </c>
      <c r="E2243" s="14" t="inlineStr">
        <is>
          <t>LIBERDADE</t>
        </is>
      </c>
      <c r="F2243" s="14" t="inlineStr">
        <is>
          <t>ESTRADA DA LIBERDADE, 257 - ZONA URBANA</t>
        </is>
      </c>
      <c r="G2243" s="27" t="inlineStr">
        <is>
          <t>40328-005</t>
        </is>
      </c>
      <c r="H2243" s="15" t="n">
        <v>17</v>
      </c>
      <c r="I2243" s="28" t="inlineStr">
        <is>
          <t>SIM</t>
        </is>
      </c>
      <c r="J2243" s="29" t="n">
        <v>92.59999999999999</v>
      </c>
      <c r="K2243" s="14" t="str">
        <f>IF(J2243="","7. Acima de 2 km",IF(J2243&lt;=50,"1. Até 50 m",IF(J2243&lt;=100,"2. De 50 a 100 m",IF(J2243&lt;=200,"3. De 100 a 200 m",IF(J2243&lt;=300,"4. De 200 a 300 m",IF(J2243&lt;=500,"5. De 300 a 500 m","6. De 500 m a 2 km"))))))</f>
        <v>2. De 50 a 100 m</v>
      </c>
      <c r="L2243" s="26" t="n">
        <v>0</v>
      </c>
      <c r="M2243" s="26" t="n">
        <v>1</v>
      </c>
      <c r="N2243" s="26" t="n">
        <v>3</v>
      </c>
      <c r="O2243" s="26" t="n">
        <v>6</v>
      </c>
      <c r="P2243" s="30" t="n">
        <v>-12.9497516</v>
      </c>
      <c r="Q2243" s="30" t="n">
        <v>-38.4947722</v>
      </c>
      <c r="R2243" s="14" t="inlineStr">
        <is>
          <t>CARTÓRIO DA 18ª ZONA ELEITORAL, 1ª AVENIDA DO CENTRO ADMINISTRATIVO DA BAHIA, 150, SALVADOR-BA.</t>
        </is>
      </c>
      <c r="S2243" s="26">
        <f>IF(A2243=A2242,0,1)</f>
        <v>0</v>
      </c>
      <c r="T2243" s="26">
        <f>IF(COUNTIF($B$4:B2243,B2243)=1,1,0)</f>
        <v>0</v>
      </c>
    </row>
    <row r="2244">
      <c r="A2244" s="14" t="inlineStr">
        <is>
          <t>SALVADOR</t>
        </is>
      </c>
      <c r="B2244" s="26" t="n">
        <v>18</v>
      </c>
      <c r="C2244" s="26" t="n">
        <v>1104</v>
      </c>
      <c r="D2244" s="14" t="inlineStr">
        <is>
          <t>COLÉGIO ESTADUAL TEREZA CONCEIÇÃO MENEZES</t>
        </is>
      </c>
      <c r="E2244" s="14" t="inlineStr">
        <is>
          <t>LIBERDADE</t>
        </is>
      </c>
      <c r="F2244" s="14" t="inlineStr">
        <is>
          <t>RUA DIRETA DO CURUZU, S/N - ZONA URBANA</t>
        </is>
      </c>
      <c r="G2244" s="27" t="inlineStr">
        <is>
          <t>40365-000</t>
        </is>
      </c>
      <c r="H2244" s="15" t="n">
        <v>17</v>
      </c>
      <c r="I2244" s="28" t="inlineStr">
        <is>
          <t>NÃO</t>
        </is>
      </c>
      <c r="J2244" s="29" t="n">
        <v>389.4</v>
      </c>
      <c r="K2244" s="14" t="str">
        <f>IF(J2244="","7. Acima de 2 km",IF(J2244&lt;=50,"1. Até 50 m",IF(J2244&lt;=100,"2. De 50 a 100 m",IF(J2244&lt;=200,"3. De 100 a 200 m",IF(J2244&lt;=300,"4. De 200 a 300 m",IF(J2244&lt;=500,"5. De 300 a 500 m","6. De 500 m a 2 km"))))))</f>
        <v>5. De 300 a 500 m</v>
      </c>
      <c r="L2244" s="26" t="n">
        <v>0</v>
      </c>
      <c r="M2244" s="26" t="n">
        <v>0</v>
      </c>
      <c r="N2244" s="26" t="n">
        <v>0</v>
      </c>
      <c r="O2244" s="26" t="n">
        <v>0</v>
      </c>
      <c r="P2244" s="30" t="n">
        <v>-12.9454917</v>
      </c>
      <c r="Q2244" s="30" t="n">
        <v>-38.486985</v>
      </c>
      <c r="R2244" s="14" t="inlineStr">
        <is>
          <t>CARTÓRIO DA 18ª ZONA ELEITORAL, 1ª AVENIDA DO CENTRO ADMINISTRATIVO DA BAHIA, 150, SALVADOR-BA.</t>
        </is>
      </c>
      <c r="S2244" s="26">
        <f>IF(A2244=A2243,0,1)</f>
        <v>0</v>
      </c>
      <c r="T2244" s="26">
        <f>IF(COUNTIF($B$4:B2244,B2244)=1,1,0)</f>
        <v>0</v>
      </c>
    </row>
    <row r="2245">
      <c r="A2245" s="14" t="inlineStr">
        <is>
          <t>SALVADOR</t>
        </is>
      </c>
      <c r="B2245" s="26" t="n">
        <v>18</v>
      </c>
      <c r="C2245" s="26" t="n">
        <v>1120</v>
      </c>
      <c r="D2245" s="14" t="inlineStr">
        <is>
          <t>ABRIGO FILHOS DO POVO</t>
        </is>
      </c>
      <c r="E2245" s="14" t="inlineStr">
        <is>
          <t>LIBERDADE</t>
        </is>
      </c>
      <c r="F2245" s="14" t="inlineStr">
        <is>
          <t>ESTRADA DA LIBERDADE,SN</t>
        </is>
      </c>
      <c r="G2245" s="27" t="inlineStr">
        <is>
          <t>40325-260</t>
        </is>
      </c>
      <c r="H2245" s="15" t="n">
        <v>18</v>
      </c>
      <c r="I2245" s="28" t="inlineStr">
        <is>
          <t>NÃO</t>
        </is>
      </c>
      <c r="J2245" s="29" t="n">
        <v>102.6</v>
      </c>
      <c r="K2245" s="14" t="str">
        <f>IF(J2245="","7. Acima de 2 km",IF(J2245&lt;=50,"1. Até 50 m",IF(J2245&lt;=100,"2. De 50 a 100 m",IF(J2245&lt;=200,"3. De 100 a 200 m",IF(J2245&lt;=300,"4. De 200 a 300 m",IF(J2245&lt;=500,"5. De 300 a 500 m","6. De 500 m a 2 km"))))))</f>
        <v>3. De 100 a 200 m</v>
      </c>
      <c r="L2245" s="26" t="n">
        <v>0</v>
      </c>
      <c r="M2245" s="26" t="n">
        <v>0</v>
      </c>
      <c r="N2245" s="26" t="n">
        <v>1</v>
      </c>
      <c r="O2245" s="26" t="n">
        <v>5</v>
      </c>
      <c r="P2245" s="30" t="n">
        <v>-12.9464037</v>
      </c>
      <c r="Q2245" s="30" t="n">
        <v>-38.490314</v>
      </c>
      <c r="R2245" s="14" t="inlineStr">
        <is>
          <t>CARTÓRIO DA 18ª ZONA ELEITORAL, 1ª AVENIDA DO CENTRO ADMINISTRATIVO DA BAHIA, 150, SALVADOR-BA.</t>
        </is>
      </c>
      <c r="S2245" s="26">
        <f>IF(A2245=A2244,0,1)</f>
        <v>0</v>
      </c>
      <c r="T2245" s="26">
        <f>IF(COUNTIF($B$4:B2245,B2245)=1,1,0)</f>
        <v>0</v>
      </c>
    </row>
    <row r="2246">
      <c r="A2246" s="14" t="inlineStr">
        <is>
          <t>SALVADOR</t>
        </is>
      </c>
      <c r="B2246" s="26" t="n">
        <v>18</v>
      </c>
      <c r="C2246" s="26" t="n">
        <v>1236</v>
      </c>
      <c r="D2246" s="14" t="inlineStr">
        <is>
          <t>ESCOLA ESTADUAL PIERRE VERGER</t>
        </is>
      </c>
      <c r="E2246" s="14" t="inlineStr">
        <is>
          <t>LIBERDADE</t>
        </is>
      </c>
      <c r="F2246" s="14" t="inlineStr">
        <is>
          <t>RUA LIMA E SILVA, SN - ZONA URBANA</t>
        </is>
      </c>
      <c r="G2246" s="27" t="inlineStr">
        <is>
          <t>40375-017</t>
        </is>
      </c>
      <c r="H2246" s="15" t="n">
        <v>8</v>
      </c>
      <c r="I2246" s="28" t="inlineStr">
        <is>
          <t>SIM</t>
        </is>
      </c>
      <c r="J2246" s="29" t="n">
        <v>43.3</v>
      </c>
      <c r="K2246" s="14" t="str">
        <f>IF(J2246="","7. Acima de 2 km",IF(J2246&lt;=50,"1. Até 50 m",IF(J2246&lt;=100,"2. De 50 a 100 m",IF(J2246&lt;=200,"3. De 100 a 200 m",IF(J2246&lt;=300,"4. De 200 a 300 m",IF(J2246&lt;=500,"5. De 300 a 500 m","6. De 500 m a 2 km"))))))</f>
        <v>1. Até 50 m</v>
      </c>
      <c r="L2246" s="26" t="n">
        <v>1</v>
      </c>
      <c r="M2246" s="26" t="n">
        <v>1</v>
      </c>
      <c r="N2246" s="26" t="n">
        <v>2</v>
      </c>
      <c r="O2246" s="26" t="n">
        <v>2</v>
      </c>
      <c r="P2246" s="30" t="n">
        <v>-12.9475812</v>
      </c>
      <c r="Q2246" s="30" t="n">
        <v>-38.4908744</v>
      </c>
      <c r="R2246" s="14" t="inlineStr">
        <is>
          <t>CARTÓRIO DA 18ª ZONA ELEITORAL, 1ª AVENIDA DO CENTRO ADMINISTRATIVO DA BAHIA, 150, SALVADOR-BA.</t>
        </is>
      </c>
      <c r="S2246" s="26">
        <f>IF(A2246=A2245,0,1)</f>
        <v>0</v>
      </c>
      <c r="T2246" s="26">
        <f>IF(COUNTIF($B$4:B2246,B2246)=1,1,0)</f>
        <v>0</v>
      </c>
    </row>
    <row r="2247">
      <c r="A2247" s="14" t="inlineStr">
        <is>
          <t>SALVADOR</t>
        </is>
      </c>
      <c r="B2247" s="26" t="n">
        <v>18</v>
      </c>
      <c r="C2247" s="26" t="n">
        <v>1376</v>
      </c>
      <c r="D2247" s="14" t="inlineStr">
        <is>
          <t>CEEPS ANÍSIO TEIXEIRA</t>
        </is>
      </c>
      <c r="E2247" s="14" t="inlineStr">
        <is>
          <t>CAIXA D'ÁGUA</t>
        </is>
      </c>
      <c r="F2247" s="14" t="inlineStr">
        <is>
          <t>LADEIRA DO PAIVA, N 40  - ZONA URBANA</t>
        </is>
      </c>
      <c r="G2247" s="27" t="inlineStr">
        <is>
          <t>40320-710</t>
        </is>
      </c>
      <c r="H2247" s="15" t="n">
        <v>25</v>
      </c>
      <c r="I2247" s="28" t="inlineStr">
        <is>
          <t>NÃO</t>
        </is>
      </c>
      <c r="J2247" s="29" t="n">
        <v>156.7</v>
      </c>
      <c r="K2247" s="14" t="str">
        <f>IF(J2247="","7. Acima de 2 km",IF(J2247&lt;=50,"1. Até 50 m",IF(J2247&lt;=100,"2. De 50 a 100 m",IF(J2247&lt;=200,"3. De 100 a 200 m",IF(J2247&lt;=300,"4. De 200 a 300 m",IF(J2247&lt;=500,"5. De 300 a 500 m","6. De 500 m a 2 km"))))))</f>
        <v>3. De 100 a 200 m</v>
      </c>
      <c r="L2247" s="26" t="n">
        <v>0</v>
      </c>
      <c r="M2247" s="26" t="n">
        <v>0</v>
      </c>
      <c r="N2247" s="26" t="n">
        <v>3</v>
      </c>
      <c r="O2247" s="26" t="n">
        <v>3</v>
      </c>
      <c r="P2247" s="30" t="n">
        <v>-12.9606415</v>
      </c>
      <c r="Q2247" s="30" t="n">
        <v>-38.4963376</v>
      </c>
      <c r="R2247" s="14" t="inlineStr">
        <is>
          <t>CARTÓRIO DA 18ª ZONA ELEITORAL, 1ª AVENIDA DO CENTRO ADMINISTRATIVO DA BAHIA, 150, SALVADOR-BA.</t>
        </is>
      </c>
      <c r="S2247" s="26">
        <f>IF(A2247=A2246,0,1)</f>
        <v>0</v>
      </c>
      <c r="T2247" s="26">
        <f>IF(COUNTIF($B$4:B2247,B2247)=1,1,0)</f>
        <v>0</v>
      </c>
    </row>
    <row r="2248">
      <c r="A2248" s="14" t="inlineStr">
        <is>
          <t>SALVADOR</t>
        </is>
      </c>
      <c r="B2248" s="26" t="n">
        <v>18</v>
      </c>
      <c r="C2248" s="26" t="n">
        <v>1384</v>
      </c>
      <c r="D2248" s="14" t="inlineStr">
        <is>
          <t>ESCOLA MUNICIPAL PIRAJÁ DA SILVA</t>
        </is>
      </c>
      <c r="E2248" s="14" t="inlineStr">
        <is>
          <t>LIBERDADE</t>
        </is>
      </c>
      <c r="F2248" s="14" t="inlineStr">
        <is>
          <t>ESTRADA DA LIBERDADE, 357 - ZONA URBANA</t>
        </is>
      </c>
      <c r="G2248" s="27" t="inlineStr">
        <is>
          <t>40375-017</t>
        </is>
      </c>
      <c r="H2248" s="15" t="n">
        <v>10</v>
      </c>
      <c r="I2248" s="28" t="inlineStr">
        <is>
          <t>SIM</t>
        </is>
      </c>
      <c r="J2248" s="29" t="n">
        <v>98.40000000000001</v>
      </c>
      <c r="K2248" s="14" t="str">
        <f>IF(J2248="","7. Acima de 2 km",IF(J2248&lt;=50,"1. Até 50 m",IF(J2248&lt;=100,"2. De 50 a 100 m",IF(J2248&lt;=200,"3. De 100 a 200 m",IF(J2248&lt;=300,"4. De 200 a 300 m",IF(J2248&lt;=500,"5. De 300 a 500 m","6. De 500 m a 2 km"))))))</f>
        <v>2. De 50 a 100 m</v>
      </c>
      <c r="L2248" s="26" t="n">
        <v>0</v>
      </c>
      <c r="M2248" s="26" t="n">
        <v>1</v>
      </c>
      <c r="N2248" s="26" t="n">
        <v>1</v>
      </c>
      <c r="O2248" s="26" t="n">
        <v>5</v>
      </c>
      <c r="P2248" s="30" t="n">
        <v>-12.9523926</v>
      </c>
      <c r="Q2248" s="30" t="n">
        <v>-38.4996007</v>
      </c>
      <c r="R2248" s="14" t="inlineStr">
        <is>
          <t>CARTÓRIO DA 18ª ZONA ELEITORAL, 1ª AVENIDA DO CENTRO ADMINISTRATIVO DA BAHIA, 150, SALVADOR-BA.</t>
        </is>
      </c>
      <c r="S2248" s="26">
        <f>IF(A2248=A2247,0,1)</f>
        <v>0</v>
      </c>
      <c r="T2248" s="26">
        <f>IF(COUNTIF($B$4:B2248,B2248)=1,1,0)</f>
        <v>0</v>
      </c>
    </row>
    <row r="2249">
      <c r="A2249" s="14" t="inlineStr">
        <is>
          <t>SALVADOR</t>
        </is>
      </c>
      <c r="B2249" s="26" t="n">
        <v>18</v>
      </c>
      <c r="C2249" s="26" t="n">
        <v>1392</v>
      </c>
      <c r="D2249" s="14" t="inlineStr">
        <is>
          <t>ESCOLA MUNICIPAL VILA VICENTINA</t>
        </is>
      </c>
      <c r="E2249" s="14" t="inlineStr">
        <is>
          <t>LAPINHA</t>
        </is>
      </c>
      <c r="F2249" s="14" t="inlineStr">
        <is>
          <t>LARGO DA LAPINHA, 7, LAPINHA- URBANA</t>
        </is>
      </c>
      <c r="G2249" s="27" t="inlineStr">
        <is>
          <t>40328-065</t>
        </is>
      </c>
      <c r="H2249" s="15" t="n">
        <v>23</v>
      </c>
      <c r="I2249" s="28" t="inlineStr">
        <is>
          <t>SIM</t>
        </is>
      </c>
      <c r="J2249" s="29" t="n">
        <v>46.7</v>
      </c>
      <c r="K2249" s="14" t="str">
        <f>IF(J2249="","7. Acima de 2 km",IF(J2249&lt;=50,"1. Até 50 m",IF(J2249&lt;=100,"2. De 50 a 100 m",IF(J2249&lt;=200,"3. De 100 a 200 m",IF(J2249&lt;=300,"4. De 200 a 300 m",IF(J2249&lt;=500,"5. De 300 a 500 m","6. De 500 m a 2 km"))))))</f>
        <v>1. Até 50 m</v>
      </c>
      <c r="L2249" s="26" t="n">
        <v>1</v>
      </c>
      <c r="M2249" s="26" t="n">
        <v>4</v>
      </c>
      <c r="N2249" s="26" t="n">
        <v>5</v>
      </c>
      <c r="O2249" s="26" t="n">
        <v>12</v>
      </c>
      <c r="P2249" s="30" t="n">
        <v>-12.95501239</v>
      </c>
      <c r="Q2249" s="30" t="n">
        <v>-38.4997351</v>
      </c>
      <c r="R2249" s="14" t="inlineStr">
        <is>
          <t>CARTÓRIO DA 18ª ZONA ELEITORAL, 1ª AVENIDA DO CENTRO ADMINISTRATIVO DA BAHIA, 150, SALVADOR-BA.</t>
        </is>
      </c>
      <c r="S2249" s="26">
        <f>IF(A2249=A2248,0,1)</f>
        <v>0</v>
      </c>
      <c r="T2249" s="26">
        <f>IF(COUNTIF($B$4:B2249,B2249)=1,1,0)</f>
        <v>0</v>
      </c>
    </row>
    <row r="2250">
      <c r="A2250" s="14" t="inlineStr">
        <is>
          <t>SALVADOR</t>
        </is>
      </c>
      <c r="B2250" s="26" t="n">
        <v>18</v>
      </c>
      <c r="C2250" s="26" t="n">
        <v>1406</v>
      </c>
      <c r="D2250" s="14" t="inlineStr">
        <is>
          <t>ETE LUIZ NAVARRO DE BRITO</t>
        </is>
      </c>
      <c r="E2250" s="14" t="inlineStr">
        <is>
          <t>LAPINHA</t>
        </is>
      </c>
      <c r="F2250" s="14" t="inlineStr">
        <is>
          <t>RUA DO QUEIMADINHO, S/N - ZONA URBANA</t>
        </is>
      </c>
      <c r="G2250" s="27" t="inlineStr">
        <is>
          <t>40325-260</t>
        </is>
      </c>
      <c r="H2250" s="15" t="n">
        <v>30</v>
      </c>
      <c r="I2250" s="28" t="inlineStr">
        <is>
          <t>NÃO</t>
        </is>
      </c>
      <c r="J2250" s="29" t="n">
        <v>204</v>
      </c>
      <c r="K2250" s="14" t="str">
        <f>IF(J2250="","7. Acima de 2 km",IF(J2250&lt;=50,"1. Até 50 m",IF(J2250&lt;=100,"2. De 50 a 100 m",IF(J2250&lt;=200,"3. De 100 a 200 m",IF(J2250&lt;=300,"4. De 200 a 300 m",IF(J2250&lt;=500,"5. De 300 a 500 m","6. De 500 m a 2 km"))))))</f>
        <v>4. De 200 a 300 m</v>
      </c>
      <c r="L2250" s="26" t="n">
        <v>0</v>
      </c>
      <c r="M2250" s="26" t="n">
        <v>0</v>
      </c>
      <c r="N2250" s="26" t="n">
        <v>0</v>
      </c>
      <c r="O2250" s="26" t="n">
        <v>6</v>
      </c>
      <c r="P2250" s="30" t="n">
        <v>-12.9546226</v>
      </c>
      <c r="Q2250" s="30" t="n">
        <v>-38.4979945</v>
      </c>
      <c r="R2250" s="14" t="inlineStr">
        <is>
          <t>CARTÓRIO DA 18ª ZONA ELEITORAL, 1ª AVENIDA DO CENTRO ADMINISTRATIVO DA BAHIA, 150, SALVADOR-BA.</t>
        </is>
      </c>
      <c r="S2250" s="26">
        <f>IF(A2250=A2249,0,1)</f>
        <v>0</v>
      </c>
      <c r="T2250" s="26">
        <f>IF(COUNTIF($B$4:B2250,B2250)=1,1,0)</f>
        <v>0</v>
      </c>
    </row>
    <row r="2251">
      <c r="A2251" s="14" t="inlineStr">
        <is>
          <t>SALVADOR</t>
        </is>
      </c>
      <c r="B2251" s="26" t="n">
        <v>18</v>
      </c>
      <c r="C2251" s="26" t="n">
        <v>1449</v>
      </c>
      <c r="D2251" s="14" t="inlineStr">
        <is>
          <t>CONVENTO NOSSA SENHORA DA SOLEDADE</t>
        </is>
      </c>
      <c r="E2251" s="14" t="inlineStr">
        <is>
          <t>SOLEDADE</t>
        </is>
      </c>
      <c r="F2251" s="14" t="inlineStr">
        <is>
          <t>RUA AUGUSTO GUIMARÃES 736 - ZONA URBANA</t>
        </is>
      </c>
      <c r="G2251" s="27" t="inlineStr">
        <is>
          <t>40328-120</t>
        </is>
      </c>
      <c r="H2251" s="15" t="n">
        <v>6</v>
      </c>
      <c r="I2251" s="28" t="inlineStr">
        <is>
          <t>SIM</t>
        </is>
      </c>
      <c r="J2251" s="29" t="n">
        <v>62.6</v>
      </c>
      <c r="K2251" s="14" t="str">
        <f>IF(J2251="","7. Acima de 2 km",IF(J2251&lt;=50,"1. Até 50 m",IF(J2251&lt;=100,"2. De 50 a 100 m",IF(J2251&lt;=200,"3. De 100 a 200 m",IF(J2251&lt;=300,"4. De 200 a 300 m",IF(J2251&lt;=500,"5. De 300 a 500 m","6. De 500 m a 2 km"))))))</f>
        <v>2. De 50 a 100 m</v>
      </c>
      <c r="L2251" s="26" t="n">
        <v>0</v>
      </c>
      <c r="M2251" s="26" t="n">
        <v>1</v>
      </c>
      <c r="N2251" s="26" t="n">
        <v>5</v>
      </c>
      <c r="O2251" s="26" t="n">
        <v>9</v>
      </c>
      <c r="P2251" s="30" t="n">
        <v>-12.95805861</v>
      </c>
      <c r="Q2251" s="30" t="n">
        <v>-38.49924887</v>
      </c>
      <c r="R2251" s="14" t="inlineStr">
        <is>
          <t>CARTÓRIO DA 18ª ZONA ELEITORAL, 1ª AVENIDA DO CENTRO ADMINISTRATIVO DA BAHIA, 150, SALVADOR-BA.</t>
        </is>
      </c>
      <c r="S2251" s="26">
        <f>IF(A2251=A2250,0,1)</f>
        <v>0</v>
      </c>
      <c r="T2251" s="26">
        <f>IF(COUNTIF($B$4:B2251,B2251)=1,1,0)</f>
        <v>0</v>
      </c>
    </row>
    <row r="2252">
      <c r="A2252" s="14" t="inlineStr">
        <is>
          <t>SALVADOR</t>
        </is>
      </c>
      <c r="B2252" s="26" t="n">
        <v>18</v>
      </c>
      <c r="C2252" s="26" t="n">
        <v>1457</v>
      </c>
      <c r="D2252" s="14" t="inlineStr">
        <is>
          <t>ESCOLA PARQUE - CLASSE IV</t>
        </is>
      </c>
      <c r="E2252" s="14" t="inlineStr">
        <is>
          <t>CAIXA D'ÁGUA</t>
        </is>
      </c>
      <c r="F2252" s="14" t="inlineStr">
        <is>
          <t>RUA SALDANHA MARINHO,194 - ZONA URBANA</t>
        </is>
      </c>
      <c r="G2252" s="27" t="inlineStr">
        <is>
          <t>40323-010</t>
        </is>
      </c>
      <c r="H2252" s="15" t="n">
        <v>13</v>
      </c>
      <c r="I2252" s="28" t="inlineStr">
        <is>
          <t>NÃO</t>
        </is>
      </c>
      <c r="J2252" s="29" t="n">
        <v>161.5</v>
      </c>
      <c r="K2252" s="14" t="str">
        <f>IF(J2252="","7. Acima de 2 km",IF(J2252&lt;=50,"1. Até 50 m",IF(J2252&lt;=100,"2. De 50 a 100 m",IF(J2252&lt;=200,"3. De 100 a 200 m",IF(J2252&lt;=300,"4. De 200 a 300 m",IF(J2252&lt;=500,"5. De 300 a 500 m","6. De 500 m a 2 km"))))))</f>
        <v>3. De 100 a 200 m</v>
      </c>
      <c r="L2252" s="26" t="n">
        <v>0</v>
      </c>
      <c r="M2252" s="26" t="n">
        <v>0</v>
      </c>
      <c r="N2252" s="26" t="n">
        <v>1</v>
      </c>
      <c r="O2252" s="26" t="n">
        <v>3</v>
      </c>
      <c r="P2252" s="30" t="n">
        <v>-12.9584133</v>
      </c>
      <c r="Q2252" s="30" t="n">
        <v>-38.4907317</v>
      </c>
      <c r="R2252" s="14" t="inlineStr">
        <is>
          <t>CARTÓRIO DA 18ª ZONA ELEITORAL, 1ª AVENIDA DO CENTRO ADMINISTRATIVO DA BAHIA, 150, SALVADOR-BA.</t>
        </is>
      </c>
      <c r="S2252" s="26">
        <f>IF(A2252=A2251,0,1)</f>
        <v>0</v>
      </c>
      <c r="T2252" s="26">
        <f>IF(COUNTIF($B$4:B2252,B2252)=1,1,0)</f>
        <v>0</v>
      </c>
    </row>
    <row r="2253">
      <c r="A2253" s="14" t="inlineStr">
        <is>
          <t>SALVADOR</t>
        </is>
      </c>
      <c r="B2253" s="26" t="n">
        <v>18</v>
      </c>
      <c r="C2253" s="26" t="n">
        <v>1490</v>
      </c>
      <c r="D2253" s="14" t="inlineStr">
        <is>
          <t>ESCOLA ESTADUAL ANÍSIO TEIXEIRA</t>
        </is>
      </c>
      <c r="E2253" s="14" t="inlineStr">
        <is>
          <t>CAIXA D'ÁGUA</t>
        </is>
      </c>
      <c r="F2253" s="14" t="inlineStr">
        <is>
          <t>LADEIRA DO PAIVA, 40 - ZONA URBANA</t>
        </is>
      </c>
      <c r="G2253" s="27" t="inlineStr">
        <is>
          <t>40320-710</t>
        </is>
      </c>
      <c r="H2253" s="15" t="n">
        <v>11</v>
      </c>
      <c r="I2253" s="28" t="inlineStr">
        <is>
          <t>SIM</t>
        </is>
      </c>
      <c r="J2253" s="29" t="n">
        <v>44.4</v>
      </c>
      <c r="K2253" s="14" t="str">
        <f>IF(J2253="","7. Acima de 2 km",IF(J2253&lt;=50,"1. Até 50 m",IF(J2253&lt;=100,"2. De 50 a 100 m",IF(J2253&lt;=200,"3. De 100 a 200 m",IF(J2253&lt;=300,"4. De 200 a 300 m",IF(J2253&lt;=500,"5. De 300 a 500 m","6. De 500 m a 2 km"))))))</f>
        <v>1. Até 50 m</v>
      </c>
      <c r="L2253" s="26" t="n">
        <v>1</v>
      </c>
      <c r="M2253" s="26" t="n">
        <v>2</v>
      </c>
      <c r="N2253" s="26" t="n">
        <v>2</v>
      </c>
      <c r="O2253" s="26" t="n">
        <v>2</v>
      </c>
      <c r="P2253" s="30" t="n">
        <v>-12.9606308</v>
      </c>
      <c r="Q2253" s="30" t="n">
        <v>-38.4947338</v>
      </c>
      <c r="R2253" s="14" t="inlineStr">
        <is>
          <t>CARTÓRIO DA 18ª ZONA ELEITORAL, 1ª AVENIDA DO CENTRO ADMINISTRATIVO DA BAHIA, 150, SALVADOR-BA.</t>
        </is>
      </c>
      <c r="S2253" s="26">
        <f>IF(A2253=A2252,0,1)</f>
        <v>0</v>
      </c>
      <c r="T2253" s="26">
        <f>IF(COUNTIF($B$4:B2253,B2253)=1,1,0)</f>
        <v>0</v>
      </c>
    </row>
    <row r="2254">
      <c r="A2254" s="14" t="inlineStr">
        <is>
          <t>SALVADOR</t>
        </is>
      </c>
      <c r="B2254" s="26" t="n">
        <v>18</v>
      </c>
      <c r="C2254" s="26" t="n">
        <v>1503</v>
      </c>
      <c r="D2254" s="14" t="inlineStr">
        <is>
          <t>ESCOLA ESTADUAL CASTRO ALVES</t>
        </is>
      </c>
      <c r="E2254" s="14" t="inlineStr">
        <is>
          <t>MARES</t>
        </is>
      </c>
      <c r="F2254" s="14" t="inlineStr">
        <is>
          <t>RUA BARÃO DE COTEGIPE 153 - ZONA URBANA</t>
        </is>
      </c>
      <c r="G2254" s="27" t="inlineStr">
        <is>
          <t>40411-002</t>
        </is>
      </c>
      <c r="H2254" s="15" t="n">
        <v>13</v>
      </c>
      <c r="I2254" s="28" t="inlineStr">
        <is>
          <t>NÃO</t>
        </is>
      </c>
      <c r="J2254" s="29" t="n">
        <v>130.1</v>
      </c>
      <c r="K2254" s="14" t="str">
        <f>IF(J2254="","7. Acima de 2 km",IF(J2254&lt;=50,"1. Até 50 m",IF(J2254&lt;=100,"2. De 50 a 100 m",IF(J2254&lt;=200,"3. De 100 a 200 m",IF(J2254&lt;=300,"4. De 200 a 300 m",IF(J2254&lt;=500,"5. De 300 a 500 m","6. De 500 m a 2 km"))))))</f>
        <v>3. De 100 a 200 m</v>
      </c>
      <c r="L2254" s="26" t="n">
        <v>0</v>
      </c>
      <c r="M2254" s="26" t="n">
        <v>0</v>
      </c>
      <c r="N2254" s="26" t="n">
        <v>5</v>
      </c>
      <c r="O2254" s="26" t="n">
        <v>10</v>
      </c>
      <c r="P2254" s="30" t="n">
        <v>-12.94232473</v>
      </c>
      <c r="Q2254" s="30" t="n">
        <v>-38.5026033</v>
      </c>
      <c r="R2254" s="14" t="inlineStr">
        <is>
          <t>CARTÓRIO DA 18ª ZONA ELEITORAL, 1ª AVENIDA DO CENTRO ADMINISTRATIVO DA BAHIA, 150, SALVADOR-BA.</t>
        </is>
      </c>
      <c r="S2254" s="26">
        <f>IF(A2254=A2253,0,1)</f>
        <v>0</v>
      </c>
      <c r="T2254" s="26">
        <f>IF(COUNTIF($B$4:B2254,B2254)=1,1,0)</f>
        <v>0</v>
      </c>
    </row>
    <row r="2255">
      <c r="A2255" s="14" t="inlineStr">
        <is>
          <t>SALVADOR</t>
        </is>
      </c>
      <c r="B2255" s="26" t="n">
        <v>18</v>
      </c>
      <c r="C2255" s="26" t="n">
        <v>1511</v>
      </c>
      <c r="D2255" s="14" t="inlineStr">
        <is>
          <t>ESCOLA MUNICIPAL TIRADENTES</t>
        </is>
      </c>
      <c r="E2255" s="14" t="inlineStr">
        <is>
          <t>CAMINHO DE AREIA</t>
        </is>
      </c>
      <c r="F2255" s="14" t="inlineStr">
        <is>
          <t>RUA JARDIM CASTRO ALVES, 68 - ZONA URBANA</t>
        </is>
      </c>
      <c r="G2255" s="27" t="inlineStr">
        <is>
          <t>40440-520</t>
        </is>
      </c>
      <c r="H2255" s="15" t="n">
        <v>6</v>
      </c>
      <c r="I2255" s="28" t="inlineStr">
        <is>
          <t>SIM</t>
        </is>
      </c>
      <c r="J2255" s="29" t="n">
        <v>8.300000000000001</v>
      </c>
      <c r="K2255" s="14" t="str">
        <f>IF(J2255="","7. Acima de 2 km",IF(J2255&lt;=50,"1. Até 50 m",IF(J2255&lt;=100,"2. De 50 a 100 m",IF(J2255&lt;=200,"3. De 100 a 200 m",IF(J2255&lt;=300,"4. De 200 a 300 m",IF(J2255&lt;=500,"5. De 300 a 500 m","6. De 500 m a 2 km"))))))</f>
        <v>1. Até 50 m</v>
      </c>
      <c r="L2255" s="26" t="n">
        <v>1</v>
      </c>
      <c r="M2255" s="26" t="n">
        <v>2</v>
      </c>
      <c r="N2255" s="26" t="n">
        <v>5</v>
      </c>
      <c r="O2255" s="26" t="n">
        <v>6</v>
      </c>
      <c r="P2255" s="30" t="n">
        <v>-12.93023138</v>
      </c>
      <c r="Q2255" s="30" t="n">
        <v>-38.50374586</v>
      </c>
      <c r="R2255" s="14" t="inlineStr">
        <is>
          <t>CARTÓRIO DA 18ª ZONA ELEITORAL, 1ª AVENIDA DO CENTRO ADMINISTRATIVO DA BAHIA, 150, SALVADOR-BA.</t>
        </is>
      </c>
      <c r="S2255" s="26">
        <f>IF(A2255=A2254,0,1)</f>
        <v>0</v>
      </c>
      <c r="T2255" s="26">
        <f>IF(COUNTIF($B$4:B2255,B2255)=1,1,0)</f>
        <v>0</v>
      </c>
    </row>
    <row r="2256">
      <c r="A2256" s="14" t="inlineStr">
        <is>
          <t>SALVADOR</t>
        </is>
      </c>
      <c r="B2256" s="26" t="n">
        <v>18</v>
      </c>
      <c r="C2256" s="26" t="n">
        <v>1520</v>
      </c>
      <c r="D2256" s="14" t="inlineStr">
        <is>
          <t>COLÉGIO DA POLÍCIA MILITAR - UNIDADE 1 - PAVILHÃO 2</t>
        </is>
      </c>
      <c r="E2256" s="14" t="inlineStr">
        <is>
          <t>ROMA</t>
        </is>
      </c>
      <c r="F2256" s="14" t="inlineStr">
        <is>
          <t>AV. DENDEZEIROS DO BONFIM, S/N, ROMA</t>
        </is>
      </c>
      <c r="G2256" s="27" t="inlineStr">
        <is>
          <t>40444-130</t>
        </is>
      </c>
      <c r="H2256" s="15" t="n">
        <v>15</v>
      </c>
      <c r="I2256" s="28" t="inlineStr">
        <is>
          <t>SIM</t>
        </is>
      </c>
      <c r="J2256" s="29" t="n">
        <v>49.3</v>
      </c>
      <c r="K2256" s="14" t="str">
        <f>IF(J2256="","7. Acima de 2 km",IF(J2256&lt;=50,"1. Até 50 m",IF(J2256&lt;=100,"2. De 50 a 100 m",IF(J2256&lt;=200,"3. De 100 a 200 m",IF(J2256&lt;=300,"4. De 200 a 300 m",IF(J2256&lt;=500,"5. De 300 a 500 m","6. De 500 m a 2 km"))))))</f>
        <v>1. Até 50 m</v>
      </c>
      <c r="L2256" s="26" t="n">
        <v>1</v>
      </c>
      <c r="M2256" s="26" t="n">
        <v>1</v>
      </c>
      <c r="N2256" s="26" t="n">
        <v>2</v>
      </c>
      <c r="O2256" s="26" t="n">
        <v>5</v>
      </c>
      <c r="P2256" s="30" t="n">
        <v>-12.93274305</v>
      </c>
      <c r="Q2256" s="30" t="n">
        <v>-38.50748465</v>
      </c>
      <c r="R2256" s="14" t="inlineStr">
        <is>
          <t>CARTÓRIO DA 18ª ZONA ELEITORAL, 1ª AVENIDA DO CENTRO ADMINISTRATIVO DA BAHIA, 150, SALVADOR-BA.</t>
        </is>
      </c>
      <c r="S2256" s="26">
        <f>IF(A2256=A2255,0,1)</f>
        <v>0</v>
      </c>
      <c r="T2256" s="26">
        <f>IF(COUNTIF($B$4:B2256,B2256)=1,1,0)</f>
        <v>0</v>
      </c>
    </row>
    <row r="2257">
      <c r="A2257" s="14" t="inlineStr">
        <is>
          <t>SALVADOR</t>
        </is>
      </c>
      <c r="B2257" s="26" t="n">
        <v>18</v>
      </c>
      <c r="C2257" s="26" t="n">
        <v>1538</v>
      </c>
      <c r="D2257" s="14" t="inlineStr">
        <is>
          <t>SESI COMENDADOR BERNARDO MARTINS CATHARINO</t>
        </is>
      </c>
      <c r="E2257" s="14" t="inlineStr">
        <is>
          <t>CAMINHO DE AREIA</t>
        </is>
      </c>
      <c r="F2257" s="14" t="inlineStr">
        <is>
          <t>AV. TIRADENTES 1454 - ZONA URBANA</t>
        </is>
      </c>
      <c r="G2257" s="27" t="inlineStr">
        <is>
          <t>40440-000</t>
        </is>
      </c>
      <c r="H2257" s="15" t="n">
        <v>18</v>
      </c>
      <c r="I2257" s="28" t="inlineStr">
        <is>
          <t>NÃO</t>
        </is>
      </c>
      <c r="J2257" s="29" t="n">
        <v>109.8</v>
      </c>
      <c r="K2257" s="14" t="str">
        <f>IF(J2257="","7. Acima de 2 km",IF(J2257&lt;=50,"1. Até 50 m",IF(J2257&lt;=100,"2. De 50 a 100 m",IF(J2257&lt;=200,"3. De 100 a 200 m",IF(J2257&lt;=300,"4. De 200 a 300 m",IF(J2257&lt;=500,"5. De 300 a 500 m","6. De 500 m a 2 km"))))))</f>
        <v>3. De 100 a 200 m</v>
      </c>
      <c r="L2257" s="26" t="n">
        <v>0</v>
      </c>
      <c r="M2257" s="26" t="n">
        <v>0</v>
      </c>
      <c r="N2257" s="26" t="n">
        <v>2</v>
      </c>
      <c r="O2257" s="26" t="n">
        <v>3</v>
      </c>
      <c r="P2257" s="30" t="n">
        <v>-12.92511195</v>
      </c>
      <c r="Q2257" s="30" t="n">
        <v>-38.50255754</v>
      </c>
      <c r="R2257" s="14" t="inlineStr">
        <is>
          <t>CARTÓRIO DA 18ª ZONA ELEITORAL, 1ª AVENIDA DO CENTRO ADMINISTRATIVO DA BAHIA, 150, SALVADOR-BA.</t>
        </is>
      </c>
      <c r="S2257" s="26">
        <f>IF(A2257=A2256,0,1)</f>
        <v>0</v>
      </c>
      <c r="T2257" s="26">
        <f>IF(COUNTIF($B$4:B2257,B2257)=1,1,0)</f>
        <v>0</v>
      </c>
    </row>
    <row r="2258">
      <c r="A2258" s="14" t="inlineStr">
        <is>
          <t>SALVADOR</t>
        </is>
      </c>
      <c r="B2258" s="26" t="n">
        <v>19</v>
      </c>
      <c r="C2258" s="26" t="n">
        <v>1058</v>
      </c>
      <c r="D2258" s="14" t="inlineStr">
        <is>
          <t>COLÉGIO ESTADUAL PROFESSORA LEILA RUBENS FONSECA</t>
        </is>
      </c>
      <c r="E2258" s="14" t="inlineStr">
        <is>
          <t>MUSSURUNGA II</t>
        </is>
      </c>
      <c r="F2258" s="14" t="inlineStr">
        <is>
          <t>RUA E SETOR J S/N - ZONA URBANA</t>
        </is>
      </c>
      <c r="G2258" s="27" t="inlineStr">
        <is>
          <t>41480-085</t>
        </is>
      </c>
      <c r="H2258" s="15" t="n">
        <v>10</v>
      </c>
      <c r="I2258" s="28" t="inlineStr">
        <is>
          <t>SIM</t>
        </is>
      </c>
      <c r="J2258" s="29" t="n">
        <v>69.5</v>
      </c>
      <c r="K2258" s="14" t="str">
        <f>IF(J2258="","7. Acima de 2 km",IF(J2258&lt;=50,"1. Até 50 m",IF(J2258&lt;=100,"2. De 50 a 100 m",IF(J2258&lt;=200,"3. De 100 a 200 m",IF(J2258&lt;=300,"4. De 200 a 300 m",IF(J2258&lt;=500,"5. De 300 a 500 m","6. De 500 m a 2 km"))))))</f>
        <v>2. De 50 a 100 m</v>
      </c>
      <c r="L2258" s="26" t="n">
        <v>0</v>
      </c>
      <c r="M2258" s="26" t="n">
        <v>1</v>
      </c>
      <c r="N2258" s="26" t="n">
        <v>1</v>
      </c>
      <c r="O2258" s="26" t="n">
        <v>2</v>
      </c>
      <c r="P2258" s="30" t="n">
        <v>-12.9518066</v>
      </c>
      <c r="Q2258" s="30" t="n">
        <v>-38.4270294</v>
      </c>
      <c r="R2258" s="14" t="inlineStr">
        <is>
          <t>CARTÓRIO DA 19ª ZONA ELEITORAL, 1ª AVENIDA DO CENTRO ADMINISTRATIVO DA BAHIA, 150, SALVADOR-BA.</t>
        </is>
      </c>
      <c r="S2258" s="26">
        <f>IF(A2258=A2257,0,1)</f>
        <v>0</v>
      </c>
      <c r="T2258" s="26">
        <f>IF(COUNTIF($B$4:B2258,B2258)=1,1,0)</f>
        <v>1</v>
      </c>
    </row>
    <row r="2259">
      <c r="A2259" s="14" t="inlineStr">
        <is>
          <t>SALVADOR</t>
        </is>
      </c>
      <c r="B2259" s="26" t="n">
        <v>19</v>
      </c>
      <c r="C2259" s="26" t="n">
        <v>1082</v>
      </c>
      <c r="D2259" s="14" t="inlineStr">
        <is>
          <t>ESCOLA TÉCNICA ESTADUAL NEWTON SUCUPIRA</t>
        </is>
      </c>
      <c r="E2259" s="14" t="inlineStr">
        <is>
          <t>MUSSURUNGA I</t>
        </is>
      </c>
      <c r="F2259" s="14" t="inlineStr">
        <is>
          <t>RUA M, SETOR F, CAMINHO 12, S/N - ZONA URBANA</t>
        </is>
      </c>
      <c r="G2259" s="27" t="inlineStr">
        <is>
          <t>41490-222</t>
        </is>
      </c>
      <c r="H2259" s="15" t="n">
        <v>22</v>
      </c>
      <c r="I2259" s="28" t="inlineStr">
        <is>
          <t>NÃO</t>
        </is>
      </c>
      <c r="J2259" s="29" t="n">
        <v>549.8</v>
      </c>
      <c r="K2259" s="14" t="str">
        <f>IF(J2259="","7. Acima de 2 km",IF(J2259&lt;=50,"1. Até 50 m",IF(J2259&lt;=100,"2. De 50 a 100 m",IF(J2259&lt;=200,"3. De 100 a 200 m",IF(J2259&lt;=300,"4. De 200 a 300 m",IF(J2259&lt;=500,"5. De 300 a 500 m","6. De 500 m a 2 km"))))))</f>
        <v>6. De 500 m a 2 km</v>
      </c>
      <c r="L2259" s="26" t="n">
        <v>0</v>
      </c>
      <c r="M2259" s="26" t="n">
        <v>0</v>
      </c>
      <c r="N2259" s="26" t="n">
        <v>0</v>
      </c>
      <c r="O2259" s="26" t="n">
        <v>0</v>
      </c>
      <c r="P2259" s="30" t="n">
        <v>-12.921355</v>
      </c>
      <c r="Q2259" s="30" t="n">
        <v>-38.3731433</v>
      </c>
      <c r="R2259" s="14" t="inlineStr">
        <is>
          <t>CARTÓRIO DA 19ª ZONA ELEITORAL, 1ª AVENIDA DO CENTRO ADMINISTRATIVO DA BAHIA, 150, SALVADOR-BA.</t>
        </is>
      </c>
      <c r="S2259" s="26">
        <f>IF(A2259=A2258,0,1)</f>
        <v>0</v>
      </c>
      <c r="T2259" s="26">
        <f>IF(COUNTIF($B$4:B2259,B2259)=1,1,0)</f>
        <v>0</v>
      </c>
    </row>
    <row r="2260">
      <c r="A2260" s="14" t="inlineStr">
        <is>
          <t>SALVADOR</t>
        </is>
      </c>
      <c r="B2260" s="26" t="n">
        <v>19</v>
      </c>
      <c r="C2260" s="26" t="n">
        <v>1333</v>
      </c>
      <c r="D2260" s="14" t="inlineStr">
        <is>
          <t>CRECHE E PRÉ-ESCOLA MUNICIPAL PRIMEIRO PASSO DE NOVA BRASÍLIA</t>
        </is>
      </c>
      <c r="E2260" s="14" t="inlineStr">
        <is>
          <t>NOVA BRASÍLIA</t>
        </is>
      </c>
      <c r="F2260" s="14" t="inlineStr">
        <is>
          <t>RUA PAULO SÉRGIO, S/N - ZONA URBANA</t>
        </is>
      </c>
      <c r="G2260" s="27" t="inlineStr">
        <is>
          <t>41350-520</t>
        </is>
      </c>
      <c r="H2260" s="15" t="n">
        <v>6</v>
      </c>
      <c r="I2260" s="28" t="inlineStr">
        <is>
          <t>NÃO</t>
        </is>
      </c>
      <c r="J2260" s="29" t="n">
        <v>255.6</v>
      </c>
      <c r="K2260" s="14" t="str">
        <f>IF(J2260="","7. Acima de 2 km",IF(J2260&lt;=50,"1. Até 50 m",IF(J2260&lt;=100,"2. De 50 a 100 m",IF(J2260&lt;=200,"3. De 100 a 200 m",IF(J2260&lt;=300,"4. De 200 a 300 m",IF(J2260&lt;=500,"5. De 300 a 500 m","6. De 500 m a 2 km"))))))</f>
        <v>4. De 200 a 300 m</v>
      </c>
      <c r="L2260" s="26" t="n">
        <v>0</v>
      </c>
      <c r="M2260" s="26" t="n">
        <v>0</v>
      </c>
      <c r="N2260" s="26" t="n">
        <v>0</v>
      </c>
      <c r="O2260" s="26" t="n">
        <v>1</v>
      </c>
      <c r="P2260" s="30" t="n">
        <v>-12.9238383</v>
      </c>
      <c r="Q2260" s="30" t="n">
        <v>-38.4121533</v>
      </c>
      <c r="R2260" s="14" t="inlineStr">
        <is>
          <t>CARTÓRIO DA 19ª ZONA ELEITORAL, 1ª AVENIDA DO CENTRO ADMINISTRATIVO DA BAHIA, 150, SALVADOR-BA.</t>
        </is>
      </c>
      <c r="S2260" s="26">
        <f>IF(A2260=A2259,0,1)</f>
        <v>0</v>
      </c>
      <c r="T2260" s="26">
        <f>IF(COUNTIF($B$4:B2260,B2260)=1,1,0)</f>
        <v>0</v>
      </c>
    </row>
    <row r="2261">
      <c r="A2261" s="14" t="inlineStr">
        <is>
          <t>SALVADOR</t>
        </is>
      </c>
      <c r="B2261" s="26" t="n">
        <v>19</v>
      </c>
      <c r="C2261" s="26" t="n">
        <v>1350</v>
      </c>
      <c r="D2261" s="14" t="inlineStr">
        <is>
          <t>ESCOLA ESTADUAL RAUL SÁ</t>
        </is>
      </c>
      <c r="E2261" s="14" t="inlineStr">
        <is>
          <t>MUSSURUNGA I</t>
        </is>
      </c>
      <c r="F2261" s="14" t="inlineStr">
        <is>
          <t>RUA C, SETOR C, S/N - ZONA URBANA</t>
        </is>
      </c>
      <c r="G2261" s="27" t="inlineStr">
        <is>
          <t>41490-000</t>
        </is>
      </c>
      <c r="H2261" s="15" t="n">
        <v>13</v>
      </c>
      <c r="I2261" s="28" t="inlineStr">
        <is>
          <t>NÃO</t>
        </is>
      </c>
      <c r="J2261" s="29" t="n">
        <v>147.4</v>
      </c>
      <c r="K2261" s="14" t="str">
        <f>IF(J2261="","7. Acima de 2 km",IF(J2261&lt;=50,"1. Até 50 m",IF(J2261&lt;=100,"2. De 50 a 100 m",IF(J2261&lt;=200,"3. De 100 a 200 m",IF(J2261&lt;=300,"4. De 200 a 300 m",IF(J2261&lt;=500,"5. De 300 a 500 m","6. De 500 m a 2 km"))))))</f>
        <v>3. De 100 a 200 m</v>
      </c>
      <c r="L2261" s="26" t="n">
        <v>0</v>
      </c>
      <c r="M2261" s="26" t="n">
        <v>0</v>
      </c>
      <c r="N2261" s="26" t="n">
        <v>1</v>
      </c>
      <c r="O2261" s="26" t="n">
        <v>2</v>
      </c>
      <c r="P2261" s="30" t="n">
        <v>-12.9167421</v>
      </c>
      <c r="Q2261" s="30" t="n">
        <v>-38.3636273</v>
      </c>
      <c r="R2261" s="14" t="inlineStr">
        <is>
          <t>CARTÓRIO DA 19ª ZONA ELEITORAL, 1ª AVENIDA DO CENTRO ADMINISTRATIVO DA BAHIA, 150, SALVADOR-BA.</t>
        </is>
      </c>
      <c r="S2261" s="26">
        <f>IF(A2261=A2260,0,1)</f>
        <v>0</v>
      </c>
      <c r="T2261" s="26">
        <f>IF(COUNTIF($B$4:B2261,B2261)=1,1,0)</f>
        <v>0</v>
      </c>
    </row>
    <row r="2262">
      <c r="A2262" s="14" t="inlineStr">
        <is>
          <t>SALVADOR</t>
        </is>
      </c>
      <c r="B2262" s="26" t="n">
        <v>19</v>
      </c>
      <c r="C2262" s="26" t="n">
        <v>1392</v>
      </c>
      <c r="D2262" s="14" t="inlineStr">
        <is>
          <t>ESCOLA MUNICIPAL DE NOVA ESPERANÇA ARX TOURINHO</t>
        </is>
      </c>
      <c r="E2262" s="14" t="inlineStr">
        <is>
          <t>NOVA ESPERANÇA</t>
        </is>
      </c>
      <c r="F2262" s="14" t="inlineStr">
        <is>
          <t>RUA CASTRO ALVES, 1 - NOVA ESPERANÇA - ZONA URBANA</t>
        </is>
      </c>
      <c r="G2262" s="27" t="inlineStr">
        <is>
          <t>41402-400</t>
        </is>
      </c>
      <c r="H2262" s="15" t="n">
        <v>11</v>
      </c>
      <c r="I2262" s="28" t="inlineStr">
        <is>
          <t>NÃO</t>
        </is>
      </c>
      <c r="J2262" s="29" t="n">
        <v>520.4</v>
      </c>
      <c r="K2262" s="14" t="str">
        <f>IF(J2262="","7. Acima de 2 km",IF(J2262&lt;=50,"1. Até 50 m",IF(J2262&lt;=100,"2. De 50 a 100 m",IF(J2262&lt;=200,"3. De 100 a 200 m",IF(J2262&lt;=300,"4. De 200 a 300 m",IF(J2262&lt;=500,"5. De 300 a 500 m","6. De 500 m a 2 km"))))))</f>
        <v>6. De 500 m a 2 km</v>
      </c>
      <c r="L2262" s="26" t="n">
        <v>0</v>
      </c>
      <c r="M2262" s="26" t="n">
        <v>0</v>
      </c>
      <c r="N2262" s="26" t="n">
        <v>0</v>
      </c>
      <c r="O2262" s="26" t="n">
        <v>0</v>
      </c>
      <c r="P2262" s="30" t="n">
        <v>-12.8341417</v>
      </c>
      <c r="Q2262" s="30" t="n">
        <v>-38.3759967</v>
      </c>
      <c r="R2262" s="14" t="inlineStr">
        <is>
          <t>CARTÓRIO DA 19ª ZONA ELEITORAL, 1ª AVENIDA DO CENTRO ADMINISTRATIVO DA BAHIA, 150, SALVADOR-BA.</t>
        </is>
      </c>
      <c r="S2262" s="26">
        <f>IF(A2262=A2261,0,1)</f>
        <v>0</v>
      </c>
      <c r="T2262" s="26">
        <f>IF(COUNTIF($B$4:B2262,B2262)=1,1,0)</f>
        <v>0</v>
      </c>
    </row>
    <row r="2263">
      <c r="A2263" s="14" t="inlineStr">
        <is>
          <t>SALVADOR</t>
        </is>
      </c>
      <c r="B2263" s="26" t="n">
        <v>19</v>
      </c>
      <c r="C2263" s="26" t="n">
        <v>1457</v>
      </c>
      <c r="D2263" s="14" t="inlineStr">
        <is>
          <t>COLÉGIO ESTADUAL PINTO DE AGUIAR</t>
        </is>
      </c>
      <c r="E2263" s="14" t="inlineStr">
        <is>
          <t>MUSSURUNGA I</t>
        </is>
      </c>
      <c r="F2263" s="14" t="inlineStr">
        <is>
          <t>RUA C, SETOR C, S/N - ZONA URBANA</t>
        </is>
      </c>
      <c r="G2263" s="27" t="inlineStr">
        <is>
          <t>41510-190</t>
        </is>
      </c>
      <c r="H2263" s="15" t="n">
        <v>11</v>
      </c>
      <c r="I2263" s="28" t="inlineStr">
        <is>
          <t>NÃO</t>
        </is>
      </c>
      <c r="J2263" s="29" t="n">
        <v>213.1</v>
      </c>
      <c r="K2263" s="14" t="str">
        <f>IF(J2263="","7. Acima de 2 km",IF(J2263&lt;=50,"1. Até 50 m",IF(J2263&lt;=100,"2. De 50 a 100 m",IF(J2263&lt;=200,"3. De 100 a 200 m",IF(J2263&lt;=300,"4. De 200 a 300 m",IF(J2263&lt;=500,"5. De 300 a 500 m","6. De 500 m a 2 km"))))))</f>
        <v>4. De 200 a 300 m</v>
      </c>
      <c r="L2263" s="26" t="n">
        <v>0</v>
      </c>
      <c r="M2263" s="26" t="n">
        <v>0</v>
      </c>
      <c r="N2263" s="26" t="n">
        <v>0</v>
      </c>
      <c r="O2263" s="26" t="n">
        <v>2</v>
      </c>
      <c r="P2263" s="30" t="n">
        <v>-12.91574</v>
      </c>
      <c r="Q2263" s="30" t="n">
        <v>-38.3634</v>
      </c>
      <c r="R2263" s="14" t="inlineStr">
        <is>
          <t>CARTÓRIO DA 19ª ZONA ELEITORAL, 1ª AVENIDA DO CENTRO ADMINISTRATIVO DA BAHIA, 150, SALVADOR-BA.</t>
        </is>
      </c>
      <c r="S2263" s="26">
        <f>IF(A2263=A2262,0,1)</f>
        <v>0</v>
      </c>
      <c r="T2263" s="26">
        <f>IF(COUNTIF($B$4:B2263,B2263)=1,1,0)</f>
        <v>0</v>
      </c>
    </row>
    <row r="2264">
      <c r="A2264" s="14" t="inlineStr">
        <is>
          <t>SALVADOR</t>
        </is>
      </c>
      <c r="B2264" s="26" t="n">
        <v>19</v>
      </c>
      <c r="C2264" s="26" t="n">
        <v>1490</v>
      </c>
      <c r="D2264" s="14" t="inlineStr">
        <is>
          <t>INTERNAÇÃO - FUNDAÇÃO DA CRIANÇA E DO ADOLESCENTE - CASE CIA</t>
        </is>
      </c>
      <c r="E2264" s="14" t="inlineStr">
        <is>
          <t>NOVA ESPERANÇA</t>
        </is>
      </c>
      <c r="F2264" s="14" t="inlineStr">
        <is>
          <t>R. PRINCIPAL, S/N, JARDIM CAMPO VERDE, EST. CIA AEROPORTO, CEASA</t>
        </is>
      </c>
      <c r="G2264" s="27" t="inlineStr">
        <is>
          <t>41402-130</t>
        </is>
      </c>
      <c r="H2264" s="15" t="n">
        <v>1</v>
      </c>
      <c r="I2264" s="28" t="inlineStr">
        <is>
          <t>NÃO</t>
        </is>
      </c>
      <c r="J2264" s="29" t="n">
        <v>820.8</v>
      </c>
      <c r="K2264" s="14" t="str">
        <f>IF(J2264="","7. Acima de 2 km",IF(J2264&lt;=50,"1. Até 50 m",IF(J2264&lt;=100,"2. De 50 a 100 m",IF(J2264&lt;=200,"3. De 100 a 200 m",IF(J2264&lt;=300,"4. De 200 a 300 m",IF(J2264&lt;=500,"5. De 300 a 500 m","6. De 500 m a 2 km"))))))</f>
        <v>6. De 500 m a 2 km</v>
      </c>
      <c r="L2264" s="26" t="n">
        <v>0</v>
      </c>
      <c r="M2264" s="26" t="n">
        <v>0</v>
      </c>
      <c r="N2264" s="26" t="n">
        <v>0</v>
      </c>
      <c r="O2264" s="26" t="n">
        <v>0</v>
      </c>
      <c r="P2264" s="30" t="n">
        <v>-12.8300517</v>
      </c>
      <c r="Q2264" s="30" t="n">
        <v>-38.3714917</v>
      </c>
      <c r="R2264" s="14" t="inlineStr">
        <is>
          <t>CARTÓRIO DA 19ª ZONA ELEITORAL, 1ª AVENIDA DO CENTRO ADMINISTRATIVO DA BAHIA, 150, SALVADOR-BA.</t>
        </is>
      </c>
      <c r="S2264" s="26">
        <f>IF(A2264=A2263,0,1)</f>
        <v>0</v>
      </c>
      <c r="T2264" s="26">
        <f>IF(COUNTIF($B$4:B2264,B2264)=1,1,0)</f>
        <v>0</v>
      </c>
    </row>
    <row r="2265">
      <c r="A2265" s="14" t="inlineStr">
        <is>
          <t>SALVADOR</t>
        </is>
      </c>
      <c r="B2265" s="26" t="n">
        <v>19</v>
      </c>
      <c r="C2265" s="26" t="n">
        <v>1503</v>
      </c>
      <c r="D2265" s="14" t="inlineStr">
        <is>
          <t>ESCOLA MUNICIPAL 2 DE JULHO</t>
        </is>
      </c>
      <c r="E2265" s="14" t="inlineStr">
        <is>
          <t>TROBOGY</t>
        </is>
      </c>
      <c r="F2265" s="14" t="inlineStr">
        <is>
          <t>RUA AYMORÉ MOREIRA, N 9999- ZONA URBANA</t>
        </is>
      </c>
      <c r="G2265" s="27" t="inlineStr">
        <is>
          <t>41745-038</t>
        </is>
      </c>
      <c r="H2265" s="15" t="n">
        <v>9</v>
      </c>
      <c r="I2265" s="28" t="inlineStr">
        <is>
          <t>NÃO</t>
        </is>
      </c>
      <c r="J2265" s="29" t="n">
        <v>105.2</v>
      </c>
      <c r="K2265" s="14" t="str">
        <f>IF(J2265="","7. Acima de 2 km",IF(J2265&lt;=50,"1. Até 50 m",IF(J2265&lt;=100,"2. De 50 a 100 m",IF(J2265&lt;=200,"3. De 100 a 200 m",IF(J2265&lt;=300,"4. De 200 a 300 m",IF(J2265&lt;=500,"5. De 300 a 500 m","6. De 500 m a 2 km"))))))</f>
        <v>3. De 100 a 200 m</v>
      </c>
      <c r="L2265" s="26" t="n">
        <v>0</v>
      </c>
      <c r="M2265" s="26" t="n">
        <v>0</v>
      </c>
      <c r="N2265" s="26" t="n">
        <v>1</v>
      </c>
      <c r="O2265" s="26" t="n">
        <v>2</v>
      </c>
      <c r="P2265" s="30" t="n">
        <v>-12.9515227</v>
      </c>
      <c r="Q2265" s="30" t="n">
        <v>-38.4272976</v>
      </c>
      <c r="R2265" s="14" t="inlineStr">
        <is>
          <t>CARTÓRIO DA 19ª ZONA ELEITORAL, 1ª AVENIDA DO CENTRO ADMINISTRATIVO DA BAHIA, 150, SALVADOR-BA.</t>
        </is>
      </c>
      <c r="S2265" s="26">
        <f>IF(A2265=A2264,0,1)</f>
        <v>0</v>
      </c>
      <c r="T2265" s="26">
        <f>IF(COUNTIF($B$4:B2265,B2265)=1,1,0)</f>
        <v>0</v>
      </c>
    </row>
    <row r="2266">
      <c r="A2266" s="14" t="inlineStr">
        <is>
          <t>SALVADOR</t>
        </is>
      </c>
      <c r="B2266" s="26" t="n">
        <v>19</v>
      </c>
      <c r="C2266" s="26" t="n">
        <v>1520</v>
      </c>
      <c r="D2266" s="14" t="inlineStr">
        <is>
          <t>ESCOLA BOSQUE DAS BROMÉLIAS</t>
        </is>
      </c>
      <c r="E2266" s="14" t="inlineStr">
        <is>
          <t>CASSANGE</t>
        </is>
      </c>
      <c r="F2266" s="14" t="inlineStr">
        <is>
          <t>CIA AEROPORTO, CD BQ DAS BROMÉLIAS,R JOAQUIM FEREIRA, SN - ZONA URBANA</t>
        </is>
      </c>
      <c r="G2266" s="27" t="inlineStr">
        <is>
          <t>41505-050</t>
        </is>
      </c>
      <c r="H2266" s="15" t="n">
        <v>2</v>
      </c>
      <c r="I2266" s="28" t="inlineStr">
        <is>
          <t>NÃO</t>
        </is>
      </c>
      <c r="J2266" s="29" t="n">
        <v>211.9</v>
      </c>
      <c r="K2266" s="14" t="str">
        <f>IF(J2266="","7. Acima de 2 km",IF(J2266&lt;=50,"1. Até 50 m",IF(J2266&lt;=100,"2. De 50 a 100 m",IF(J2266&lt;=200,"3. De 100 a 200 m",IF(J2266&lt;=300,"4. De 200 a 300 m",IF(J2266&lt;=500,"5. De 300 a 500 m","6. De 500 m a 2 km"))))))</f>
        <v>4. De 200 a 300 m</v>
      </c>
      <c r="L2266" s="26" t="n">
        <v>0</v>
      </c>
      <c r="M2266" s="26" t="n">
        <v>0</v>
      </c>
      <c r="N2266" s="26" t="n">
        <v>0</v>
      </c>
      <c r="O2266" s="26" t="n">
        <v>1</v>
      </c>
      <c r="P2266" s="30" t="n">
        <v>-12.9497183</v>
      </c>
      <c r="Q2266" s="30" t="n">
        <v>-38.4241933</v>
      </c>
      <c r="R2266" s="14" t="inlineStr">
        <is>
          <t>CARTÓRIO DA 19ª ZONA ELEITORAL, 1ª AVENIDA DO CENTRO ADMINISTRATIVO DA BAHIA, 150, SALVADOR-BA.</t>
        </is>
      </c>
      <c r="S2266" s="26">
        <f>IF(A2266=A2265,0,1)</f>
        <v>0</v>
      </c>
      <c r="T2266" s="26">
        <f>IF(COUNTIF($B$4:B2266,B2266)=1,1,0)</f>
        <v>0</v>
      </c>
    </row>
    <row r="2267">
      <c r="A2267" s="14" t="inlineStr">
        <is>
          <t>SALVADOR</t>
        </is>
      </c>
      <c r="B2267" s="26" t="n">
        <v>19</v>
      </c>
      <c r="C2267" s="26" t="n">
        <v>1538</v>
      </c>
      <c r="D2267" s="14" t="inlineStr">
        <is>
          <t>ESCOLA ESTADUAL LUIZ JOSÉ DE OLIVEIRA</t>
        </is>
      </c>
      <c r="E2267" s="14" t="inlineStr">
        <is>
          <t>BOCA DA MATA</t>
        </is>
      </c>
      <c r="F2267" s="14" t="inlineStr">
        <is>
          <t>RUA H, VIA COLETORA B, S/N, FAZENDA GRANDE I - ZONA URBANA</t>
        </is>
      </c>
      <c r="G2267" s="27" t="inlineStr">
        <is>
          <t>41340-100</t>
        </is>
      </c>
      <c r="H2267" s="15" t="n">
        <v>11</v>
      </c>
      <c r="I2267" s="28" t="inlineStr">
        <is>
          <t>SIM</t>
        </is>
      </c>
      <c r="J2267" s="29" t="n">
        <v>87.59999999999999</v>
      </c>
      <c r="K2267" s="14" t="str">
        <f>IF(J2267="","7. Acima de 2 km",IF(J2267&lt;=50,"1. Até 50 m",IF(J2267&lt;=100,"2. De 50 a 100 m",IF(J2267&lt;=200,"3. De 100 a 200 m",IF(J2267&lt;=300,"4. De 200 a 300 m",IF(J2267&lt;=500,"5. De 300 a 500 m","6. De 500 m a 2 km"))))))</f>
        <v>2. De 50 a 100 m</v>
      </c>
      <c r="L2267" s="26" t="n">
        <v>0</v>
      </c>
      <c r="M2267" s="26" t="n">
        <v>1</v>
      </c>
      <c r="N2267" s="26" t="n">
        <v>1</v>
      </c>
      <c r="O2267" s="26" t="n">
        <v>1</v>
      </c>
      <c r="P2267" s="30" t="n">
        <v>-12.8907083</v>
      </c>
      <c r="Q2267" s="30" t="n">
        <v>-38.4077517</v>
      </c>
      <c r="R2267" s="14" t="inlineStr">
        <is>
          <t>CARTÓRIO DA 19ª ZONA ELEITORAL, 1ª AVENIDA DO CENTRO ADMINISTRATIVO DA BAHIA, 150, SALVADOR-BA.</t>
        </is>
      </c>
      <c r="S2267" s="26">
        <f>IF(A2267=A2266,0,1)</f>
        <v>0</v>
      </c>
      <c r="T2267" s="26">
        <f>IF(COUNTIF($B$4:B2267,B2267)=1,1,0)</f>
        <v>0</v>
      </c>
    </row>
    <row r="2268">
      <c r="A2268" s="14" t="inlineStr">
        <is>
          <t>SALVADOR</t>
        </is>
      </c>
      <c r="B2268" s="26" t="n">
        <v>19</v>
      </c>
      <c r="C2268" s="26" t="n">
        <v>1546</v>
      </c>
      <c r="D2268" s="14" t="inlineStr">
        <is>
          <t>COLÉGIO ESTADUAL VERA LUX</t>
        </is>
      </c>
      <c r="E2268" s="14" t="inlineStr">
        <is>
          <t>NOVA BRASÍLIA</t>
        </is>
      </c>
      <c r="F2268" s="14" t="inlineStr">
        <is>
          <t>RUA NELSON LACERDA KM 7,5 S/N - ZONA URBANA</t>
        </is>
      </c>
      <c r="G2268" s="27" t="inlineStr">
        <is>
          <t>40010-000</t>
        </is>
      </c>
      <c r="H2268" s="15" t="n">
        <v>13</v>
      </c>
      <c r="I2268" s="28" t="inlineStr">
        <is>
          <t>NÃO</t>
        </is>
      </c>
      <c r="J2268" s="29" t="n">
        <v>253.8</v>
      </c>
      <c r="K2268" s="14" t="str">
        <f>IF(J2268="","7. Acima de 2 km",IF(J2268&lt;=50,"1. Até 50 m",IF(J2268&lt;=100,"2. De 50 a 100 m",IF(J2268&lt;=200,"3. De 100 a 200 m",IF(J2268&lt;=300,"4. De 200 a 300 m",IF(J2268&lt;=500,"5. De 300 a 500 m","6. De 500 m a 2 km"))))))</f>
        <v>4. De 200 a 300 m</v>
      </c>
      <c r="L2268" s="26" t="n">
        <v>0</v>
      </c>
      <c r="M2268" s="26" t="n">
        <v>0</v>
      </c>
      <c r="N2268" s="26" t="n">
        <v>0</v>
      </c>
      <c r="O2268" s="26" t="n">
        <v>1</v>
      </c>
      <c r="P2268" s="30" t="n">
        <v>-12.92863</v>
      </c>
      <c r="Q2268" s="30" t="n">
        <v>-38.4084767</v>
      </c>
      <c r="R2268" s="14" t="inlineStr">
        <is>
          <t>CARTÓRIO DA 19ª ZONA ELEITORAL, 1ª AVENIDA DO CENTRO ADMINISTRATIVO DA BAHIA, 150, SALVADOR-BA.</t>
        </is>
      </c>
      <c r="S2268" s="26">
        <f>IF(A2268=A2267,0,1)</f>
        <v>0</v>
      </c>
      <c r="T2268" s="26">
        <f>IF(COUNTIF($B$4:B2268,B2268)=1,1,0)</f>
        <v>0</v>
      </c>
    </row>
    <row r="2269">
      <c r="A2269" s="14" t="inlineStr">
        <is>
          <t>SALVADOR</t>
        </is>
      </c>
      <c r="B2269" s="26" t="n">
        <v>19</v>
      </c>
      <c r="C2269" s="26" t="n">
        <v>1554</v>
      </c>
      <c r="D2269" s="14" t="inlineStr">
        <is>
          <t>COLÉGIO ESTADUAL OLIVEIRA BRITTO</t>
        </is>
      </c>
      <c r="E2269" s="14" t="inlineStr">
        <is>
          <t>BOCA DA MATA</t>
        </is>
      </c>
      <c r="F2269" s="14" t="inlineStr">
        <is>
          <t>FAZENDA GRANDE II QUADRA E S/N - ZONA URBANA</t>
        </is>
      </c>
      <c r="G2269" s="27" t="inlineStr">
        <is>
          <t>41340-140</t>
        </is>
      </c>
      <c r="H2269" s="15" t="n">
        <v>14</v>
      </c>
      <c r="I2269" s="28" t="inlineStr">
        <is>
          <t>NÃO</t>
        </is>
      </c>
      <c r="J2269" s="29" t="n">
        <v>380.8</v>
      </c>
      <c r="K2269" s="14" t="str">
        <f>IF(J2269="","7. Acima de 2 km",IF(J2269&lt;=50,"1. Até 50 m",IF(J2269&lt;=100,"2. De 50 a 100 m",IF(J2269&lt;=200,"3. De 100 a 200 m",IF(J2269&lt;=300,"4. De 200 a 300 m",IF(J2269&lt;=500,"5. De 300 a 500 m","6. De 500 m a 2 km"))))))</f>
        <v>5. De 300 a 500 m</v>
      </c>
      <c r="L2269" s="26" t="n">
        <v>0</v>
      </c>
      <c r="M2269" s="26" t="n">
        <v>0</v>
      </c>
      <c r="N2269" s="26" t="n">
        <v>0</v>
      </c>
      <c r="O2269" s="26" t="n">
        <v>0</v>
      </c>
      <c r="P2269" s="30" t="n">
        <v>-12.8927267</v>
      </c>
      <c r="Q2269" s="30" t="n">
        <v>-38.3938483</v>
      </c>
      <c r="R2269" s="14" t="inlineStr">
        <is>
          <t>CARTÓRIO DA 19ª ZONA ELEITORAL, 1ª AVENIDA DO CENTRO ADMINISTRATIVO DA BAHIA, 150, SALVADOR-BA.</t>
        </is>
      </c>
      <c r="S2269" s="26">
        <f>IF(A2269=A2268,0,1)</f>
        <v>0</v>
      </c>
      <c r="T2269" s="26">
        <f>IF(COUNTIF($B$4:B2269,B2269)=1,1,0)</f>
        <v>0</v>
      </c>
    </row>
    <row r="2270">
      <c r="A2270" s="14" t="inlineStr">
        <is>
          <t>SALVADOR</t>
        </is>
      </c>
      <c r="B2270" s="26" t="n">
        <v>19</v>
      </c>
      <c r="C2270" s="26" t="n">
        <v>1589</v>
      </c>
      <c r="D2270" s="14" t="inlineStr">
        <is>
          <t>COLÉGIO ESTADUAL PADRE JOSÉ VASCONCELOS</t>
        </is>
      </c>
      <c r="E2270" s="14" t="inlineStr">
        <is>
          <t>JARDIM NOVA ESPERANÇA</t>
        </is>
      </c>
      <c r="F2270" s="14" t="inlineStr">
        <is>
          <t>EVA KM 6,5 RUA SIMONE BARRADAS - ZONA URBANA</t>
        </is>
      </c>
      <c r="G2270" s="27" t="inlineStr">
        <is>
          <t>41370-170</t>
        </is>
      </c>
      <c r="H2270" s="15" t="n">
        <v>10</v>
      </c>
      <c r="I2270" s="28" t="inlineStr">
        <is>
          <t>NÃO</t>
        </is>
      </c>
      <c r="J2270" s="29" t="n">
        <v>223.9</v>
      </c>
      <c r="K2270" s="14" t="str">
        <f>IF(J2270="","7. Acima de 2 km",IF(J2270&lt;=50,"1. Até 50 m",IF(J2270&lt;=100,"2. De 50 a 100 m",IF(J2270&lt;=200,"3. De 100 a 200 m",IF(J2270&lt;=300,"4. De 200 a 300 m",IF(J2270&lt;=500,"5. De 300 a 500 m","6. De 500 m a 2 km"))))))</f>
        <v>4. De 200 a 300 m</v>
      </c>
      <c r="L2270" s="26" t="n">
        <v>0</v>
      </c>
      <c r="M2270" s="26" t="n">
        <v>0</v>
      </c>
      <c r="N2270" s="26" t="n">
        <v>0</v>
      </c>
      <c r="O2270" s="26" t="n">
        <v>1</v>
      </c>
      <c r="P2270" s="30" t="n">
        <v>-12.9139333</v>
      </c>
      <c r="Q2270" s="30" t="n">
        <v>-38.4213917</v>
      </c>
      <c r="R2270" s="14" t="inlineStr">
        <is>
          <t>CARTÓRIO DA 19ª ZONA ELEITORAL, 1ª AVENIDA DO CENTRO ADMINISTRATIVO DA BAHIA, 150, SALVADOR-BA.</t>
        </is>
      </c>
      <c r="S2270" s="26">
        <f>IF(A2270=A2269,0,1)</f>
        <v>0</v>
      </c>
      <c r="T2270" s="26">
        <f>IF(COUNTIF($B$4:B2270,B2270)=1,1,0)</f>
        <v>0</v>
      </c>
    </row>
    <row r="2271">
      <c r="A2271" s="14" t="inlineStr">
        <is>
          <t>SALVADOR</t>
        </is>
      </c>
      <c r="B2271" s="26" t="n">
        <v>19</v>
      </c>
      <c r="C2271" s="26" t="n">
        <v>1597</v>
      </c>
      <c r="D2271" s="14" t="inlineStr">
        <is>
          <t>COLÉGIO ESTADUAL EDUARDO BAHIANA</t>
        </is>
      </c>
      <c r="E2271" s="14" t="inlineStr">
        <is>
          <t>CAJAZEIRAS</t>
        </is>
      </c>
      <c r="F2271" s="14" t="inlineStr">
        <is>
          <t>EST. DO COQUEIRO GRANDE, FAZENDA GRANDE II - ZONA URBANA</t>
        </is>
      </c>
      <c r="G2271" s="27" t="inlineStr">
        <is>
          <t>41343-855</t>
        </is>
      </c>
      <c r="H2271" s="15" t="n">
        <v>25</v>
      </c>
      <c r="I2271" s="28" t="inlineStr">
        <is>
          <t>NÃO</t>
        </is>
      </c>
      <c r="J2271" s="29" t="n">
        <v>379</v>
      </c>
      <c r="K2271" s="14" t="str">
        <f>IF(J2271="","7. Acima de 2 km",IF(J2271&lt;=50,"1. Até 50 m",IF(J2271&lt;=100,"2. De 50 a 100 m",IF(J2271&lt;=200,"3. De 100 a 200 m",IF(J2271&lt;=300,"4. De 200 a 300 m",IF(J2271&lt;=500,"5. De 300 a 500 m","6. De 500 m a 2 km"))))))</f>
        <v>5. De 300 a 500 m</v>
      </c>
      <c r="L2271" s="26" t="n">
        <v>0</v>
      </c>
      <c r="M2271" s="26" t="n">
        <v>0</v>
      </c>
      <c r="N2271" s="26" t="n">
        <v>0</v>
      </c>
      <c r="O2271" s="26" t="n">
        <v>0</v>
      </c>
      <c r="P2271" s="30" t="n">
        <v>-12.90452</v>
      </c>
      <c r="Q2271" s="30" t="n">
        <v>-38.406465</v>
      </c>
      <c r="R2271" s="14" t="inlineStr">
        <is>
          <t>CARTÓRIO DA 19ª ZONA ELEITORAL, 1ª AVENIDA DO CENTRO ADMINISTRATIVO DA BAHIA, 150, SALVADOR-BA.</t>
        </is>
      </c>
      <c r="S2271" s="26">
        <f>IF(A2271=A2270,0,1)</f>
        <v>0</v>
      </c>
      <c r="T2271" s="26">
        <f>IF(COUNTIF($B$4:B2271,B2271)=1,1,0)</f>
        <v>0</v>
      </c>
    </row>
    <row r="2272">
      <c r="A2272" s="14" t="inlineStr">
        <is>
          <t>SALVADOR</t>
        </is>
      </c>
      <c r="B2272" s="26" t="n">
        <v>19</v>
      </c>
      <c r="C2272" s="26" t="n">
        <v>1600</v>
      </c>
      <c r="D2272" s="14" t="inlineStr">
        <is>
          <t>ESCOLA MUNICIPAL ADAUTO PEREIRA DE SOUZA</t>
        </is>
      </c>
      <c r="E2272" s="14" t="inlineStr">
        <is>
          <t>NOVA BRASÍLIA</t>
        </is>
      </c>
      <c r="F2272" s="14" t="inlineStr">
        <is>
          <t>RUA SÃO JOSÉ S/N, EVA - ZONA URBANA</t>
        </is>
      </c>
      <c r="G2272" s="27" t="inlineStr">
        <is>
          <t>41350-160</t>
        </is>
      </c>
      <c r="H2272" s="15" t="n">
        <v>8</v>
      </c>
      <c r="I2272" s="28" t="inlineStr">
        <is>
          <t>NÃO</t>
        </is>
      </c>
      <c r="J2272" s="29" t="n">
        <v>281.2</v>
      </c>
      <c r="K2272" s="14" t="str">
        <f>IF(J2272="","7. Acima de 2 km",IF(J2272&lt;=50,"1. Até 50 m",IF(J2272&lt;=100,"2. De 50 a 100 m",IF(J2272&lt;=200,"3. De 100 a 200 m",IF(J2272&lt;=300,"4. De 200 a 300 m",IF(J2272&lt;=500,"5. De 300 a 500 m","6. De 500 m a 2 km"))))))</f>
        <v>4. De 200 a 300 m</v>
      </c>
      <c r="L2272" s="26" t="n">
        <v>0</v>
      </c>
      <c r="M2272" s="26" t="n">
        <v>0</v>
      </c>
      <c r="N2272" s="26" t="n">
        <v>0</v>
      </c>
      <c r="O2272" s="26" t="n">
        <v>2</v>
      </c>
      <c r="P2272" s="30" t="n">
        <v>-12.9158643</v>
      </c>
      <c r="Q2272" s="30" t="n">
        <v>-38.4089668</v>
      </c>
      <c r="R2272" s="14" t="inlineStr">
        <is>
          <t>CARTÓRIO DA 19ª ZONA ELEITORAL, 1ª AVENIDA DO CENTRO ADMINISTRATIVO DA BAHIA, 150, SALVADOR-BA.</t>
        </is>
      </c>
      <c r="S2272" s="26">
        <f>IF(A2272=A2271,0,1)</f>
        <v>0</v>
      </c>
      <c r="T2272" s="26">
        <f>IF(COUNTIF($B$4:B2272,B2272)=1,1,0)</f>
        <v>0</v>
      </c>
    </row>
    <row r="2273">
      <c r="A2273" s="14" t="inlineStr">
        <is>
          <t>SALVADOR</t>
        </is>
      </c>
      <c r="B2273" s="26" t="n">
        <v>19</v>
      </c>
      <c r="C2273" s="26" t="n">
        <v>1619</v>
      </c>
      <c r="D2273" s="14" t="inlineStr">
        <is>
          <t>ESCOLA MUNICIPAL CRISTO REI</t>
        </is>
      </c>
      <c r="E2273" s="14" t="inlineStr">
        <is>
          <t>BOCA DA MATA</t>
        </is>
      </c>
      <c r="F2273" s="14" t="inlineStr">
        <is>
          <t>VIA COLETORA B, FAZENDA GRANDE II, S/N - ZONA URBANA</t>
        </is>
      </c>
      <c r="G2273" s="27" t="inlineStr">
        <is>
          <t>41340-140</t>
        </is>
      </c>
      <c r="H2273" s="15" t="n">
        <v>7</v>
      </c>
      <c r="I2273" s="28" t="inlineStr">
        <is>
          <t>NÃO</t>
        </is>
      </c>
      <c r="J2273" s="29" t="n">
        <v>105.7</v>
      </c>
      <c r="K2273" s="14" t="str">
        <f>IF(J2273="","7. Acima de 2 km",IF(J2273&lt;=50,"1. Até 50 m",IF(J2273&lt;=100,"2. De 50 a 100 m",IF(J2273&lt;=200,"3. De 100 a 200 m",IF(J2273&lt;=300,"4. De 200 a 300 m",IF(J2273&lt;=500,"5. De 300 a 500 m","6. De 500 m a 2 km"))))))</f>
        <v>3. De 100 a 200 m</v>
      </c>
      <c r="L2273" s="26" t="n">
        <v>0</v>
      </c>
      <c r="M2273" s="26" t="n">
        <v>0</v>
      </c>
      <c r="N2273" s="26" t="n">
        <v>1</v>
      </c>
      <c r="O2273" s="26" t="n">
        <v>2</v>
      </c>
      <c r="P2273" s="30" t="n">
        <v>-12.9515068</v>
      </c>
      <c r="Q2273" s="30" t="n">
        <v>-38.4272554</v>
      </c>
      <c r="R2273" s="14" t="inlineStr">
        <is>
          <t>CARTÓRIO DA 19ª ZONA ELEITORAL, 1ª AVENIDA DO CENTRO ADMINISTRATIVO DA BAHIA, 150, SALVADOR-BA.</t>
        </is>
      </c>
      <c r="S2273" s="26">
        <f>IF(A2273=A2272,0,1)</f>
        <v>0</v>
      </c>
      <c r="T2273" s="26">
        <f>IF(COUNTIF($B$4:B2273,B2273)=1,1,0)</f>
        <v>0</v>
      </c>
    </row>
    <row r="2274">
      <c r="A2274" s="14" t="inlineStr">
        <is>
          <t>SALVADOR</t>
        </is>
      </c>
      <c r="B2274" s="26" t="n">
        <v>19</v>
      </c>
      <c r="C2274" s="26" t="n">
        <v>1643</v>
      </c>
      <c r="D2274" s="14" t="inlineStr">
        <is>
          <t>ESCOLA MUNICIPAL PROFESSORA ELISA SALDANHA</t>
        </is>
      </c>
      <c r="E2274" s="14" t="inlineStr">
        <is>
          <t>CAJAZEIRAS</t>
        </is>
      </c>
      <c r="F2274" s="14" t="inlineStr">
        <is>
          <t>FIM DE LINHA DE FAZENDA GRANDE III S/N - ZONA URBANA</t>
        </is>
      </c>
      <c r="G2274" s="27" t="inlineStr">
        <is>
          <t>41340-030</t>
        </is>
      </c>
      <c r="H2274" s="15" t="n">
        <v>8</v>
      </c>
      <c r="I2274" s="28" t="inlineStr">
        <is>
          <t>SIM</t>
        </is>
      </c>
      <c r="J2274" s="29" t="n">
        <v>36</v>
      </c>
      <c r="K2274" s="14" t="str">
        <f>IF(J2274="","7. Acima de 2 km",IF(J2274&lt;=50,"1. Até 50 m",IF(J2274&lt;=100,"2. De 50 a 100 m",IF(J2274&lt;=200,"3. De 100 a 200 m",IF(J2274&lt;=300,"4. De 200 a 300 m",IF(J2274&lt;=500,"5. De 300 a 500 m","6. De 500 m a 2 km"))))))</f>
        <v>1. Até 50 m</v>
      </c>
      <c r="L2274" s="26" t="n">
        <v>1</v>
      </c>
      <c r="M2274" s="26" t="n">
        <v>1</v>
      </c>
      <c r="N2274" s="26" t="n">
        <v>1</v>
      </c>
      <c r="O2274" s="26" t="n">
        <v>1</v>
      </c>
      <c r="P2274" s="30" t="n">
        <v>-12.9083117</v>
      </c>
      <c r="Q2274" s="30" t="n">
        <v>-38.394245</v>
      </c>
      <c r="R2274" s="14" t="inlineStr">
        <is>
          <t>CARTÓRIO DA 19ª ZONA ELEITORAL, 1ª AVENIDA DO CENTRO ADMINISTRATIVO DA BAHIA, 150, SALVADOR-BA.</t>
        </is>
      </c>
      <c r="S2274" s="26">
        <f>IF(A2274=A2273,0,1)</f>
        <v>0</v>
      </c>
      <c r="T2274" s="26">
        <f>IF(COUNTIF($B$4:B2274,B2274)=1,1,0)</f>
        <v>0</v>
      </c>
    </row>
    <row r="2275">
      <c r="A2275" s="14" t="inlineStr">
        <is>
          <t>SALVADOR</t>
        </is>
      </c>
      <c r="B2275" s="26" t="n">
        <v>19</v>
      </c>
      <c r="C2275" s="26" t="n">
        <v>1678</v>
      </c>
      <c r="D2275" s="14" t="inlineStr">
        <is>
          <t>ESCOLA MUNICIPAL DRA. CECY ANDRADE</t>
        </is>
      </c>
      <c r="E2275" s="14" t="inlineStr">
        <is>
          <t>CAJAZEIRAS</t>
        </is>
      </c>
      <c r="F2275" s="14" t="inlineStr">
        <is>
          <t>EST. DO COQUEIRO GRANDE, S/N, SETOR 1, FAZENDA GRANDE IV - ZONA URBANA</t>
        </is>
      </c>
      <c r="G2275" s="27" t="inlineStr">
        <is>
          <t>41340-060</t>
        </is>
      </c>
      <c r="H2275" s="15" t="n">
        <v>6</v>
      </c>
      <c r="I2275" s="28" t="inlineStr">
        <is>
          <t>NÃO</t>
        </is>
      </c>
      <c r="J2275" s="29" t="n">
        <v>239.3</v>
      </c>
      <c r="K2275" s="14" t="str">
        <f>IF(J2275="","7. Acima de 2 km",IF(J2275&lt;=50,"1. Até 50 m",IF(J2275&lt;=100,"2. De 50 a 100 m",IF(J2275&lt;=200,"3. De 100 a 200 m",IF(J2275&lt;=300,"4. De 200 a 300 m",IF(J2275&lt;=500,"5. De 300 a 500 m","6. De 500 m a 2 km"))))))</f>
        <v>4. De 200 a 300 m</v>
      </c>
      <c r="L2275" s="26" t="n">
        <v>0</v>
      </c>
      <c r="M2275" s="26" t="n">
        <v>0</v>
      </c>
      <c r="N2275" s="26" t="n">
        <v>0</v>
      </c>
      <c r="O2275" s="26" t="n">
        <v>2</v>
      </c>
      <c r="P2275" s="30" t="n">
        <v>-12.9504532</v>
      </c>
      <c r="Q2275" s="30" t="n">
        <v>-38.4280705</v>
      </c>
      <c r="R2275" s="14" t="inlineStr">
        <is>
          <t>CARTÓRIO DA 19ª ZONA ELEITORAL, 1ª AVENIDA DO CENTRO ADMINISTRATIVO DA BAHIA, 150, SALVADOR-BA.</t>
        </is>
      </c>
      <c r="S2275" s="26">
        <f>IF(A2275=A2274,0,1)</f>
        <v>0</v>
      </c>
      <c r="T2275" s="26">
        <f>IF(COUNTIF($B$4:B2275,B2275)=1,1,0)</f>
        <v>0</v>
      </c>
    </row>
    <row r="2276">
      <c r="A2276" s="14" t="inlineStr">
        <is>
          <t>SALVADOR</t>
        </is>
      </c>
      <c r="B2276" s="26" t="n">
        <v>19</v>
      </c>
      <c r="C2276" s="26" t="n">
        <v>1686</v>
      </c>
      <c r="D2276" s="14" t="inlineStr">
        <is>
          <t>ESCOLA MUNICIPAL NOVO MAROTINHO</t>
        </is>
      </c>
      <c r="E2276" s="14" t="inlineStr">
        <is>
          <t>NOVO MAROTINHO</t>
        </is>
      </c>
      <c r="F2276" s="14" t="inlineStr">
        <is>
          <t>EVA KM 5,5 - ZONA URBANA</t>
        </is>
      </c>
      <c r="G2276" s="27" t="inlineStr">
        <is>
          <t>41388-006</t>
        </is>
      </c>
      <c r="H2276" s="15" t="n">
        <v>8</v>
      </c>
      <c r="I2276" s="28" t="inlineStr">
        <is>
          <t>SIM</t>
        </is>
      </c>
      <c r="J2276" s="29" t="n">
        <v>65.5</v>
      </c>
      <c r="K2276" s="14" t="str">
        <f>IF(J2276="","7. Acima de 2 km",IF(J2276&lt;=50,"1. Até 50 m",IF(J2276&lt;=100,"2. De 50 a 100 m",IF(J2276&lt;=200,"3. De 100 a 200 m",IF(J2276&lt;=300,"4. De 200 a 300 m",IF(J2276&lt;=500,"5. De 300 a 500 m","6. De 500 m a 2 km"))))))</f>
        <v>2. De 50 a 100 m</v>
      </c>
      <c r="L2276" s="26" t="n">
        <v>0</v>
      </c>
      <c r="M2276" s="26" t="n">
        <v>1</v>
      </c>
      <c r="N2276" s="26" t="n">
        <v>1</v>
      </c>
      <c r="O2276" s="26" t="n">
        <v>1</v>
      </c>
      <c r="P2276" s="30" t="n">
        <v>-12.9182731</v>
      </c>
      <c r="Q2276" s="30" t="n">
        <v>-38.4082308</v>
      </c>
      <c r="R2276" s="14" t="inlineStr">
        <is>
          <t>CARTÓRIO DA 19ª ZONA ELEITORAL, 1ª AVENIDA DO CENTRO ADMINISTRATIVO DA BAHIA, 150, SALVADOR-BA.</t>
        </is>
      </c>
      <c r="S2276" s="26">
        <f>IF(A2276=A2275,0,1)</f>
        <v>0</v>
      </c>
      <c r="T2276" s="26">
        <f>IF(COUNTIF($B$4:B2276,B2276)=1,1,0)</f>
        <v>0</v>
      </c>
    </row>
    <row r="2277">
      <c r="A2277" s="14" t="inlineStr">
        <is>
          <t>SALVADOR</t>
        </is>
      </c>
      <c r="B2277" s="26" t="n">
        <v>19</v>
      </c>
      <c r="C2277" s="26" t="n">
        <v>1694</v>
      </c>
      <c r="D2277" s="14" t="inlineStr">
        <is>
          <t>ESCOLA MUNICIPAL IRMÃ ELISA MARIA</t>
        </is>
      </c>
      <c r="E2277" s="14" t="inlineStr">
        <is>
          <t>NOVA BRASÍLIA</t>
        </is>
      </c>
      <c r="F2277" s="14" t="inlineStr">
        <is>
          <t>RUA DIVALDO PEREIRA FRANCO, S/N  - ZONA URBANA</t>
        </is>
      </c>
      <c r="G2277" s="27" t="inlineStr">
        <is>
          <t>40300-480</t>
        </is>
      </c>
      <c r="H2277" s="15" t="n">
        <v>7</v>
      </c>
      <c r="I2277" s="28" t="inlineStr">
        <is>
          <t>NÃO</t>
        </is>
      </c>
      <c r="J2277" s="29" t="n">
        <v>273.2</v>
      </c>
      <c r="K2277" s="14" t="str">
        <f>IF(J2277="","7. Acima de 2 km",IF(J2277&lt;=50,"1. Até 50 m",IF(J2277&lt;=100,"2. De 50 a 100 m",IF(J2277&lt;=200,"3. De 100 a 200 m",IF(J2277&lt;=300,"4. De 200 a 300 m",IF(J2277&lt;=500,"5. De 300 a 500 m","6. De 500 m a 2 km"))))))</f>
        <v>4. De 200 a 300 m</v>
      </c>
      <c r="L2277" s="26" t="n">
        <v>0</v>
      </c>
      <c r="M2277" s="26" t="n">
        <v>0</v>
      </c>
      <c r="N2277" s="26" t="n">
        <v>0</v>
      </c>
      <c r="O2277" s="26" t="n">
        <v>3</v>
      </c>
      <c r="P2277" s="30" t="n">
        <v>-12.916765</v>
      </c>
      <c r="Q2277" s="30" t="n">
        <v>-38.4195333</v>
      </c>
      <c r="R2277" s="14" t="inlineStr">
        <is>
          <t>CARTÓRIO DA 19ª ZONA ELEITORAL, 1ª AVENIDA DO CENTRO ADMINISTRATIVO DA BAHIA, 150, SALVADOR-BA.</t>
        </is>
      </c>
      <c r="S2277" s="26">
        <f>IF(A2277=A2276,0,1)</f>
        <v>0</v>
      </c>
      <c r="T2277" s="26">
        <f>IF(COUNTIF($B$4:B2277,B2277)=1,1,0)</f>
        <v>0</v>
      </c>
    </row>
    <row r="2278">
      <c r="A2278" s="14" t="inlineStr">
        <is>
          <t>SALVADOR</t>
        </is>
      </c>
      <c r="B2278" s="26" t="n">
        <v>19</v>
      </c>
      <c r="C2278" s="26" t="n">
        <v>1708</v>
      </c>
      <c r="D2278" s="14" t="inlineStr">
        <is>
          <t>COLÉGIO ESTADUAL DONA LEONOR CALMON</t>
        </is>
      </c>
      <c r="E2278" s="14" t="inlineStr">
        <is>
          <t>CAJAZEIRAS</t>
        </is>
      </c>
      <c r="F2278" s="14" t="inlineStr">
        <is>
          <t>EST. DO COQUEIRO GRANDE S/N FAZENDA GRANDE II - ZONA URBANA</t>
        </is>
      </c>
      <c r="G2278" s="27" t="inlineStr">
        <is>
          <t>41340-050</t>
        </is>
      </c>
      <c r="H2278" s="15" t="n">
        <v>15</v>
      </c>
      <c r="I2278" s="28" t="inlineStr">
        <is>
          <t>NÃO</t>
        </is>
      </c>
      <c r="J2278" s="29" t="n">
        <v>429.4</v>
      </c>
      <c r="K2278" s="14" t="str">
        <f>IF(J2278="","7. Acima de 2 km",IF(J2278&lt;=50,"1. Até 50 m",IF(J2278&lt;=100,"2. De 50 a 100 m",IF(J2278&lt;=200,"3. De 100 a 200 m",IF(J2278&lt;=300,"4. De 200 a 300 m",IF(J2278&lt;=500,"5. De 300 a 500 m","6. De 500 m a 2 km"))))))</f>
        <v>5. De 300 a 500 m</v>
      </c>
      <c r="L2278" s="26" t="n">
        <v>0</v>
      </c>
      <c r="M2278" s="26" t="n">
        <v>0</v>
      </c>
      <c r="N2278" s="26" t="n">
        <v>0</v>
      </c>
      <c r="O2278" s="26" t="n">
        <v>0</v>
      </c>
      <c r="P2278" s="30" t="n">
        <v>-12.90487</v>
      </c>
      <c r="Q2278" s="30" t="n">
        <v>-38.4067633</v>
      </c>
      <c r="R2278" s="14" t="inlineStr">
        <is>
          <t>CARTÓRIO DA 19ª ZONA ELEITORAL, 1ª AVENIDA DO CENTRO ADMINISTRATIVO DA BAHIA, 150, SALVADOR-BA.</t>
        </is>
      </c>
      <c r="S2278" s="26">
        <f>IF(A2278=A2277,0,1)</f>
        <v>0</v>
      </c>
      <c r="T2278" s="26">
        <f>IF(COUNTIF($B$4:B2278,B2278)=1,1,0)</f>
        <v>0</v>
      </c>
    </row>
    <row r="2279">
      <c r="A2279" s="14" t="inlineStr">
        <is>
          <t>SALVADOR</t>
        </is>
      </c>
      <c r="B2279" s="26" t="n">
        <v>19</v>
      </c>
      <c r="C2279" s="26" t="n">
        <v>1716</v>
      </c>
      <c r="D2279" s="14" t="inlineStr">
        <is>
          <t>ESCOLA MUNICIPAL ULYSSES GUIMARÃES</t>
        </is>
      </c>
      <c r="E2279" s="14" t="inlineStr">
        <is>
          <t>CAJAZEIRAS</t>
        </is>
      </c>
      <c r="F2279" s="14" t="inlineStr">
        <is>
          <t>RUA C QUADRA C SETOR 2 FAZENDA GRANDE II - ZONA URBANA</t>
        </is>
      </c>
      <c r="G2279" s="27" t="inlineStr">
        <is>
          <t>41340-300</t>
        </is>
      </c>
      <c r="H2279" s="15" t="n">
        <v>9</v>
      </c>
      <c r="I2279" s="28" t="inlineStr">
        <is>
          <t>NÃO</t>
        </is>
      </c>
      <c r="J2279" s="29" t="n">
        <v>325.3</v>
      </c>
      <c r="K2279" s="14" t="str">
        <f>IF(J2279="","7. Acima de 2 km",IF(J2279&lt;=50,"1. Até 50 m",IF(J2279&lt;=100,"2. De 50 a 100 m",IF(J2279&lt;=200,"3. De 100 a 200 m",IF(J2279&lt;=300,"4. De 200 a 300 m",IF(J2279&lt;=500,"5. De 300 a 500 m","6. De 500 m a 2 km"))))))</f>
        <v>5. De 300 a 500 m</v>
      </c>
      <c r="L2279" s="26" t="n">
        <v>0</v>
      </c>
      <c r="M2279" s="26" t="n">
        <v>0</v>
      </c>
      <c r="N2279" s="26" t="n">
        <v>0</v>
      </c>
      <c r="O2279" s="26" t="n">
        <v>0</v>
      </c>
      <c r="P2279" s="30" t="n">
        <v>-12.893525</v>
      </c>
      <c r="Q2279" s="30" t="n">
        <v>-38.4063983</v>
      </c>
      <c r="R2279" s="14" t="inlineStr">
        <is>
          <t>CARTÓRIO DA 19ª ZONA ELEITORAL, 1ª AVENIDA DO CENTRO ADMINISTRATIVO DA BAHIA, 150, SALVADOR-BA.</t>
        </is>
      </c>
      <c r="S2279" s="26">
        <f>IF(A2279=A2278,0,1)</f>
        <v>0</v>
      </c>
      <c r="T2279" s="26">
        <f>IF(COUNTIF($B$4:B2279,B2279)=1,1,0)</f>
        <v>0</v>
      </c>
    </row>
    <row r="2280">
      <c r="A2280" s="14" t="inlineStr">
        <is>
          <t>SALVADOR</t>
        </is>
      </c>
      <c r="B2280" s="26" t="n">
        <v>19</v>
      </c>
      <c r="C2280" s="26" t="n">
        <v>1732</v>
      </c>
      <c r="D2280" s="14" t="inlineStr">
        <is>
          <t>ESCOLA MUNICIPAL PROFESSORA IRENE DA SILVA COSTA SANTOS</t>
        </is>
      </c>
      <c r="E2280" s="14" t="inlineStr">
        <is>
          <t>JARDIM NOVA ESPERANÇA</t>
        </is>
      </c>
      <c r="F2280" s="14" t="inlineStr">
        <is>
          <t>RUA SIMONE BARRADAS, LOTE 24/ 25 - ZONA URBANA</t>
        </is>
      </c>
      <c r="G2280" s="27" t="inlineStr">
        <is>
          <t>41370-170</t>
        </is>
      </c>
      <c r="H2280" s="15" t="n">
        <v>9</v>
      </c>
      <c r="I2280" s="28" t="inlineStr">
        <is>
          <t>SIM</t>
        </is>
      </c>
      <c r="J2280" s="29" t="n">
        <v>46.5</v>
      </c>
      <c r="K2280" s="14" t="str">
        <f>IF(J2280="","7. Acima de 2 km",IF(J2280&lt;=50,"1. Até 50 m",IF(J2280&lt;=100,"2. De 50 a 100 m",IF(J2280&lt;=200,"3. De 100 a 200 m",IF(J2280&lt;=300,"4. De 200 a 300 m",IF(J2280&lt;=500,"5. De 300 a 500 m","6. De 500 m a 2 km"))))))</f>
        <v>1. Até 50 m</v>
      </c>
      <c r="L2280" s="26" t="n">
        <v>2</v>
      </c>
      <c r="M2280" s="26" t="n">
        <v>2</v>
      </c>
      <c r="N2280" s="26" t="n">
        <v>3</v>
      </c>
      <c r="O2280" s="26" t="n">
        <v>3</v>
      </c>
      <c r="P2280" s="30" t="n">
        <v>-12.9172417</v>
      </c>
      <c r="Q2280" s="30" t="n">
        <v>-38.4220567</v>
      </c>
      <c r="R2280" s="14" t="inlineStr">
        <is>
          <t>CARTÓRIO DA 19ª ZONA ELEITORAL, 1ª AVENIDA DO CENTRO ADMINISTRATIVO DA BAHIA, 150, SALVADOR-BA.</t>
        </is>
      </c>
      <c r="S2280" s="26">
        <f>IF(A2280=A2279,0,1)</f>
        <v>0</v>
      </c>
      <c r="T2280" s="26">
        <f>IF(COUNTIF($B$4:B2280,B2280)=1,1,0)</f>
        <v>0</v>
      </c>
    </row>
    <row r="2281">
      <c r="A2281" s="14" t="inlineStr">
        <is>
          <t>SALVADOR</t>
        </is>
      </c>
      <c r="B2281" s="26" t="n">
        <v>19</v>
      </c>
      <c r="C2281" s="26" t="n">
        <v>1740</v>
      </c>
      <c r="D2281" s="14" t="inlineStr">
        <is>
          <t>ESCOLA MUNICIPAL DA FAZENDA GRANDE II</t>
        </is>
      </c>
      <c r="E2281" s="14" t="inlineStr">
        <is>
          <t>CAJAZEIRAS</t>
        </is>
      </c>
      <c r="F2281" s="14" t="inlineStr">
        <is>
          <t>VIA LOCAL C, S/N, FAZENDA GRANDE II - ZONA URBANA</t>
        </is>
      </c>
      <c r="G2281" s="27" t="inlineStr">
        <is>
          <t>41330-010</t>
        </is>
      </c>
      <c r="H2281" s="15" t="n">
        <v>8</v>
      </c>
      <c r="I2281" s="28" t="inlineStr">
        <is>
          <t>NÃO</t>
        </is>
      </c>
      <c r="J2281" s="29" t="n">
        <v>526.3</v>
      </c>
      <c r="K2281" s="14" t="str">
        <f>IF(J2281="","7. Acima de 2 km",IF(J2281&lt;=50,"1. Até 50 m",IF(J2281&lt;=100,"2. De 50 a 100 m",IF(J2281&lt;=200,"3. De 100 a 200 m",IF(J2281&lt;=300,"4. De 200 a 300 m",IF(J2281&lt;=500,"5. De 300 a 500 m","6. De 500 m a 2 km"))))))</f>
        <v>6. De 500 m a 2 km</v>
      </c>
      <c r="L2281" s="26" t="n">
        <v>0</v>
      </c>
      <c r="M2281" s="26" t="n">
        <v>0</v>
      </c>
      <c r="N2281" s="26" t="n">
        <v>0</v>
      </c>
      <c r="O2281" s="26" t="n">
        <v>0</v>
      </c>
      <c r="P2281" s="30" t="n">
        <v>-12.9034486</v>
      </c>
      <c r="Q2281" s="30" t="n">
        <v>-38.3948822</v>
      </c>
      <c r="R2281" s="14" t="inlineStr">
        <is>
          <t>CARTÓRIO DA 19ª ZONA ELEITORAL, 1ª AVENIDA DO CENTRO ADMINISTRATIVO DA BAHIA, 150, SALVADOR-BA.</t>
        </is>
      </c>
      <c r="S2281" s="26">
        <f>IF(A2281=A2280,0,1)</f>
        <v>0</v>
      </c>
      <c r="T2281" s="26">
        <f>IF(COUNTIF($B$4:B2281,B2281)=1,1,0)</f>
        <v>0</v>
      </c>
    </row>
    <row r="2282">
      <c r="A2282" s="14" t="inlineStr">
        <is>
          <t>SALVADOR</t>
        </is>
      </c>
      <c r="B2282" s="26" t="n">
        <v>19</v>
      </c>
      <c r="C2282" s="26" t="n">
        <v>1759</v>
      </c>
      <c r="D2282" s="14" t="inlineStr">
        <is>
          <t>ESCOLA MUNICIPAL PROFESSOR MANOEL DE ALMEIDA CRUZ</t>
        </is>
      </c>
      <c r="E2282" s="14" t="inlineStr">
        <is>
          <t>CAJAZEIRAS XI</t>
        </is>
      </c>
      <c r="F2282" s="14" t="inlineStr">
        <is>
          <t>RUA E, QD F - ZONA URBANA</t>
        </is>
      </c>
      <c r="G2282" s="27" t="inlineStr">
        <is>
          <t>41341-350</t>
        </is>
      </c>
      <c r="H2282" s="15" t="n">
        <v>8</v>
      </c>
      <c r="I2282" s="28" t="inlineStr">
        <is>
          <t>NÃO</t>
        </is>
      </c>
      <c r="J2282" s="29" t="n">
        <v>857.8</v>
      </c>
      <c r="K2282" s="14" t="str">
        <f>IF(J2282="","7. Acima de 2 km",IF(J2282&lt;=50,"1. Até 50 m",IF(J2282&lt;=100,"2. De 50 a 100 m",IF(J2282&lt;=200,"3. De 100 a 200 m",IF(J2282&lt;=300,"4. De 200 a 300 m",IF(J2282&lt;=500,"5. De 300 a 500 m","6. De 500 m a 2 km"))))))</f>
        <v>6. De 500 m a 2 km</v>
      </c>
      <c r="L2282" s="26" t="n">
        <v>0</v>
      </c>
      <c r="M2282" s="26" t="n">
        <v>0</v>
      </c>
      <c r="N2282" s="26" t="n">
        <v>0</v>
      </c>
      <c r="O2282" s="26" t="n">
        <v>0</v>
      </c>
      <c r="P2282" s="30" t="n">
        <v>-12.88364</v>
      </c>
      <c r="Q2282" s="30" t="n">
        <v>-38.4094517</v>
      </c>
      <c r="R2282" s="14" t="inlineStr">
        <is>
          <t>CARTÓRIO DA 19ª ZONA ELEITORAL, 1ª AVENIDA DO CENTRO ADMINISTRATIVO DA BAHIA, 150, SALVADOR-BA.</t>
        </is>
      </c>
      <c r="S2282" s="26">
        <f>IF(A2282=A2281,0,1)</f>
        <v>0</v>
      </c>
      <c r="T2282" s="26">
        <f>IF(COUNTIF($B$4:B2282,B2282)=1,1,0)</f>
        <v>0</v>
      </c>
    </row>
    <row r="2283">
      <c r="A2283" s="14" t="inlineStr">
        <is>
          <t>SALVADOR</t>
        </is>
      </c>
      <c r="B2283" s="26" t="n">
        <v>19</v>
      </c>
      <c r="C2283" s="26" t="n">
        <v>1767</v>
      </c>
      <c r="D2283" s="14" t="inlineStr">
        <is>
          <t>COLÉGIO ESTADUAL PROF. NELSON BARROS</t>
        </is>
      </c>
      <c r="E2283" s="14" t="inlineStr">
        <is>
          <t>CAJAZEIRAS X</t>
        </is>
      </c>
      <c r="F2283" s="14" t="inlineStr">
        <is>
          <t>RUA C, QUADRA C, SETOR 1, S/N - ZONA URBANA</t>
        </is>
      </c>
      <c r="G2283" s="27" t="inlineStr">
        <is>
          <t>41330-000</t>
        </is>
      </c>
      <c r="H2283" s="15" t="n">
        <v>13</v>
      </c>
      <c r="I2283" s="28" t="inlineStr">
        <is>
          <t>SIM</t>
        </is>
      </c>
      <c r="J2283" s="29" t="n">
        <v>77</v>
      </c>
      <c r="K2283" s="14" t="str">
        <f>IF(J2283="","7. Acima de 2 km",IF(J2283&lt;=50,"1. Até 50 m",IF(J2283&lt;=100,"2. De 50 a 100 m",IF(J2283&lt;=200,"3. De 100 a 200 m",IF(J2283&lt;=300,"4. De 200 a 300 m",IF(J2283&lt;=500,"5. De 300 a 500 m","6. De 500 m a 2 km"))))))</f>
        <v>2. De 50 a 100 m</v>
      </c>
      <c r="L2283" s="26" t="n">
        <v>0</v>
      </c>
      <c r="M2283" s="26" t="n">
        <v>1</v>
      </c>
      <c r="N2283" s="26" t="n">
        <v>1</v>
      </c>
      <c r="O2283" s="26" t="n">
        <v>1</v>
      </c>
      <c r="P2283" s="30" t="n">
        <v>-12.9001617</v>
      </c>
      <c r="Q2283" s="30" t="n">
        <v>-38.407735</v>
      </c>
      <c r="R2283" s="14" t="inlineStr">
        <is>
          <t>CARTÓRIO DA 19ª ZONA ELEITORAL, 1ª AVENIDA DO CENTRO ADMINISTRATIVO DA BAHIA, 150, SALVADOR-BA.</t>
        </is>
      </c>
      <c r="S2283" s="26">
        <f>IF(A2283=A2282,0,1)</f>
        <v>0</v>
      </c>
      <c r="T2283" s="26">
        <f>IF(COUNTIF($B$4:B2283,B2283)=1,1,0)</f>
        <v>0</v>
      </c>
    </row>
    <row r="2284">
      <c r="A2284" s="14" t="inlineStr">
        <is>
          <t>SALVADOR</t>
        </is>
      </c>
      <c r="B2284" s="26" t="n">
        <v>19</v>
      </c>
      <c r="C2284" s="26" t="n">
        <v>1775</v>
      </c>
      <c r="D2284" s="14" t="inlineStr">
        <is>
          <t>ESCOLA MUNICIPAL MARIA ANTONIETA ALFARANO</t>
        </is>
      </c>
      <c r="E2284" s="14" t="inlineStr">
        <is>
          <t>CAJAZEIRAS XI</t>
        </is>
      </c>
      <c r="F2284" s="14" t="inlineStr">
        <is>
          <t>LARGO DO CABO VERDE, S/N - ZONA URBANA</t>
        </is>
      </c>
      <c r="G2284" s="27" t="inlineStr">
        <is>
          <t>41245-130</t>
        </is>
      </c>
      <c r="H2284" s="15" t="n">
        <v>6</v>
      </c>
      <c r="I2284" s="28" t="inlineStr">
        <is>
          <t>NÃO</t>
        </is>
      </c>
      <c r="J2284" s="29" t="n">
        <v>568.2</v>
      </c>
      <c r="K2284" s="14" t="str">
        <f>IF(J2284="","7. Acima de 2 km",IF(J2284&lt;=50,"1. Até 50 m",IF(J2284&lt;=100,"2. De 50 a 100 m",IF(J2284&lt;=200,"3. De 100 a 200 m",IF(J2284&lt;=300,"4. De 200 a 300 m",IF(J2284&lt;=500,"5. De 300 a 500 m","6. De 500 m a 2 km"))))))</f>
        <v>6. De 500 m a 2 km</v>
      </c>
      <c r="L2284" s="26" t="n">
        <v>0</v>
      </c>
      <c r="M2284" s="26" t="n">
        <v>0</v>
      </c>
      <c r="N2284" s="26" t="n">
        <v>0</v>
      </c>
      <c r="O2284" s="26" t="n">
        <v>0</v>
      </c>
      <c r="P2284" s="30" t="n">
        <v>-12.8889347</v>
      </c>
      <c r="Q2284" s="30" t="n">
        <v>-38.4016566</v>
      </c>
      <c r="R2284" s="14" t="inlineStr">
        <is>
          <t>CARTÓRIO DA 19ª ZONA ELEITORAL, 1ª AVENIDA DO CENTRO ADMINISTRATIVO DA BAHIA, 150, SALVADOR-BA.</t>
        </is>
      </c>
      <c r="S2284" s="26">
        <f>IF(A2284=A2283,0,1)</f>
        <v>0</v>
      </c>
      <c r="T2284" s="26">
        <f>IF(COUNTIF($B$4:B2284,B2284)=1,1,0)</f>
        <v>0</v>
      </c>
    </row>
    <row r="2285">
      <c r="A2285" s="14" t="inlineStr">
        <is>
          <t>SALVADOR</t>
        </is>
      </c>
      <c r="B2285" s="26" t="n">
        <v>19</v>
      </c>
      <c r="C2285" s="26" t="n">
        <v>1791</v>
      </c>
      <c r="D2285" s="14" t="inlineStr">
        <is>
          <t>ESCOLA MUNICIPAL DE CAJAZEIRAS XI</t>
        </is>
      </c>
      <c r="E2285" s="14" t="inlineStr">
        <is>
          <t>CAJAZEIRAS XI</t>
        </is>
      </c>
      <c r="F2285" s="14" t="inlineStr">
        <is>
          <t>RUA JORNALISTA JOSÉ CURVELLO, 419 (RETORNO DO PONTO XI) - ZONA URBANA</t>
        </is>
      </c>
      <c r="G2285" s="27" t="inlineStr">
        <is>
          <t>41330-030</t>
        </is>
      </c>
      <c r="H2285" s="15" t="n">
        <v>11</v>
      </c>
      <c r="I2285" s="28" t="inlineStr">
        <is>
          <t>NÃO</t>
        </is>
      </c>
      <c r="J2285" s="29" t="n">
        <v>946.3</v>
      </c>
      <c r="K2285" s="14" t="str">
        <f>IF(J2285="","7. Acima de 2 km",IF(J2285&lt;=50,"1. Até 50 m",IF(J2285&lt;=100,"2. De 50 a 100 m",IF(J2285&lt;=200,"3. De 100 a 200 m",IF(J2285&lt;=300,"4. De 200 a 300 m",IF(J2285&lt;=500,"5. De 300 a 500 m","6. De 500 m a 2 km"))))))</f>
        <v>6. De 500 m a 2 km</v>
      </c>
      <c r="L2285" s="26" t="n">
        <v>0</v>
      </c>
      <c r="M2285" s="26" t="n">
        <v>0</v>
      </c>
      <c r="N2285" s="26" t="n">
        <v>0</v>
      </c>
      <c r="O2285" s="26" t="n">
        <v>0</v>
      </c>
      <c r="P2285" s="30" t="n">
        <v>-12.88297</v>
      </c>
      <c r="Q2285" s="30" t="n">
        <v>-38.4064017</v>
      </c>
      <c r="R2285" s="14" t="inlineStr">
        <is>
          <t>CARTÓRIO DA 19ª ZONA ELEITORAL, 1ª AVENIDA DO CENTRO ADMINISTRATIVO DA BAHIA, 150, SALVADOR-BA.</t>
        </is>
      </c>
      <c r="S2285" s="26">
        <f>IF(A2285=A2284,0,1)</f>
        <v>0</v>
      </c>
      <c r="T2285" s="26">
        <f>IF(COUNTIF($B$4:B2285,B2285)=1,1,0)</f>
        <v>0</v>
      </c>
    </row>
    <row r="2286">
      <c r="A2286" s="14" t="inlineStr">
        <is>
          <t>SALVADOR</t>
        </is>
      </c>
      <c r="B2286" s="26" t="n">
        <v>19</v>
      </c>
      <c r="C2286" s="26" t="n">
        <v>1813</v>
      </c>
      <c r="D2286" s="14" t="inlineStr">
        <is>
          <t>COLÉGIO ESTADUAL DONA MORA GUIMARÃES</t>
        </is>
      </c>
      <c r="E2286" s="14" t="inlineStr">
        <is>
          <t>CAJAZEIRAS</t>
        </is>
      </c>
      <c r="F2286" s="14" t="inlineStr">
        <is>
          <t>RUA C, QUADRA C, SETOR 2, FAZENDA GRANDE I - ZONA URBANA</t>
        </is>
      </c>
      <c r="G2286" s="27" t="inlineStr">
        <is>
          <t>41340-100</t>
        </is>
      </c>
      <c r="H2286" s="15" t="n">
        <v>16</v>
      </c>
      <c r="I2286" s="28" t="inlineStr">
        <is>
          <t>NÃO</t>
        </is>
      </c>
      <c r="J2286" s="29" t="n">
        <v>204.1</v>
      </c>
      <c r="K2286" s="14" t="str">
        <f>IF(J2286="","7. Acima de 2 km",IF(J2286&lt;=50,"1. Até 50 m",IF(J2286&lt;=100,"2. De 50 a 100 m",IF(J2286&lt;=200,"3. De 100 a 200 m",IF(J2286&lt;=300,"4. De 200 a 300 m",IF(J2286&lt;=500,"5. De 300 a 500 m","6. De 500 m a 2 km"))))))</f>
        <v>4. De 200 a 300 m</v>
      </c>
      <c r="L2286" s="26" t="n">
        <v>0</v>
      </c>
      <c r="M2286" s="26" t="n">
        <v>0</v>
      </c>
      <c r="N2286" s="26" t="n">
        <v>0</v>
      </c>
      <c r="O2286" s="26" t="n">
        <v>1</v>
      </c>
      <c r="P2286" s="30" t="n">
        <v>-12.88991</v>
      </c>
      <c r="Q2286" s="30" t="n">
        <v>-38.409575</v>
      </c>
      <c r="R2286" s="14" t="inlineStr">
        <is>
          <t>CARTÓRIO DA 19ª ZONA ELEITORAL, 1ª AVENIDA DO CENTRO ADMINISTRATIVO DA BAHIA, 150, SALVADOR-BA.</t>
        </is>
      </c>
      <c r="S2286" s="26">
        <f>IF(A2286=A2285,0,1)</f>
        <v>0</v>
      </c>
      <c r="T2286" s="26">
        <f>IF(COUNTIF($B$4:B2286,B2286)=1,1,0)</f>
        <v>0</v>
      </c>
    </row>
    <row r="2287">
      <c r="A2287" s="14" t="inlineStr">
        <is>
          <t>SALVADOR</t>
        </is>
      </c>
      <c r="B2287" s="26" t="n">
        <v>19</v>
      </c>
      <c r="C2287" s="26" t="n">
        <v>1821</v>
      </c>
      <c r="D2287" s="14" t="inlineStr">
        <is>
          <t>COLÉGIO ESTADUAL DE NOVA ESPERANÇA</t>
        </is>
      </c>
      <c r="E2287" s="14" t="inlineStr">
        <is>
          <t>NOVA ESPERANÇA</t>
        </is>
      </c>
      <c r="F2287" s="14" t="inlineStr">
        <is>
          <t>RUA VITÓRIA DA CEASA, S/N - ZONA URBANA</t>
        </is>
      </c>
      <c r="G2287" s="27" t="inlineStr">
        <is>
          <t>41400-025</t>
        </is>
      </c>
      <c r="H2287" s="15" t="n">
        <v>8</v>
      </c>
      <c r="I2287" s="28" t="inlineStr">
        <is>
          <t>NÃO</t>
        </is>
      </c>
      <c r="J2287" s="29" t="n">
        <v>620</v>
      </c>
      <c r="K2287" s="14" t="str">
        <f>IF(J2287="","7. Acima de 2 km",IF(J2287&lt;=50,"1. Até 50 m",IF(J2287&lt;=100,"2. De 50 a 100 m",IF(J2287&lt;=200,"3. De 100 a 200 m",IF(J2287&lt;=300,"4. De 200 a 300 m",IF(J2287&lt;=500,"5. De 300 a 500 m","6. De 500 m a 2 km"))))))</f>
        <v>6. De 500 m a 2 km</v>
      </c>
      <c r="L2287" s="26" t="n">
        <v>0</v>
      </c>
      <c r="M2287" s="26" t="n">
        <v>0</v>
      </c>
      <c r="N2287" s="26" t="n">
        <v>0</v>
      </c>
      <c r="O2287" s="26" t="n">
        <v>0</v>
      </c>
      <c r="P2287" s="30" t="n">
        <v>-12.8329467</v>
      </c>
      <c r="Q2287" s="30" t="n">
        <v>-38.376005</v>
      </c>
      <c r="R2287" s="14" t="inlineStr">
        <is>
          <t>CARTÓRIO DA 19ª ZONA ELEITORAL, 1ª AVENIDA DO CENTRO ADMINISTRATIVO DA BAHIA, 150, SALVADOR-BA.</t>
        </is>
      </c>
      <c r="S2287" s="26">
        <f>IF(A2287=A2286,0,1)</f>
        <v>0</v>
      </c>
      <c r="T2287" s="26">
        <f>IF(COUNTIF($B$4:B2287,B2287)=1,1,0)</f>
        <v>0</v>
      </c>
    </row>
    <row r="2288">
      <c r="A2288" s="14" t="inlineStr">
        <is>
          <t>SALVADOR</t>
        </is>
      </c>
      <c r="B2288" s="26" t="n">
        <v>19</v>
      </c>
      <c r="C2288" s="26" t="n">
        <v>1830</v>
      </c>
      <c r="D2288" s="14" t="inlineStr">
        <is>
          <t>ESCOLA MUNICIPAL CORAÇÃO DE MARIA</t>
        </is>
      </c>
      <c r="E2288" s="14" t="inlineStr">
        <is>
          <t>CASSANGE</t>
        </is>
      </c>
      <c r="F2288" s="14" t="inlineStr">
        <is>
          <t>RESIDENCIAL CORAÇÃO DE MARIA, ESTR. DAS PEDREIRAS, S/N, CASSANGE</t>
        </is>
      </c>
      <c r="G2288" s="27" t="inlineStr">
        <is>
          <t>41410-003</t>
        </is>
      </c>
      <c r="H2288" s="15" t="n">
        <v>2</v>
      </c>
      <c r="I2288" s="28" t="inlineStr">
        <is>
          <t>NÃO</t>
        </is>
      </c>
      <c r="J2288" s="29" t="n">
        <v>711</v>
      </c>
      <c r="K2288" s="14" t="str">
        <f>IF(J2288="","7. Acima de 2 km",IF(J2288&lt;=50,"1. Até 50 m",IF(J2288&lt;=100,"2. De 50 a 100 m",IF(J2288&lt;=200,"3. De 100 a 200 m",IF(J2288&lt;=300,"4. De 200 a 300 m",IF(J2288&lt;=500,"5. De 300 a 500 m","6. De 500 m a 2 km"))))))</f>
        <v>6. De 500 m a 2 km</v>
      </c>
      <c r="L2288" s="26" t="n">
        <v>0</v>
      </c>
      <c r="M2288" s="26" t="n">
        <v>0</v>
      </c>
      <c r="N2288" s="26" t="n">
        <v>0</v>
      </c>
      <c r="O2288" s="26" t="n">
        <v>0</v>
      </c>
      <c r="P2288" s="30" t="n">
        <v>-12.8339117</v>
      </c>
      <c r="Q2288" s="30" t="n">
        <v>-38.3780367</v>
      </c>
      <c r="R2288" s="14" t="inlineStr">
        <is>
          <t>CARTÓRIO DA 19ª ZONA ELEITORAL, 1ª AVENIDA DO CENTRO ADMINISTRATIVO DA BAHIA, 150, SALVADOR-BA.</t>
        </is>
      </c>
      <c r="S2288" s="26">
        <f>IF(A2288=A2287,0,1)</f>
        <v>0</v>
      </c>
      <c r="T2288" s="26">
        <f>IF(COUNTIF($B$4:B2288,B2288)=1,1,0)</f>
        <v>0</v>
      </c>
    </row>
    <row r="2289">
      <c r="A2289" s="14" t="inlineStr">
        <is>
          <t>SALVADOR</t>
        </is>
      </c>
      <c r="B2289" s="26" t="n">
        <v>19</v>
      </c>
      <c r="C2289" s="26" t="n">
        <v>1848</v>
      </c>
      <c r="D2289" s="14" t="inlineStr">
        <is>
          <t>ESCOLA MUNICIPAL MAURÍCIO JOSÉ BARBOSA</t>
        </is>
      </c>
      <c r="E2289" s="14" t="inlineStr">
        <is>
          <t>NOVA ESPERANÇA</t>
        </is>
      </c>
      <c r="F2289" s="14" t="inlineStr">
        <is>
          <t>ESTRADA DO ARENOSO, 250, RESIDENCIAL SOL NASCENTE 2 - ZONA URBANA</t>
        </is>
      </c>
      <c r="G2289" s="27" t="inlineStr">
        <is>
          <t>41402-090</t>
        </is>
      </c>
      <c r="H2289" s="15" t="n">
        <v>2</v>
      </c>
      <c r="I2289" s="28" t="inlineStr">
        <is>
          <t>NÃO</t>
        </is>
      </c>
      <c r="J2289" s="29" t="n">
        <v>489</v>
      </c>
      <c r="K2289" s="14" t="str">
        <f>IF(J2289="","7. Acima de 2 km",IF(J2289&lt;=50,"1. Até 50 m",IF(J2289&lt;=100,"2. De 50 a 100 m",IF(J2289&lt;=200,"3. De 100 a 200 m",IF(J2289&lt;=300,"4. De 200 a 300 m",IF(J2289&lt;=500,"5. De 300 a 500 m","6. De 500 m a 2 km"))))))</f>
        <v>5. De 300 a 500 m</v>
      </c>
      <c r="L2289" s="26" t="n">
        <v>0</v>
      </c>
      <c r="M2289" s="26" t="n">
        <v>0</v>
      </c>
      <c r="N2289" s="26" t="n">
        <v>0</v>
      </c>
      <c r="O2289" s="26" t="n">
        <v>0</v>
      </c>
      <c r="P2289" s="30" t="n">
        <v>-12.8868283</v>
      </c>
      <c r="Q2289" s="30" t="n">
        <v>-38.3630883</v>
      </c>
      <c r="R2289" s="14" t="inlineStr">
        <is>
          <t>CARTÓRIO DA 19ª ZONA ELEITORAL, 1ª AVENIDA DO CENTRO ADMINISTRATIVO DA BAHIA, 150, SALVADOR-BA.</t>
        </is>
      </c>
      <c r="S2289" s="26">
        <f>IF(A2289=A2288,0,1)</f>
        <v>0</v>
      </c>
      <c r="T2289" s="26">
        <f>IF(COUNTIF($B$4:B2289,B2289)=1,1,0)</f>
        <v>0</v>
      </c>
    </row>
    <row r="2290">
      <c r="A2290" s="14" t="inlineStr">
        <is>
          <t>SALVADOR</t>
        </is>
      </c>
      <c r="B2290" s="26" t="n">
        <v>19</v>
      </c>
      <c r="C2290" s="26" t="n">
        <v>1856</v>
      </c>
      <c r="D2290" s="14" t="inlineStr">
        <is>
          <t>ESCOLA MUNICIPAL PADRE MANUEL CORREIA DE SOUZA</t>
        </is>
      </c>
      <c r="E2290" s="14" t="inlineStr">
        <is>
          <t>MUSSURUNGA I</t>
        </is>
      </c>
      <c r="F2290" s="14" t="inlineStr">
        <is>
          <t>RUA AMÉRICA DOURADA, 121</t>
        </is>
      </c>
      <c r="G2290" s="27" t="inlineStr">
        <is>
          <t>41490-201</t>
        </is>
      </c>
      <c r="H2290" s="15" t="n">
        <v>13</v>
      </c>
      <c r="I2290" s="28" t="inlineStr">
        <is>
          <t>SIM</t>
        </is>
      </c>
      <c r="J2290" s="29" t="n">
        <v>47.1</v>
      </c>
      <c r="K2290" s="14" t="str">
        <f>IF(J2290="","7. Acima de 2 km",IF(J2290&lt;=50,"1. Até 50 m",IF(J2290&lt;=100,"2. De 50 a 100 m",IF(J2290&lt;=200,"3. De 100 a 200 m",IF(J2290&lt;=300,"4. De 200 a 300 m",IF(J2290&lt;=500,"5. De 300 a 500 m","6. De 500 m a 2 km"))))))</f>
        <v>1. Até 50 m</v>
      </c>
      <c r="L2290" s="26" t="n">
        <v>1</v>
      </c>
      <c r="M2290" s="26" t="n">
        <v>1</v>
      </c>
      <c r="N2290" s="26" t="n">
        <v>1</v>
      </c>
      <c r="O2290" s="26" t="n">
        <v>2</v>
      </c>
      <c r="P2290" s="30" t="n">
        <v>-12.9137367</v>
      </c>
      <c r="Q2290" s="30" t="n">
        <v>-38.3664</v>
      </c>
      <c r="R2290" s="14" t="inlineStr">
        <is>
          <t>CARTÓRIO DA 19ª ZONA ELEITORAL, 1ª AVENIDA DO CENTRO ADMINISTRATIVO DA BAHIA, 150, SALVADOR-BA.</t>
        </is>
      </c>
      <c r="S2290" s="26">
        <f>IF(A2290=A2289,0,1)</f>
        <v>0</v>
      </c>
      <c r="T2290" s="26">
        <f>IF(COUNTIF($B$4:B2290,B2290)=1,1,0)</f>
        <v>0</v>
      </c>
    </row>
    <row r="2291">
      <c r="A2291" s="14" t="inlineStr">
        <is>
          <t>SANTA MARIA DA VITÓRIA</t>
        </is>
      </c>
      <c r="B2291" s="26" t="n">
        <v>72</v>
      </c>
      <c r="C2291" s="26" t="n">
        <v>1015</v>
      </c>
      <c r="D2291" s="14" t="inlineStr">
        <is>
          <t>COLÉGIO ESTADUAL ROLANDO LARANJEIRA BARBOSA</t>
        </is>
      </c>
      <c r="E2291" s="14" t="inlineStr">
        <is>
          <t>CENTRO</t>
        </is>
      </c>
      <c r="F2291" s="14" t="inlineStr">
        <is>
          <t>RUA GONCALVES LEDO SN - CENTRO</t>
        </is>
      </c>
      <c r="G2291" s="27" t="inlineStr">
        <is>
          <t>47640-000</t>
        </is>
      </c>
      <c r="H2291" s="15" t="n">
        <v>7</v>
      </c>
      <c r="I2291" s="28" t="inlineStr">
        <is>
          <t>NÃO</t>
        </is>
      </c>
      <c r="J2291" s="29" t="n">
        <v>203.7</v>
      </c>
      <c r="K2291" s="14" t="str">
        <f>IF(J2291="","7. Acima de 2 km",IF(J2291&lt;=50,"1. Até 50 m",IF(J2291&lt;=100,"2. De 50 a 100 m",IF(J2291&lt;=200,"3. De 100 a 200 m",IF(J2291&lt;=300,"4. De 200 a 300 m",IF(J2291&lt;=500,"5. De 300 a 500 m","6. De 500 m a 2 km"))))))</f>
        <v>4. De 200 a 300 m</v>
      </c>
      <c r="L2291" s="26" t="n">
        <v>0</v>
      </c>
      <c r="M2291" s="26" t="n">
        <v>0</v>
      </c>
      <c r="N2291" s="26" t="n">
        <v>0</v>
      </c>
      <c r="O2291" s="26" t="n">
        <v>2</v>
      </c>
      <c r="P2291" s="30" t="n">
        <v>-13.3918009</v>
      </c>
      <c r="Q2291" s="30" t="n">
        <v>-44.1962365</v>
      </c>
      <c r="R2291" s="14" t="inlineStr">
        <is>
          <t>RUA CAPITÃO JOSÉ ALFAIATE, S/N, CENTRO, ST. MARIA DA VITÓRIA/BA</t>
        </is>
      </c>
      <c r="S2291" s="26">
        <f>IF(A2291=A2290,0,1)</f>
        <v>1</v>
      </c>
      <c r="T2291" s="26">
        <f>IF(COUNTIF($B$4:B2291,B2291)=1,1,0)</f>
        <v>1</v>
      </c>
    </row>
    <row r="2292">
      <c r="A2292" s="14" t="inlineStr">
        <is>
          <t>SANTA MARIA DA VITÓRIA</t>
        </is>
      </c>
      <c r="B2292" s="26" t="n">
        <v>72</v>
      </c>
      <c r="C2292" s="26" t="n">
        <v>1023</v>
      </c>
      <c r="D2292" s="14" t="inlineStr">
        <is>
          <t>CENTRO EDUCACIONAL DE INHAÚMAS</t>
        </is>
      </c>
      <c r="E2292" s="14" t="inlineStr">
        <is>
          <t>DISTRITO INHAÚMAS</t>
        </is>
      </c>
      <c r="F2292" s="14" t="inlineStr">
        <is>
          <t>DISTRITO DE INHAUMAS - ZONA RURAL</t>
        </is>
      </c>
      <c r="G2292" s="27" t="inlineStr">
        <is>
          <t>47640-000</t>
        </is>
      </c>
      <c r="H2292" s="15" t="n">
        <v>9</v>
      </c>
      <c r="I2292" s="28" t="inlineStr">
        <is>
          <t>NÃO</t>
        </is>
      </c>
      <c r="J2292" s="29" t="n"/>
      <c r="K2292" s="14" t="str">
        <f>IF(J2292="","7. Acima de 2 km",IF(J2292&lt;=50,"1. Até 50 m",IF(J2292&lt;=100,"2. De 50 a 100 m",IF(J2292&lt;=200,"3. De 100 a 200 m",IF(J2292&lt;=300,"4. De 200 a 300 m",IF(J2292&lt;=500,"5. De 300 a 500 m","6. De 500 m a 2 km"))))))</f>
        <v>7. Acima de 2 km</v>
      </c>
      <c r="L2292" s="26" t="n">
        <v>0</v>
      </c>
      <c r="M2292" s="26" t="n">
        <v>0</v>
      </c>
      <c r="N2292" s="26" t="n">
        <v>0</v>
      </c>
      <c r="O2292" s="26" t="n">
        <v>0</v>
      </c>
      <c r="P2292" s="30" t="n">
        <v>-13.0478691</v>
      </c>
      <c r="Q2292" s="30" t="n">
        <v>-44.6226116</v>
      </c>
      <c r="R2292" s="14" t="inlineStr">
        <is>
          <t>RUA CAPITÃO JOSÉ ALFAIATE, S/N, CENTRO, ST. MARIA DA VITÓRIA/BA</t>
        </is>
      </c>
      <c r="S2292" s="26">
        <f>IF(A2292=A2291,0,1)</f>
        <v>0</v>
      </c>
      <c r="T2292" s="26">
        <f>IF(COUNTIF($B$4:B2292,B2292)=1,1,0)</f>
        <v>0</v>
      </c>
    </row>
    <row r="2293">
      <c r="A2293" s="14" t="inlineStr">
        <is>
          <t>SANTA MARIA DA VITÓRIA</t>
        </is>
      </c>
      <c r="B2293" s="26" t="n">
        <v>72</v>
      </c>
      <c r="C2293" s="26" t="n">
        <v>1031</v>
      </c>
      <c r="D2293" s="14" t="inlineStr">
        <is>
          <t>ESCOLA MUNICIPAL JEREMIAS RODRIGUES DA SILVA</t>
        </is>
      </c>
      <c r="E2293" s="14" t="inlineStr">
        <is>
          <t>POVOADO MOCAMBO</t>
        </is>
      </c>
      <c r="F2293" s="14" t="inlineStr">
        <is>
          <t>POVOADO MOCAMBO - ZONA RURAL</t>
        </is>
      </c>
      <c r="G2293" s="27" t="inlineStr">
        <is>
          <t>47640-000</t>
        </is>
      </c>
      <c r="H2293" s="15" t="n">
        <v>5</v>
      </c>
      <c r="I2293" s="28" t="inlineStr">
        <is>
          <t>NÃO</t>
        </is>
      </c>
      <c r="J2293" s="29" t="n"/>
      <c r="K2293" s="14" t="str">
        <f>IF(J2293="","7. Acima de 2 km",IF(J2293&lt;=50,"1. Até 50 m",IF(J2293&lt;=100,"2. De 50 a 100 m",IF(J2293&lt;=200,"3. De 100 a 200 m",IF(J2293&lt;=300,"4. De 200 a 300 m",IF(J2293&lt;=500,"5. De 300 a 500 m","6. De 500 m a 2 km"))))))</f>
        <v>7. Acima de 2 km</v>
      </c>
      <c r="L2293" s="26" t="n">
        <v>0</v>
      </c>
      <c r="M2293" s="26" t="n">
        <v>0</v>
      </c>
      <c r="N2293" s="26" t="n">
        <v>0</v>
      </c>
      <c r="O2293" s="26" t="n">
        <v>0</v>
      </c>
      <c r="P2293" s="30" t="n">
        <v>-13.2801861</v>
      </c>
      <c r="Q2293" s="30" t="n">
        <v>-44.5626948</v>
      </c>
      <c r="R2293" s="14" t="inlineStr">
        <is>
          <t>RUA CAPITÃO JOSÉ ALFAIATE, S/N, CENTRO, ST. MARIA DA VITÓRIA/BA</t>
        </is>
      </c>
      <c r="S2293" s="26">
        <f>IF(A2293=A2292,0,1)</f>
        <v>0</v>
      </c>
      <c r="T2293" s="26">
        <f>IF(COUNTIF($B$4:B2293,B2293)=1,1,0)</f>
        <v>0</v>
      </c>
    </row>
    <row r="2294">
      <c r="A2294" s="14" t="inlineStr">
        <is>
          <t>SANTA MARIA DA VITÓRIA</t>
        </is>
      </c>
      <c r="B2294" s="26" t="n">
        <v>72</v>
      </c>
      <c r="C2294" s="26" t="n">
        <v>1040</v>
      </c>
      <c r="D2294" s="14" t="inlineStr">
        <is>
          <t>DOMINGO MANOEL CARDOSO</t>
        </is>
      </c>
      <c r="E2294" s="14" t="inlineStr">
        <is>
          <t>DISTRITO AÇUDINA</t>
        </is>
      </c>
      <c r="F2294" s="14" t="inlineStr">
        <is>
          <t>MARGENS DA RODOVIA BA 582 DISTRITO ACUDINA - ZONA RURAL</t>
        </is>
      </c>
      <c r="G2294" s="27" t="inlineStr">
        <is>
          <t>47640-000</t>
        </is>
      </c>
      <c r="H2294" s="15" t="n">
        <v>7</v>
      </c>
      <c r="I2294" s="28" t="inlineStr">
        <is>
          <t>NÃO</t>
        </is>
      </c>
      <c r="J2294" s="29" t="n"/>
      <c r="K2294" s="14" t="str">
        <f>IF(J2294="","7. Acima de 2 km",IF(J2294&lt;=50,"1. Até 50 m",IF(J2294&lt;=100,"2. De 50 a 100 m",IF(J2294&lt;=200,"3. De 100 a 200 m",IF(J2294&lt;=300,"4. De 200 a 300 m",IF(J2294&lt;=500,"5. De 300 a 500 m","6. De 500 m a 2 km"))))))</f>
        <v>7. Acima de 2 km</v>
      </c>
      <c r="L2294" s="26" t="n">
        <v>0</v>
      </c>
      <c r="M2294" s="26" t="n">
        <v>0</v>
      </c>
      <c r="N2294" s="26" t="n">
        <v>0</v>
      </c>
      <c r="O2294" s="26" t="n">
        <v>0</v>
      </c>
      <c r="P2294" s="30" t="n">
        <v>-13.2047619</v>
      </c>
      <c r="Q2294" s="30" t="n">
        <v>-44.1486268</v>
      </c>
      <c r="R2294" s="14" t="inlineStr">
        <is>
          <t>RUA CAPITÃO JOSÉ ALFAIATE, S/N, CENTRO, ST. MARIA DA VITÓRIA/BA</t>
        </is>
      </c>
      <c r="S2294" s="26">
        <f>IF(A2294=A2293,0,1)</f>
        <v>0</v>
      </c>
      <c r="T2294" s="26">
        <f>IF(COUNTIF($B$4:B2294,B2294)=1,1,0)</f>
        <v>0</v>
      </c>
    </row>
    <row r="2295">
      <c r="A2295" s="14" t="inlineStr">
        <is>
          <t>SANTA MARIA DA VITÓRIA</t>
        </is>
      </c>
      <c r="B2295" s="26" t="n">
        <v>72</v>
      </c>
      <c r="C2295" s="26" t="n">
        <v>1066</v>
      </c>
      <c r="D2295" s="14" t="inlineStr">
        <is>
          <t>ESCOLA MUNICIPAL MOISÉS MARQUES DA SILVA</t>
        </is>
      </c>
      <c r="E2295" s="14" t="inlineStr">
        <is>
          <t>POVOADO ÁGUA QUENTE</t>
        </is>
      </c>
      <c r="F2295" s="14" t="inlineStr">
        <is>
          <t>POVOADO PORTEIRA GRANDE - ZONA RURAL</t>
        </is>
      </c>
      <c r="G2295" s="27" t="inlineStr">
        <is>
          <t>47640-000</t>
        </is>
      </c>
      <c r="H2295" s="15" t="n">
        <v>5</v>
      </c>
      <c r="I2295" s="28" t="inlineStr">
        <is>
          <t>NÃO</t>
        </is>
      </c>
      <c r="J2295" s="29" t="n"/>
      <c r="K2295" s="14" t="str">
        <f>IF(J2295="","7. Acima de 2 km",IF(J2295&lt;=50,"1. Até 50 m",IF(J2295&lt;=100,"2. De 50 a 100 m",IF(J2295&lt;=200,"3. De 100 a 200 m",IF(J2295&lt;=300,"4. De 200 a 300 m",IF(J2295&lt;=500,"5. De 300 a 500 m","6. De 500 m a 2 km"))))))</f>
        <v>7. Acima de 2 km</v>
      </c>
      <c r="L2295" s="26" t="n">
        <v>0</v>
      </c>
      <c r="M2295" s="26" t="n">
        <v>0</v>
      </c>
      <c r="N2295" s="26" t="n">
        <v>0</v>
      </c>
      <c r="O2295" s="26" t="n">
        <v>0</v>
      </c>
      <c r="P2295" s="30" t="n">
        <v>-13.2123339</v>
      </c>
      <c r="Q2295" s="30" t="n">
        <v>-44.2940761</v>
      </c>
      <c r="R2295" s="14" t="inlineStr">
        <is>
          <t>RUA CAPITÃO JOSÉ ALFAIATE, S/N, CENTRO, ST. MARIA DA VITÓRIA/BA</t>
        </is>
      </c>
      <c r="S2295" s="26">
        <f>IF(A2295=A2294,0,1)</f>
        <v>0</v>
      </c>
      <c r="T2295" s="26">
        <f>IF(COUNTIF($B$4:B2295,B2295)=1,1,0)</f>
        <v>0</v>
      </c>
    </row>
    <row r="2296">
      <c r="A2296" s="14" t="inlineStr">
        <is>
          <t>SANTA MARIA DA VITÓRIA</t>
        </is>
      </c>
      <c r="B2296" s="26" t="n">
        <v>72</v>
      </c>
      <c r="C2296" s="26" t="n">
        <v>1090</v>
      </c>
      <c r="D2296" s="14" t="inlineStr">
        <is>
          <t>POPULAR OLIVEIRA MAGALHÃES</t>
        </is>
      </c>
      <c r="E2296" s="14" t="inlineStr">
        <is>
          <t>CENTRO</t>
        </is>
      </c>
      <c r="F2296" s="14" t="inlineStr">
        <is>
          <t>RUA JOSÉ LEOPOLDO LIMA, S/N - ALTO DA IGREJINHA - ZONA URBANA</t>
        </is>
      </c>
      <c r="G2296" s="27" t="inlineStr">
        <is>
          <t>47640-000</t>
        </is>
      </c>
      <c r="H2296" s="15" t="n">
        <v>4</v>
      </c>
      <c r="I2296" s="28" t="inlineStr">
        <is>
          <t>NÃO</t>
        </is>
      </c>
      <c r="J2296" s="29" t="n">
        <v>194</v>
      </c>
      <c r="K2296" s="14" t="str">
        <f>IF(J2296="","7. Acima de 2 km",IF(J2296&lt;=50,"1. Até 50 m",IF(J2296&lt;=100,"2. De 50 a 100 m",IF(J2296&lt;=200,"3. De 100 a 200 m",IF(J2296&lt;=300,"4. De 200 a 300 m",IF(J2296&lt;=500,"5. De 300 a 500 m","6. De 500 m a 2 km"))))))</f>
        <v>3. De 100 a 200 m</v>
      </c>
      <c r="L2296" s="26" t="n">
        <v>0</v>
      </c>
      <c r="M2296" s="26" t="n">
        <v>0</v>
      </c>
      <c r="N2296" s="26" t="n">
        <v>1</v>
      </c>
      <c r="O2296" s="26" t="n">
        <v>2</v>
      </c>
      <c r="P2296" s="30" t="n">
        <v>-13.3931297</v>
      </c>
      <c r="Q2296" s="30" t="n">
        <v>-44.1981354</v>
      </c>
      <c r="R2296" s="14" t="inlineStr">
        <is>
          <t>RUA CAPITÃO JOSÉ ALFAIATE, S/N, CENTRO, ST. MARIA DA VITÓRIA/BA</t>
        </is>
      </c>
      <c r="S2296" s="26">
        <f>IF(A2296=A2295,0,1)</f>
        <v>0</v>
      </c>
      <c r="T2296" s="26">
        <f>IF(COUNTIF($B$4:B2296,B2296)=1,1,0)</f>
        <v>0</v>
      </c>
    </row>
    <row r="2297">
      <c r="A2297" s="14" t="inlineStr">
        <is>
          <t>SANTA MARIA DA VITÓRIA</t>
        </is>
      </c>
      <c r="B2297" s="26" t="n">
        <v>72</v>
      </c>
      <c r="C2297" s="26" t="n">
        <v>1112</v>
      </c>
      <c r="D2297" s="14" t="inlineStr">
        <is>
          <t>FACITE - FACULDADE DE CIÊNCIAS, TECNOLOGIA E EDUCAÇÃO</t>
        </is>
      </c>
      <c r="E2297" s="14" t="inlineStr">
        <is>
          <t>PARQUE DE EXPOSIÇÃO</t>
        </is>
      </c>
      <c r="F2297" s="14" t="inlineStr">
        <is>
          <t>RUA EMÍLIO MARQUES, N. 298 - ZONA URBANA</t>
        </is>
      </c>
      <c r="G2297" s="27" t="inlineStr">
        <is>
          <t>47640-000</t>
        </is>
      </c>
      <c r="H2297" s="15" t="n">
        <v>8</v>
      </c>
      <c r="I2297" s="28" t="inlineStr">
        <is>
          <t>NÃO</t>
        </is>
      </c>
      <c r="J2297" s="29" t="n">
        <v>484.4</v>
      </c>
      <c r="K2297" s="14" t="str">
        <f>IF(J2297="","7. Acima de 2 km",IF(J2297&lt;=50,"1. Até 50 m",IF(J2297&lt;=100,"2. De 50 a 100 m",IF(J2297&lt;=200,"3. De 100 a 200 m",IF(J2297&lt;=300,"4. De 200 a 300 m",IF(J2297&lt;=500,"5. De 300 a 500 m","6. De 500 m a 2 km"))))))</f>
        <v>5. De 300 a 500 m</v>
      </c>
      <c r="L2297" s="26" t="n">
        <v>0</v>
      </c>
      <c r="M2297" s="26" t="n">
        <v>0</v>
      </c>
      <c r="N2297" s="26" t="n">
        <v>0</v>
      </c>
      <c r="O2297" s="26" t="n">
        <v>0</v>
      </c>
      <c r="P2297" s="30" t="n">
        <v>-13.3818168</v>
      </c>
      <c r="Q2297" s="30" t="n">
        <v>-44.2018734</v>
      </c>
      <c r="R2297" s="14" t="inlineStr">
        <is>
          <t>RUA CAPITÃO JOSÉ ALFAIATE, S/N, CENTRO, ST. MARIA DA VITÓRIA/BA</t>
        </is>
      </c>
      <c r="S2297" s="26">
        <f>IF(A2297=A2296,0,1)</f>
        <v>0</v>
      </c>
      <c r="T2297" s="26">
        <f>IF(COUNTIF($B$4:B2297,B2297)=1,1,0)</f>
        <v>0</v>
      </c>
    </row>
    <row r="2298">
      <c r="A2298" s="14" t="inlineStr">
        <is>
          <t>SANTA MARIA DA VITÓRIA</t>
        </is>
      </c>
      <c r="B2298" s="26" t="n">
        <v>72</v>
      </c>
      <c r="C2298" s="26" t="n">
        <v>1228</v>
      </c>
      <c r="D2298" s="14" t="inlineStr">
        <is>
          <t>CENTRO ESTADUAL DE EDUCAÇÃO SANTA-MARIENSE</t>
        </is>
      </c>
      <c r="E2298" s="14" t="inlineStr">
        <is>
          <t>CENTRO</t>
        </is>
      </c>
      <c r="F2298" s="14" t="inlineStr">
        <is>
          <t>RUA CORONEL CLEMENTE DE ARAUJO 218 - ZONA URBANA</t>
        </is>
      </c>
      <c r="G2298" s="27" t="inlineStr">
        <is>
          <t>47640-000</t>
        </is>
      </c>
      <c r="H2298" s="15" t="n">
        <v>12</v>
      </c>
      <c r="I2298" s="28" t="inlineStr">
        <is>
          <t>NÃO</t>
        </is>
      </c>
      <c r="J2298" s="29" t="n">
        <v>236.2</v>
      </c>
      <c r="K2298" s="14" t="str">
        <f>IF(J2298="","7. Acima de 2 km",IF(J2298&lt;=50,"1. Até 50 m",IF(J2298&lt;=100,"2. De 50 a 100 m",IF(J2298&lt;=200,"3. De 100 a 200 m",IF(J2298&lt;=300,"4. De 200 a 300 m",IF(J2298&lt;=500,"5. De 300 a 500 m","6. De 500 m a 2 km"))))))</f>
        <v>4. De 200 a 300 m</v>
      </c>
      <c r="L2298" s="26" t="n">
        <v>0</v>
      </c>
      <c r="M2298" s="26" t="n">
        <v>0</v>
      </c>
      <c r="N2298" s="26" t="n">
        <v>0</v>
      </c>
      <c r="O2298" s="26" t="n">
        <v>3</v>
      </c>
      <c r="P2298" s="30" t="n">
        <v>-13.39874382</v>
      </c>
      <c r="Q2298" s="30" t="n">
        <v>-44.19874643</v>
      </c>
      <c r="R2298" s="14" t="inlineStr">
        <is>
          <t>RUA CAPITÃO JOSÉ ALFAIATE, S/N, CENTRO, ST. MARIA DA VITÓRIA/BA</t>
        </is>
      </c>
      <c r="S2298" s="26">
        <f>IF(A2298=A2297,0,1)</f>
        <v>0</v>
      </c>
      <c r="T2298" s="26">
        <f>IF(COUNTIF($B$4:B2298,B2298)=1,1,0)</f>
        <v>0</v>
      </c>
    </row>
    <row r="2299">
      <c r="A2299" s="14" t="inlineStr">
        <is>
          <t>SANTA MARIA DA VITÓRIA</t>
        </is>
      </c>
      <c r="B2299" s="26" t="n">
        <v>72</v>
      </c>
      <c r="C2299" s="26" t="n">
        <v>1236</v>
      </c>
      <c r="D2299" s="14" t="inlineStr">
        <is>
          <t>CORNÉLIO FERREIRA DO NASCIMENTO</t>
        </is>
      </c>
      <c r="E2299" s="14" t="inlineStr">
        <is>
          <t>POVOADO NOVA FRANCA</t>
        </is>
      </c>
      <c r="F2299" s="14" t="inlineStr">
        <is>
          <t>POVOADO NOVA FRANCA - ZONA RURAL</t>
        </is>
      </c>
      <c r="G2299" s="27" t="inlineStr">
        <is>
          <t>47640-000</t>
        </is>
      </c>
      <c r="H2299" s="15" t="n">
        <v>3</v>
      </c>
      <c r="I2299" s="28" t="inlineStr">
        <is>
          <t>NÃO</t>
        </is>
      </c>
      <c r="J2299" s="29" t="n"/>
      <c r="K2299" s="14" t="str">
        <f>IF(J2299="","7. Acima de 2 km",IF(J2299&lt;=50,"1. Até 50 m",IF(J2299&lt;=100,"2. De 50 a 100 m",IF(J2299&lt;=200,"3. De 100 a 200 m",IF(J2299&lt;=300,"4. De 200 a 300 m",IF(J2299&lt;=500,"5. De 300 a 500 m","6. De 500 m a 2 km"))))))</f>
        <v>7. Acima de 2 km</v>
      </c>
      <c r="L2299" s="26" t="n">
        <v>0</v>
      </c>
      <c r="M2299" s="26" t="n">
        <v>0</v>
      </c>
      <c r="N2299" s="26" t="n">
        <v>0</v>
      </c>
      <c r="O2299" s="26" t="n">
        <v>0</v>
      </c>
      <c r="P2299" s="30" t="n">
        <v>-13.3581368</v>
      </c>
      <c r="Q2299" s="30" t="n">
        <v>-44.5150645</v>
      </c>
      <c r="R2299" s="14" t="inlineStr">
        <is>
          <t>RUA CAPITÃO JOSÉ ALFAIATE, S/N, CENTRO, ST. MARIA DA VITÓRIA/BA</t>
        </is>
      </c>
      <c r="S2299" s="26">
        <f>IF(A2299=A2298,0,1)</f>
        <v>0</v>
      </c>
      <c r="T2299" s="26">
        <f>IF(COUNTIF($B$4:B2299,B2299)=1,1,0)</f>
        <v>0</v>
      </c>
    </row>
    <row r="2300">
      <c r="A2300" s="14" t="inlineStr">
        <is>
          <t>SANTA MARIA DA VITÓRIA</t>
        </is>
      </c>
      <c r="B2300" s="26" t="n">
        <v>72</v>
      </c>
      <c r="C2300" s="26" t="n">
        <v>1287</v>
      </c>
      <c r="D2300" s="14" t="inlineStr">
        <is>
          <t>CENTRO TERRITORIAL DA BACIA DO RIO CORRENTE</t>
        </is>
      </c>
      <c r="E2300" s="14" t="inlineStr">
        <is>
          <t>SAMBAIBA</t>
        </is>
      </c>
      <c r="F2300" s="14" t="inlineStr">
        <is>
          <t>AVENIDA ROBERTO SANTOS SN - ZONA URBANA</t>
        </is>
      </c>
      <c r="G2300" s="27" t="inlineStr">
        <is>
          <t>47640-000</t>
        </is>
      </c>
      <c r="H2300" s="15" t="n">
        <v>8</v>
      </c>
      <c r="I2300" s="28" t="inlineStr">
        <is>
          <t>NÃO</t>
        </is>
      </c>
      <c r="J2300" s="29" t="n">
        <v>672.6</v>
      </c>
      <c r="K2300" s="14" t="str">
        <f>IF(J2300="","7. Acima de 2 km",IF(J2300&lt;=50,"1. Até 50 m",IF(J2300&lt;=100,"2. De 50 a 100 m",IF(J2300&lt;=200,"3. De 100 a 200 m",IF(J2300&lt;=300,"4. De 200 a 300 m",IF(J2300&lt;=500,"5. De 300 a 500 m","6. De 500 m a 2 km"))))))</f>
        <v>6. De 500 m a 2 km</v>
      </c>
      <c r="L2300" s="26" t="n">
        <v>0</v>
      </c>
      <c r="M2300" s="26" t="n">
        <v>0</v>
      </c>
      <c r="N2300" s="26" t="n">
        <v>0</v>
      </c>
      <c r="O2300" s="26" t="n">
        <v>0</v>
      </c>
      <c r="P2300" s="30" t="n">
        <v>-13.3869852</v>
      </c>
      <c r="Q2300" s="30" t="n">
        <v>-44.1897492</v>
      </c>
      <c r="R2300" s="14" t="inlineStr">
        <is>
          <t>RUA CAPITÃO JOSÉ ALFAIATE, S/N, CENTRO, ST. MARIA DA VITÓRIA/BA</t>
        </is>
      </c>
      <c r="S2300" s="26">
        <f>IF(A2300=A2299,0,1)</f>
        <v>0</v>
      </c>
      <c r="T2300" s="26">
        <f>IF(COUNTIF($B$4:B2300,B2300)=1,1,0)</f>
        <v>0</v>
      </c>
    </row>
    <row r="2301">
      <c r="A2301" s="14" t="inlineStr">
        <is>
          <t>SANTA MARIA DA VITÓRIA</t>
        </is>
      </c>
      <c r="B2301" s="26" t="n">
        <v>72</v>
      </c>
      <c r="C2301" s="26" t="n">
        <v>1317</v>
      </c>
      <c r="D2301" s="14" t="inlineStr">
        <is>
          <t>UFOB - UNIVERSIDADE FEDERAL DO OESTE DA BAHIA</t>
        </is>
      </c>
      <c r="E2301" s="14" t="inlineStr">
        <is>
          <t>CENTRO</t>
        </is>
      </c>
      <c r="F2301" s="14" t="inlineStr">
        <is>
          <t>PRAÇA ARGEMIRO FILARDI, S/N - ZONA URBANA</t>
        </is>
      </c>
      <c r="G2301" s="27" t="inlineStr">
        <is>
          <t>47640-000</t>
        </is>
      </c>
      <c r="H2301" s="15" t="n">
        <v>4</v>
      </c>
      <c r="I2301" s="28" t="inlineStr">
        <is>
          <t>SIM</t>
        </is>
      </c>
      <c r="J2301" s="29" t="n">
        <v>46.3</v>
      </c>
      <c r="K2301" s="14" t="str">
        <f>IF(J2301="","7. Acima de 2 km",IF(J2301&lt;=50,"1. Até 50 m",IF(J2301&lt;=100,"2. De 50 a 100 m",IF(J2301&lt;=200,"3. De 100 a 200 m",IF(J2301&lt;=300,"4. De 200 a 300 m",IF(J2301&lt;=500,"5. De 300 a 500 m","6. De 500 m a 2 km"))))))</f>
        <v>1. Até 50 m</v>
      </c>
      <c r="L2301" s="26" t="n">
        <v>1</v>
      </c>
      <c r="M2301" s="26" t="n">
        <v>1</v>
      </c>
      <c r="N2301" s="26" t="n">
        <v>1</v>
      </c>
      <c r="O2301" s="26" t="n">
        <v>1</v>
      </c>
      <c r="P2301" s="30" t="n">
        <v>-13.3910282</v>
      </c>
      <c r="Q2301" s="30" t="n">
        <v>-44.1941825</v>
      </c>
      <c r="R2301" s="14" t="inlineStr">
        <is>
          <t>RUA CAPITÃO JOSÉ ALFAIATE, S/N, CENTRO, ST. MARIA DA VITÓRIA/BA</t>
        </is>
      </c>
      <c r="S2301" s="26">
        <f>IF(A2301=A2300,0,1)</f>
        <v>0</v>
      </c>
      <c r="T2301" s="26">
        <f>IF(COUNTIF($B$4:B2301,B2301)=1,1,0)</f>
        <v>0</v>
      </c>
    </row>
    <row r="2302">
      <c r="A2302" s="14" t="inlineStr">
        <is>
          <t>SANTA MARIA DA VITÓRIA</t>
        </is>
      </c>
      <c r="B2302" s="26" t="n">
        <v>72</v>
      </c>
      <c r="C2302" s="26" t="n">
        <v>1325</v>
      </c>
      <c r="D2302" s="14" t="inlineStr">
        <is>
          <t>ESCOLA MUNICIPAL MARILENE DE JESUS CARDOSO MATOS</t>
        </is>
      </c>
      <c r="E2302" s="14" t="inlineStr">
        <is>
          <t>SETOR DO CARRANCA</t>
        </is>
      </c>
      <c r="F2302" s="14" t="inlineStr">
        <is>
          <t>RUA RIO CORRENTE, N. 121 - ZONA URBANA</t>
        </is>
      </c>
      <c r="G2302" s="27" t="inlineStr">
        <is>
          <t>47640-000</t>
        </is>
      </c>
      <c r="H2302" s="15" t="n">
        <v>5</v>
      </c>
      <c r="I2302" s="28" t="inlineStr">
        <is>
          <t>NÃO</t>
        </is>
      </c>
      <c r="J2302" s="29" t="n">
        <v>359.6</v>
      </c>
      <c r="K2302" s="14" t="str">
        <f>IF(J2302="","7. Acima de 2 km",IF(J2302&lt;=50,"1. Até 50 m",IF(J2302&lt;=100,"2. De 50 a 100 m",IF(J2302&lt;=200,"3. De 100 a 200 m",IF(J2302&lt;=300,"4. De 200 a 300 m",IF(J2302&lt;=500,"5. De 300 a 500 m","6. De 500 m a 2 km"))))))</f>
        <v>5. De 300 a 500 m</v>
      </c>
      <c r="L2302" s="26" t="n">
        <v>0</v>
      </c>
      <c r="M2302" s="26" t="n">
        <v>0</v>
      </c>
      <c r="N2302" s="26" t="n">
        <v>0</v>
      </c>
      <c r="O2302" s="26" t="n">
        <v>0</v>
      </c>
      <c r="P2302" s="30" t="n">
        <v>-13.3946556</v>
      </c>
      <c r="Q2302" s="30" t="n">
        <v>-44.2048349</v>
      </c>
      <c r="R2302" s="14" t="inlineStr">
        <is>
          <t>RUA CAPITÃO JOSÉ ALFAIATE, S/N, CENTRO, ST. MARIA DA VITÓRIA/BA</t>
        </is>
      </c>
      <c r="S2302" s="26">
        <f>IF(A2302=A2301,0,1)</f>
        <v>0</v>
      </c>
      <c r="T2302" s="26">
        <f>IF(COUNTIF($B$4:B2302,B2302)=1,1,0)</f>
        <v>0</v>
      </c>
    </row>
    <row r="2303">
      <c r="A2303" s="14" t="inlineStr">
        <is>
          <t>SANTA MARIA DA VITÓRIA</t>
        </is>
      </c>
      <c r="B2303" s="26" t="n">
        <v>72</v>
      </c>
      <c r="C2303" s="26" t="n">
        <v>1333</v>
      </c>
      <c r="D2303" s="14" t="inlineStr">
        <is>
          <t>PREDIO ESCOLAR ANTONIO RODRIGUES DA MATA</t>
        </is>
      </c>
      <c r="E2303" s="14" t="inlineStr">
        <is>
          <t>POVOADO CURRAIS</t>
        </is>
      </c>
      <c r="F2303" s="14" t="inlineStr">
        <is>
          <t>POVOADO CURRAIS - ZONA RURAL</t>
        </is>
      </c>
      <c r="G2303" s="27" t="inlineStr">
        <is>
          <t>47640-000</t>
        </is>
      </c>
      <c r="H2303" s="15" t="n">
        <v>4</v>
      </c>
      <c r="I2303" s="28" t="inlineStr">
        <is>
          <t>NÃO</t>
        </is>
      </c>
      <c r="J2303" s="29" t="n"/>
      <c r="K2303" s="14" t="str">
        <f>IF(J2303="","7. Acima de 2 km",IF(J2303&lt;=50,"1. Até 50 m",IF(J2303&lt;=100,"2. De 50 a 100 m",IF(J2303&lt;=200,"3. De 100 a 200 m",IF(J2303&lt;=300,"4. De 200 a 300 m",IF(J2303&lt;=500,"5. De 300 a 500 m","6. De 500 m a 2 km"))))))</f>
        <v>7. Acima de 2 km</v>
      </c>
      <c r="L2303" s="26" t="n">
        <v>0</v>
      </c>
      <c r="M2303" s="26" t="n">
        <v>0</v>
      </c>
      <c r="N2303" s="26" t="n">
        <v>0</v>
      </c>
      <c r="O2303" s="26" t="n">
        <v>0</v>
      </c>
      <c r="P2303" s="30" t="n">
        <v>-13.3307506</v>
      </c>
      <c r="Q2303" s="30" t="n">
        <v>-44.4095078</v>
      </c>
      <c r="R2303" s="14" t="inlineStr">
        <is>
          <t>RUA CAPITÃO JOSÉ ALFAIATE, S/N, CENTRO, ST. MARIA DA VITÓRIA/BA</t>
        </is>
      </c>
      <c r="S2303" s="26">
        <f>IF(A2303=A2302,0,1)</f>
        <v>0</v>
      </c>
      <c r="T2303" s="26">
        <f>IF(COUNTIF($B$4:B2303,B2303)=1,1,0)</f>
        <v>0</v>
      </c>
    </row>
    <row r="2304">
      <c r="A2304" s="14" t="inlineStr">
        <is>
          <t>SANTA MARIA DA VITÓRIA</t>
        </is>
      </c>
      <c r="B2304" s="26" t="n">
        <v>72</v>
      </c>
      <c r="C2304" s="26" t="n">
        <v>1341</v>
      </c>
      <c r="D2304" s="14" t="inlineStr">
        <is>
          <t>ESCOLA MUNICIPAL OLIMPIO FERNANDES LEAO</t>
        </is>
      </c>
      <c r="E2304" s="14" t="inlineStr">
        <is>
          <t>POVOADO CUSCUZEIRO</t>
        </is>
      </c>
      <c r="F2304" s="14" t="inlineStr">
        <is>
          <t>POVOADO CUSCUZEIRO - ZONA RURAL</t>
        </is>
      </c>
      <c r="G2304" s="27" t="inlineStr">
        <is>
          <t>47640-000</t>
        </is>
      </c>
      <c r="H2304" s="15" t="n">
        <v>5</v>
      </c>
      <c r="I2304" s="28" t="inlineStr">
        <is>
          <t>NÃO</t>
        </is>
      </c>
      <c r="J2304" s="29" t="n"/>
      <c r="K2304" s="14" t="str">
        <f>IF(J2304="","7. Acima de 2 km",IF(J2304&lt;=50,"1. Até 50 m",IF(J2304&lt;=100,"2. De 50 a 100 m",IF(J2304&lt;=200,"3. De 100 a 200 m",IF(J2304&lt;=300,"4. De 200 a 300 m",IF(J2304&lt;=500,"5. De 300 a 500 m","6. De 500 m a 2 km"))))))</f>
        <v>7. Acima de 2 km</v>
      </c>
      <c r="L2304" s="26" t="n">
        <v>0</v>
      </c>
      <c r="M2304" s="26" t="n">
        <v>0</v>
      </c>
      <c r="N2304" s="26" t="n">
        <v>0</v>
      </c>
      <c r="O2304" s="26" t="n">
        <v>0</v>
      </c>
      <c r="P2304" s="30" t="n">
        <v>-13.3203955</v>
      </c>
      <c r="Q2304" s="30" t="n">
        <v>-44.1385251</v>
      </c>
      <c r="R2304" s="14" t="inlineStr">
        <is>
          <t>RUA CAPITÃO JOSÉ ALFAIATE, S/N, CENTRO, ST. MARIA DA VITÓRIA/BA</t>
        </is>
      </c>
      <c r="S2304" s="26">
        <f>IF(A2304=A2303,0,1)</f>
        <v>0</v>
      </c>
      <c r="T2304" s="26">
        <f>IF(COUNTIF($B$4:B2304,B2304)=1,1,0)</f>
        <v>0</v>
      </c>
    </row>
    <row r="2305">
      <c r="A2305" s="14" t="inlineStr">
        <is>
          <t>SANTA MARIA DA VITÓRIA</t>
        </is>
      </c>
      <c r="B2305" s="26" t="n">
        <v>72</v>
      </c>
      <c r="C2305" s="26" t="n">
        <v>1350</v>
      </c>
      <c r="D2305" s="14" t="inlineStr">
        <is>
          <t>ESCOLA MUNICIPAL CELSO BARBOSA</t>
        </is>
      </c>
      <c r="E2305" s="14" t="inlineStr">
        <is>
          <t>POVOADO BREJÃO</t>
        </is>
      </c>
      <c r="F2305" s="14" t="inlineStr">
        <is>
          <t xml:space="preserve">POVOADO BREJAO - ZONA RURAL  </t>
        </is>
      </c>
      <c r="G2305" s="27" t="inlineStr">
        <is>
          <t>47640-000</t>
        </is>
      </c>
      <c r="H2305" s="15" t="n">
        <v>1</v>
      </c>
      <c r="I2305" s="28" t="inlineStr">
        <is>
          <t>NÃO</t>
        </is>
      </c>
      <c r="J2305" s="29" t="n"/>
      <c r="K2305" s="14" t="str">
        <f>IF(J2305="","7. Acima de 2 km",IF(J2305&lt;=50,"1. Até 50 m",IF(J2305&lt;=100,"2. De 50 a 100 m",IF(J2305&lt;=200,"3. De 100 a 200 m",IF(J2305&lt;=300,"4. De 200 a 300 m",IF(J2305&lt;=500,"5. De 300 a 500 m","6. De 500 m a 2 km"))))))</f>
        <v>7. Acima de 2 km</v>
      </c>
      <c r="L2305" s="26" t="n">
        <v>0</v>
      </c>
      <c r="M2305" s="26" t="n">
        <v>0</v>
      </c>
      <c r="N2305" s="26" t="n">
        <v>0</v>
      </c>
      <c r="O2305" s="26" t="n">
        <v>0</v>
      </c>
      <c r="P2305" s="30" t="n">
        <v>-13.3394029</v>
      </c>
      <c r="Q2305" s="30" t="n">
        <v>-44.2788321</v>
      </c>
      <c r="R2305" s="14" t="inlineStr">
        <is>
          <t>RUA CAPITÃO JOSÉ ALFAIATE, S/N, CENTRO, ST. MARIA DA VITÓRIA/BA</t>
        </is>
      </c>
      <c r="S2305" s="26">
        <f>IF(A2305=A2304,0,1)</f>
        <v>0</v>
      </c>
      <c r="T2305" s="26">
        <f>IF(COUNTIF($B$4:B2305,B2305)=1,1,0)</f>
        <v>0</v>
      </c>
    </row>
    <row r="2306">
      <c r="A2306" s="14" t="inlineStr">
        <is>
          <t>SANTA MARIA DA VITÓRIA</t>
        </is>
      </c>
      <c r="B2306" s="26" t="n">
        <v>72</v>
      </c>
      <c r="C2306" s="26" t="n">
        <v>1368</v>
      </c>
      <c r="D2306" s="14" t="inlineStr">
        <is>
          <t>ESCOLA MUNICIPAL TOME HIPOLITO CARDOSO</t>
        </is>
      </c>
      <c r="E2306" s="14" t="inlineStr">
        <is>
          <t>POVOADO CANIVETA</t>
        </is>
      </c>
      <c r="F2306" s="14" t="inlineStr">
        <is>
          <t>POVOADO CANIVETA - ZONA RURAL</t>
        </is>
      </c>
      <c r="G2306" s="27" t="inlineStr">
        <is>
          <t>47640-000</t>
        </is>
      </c>
      <c r="H2306" s="15" t="n">
        <v>1</v>
      </c>
      <c r="I2306" s="28" t="inlineStr">
        <is>
          <t>NÃO</t>
        </is>
      </c>
      <c r="J2306" s="29" t="n"/>
      <c r="K2306" s="14" t="str">
        <f>IF(J2306="","7. Acima de 2 km",IF(J2306&lt;=50,"1. Até 50 m",IF(J2306&lt;=100,"2. De 50 a 100 m",IF(J2306&lt;=200,"3. De 100 a 200 m",IF(J2306&lt;=300,"4. De 200 a 300 m",IF(J2306&lt;=500,"5. De 300 a 500 m","6. De 500 m a 2 km"))))))</f>
        <v>7. Acima de 2 km</v>
      </c>
      <c r="L2306" s="26" t="n">
        <v>0</v>
      </c>
      <c r="M2306" s="26" t="n">
        <v>0</v>
      </c>
      <c r="N2306" s="26" t="n">
        <v>0</v>
      </c>
      <c r="O2306" s="26" t="n">
        <v>0</v>
      </c>
      <c r="P2306" s="30" t="n">
        <v>-13.2223399</v>
      </c>
      <c r="Q2306" s="30" t="n">
        <v>-44.5240623</v>
      </c>
      <c r="R2306" s="14" t="inlineStr">
        <is>
          <t>RUA CAPITÃO JOSÉ ALFAIATE, S/N, CENTRO, ST. MARIA DA VITÓRIA/BA</t>
        </is>
      </c>
      <c r="S2306" s="26">
        <f>IF(A2306=A2305,0,1)</f>
        <v>0</v>
      </c>
      <c r="T2306" s="26">
        <f>IF(COUNTIF($B$4:B2306,B2306)=1,1,0)</f>
        <v>0</v>
      </c>
    </row>
    <row r="2307">
      <c r="A2307" s="14" t="inlineStr">
        <is>
          <t>SANTA MARIA DA VITÓRIA</t>
        </is>
      </c>
      <c r="B2307" s="26" t="n">
        <v>72</v>
      </c>
      <c r="C2307" s="26" t="n">
        <v>1376</v>
      </c>
      <c r="D2307" s="14" t="inlineStr">
        <is>
          <t>ESCOLA MUNICIPAL NOVA ESPERANCA</t>
        </is>
      </c>
      <c r="E2307" s="14" t="inlineStr">
        <is>
          <t>POVOADO JITIRANA</t>
        </is>
      </c>
      <c r="F2307" s="14" t="inlineStr">
        <is>
          <t>POVOADO JITIRANA - ZONA RURAL</t>
        </is>
      </c>
      <c r="G2307" s="27" t="inlineStr">
        <is>
          <t>47640-000</t>
        </is>
      </c>
      <c r="H2307" s="15" t="n">
        <v>2</v>
      </c>
      <c r="I2307" s="28" t="inlineStr">
        <is>
          <t>NÃO</t>
        </is>
      </c>
      <c r="J2307" s="29" t="n"/>
      <c r="K2307" s="14" t="str">
        <f>IF(J2307="","7. Acima de 2 km",IF(J2307&lt;=50,"1. Até 50 m",IF(J2307&lt;=100,"2. De 50 a 100 m",IF(J2307&lt;=200,"3. De 100 a 200 m",IF(J2307&lt;=300,"4. De 200 a 300 m",IF(J2307&lt;=500,"5. De 300 a 500 m","6. De 500 m a 2 km"))))))</f>
        <v>7. Acima de 2 km</v>
      </c>
      <c r="L2307" s="26" t="n">
        <v>0</v>
      </c>
      <c r="M2307" s="26" t="n">
        <v>0</v>
      </c>
      <c r="N2307" s="26" t="n">
        <v>0</v>
      </c>
      <c r="O2307" s="26" t="n">
        <v>0</v>
      </c>
      <c r="P2307" s="30" t="n">
        <v>-13.2463896</v>
      </c>
      <c r="Q2307" s="30" t="n">
        <v>-44.2128726</v>
      </c>
      <c r="R2307" s="14" t="inlineStr">
        <is>
          <t>RUA CAPITÃO JOSÉ ALFAIATE, S/N, CENTRO, ST. MARIA DA VITÓRIA/BA</t>
        </is>
      </c>
      <c r="S2307" s="26">
        <f>IF(A2307=A2306,0,1)</f>
        <v>0</v>
      </c>
      <c r="T2307" s="26">
        <f>IF(COUNTIF($B$4:B2307,B2307)=1,1,0)</f>
        <v>0</v>
      </c>
    </row>
    <row r="2308">
      <c r="A2308" s="14" t="inlineStr">
        <is>
          <t>SANTA MARIA DA VITÓRIA</t>
        </is>
      </c>
      <c r="B2308" s="26" t="n">
        <v>72</v>
      </c>
      <c r="C2308" s="26" t="n">
        <v>1384</v>
      </c>
      <c r="D2308" s="14" t="inlineStr">
        <is>
          <t>ESCOLA MUNICIPAL JERONIMO MOREIRA DOS SANTOS</t>
        </is>
      </c>
      <c r="E2308" s="14" t="inlineStr">
        <is>
          <t>POVOADO CAFUNDÓ DOS CRIOULOS</t>
        </is>
      </c>
      <c r="F2308" s="14" t="inlineStr">
        <is>
          <t>POVOADO CAFUNDO DOS CRIOULOS - ZONA RURAL</t>
        </is>
      </c>
      <c r="G2308" s="27" t="inlineStr">
        <is>
          <t>47640-000</t>
        </is>
      </c>
      <c r="H2308" s="15" t="n">
        <v>1</v>
      </c>
      <c r="I2308" s="28" t="inlineStr">
        <is>
          <t>NÃO</t>
        </is>
      </c>
      <c r="J2308" s="29" t="n"/>
      <c r="K2308" s="14" t="str">
        <f>IF(J2308="","7. Acima de 2 km",IF(J2308&lt;=50,"1. Até 50 m",IF(J2308&lt;=100,"2. De 50 a 100 m",IF(J2308&lt;=200,"3. De 100 a 200 m",IF(J2308&lt;=300,"4. De 200 a 300 m",IF(J2308&lt;=500,"5. De 300 a 500 m","6. De 500 m a 2 km"))))))</f>
        <v>7. Acima de 2 km</v>
      </c>
      <c r="L2308" s="26" t="n">
        <v>0</v>
      </c>
      <c r="M2308" s="26" t="n">
        <v>0</v>
      </c>
      <c r="N2308" s="26" t="n">
        <v>0</v>
      </c>
      <c r="O2308" s="26" t="n">
        <v>0</v>
      </c>
      <c r="P2308" s="30" t="n">
        <v>-13.2767078</v>
      </c>
      <c r="Q2308" s="30" t="n">
        <v>-44.3909467</v>
      </c>
      <c r="R2308" s="14" t="inlineStr">
        <is>
          <t>RUA CAPITÃO JOSÉ ALFAIATE, S/N, CENTRO, ST. MARIA DA VITÓRIA/BA</t>
        </is>
      </c>
      <c r="S2308" s="26">
        <f>IF(A2308=A2307,0,1)</f>
        <v>0</v>
      </c>
      <c r="T2308" s="26">
        <f>IF(COUNTIF($B$4:B2308,B2308)=1,1,0)</f>
        <v>0</v>
      </c>
    </row>
    <row r="2309">
      <c r="A2309" s="14" t="inlineStr">
        <is>
          <t>SANTA MARIA DA VITÓRIA</t>
        </is>
      </c>
      <c r="B2309" s="26" t="n">
        <v>72</v>
      </c>
      <c r="C2309" s="26" t="n">
        <v>1392</v>
      </c>
      <c r="D2309" s="14" t="inlineStr">
        <is>
          <t>ESCOLA MUNICIPAL HERCULANO MARQUES</t>
        </is>
      </c>
      <c r="E2309" s="14" t="inlineStr">
        <is>
          <t>POVOADO CAFUNDO DOS GERAIS</t>
        </is>
      </c>
      <c r="F2309" s="14" t="inlineStr">
        <is>
          <t>POVOADO CAFUNDO DOS GERAIS - ZONA RURAL</t>
        </is>
      </c>
      <c r="G2309" s="27" t="inlineStr">
        <is>
          <t>47640-000</t>
        </is>
      </c>
      <c r="H2309" s="15" t="n">
        <v>2</v>
      </c>
      <c r="I2309" s="28" t="inlineStr">
        <is>
          <t>NÃO</t>
        </is>
      </c>
      <c r="J2309" s="29" t="n"/>
      <c r="K2309" s="14" t="str">
        <f>IF(J2309="","7. Acima de 2 km",IF(J2309&lt;=50,"1. Até 50 m",IF(J2309&lt;=100,"2. De 50 a 100 m",IF(J2309&lt;=200,"3. De 100 a 200 m",IF(J2309&lt;=300,"4. De 200 a 300 m",IF(J2309&lt;=500,"5. De 300 a 500 m","6. De 500 m a 2 km"))))))</f>
        <v>7. Acima de 2 km</v>
      </c>
      <c r="L2309" s="26" t="n">
        <v>0</v>
      </c>
      <c r="M2309" s="26" t="n">
        <v>0</v>
      </c>
      <c r="N2309" s="26" t="n">
        <v>0</v>
      </c>
      <c r="O2309" s="26" t="n">
        <v>0</v>
      </c>
      <c r="P2309" s="30" t="n">
        <v>-13.1649524</v>
      </c>
      <c r="Q2309" s="30" t="n">
        <v>-44.2604983</v>
      </c>
      <c r="R2309" s="14" t="inlineStr">
        <is>
          <t>RUA CAPITÃO JOSÉ ALFAIATE, S/N, CENTRO, ST. MARIA DA VITÓRIA/BA</t>
        </is>
      </c>
      <c r="S2309" s="26">
        <f>IF(A2309=A2308,0,1)</f>
        <v>0</v>
      </c>
      <c r="T2309" s="26">
        <f>IF(COUNTIF($B$4:B2309,B2309)=1,1,0)</f>
        <v>0</v>
      </c>
    </row>
    <row r="2310">
      <c r="A2310" s="14" t="inlineStr">
        <is>
          <t>SANTA MARIA DA VITÓRIA</t>
        </is>
      </c>
      <c r="B2310" s="26" t="n">
        <v>72</v>
      </c>
      <c r="C2310" s="26" t="n">
        <v>1406</v>
      </c>
      <c r="D2310" s="14" t="inlineStr">
        <is>
          <t>ESCOLA MUNICIPAL CASSIMIRO MOREIRA</t>
        </is>
      </c>
      <c r="E2310" s="14" t="inlineStr">
        <is>
          <t>POVOADO PAJEU</t>
        </is>
      </c>
      <c r="F2310" s="14" t="inlineStr">
        <is>
          <t>POVOADO PAJEU - ZONA RURAL</t>
        </is>
      </c>
      <c r="G2310" s="27" t="inlineStr">
        <is>
          <t>47640-000</t>
        </is>
      </c>
      <c r="H2310" s="15" t="n">
        <v>2</v>
      </c>
      <c r="I2310" s="28" t="inlineStr">
        <is>
          <t>NÃO</t>
        </is>
      </c>
      <c r="J2310" s="29" t="n"/>
      <c r="K2310" s="14" t="str">
        <f>IF(J2310="","7. Acima de 2 km",IF(J2310&lt;=50,"1. Até 50 m",IF(J2310&lt;=100,"2. De 50 a 100 m",IF(J2310&lt;=200,"3. De 100 a 200 m",IF(J2310&lt;=300,"4. De 200 a 300 m",IF(J2310&lt;=500,"5. De 300 a 500 m","6. De 500 m a 2 km"))))))</f>
        <v>7. Acima de 2 km</v>
      </c>
      <c r="L2310" s="26" t="n">
        <v>0</v>
      </c>
      <c r="M2310" s="26" t="n">
        <v>0</v>
      </c>
      <c r="N2310" s="26" t="n">
        <v>0</v>
      </c>
      <c r="O2310" s="26" t="n">
        <v>0</v>
      </c>
      <c r="P2310" s="30" t="n">
        <v>-13.1861102</v>
      </c>
      <c r="Q2310" s="30" t="n">
        <v>-44.5147651</v>
      </c>
      <c r="R2310" s="14" t="inlineStr">
        <is>
          <t>RUA CAPITÃO JOSÉ ALFAIATE, S/N, CENTRO, ST. MARIA DA VITÓRIA/BA</t>
        </is>
      </c>
      <c r="S2310" s="26">
        <f>IF(A2310=A2309,0,1)</f>
        <v>0</v>
      </c>
      <c r="T2310" s="26">
        <f>IF(COUNTIF($B$4:B2310,B2310)=1,1,0)</f>
        <v>0</v>
      </c>
    </row>
    <row r="2311">
      <c r="A2311" s="14" t="inlineStr">
        <is>
          <t>SANTA MARIA DA VITÓRIA</t>
        </is>
      </c>
      <c r="B2311" s="26" t="n">
        <v>72</v>
      </c>
      <c r="C2311" s="26" t="n">
        <v>1414</v>
      </c>
      <c r="D2311" s="14" t="inlineStr">
        <is>
          <t>ESCOLA MUNICIPAL ISIDORIO AFONSO DE OLIVEIRA</t>
        </is>
      </c>
      <c r="E2311" s="14" t="inlineStr">
        <is>
          <t>POVOADO BREJO DO ESPÍRITO SANTO</t>
        </is>
      </c>
      <c r="F2311" s="14" t="inlineStr">
        <is>
          <t>POVOADO BREJO DO ESPIRITO SANTO - ZONA RURAL</t>
        </is>
      </c>
      <c r="G2311" s="27" t="inlineStr">
        <is>
          <t>47640-000</t>
        </is>
      </c>
      <c r="H2311" s="15" t="n">
        <v>1</v>
      </c>
      <c r="I2311" s="28" t="inlineStr">
        <is>
          <t>NÃO</t>
        </is>
      </c>
      <c r="J2311" s="29" t="n"/>
      <c r="K2311" s="14" t="str">
        <f>IF(J2311="","7. Acima de 2 km",IF(J2311&lt;=50,"1. Até 50 m",IF(J2311&lt;=100,"2. De 50 a 100 m",IF(J2311&lt;=200,"3. De 100 a 200 m",IF(J2311&lt;=300,"4. De 200 a 300 m",IF(J2311&lt;=500,"5. De 300 a 500 m","6. De 500 m a 2 km"))))))</f>
        <v>7. Acima de 2 km</v>
      </c>
      <c r="L2311" s="26" t="n">
        <v>0</v>
      </c>
      <c r="M2311" s="26" t="n">
        <v>0</v>
      </c>
      <c r="N2311" s="26" t="n">
        <v>0</v>
      </c>
      <c r="O2311" s="26" t="n">
        <v>0</v>
      </c>
      <c r="P2311" s="30" t="n">
        <v>-13.305851</v>
      </c>
      <c r="Q2311" s="30" t="n">
        <v>-44.2724882</v>
      </c>
      <c r="R2311" s="14" t="inlineStr">
        <is>
          <t>RUA CAPITÃO JOSÉ ALFAIATE, S/N, CENTRO, ST. MARIA DA VITÓRIA/BA</t>
        </is>
      </c>
      <c r="S2311" s="26">
        <f>IF(A2311=A2310,0,1)</f>
        <v>0</v>
      </c>
      <c r="T2311" s="26">
        <f>IF(COUNTIF($B$4:B2311,B2311)=1,1,0)</f>
        <v>0</v>
      </c>
    </row>
    <row r="2312">
      <c r="A2312" s="14" t="inlineStr">
        <is>
          <t>SANTA MARIA DA VITÓRIA</t>
        </is>
      </c>
      <c r="B2312" s="26" t="n">
        <v>72</v>
      </c>
      <c r="C2312" s="26" t="n">
        <v>1422</v>
      </c>
      <c r="D2312" s="14" t="inlineStr">
        <is>
          <t>ESCOLA MUNICIPAL BENTO MANOEL DA SILVA</t>
        </is>
      </c>
      <c r="E2312" s="14" t="inlineStr">
        <is>
          <t>POVOADO CARAIBAS</t>
        </is>
      </c>
      <c r="F2312" s="14" t="inlineStr">
        <is>
          <t>POVOADO CARAIBAS - ZONA RURAL</t>
        </is>
      </c>
      <c r="G2312" s="27" t="inlineStr">
        <is>
          <t>47640-000</t>
        </is>
      </c>
      <c r="H2312" s="15" t="n">
        <v>2</v>
      </c>
      <c r="I2312" s="28" t="inlineStr">
        <is>
          <t>NÃO</t>
        </is>
      </c>
      <c r="J2312" s="29" t="n"/>
      <c r="K2312" s="14" t="str">
        <f>IF(J2312="","7. Acima de 2 km",IF(J2312&lt;=50,"1. Até 50 m",IF(J2312&lt;=100,"2. De 50 a 100 m",IF(J2312&lt;=200,"3. De 100 a 200 m",IF(J2312&lt;=300,"4. De 200 a 300 m",IF(J2312&lt;=500,"5. De 300 a 500 m","6. De 500 m a 2 km"))))))</f>
        <v>7. Acima de 2 km</v>
      </c>
      <c r="L2312" s="26" t="n">
        <v>0</v>
      </c>
      <c r="M2312" s="26" t="n">
        <v>0</v>
      </c>
      <c r="N2312" s="26" t="n">
        <v>0</v>
      </c>
      <c r="O2312" s="26" t="n">
        <v>0</v>
      </c>
      <c r="P2312" s="30" t="n">
        <v>-13.3651061</v>
      </c>
      <c r="Q2312" s="30" t="n">
        <v>-44.4463888</v>
      </c>
      <c r="R2312" s="14" t="inlineStr">
        <is>
          <t>RUA CAPITÃO JOSÉ ALFAIATE, S/N, CENTRO, ST. MARIA DA VITÓRIA/BA</t>
        </is>
      </c>
      <c r="S2312" s="26">
        <f>IF(A2312=A2311,0,1)</f>
        <v>0</v>
      </c>
      <c r="T2312" s="26">
        <f>IF(COUNTIF($B$4:B2312,B2312)=1,1,0)</f>
        <v>0</v>
      </c>
    </row>
    <row r="2313">
      <c r="A2313" s="14" t="inlineStr">
        <is>
          <t>SANTA MARIA DA VITÓRIA</t>
        </is>
      </c>
      <c r="B2313" s="26" t="n">
        <v>72</v>
      </c>
      <c r="C2313" s="26" t="n">
        <v>1457</v>
      </c>
      <c r="D2313" s="14" t="inlineStr">
        <is>
          <t>ESCOLA MUNICIPAL BOA ESPERANCA</t>
        </is>
      </c>
      <c r="E2313" s="14" t="inlineStr">
        <is>
          <t>DISTRITO INHAÚMAS</t>
        </is>
      </c>
      <c r="F2313" s="14" t="inlineStr">
        <is>
          <t>POVOADO DE PONTE VELHA - ZONA RURAL</t>
        </is>
      </c>
      <c r="G2313" s="27" t="inlineStr">
        <is>
          <t>47640-000</t>
        </is>
      </c>
      <c r="H2313" s="15" t="n">
        <v>2</v>
      </c>
      <c r="I2313" s="28" t="inlineStr">
        <is>
          <t>NÃO</t>
        </is>
      </c>
      <c r="J2313" s="29" t="n"/>
      <c r="K2313" s="14" t="str">
        <f>IF(J2313="","7. Acima de 2 km",IF(J2313&lt;=50,"1. Até 50 m",IF(J2313&lt;=100,"2. De 50 a 100 m",IF(J2313&lt;=200,"3. De 100 a 200 m",IF(J2313&lt;=300,"4. De 200 a 300 m",IF(J2313&lt;=500,"5. De 300 a 500 m","6. De 500 m a 2 km"))))))</f>
        <v>7. Acima de 2 km</v>
      </c>
      <c r="L2313" s="26" t="n">
        <v>0</v>
      </c>
      <c r="M2313" s="26" t="n">
        <v>0</v>
      </c>
      <c r="N2313" s="26" t="n">
        <v>0</v>
      </c>
      <c r="O2313" s="26" t="n">
        <v>0</v>
      </c>
      <c r="P2313" s="30" t="n">
        <v>-13.1834996</v>
      </c>
      <c r="Q2313" s="30" t="n">
        <v>-44.6216487</v>
      </c>
      <c r="R2313" s="14" t="inlineStr">
        <is>
          <t>RUA CAPITÃO JOSÉ ALFAIATE, S/N, CENTRO, ST. MARIA DA VITÓRIA/BA</t>
        </is>
      </c>
      <c r="S2313" s="26">
        <f>IF(A2313=A2312,0,1)</f>
        <v>0</v>
      </c>
      <c r="T2313" s="26">
        <f>IF(COUNTIF($B$4:B2313,B2313)=1,1,0)</f>
        <v>0</v>
      </c>
    </row>
    <row r="2314">
      <c r="A2314" s="14" t="inlineStr">
        <is>
          <t>SANTA MARIA DA VITÓRIA</t>
        </is>
      </c>
      <c r="B2314" s="26" t="n">
        <v>72</v>
      </c>
      <c r="C2314" s="26" t="n">
        <v>1465</v>
      </c>
      <c r="D2314" s="14" t="inlineStr">
        <is>
          <t>ESCOLA MUNICIPAL SANTO ANTONIO</t>
        </is>
      </c>
      <c r="E2314" s="14" t="inlineStr">
        <is>
          <t>POVOADO MONTEVIDINHA</t>
        </is>
      </c>
      <c r="F2314" s="14" t="inlineStr">
        <is>
          <t>POVOADO MONTEVIDINHA - ZONA RURAL</t>
        </is>
      </c>
      <c r="G2314" s="27" t="inlineStr">
        <is>
          <t>47640-000</t>
        </is>
      </c>
      <c r="H2314" s="15" t="n">
        <v>2</v>
      </c>
      <c r="I2314" s="28" t="inlineStr">
        <is>
          <t>NÃO</t>
        </is>
      </c>
      <c r="J2314" s="29" t="n"/>
      <c r="K2314" s="14" t="str">
        <f>IF(J2314="","7. Acima de 2 km",IF(J2314&lt;=50,"1. Até 50 m",IF(J2314&lt;=100,"2. De 50 a 100 m",IF(J2314&lt;=200,"3. De 100 a 200 m",IF(J2314&lt;=300,"4. De 200 a 300 m",IF(J2314&lt;=500,"5. De 300 a 500 m","6. De 500 m a 2 km"))))))</f>
        <v>7. Acima de 2 km</v>
      </c>
      <c r="L2314" s="26" t="n">
        <v>0</v>
      </c>
      <c r="M2314" s="26" t="n">
        <v>0</v>
      </c>
      <c r="N2314" s="26" t="n">
        <v>0</v>
      </c>
      <c r="O2314" s="26" t="n">
        <v>0</v>
      </c>
      <c r="P2314" s="30" t="n">
        <v>-13.3147618</v>
      </c>
      <c r="Q2314" s="30" t="n">
        <v>-44.4219646</v>
      </c>
      <c r="R2314" s="14" t="inlineStr">
        <is>
          <t>RUA CAPITÃO JOSÉ ALFAIATE, S/N, CENTRO, ST. MARIA DA VITÓRIA/BA</t>
        </is>
      </c>
      <c r="S2314" s="26">
        <f>IF(A2314=A2313,0,1)</f>
        <v>0</v>
      </c>
      <c r="T2314" s="26">
        <f>IF(COUNTIF($B$4:B2314,B2314)=1,1,0)</f>
        <v>0</v>
      </c>
    </row>
    <row r="2315">
      <c r="A2315" s="14" t="inlineStr">
        <is>
          <t>SANTA MARIA DA VITÓRIA</t>
        </is>
      </c>
      <c r="B2315" s="26" t="n">
        <v>72</v>
      </c>
      <c r="C2315" s="26" t="n">
        <v>1481</v>
      </c>
      <c r="D2315" s="14" t="inlineStr">
        <is>
          <t>ODORICO MARQUES</t>
        </is>
      </c>
      <c r="E2315" s="14" t="inlineStr">
        <is>
          <t>POVOADO BARREIRO DA CANABRAVA</t>
        </is>
      </c>
      <c r="F2315" s="14" t="inlineStr">
        <is>
          <t>POVOADO BARREIRO CANABRAVA - ZONA RURAL</t>
        </is>
      </c>
      <c r="G2315" s="27" t="inlineStr">
        <is>
          <t>47640-000</t>
        </is>
      </c>
      <c r="H2315" s="15" t="n">
        <v>1</v>
      </c>
      <c r="I2315" s="28" t="inlineStr">
        <is>
          <t>NÃO</t>
        </is>
      </c>
      <c r="J2315" s="29" t="n"/>
      <c r="K2315" s="14" t="str">
        <f>IF(J2315="","7. Acima de 2 km",IF(J2315&lt;=50,"1. Até 50 m",IF(J2315&lt;=100,"2. De 50 a 100 m",IF(J2315&lt;=200,"3. De 100 a 200 m",IF(J2315&lt;=300,"4. De 200 a 300 m",IF(J2315&lt;=500,"5. De 300 a 500 m","6. De 500 m a 2 km"))))))</f>
        <v>7. Acima de 2 km</v>
      </c>
      <c r="L2315" s="26" t="n">
        <v>0</v>
      </c>
      <c r="M2315" s="26" t="n">
        <v>0</v>
      </c>
      <c r="N2315" s="26" t="n">
        <v>0</v>
      </c>
      <c r="O2315" s="26" t="n">
        <v>0</v>
      </c>
      <c r="P2315" s="30" t="n">
        <v>-13.3121059</v>
      </c>
      <c r="Q2315" s="30" t="n">
        <v>-44.0064713</v>
      </c>
      <c r="R2315" s="14" t="inlineStr">
        <is>
          <t>RUA CAPITÃO JOSÉ ALFAIATE, S/N, CENTRO, ST. MARIA DA VITÓRIA/BA</t>
        </is>
      </c>
      <c r="S2315" s="26">
        <f>IF(A2315=A2314,0,1)</f>
        <v>0</v>
      </c>
      <c r="T2315" s="26">
        <f>IF(COUNTIF($B$4:B2315,B2315)=1,1,0)</f>
        <v>0</v>
      </c>
    </row>
    <row r="2316">
      <c r="A2316" s="14" t="inlineStr">
        <is>
          <t>SANTA MARIA DA VITÓRIA</t>
        </is>
      </c>
      <c r="B2316" s="26" t="n">
        <v>72</v>
      </c>
      <c r="C2316" s="26" t="n">
        <v>1490</v>
      </c>
      <c r="D2316" s="14" t="inlineStr">
        <is>
          <t>ESCOLA MUNICIPAL SAO JOAO</t>
        </is>
      </c>
      <c r="E2316" s="14" t="inlineStr">
        <is>
          <t>POVOADO SAO JOAO</t>
        </is>
      </c>
      <c r="F2316" s="14" t="inlineStr">
        <is>
          <t>POVOADO SAO JOAO - ZONA RURAL</t>
        </is>
      </c>
      <c r="G2316" s="27" t="inlineStr">
        <is>
          <t>47640-000</t>
        </is>
      </c>
      <c r="H2316" s="15" t="n">
        <v>1</v>
      </c>
      <c r="I2316" s="28" t="inlineStr">
        <is>
          <t>NÃO</t>
        </is>
      </c>
      <c r="J2316" s="29" t="n"/>
      <c r="K2316" s="14" t="str">
        <f>IF(J2316="","7. Acima de 2 km",IF(J2316&lt;=50,"1. Até 50 m",IF(J2316&lt;=100,"2. De 50 a 100 m",IF(J2316&lt;=200,"3. De 100 a 200 m",IF(J2316&lt;=300,"4. De 200 a 300 m",IF(J2316&lt;=500,"5. De 300 a 500 m","6. De 500 m a 2 km"))))))</f>
        <v>7. Acima de 2 km</v>
      </c>
      <c r="L2316" s="26" t="n">
        <v>0</v>
      </c>
      <c r="M2316" s="26" t="n">
        <v>0</v>
      </c>
      <c r="N2316" s="26" t="n">
        <v>0</v>
      </c>
      <c r="O2316" s="26" t="n">
        <v>0</v>
      </c>
      <c r="P2316" s="30" t="n">
        <v>-13.3042482</v>
      </c>
      <c r="Q2316" s="30" t="n">
        <v>-44.3260295</v>
      </c>
      <c r="R2316" s="14" t="inlineStr">
        <is>
          <t>RUA CAPITÃO JOSÉ ALFAIATE, S/N, CENTRO, ST. MARIA DA VITÓRIA/BA</t>
        </is>
      </c>
      <c r="S2316" s="26">
        <f>IF(A2316=A2315,0,1)</f>
        <v>0</v>
      </c>
      <c r="T2316" s="26">
        <f>IF(COUNTIF($B$4:B2316,B2316)=1,1,0)</f>
        <v>0</v>
      </c>
    </row>
    <row r="2317">
      <c r="A2317" s="14" t="inlineStr">
        <is>
          <t>SANTA MARIA DA VITÓRIA</t>
        </is>
      </c>
      <c r="B2317" s="26" t="n">
        <v>72</v>
      </c>
      <c r="C2317" s="26" t="n">
        <v>1511</v>
      </c>
      <c r="D2317" s="14" t="inlineStr">
        <is>
          <t>ESCOLA MUNICIPAL JOSE FRANCISCO DE OLIVEIRA</t>
        </is>
      </c>
      <c r="E2317" s="14" t="inlineStr">
        <is>
          <t>POVOADO CORAGINA</t>
        </is>
      </c>
      <c r="F2317" s="14" t="inlineStr">
        <is>
          <t>POVOADO CORAGINA - ZONA RURAL</t>
        </is>
      </c>
      <c r="G2317" s="27" t="inlineStr">
        <is>
          <t>47640-000</t>
        </is>
      </c>
      <c r="H2317" s="15" t="n">
        <v>1</v>
      </c>
      <c r="I2317" s="28" t="inlineStr">
        <is>
          <t>NÃO</t>
        </is>
      </c>
      <c r="J2317" s="29" t="n"/>
      <c r="K2317" s="14" t="str">
        <f>IF(J2317="","7. Acima de 2 km",IF(J2317&lt;=50,"1. Até 50 m",IF(J2317&lt;=100,"2. De 50 a 100 m",IF(J2317&lt;=200,"3. De 100 a 200 m",IF(J2317&lt;=300,"4. De 200 a 300 m",IF(J2317&lt;=500,"5. De 300 a 500 m","6. De 500 m a 2 km"))))))</f>
        <v>7. Acima de 2 km</v>
      </c>
      <c r="L2317" s="26" t="n">
        <v>0</v>
      </c>
      <c r="M2317" s="26" t="n">
        <v>0</v>
      </c>
      <c r="N2317" s="26" t="n">
        <v>0</v>
      </c>
      <c r="O2317" s="26" t="n">
        <v>0</v>
      </c>
      <c r="P2317" s="30" t="n">
        <v>-13.3780067</v>
      </c>
      <c r="Q2317" s="30" t="n">
        <v>-44.4736544</v>
      </c>
      <c r="R2317" s="14" t="inlineStr">
        <is>
          <t>RUA CAPITÃO JOSÉ ALFAIATE, S/N, CENTRO, ST. MARIA DA VITÓRIA/BA</t>
        </is>
      </c>
      <c r="S2317" s="26">
        <f>IF(A2317=A2316,0,1)</f>
        <v>0</v>
      </c>
      <c r="T2317" s="26">
        <f>IF(COUNTIF($B$4:B2317,B2317)=1,1,0)</f>
        <v>0</v>
      </c>
    </row>
    <row r="2318">
      <c r="A2318" s="14" t="inlineStr">
        <is>
          <t>SANTA MARIA DA VITÓRIA</t>
        </is>
      </c>
      <c r="B2318" s="26" t="n">
        <v>72</v>
      </c>
      <c r="C2318" s="26" t="n">
        <v>1538</v>
      </c>
      <c r="D2318" s="14" t="inlineStr">
        <is>
          <t>ESCOLA MUNICIPAL JOSÉ TEIXEIRA CHAVES</t>
        </is>
      </c>
      <c r="E2318" s="14" t="inlineStr">
        <is>
          <t>POVOADO DE SÃO FRANCISCO</t>
        </is>
      </c>
      <c r="F2318" s="14" t="inlineStr">
        <is>
          <t>ESTRADA DE INHAÚMAS - ZONA RURAL</t>
        </is>
      </c>
      <c r="G2318" s="27" t="inlineStr">
        <is>
          <t>47640-000</t>
        </is>
      </c>
      <c r="H2318" s="15" t="n">
        <v>1</v>
      </c>
      <c r="I2318" s="28" t="inlineStr">
        <is>
          <t>NÃO</t>
        </is>
      </c>
      <c r="J2318" s="29" t="n"/>
      <c r="K2318" s="14" t="str">
        <f>IF(J2318="","7. Acima de 2 km",IF(J2318&lt;=50,"1. Até 50 m",IF(J2318&lt;=100,"2. De 50 a 100 m",IF(J2318&lt;=200,"3. De 100 a 200 m",IF(J2318&lt;=300,"4. De 200 a 300 m",IF(J2318&lt;=500,"5. De 300 a 500 m","6. De 500 m a 2 km"))))))</f>
        <v>7. Acima de 2 km</v>
      </c>
      <c r="L2318" s="26" t="n">
        <v>0</v>
      </c>
      <c r="M2318" s="26" t="n">
        <v>0</v>
      </c>
      <c r="N2318" s="26" t="n">
        <v>0</v>
      </c>
      <c r="O2318" s="26" t="n">
        <v>0</v>
      </c>
      <c r="P2318" s="30" t="n">
        <v>-13.3203465</v>
      </c>
      <c r="Q2318" s="30" t="n">
        <v>-44.5487738</v>
      </c>
      <c r="R2318" s="14" t="inlineStr">
        <is>
          <t>RUA CAPITÃO JOSÉ ALFAIATE, S/N, CENTRO, ST. MARIA DA VITÓRIA/BA</t>
        </is>
      </c>
      <c r="S2318" s="26">
        <f>IF(A2318=A2317,0,1)</f>
        <v>0</v>
      </c>
      <c r="T2318" s="26">
        <f>IF(COUNTIF($B$4:B2318,B2318)=1,1,0)</f>
        <v>0</v>
      </c>
    </row>
    <row r="2319">
      <c r="A2319" s="14" t="inlineStr">
        <is>
          <t>SANTA MARIA DA VITÓRIA</t>
        </is>
      </c>
      <c r="B2319" s="26" t="n">
        <v>72</v>
      </c>
      <c r="C2319" s="26" t="n">
        <v>1546</v>
      </c>
      <c r="D2319" s="14" t="inlineStr">
        <is>
          <t>ESCOLA MUNICIPAL JOSÉ ALVARES BRANDÃO</t>
        </is>
      </c>
      <c r="E2319" s="14" t="inlineStr">
        <is>
          <t>POVOADO DE MACACO DOS GERAIS</t>
        </is>
      </c>
      <c r="F2319" s="14" t="inlineStr">
        <is>
          <t>POVOADO DE MACACO DOS GERAIS - ZONA RURAL</t>
        </is>
      </c>
      <c r="G2319" s="27" t="inlineStr">
        <is>
          <t>47640-000</t>
        </is>
      </c>
      <c r="H2319" s="15" t="n">
        <v>2</v>
      </c>
      <c r="I2319" s="28" t="inlineStr">
        <is>
          <t>NÃO</t>
        </is>
      </c>
      <c r="J2319" s="29" t="n"/>
      <c r="K2319" s="14" t="str">
        <f>IF(J2319="","7. Acima de 2 km",IF(J2319&lt;=50,"1. Até 50 m",IF(J2319&lt;=100,"2. De 50 a 100 m",IF(J2319&lt;=200,"3. De 100 a 200 m",IF(J2319&lt;=300,"4. De 200 a 300 m",IF(J2319&lt;=500,"5. De 300 a 500 m","6. De 500 m a 2 km"))))))</f>
        <v>7. Acima de 2 km</v>
      </c>
      <c r="L2319" s="26" t="n">
        <v>0</v>
      </c>
      <c r="M2319" s="26" t="n">
        <v>0</v>
      </c>
      <c r="N2319" s="26" t="n">
        <v>0</v>
      </c>
      <c r="O2319" s="26" t="n">
        <v>0</v>
      </c>
      <c r="P2319" s="30" t="n">
        <v>-13.1483654</v>
      </c>
      <c r="Q2319" s="30" t="n">
        <v>-44.5153737</v>
      </c>
      <c r="R2319" s="14" t="inlineStr">
        <is>
          <t>RUA CAPITÃO JOSÉ ALFAIATE, S/N, CENTRO, ST. MARIA DA VITÓRIA/BA</t>
        </is>
      </c>
      <c r="S2319" s="26">
        <f>IF(A2319=A2318,0,1)</f>
        <v>0</v>
      </c>
      <c r="T2319" s="26">
        <f>IF(COUNTIF($B$4:B2319,B2319)=1,1,0)</f>
        <v>0</v>
      </c>
    </row>
    <row r="2320">
      <c r="A2320" s="14" t="inlineStr">
        <is>
          <t>SANTA MARIA DA VITÓRIA</t>
        </is>
      </c>
      <c r="B2320" s="26" t="n">
        <v>72</v>
      </c>
      <c r="C2320" s="26" t="n">
        <v>1554</v>
      </c>
      <c r="D2320" s="14" t="inlineStr">
        <is>
          <t>ESCOLA MUNICIPAL DOM PEDRO II</t>
        </is>
      </c>
      <c r="E2320" s="14" t="inlineStr">
        <is>
          <t>POVOADO TIRIRICA</t>
        </is>
      </c>
      <c r="F2320" s="14" t="inlineStr">
        <is>
          <t>POVOADO TIRIRICA - ZONA RURAL</t>
        </is>
      </c>
      <c r="G2320" s="27" t="inlineStr">
        <is>
          <t>47640-000</t>
        </is>
      </c>
      <c r="H2320" s="15" t="n">
        <v>1</v>
      </c>
      <c r="I2320" s="28" t="inlineStr">
        <is>
          <t>NÃO</t>
        </is>
      </c>
      <c r="J2320" s="29" t="n"/>
      <c r="K2320" s="14" t="str">
        <f>IF(J2320="","7. Acima de 2 km",IF(J2320&lt;=50,"1. Até 50 m",IF(J2320&lt;=100,"2. De 50 a 100 m",IF(J2320&lt;=200,"3. De 100 a 200 m",IF(J2320&lt;=300,"4. De 200 a 300 m",IF(J2320&lt;=500,"5. De 300 a 500 m","6. De 500 m a 2 km"))))))</f>
        <v>7. Acima de 2 km</v>
      </c>
      <c r="L2320" s="26" t="n">
        <v>0</v>
      </c>
      <c r="M2320" s="26" t="n">
        <v>0</v>
      </c>
      <c r="N2320" s="26" t="n">
        <v>0</v>
      </c>
      <c r="O2320" s="26" t="n">
        <v>0</v>
      </c>
      <c r="P2320" s="30" t="n">
        <v>-13.3882305</v>
      </c>
      <c r="Q2320" s="30" t="n">
        <v>-44.3341672</v>
      </c>
      <c r="R2320" s="14" t="inlineStr">
        <is>
          <t>RUA CAPITÃO JOSÉ ALFAIATE, S/N, CENTRO, ST. MARIA DA VITÓRIA/BA</t>
        </is>
      </c>
      <c r="S2320" s="26">
        <f>IF(A2320=A2319,0,1)</f>
        <v>0</v>
      </c>
      <c r="T2320" s="26">
        <f>IF(COUNTIF($B$4:B2320,B2320)=1,1,0)</f>
        <v>0</v>
      </c>
    </row>
    <row r="2321">
      <c r="A2321" s="14" t="inlineStr">
        <is>
          <t>SANTA MARIA DA VITÓRIA</t>
        </is>
      </c>
      <c r="B2321" s="26" t="n">
        <v>72</v>
      </c>
      <c r="C2321" s="26" t="n">
        <v>1562</v>
      </c>
      <c r="D2321" s="14" t="inlineStr">
        <is>
          <t>ESCOLA MUNICIPAL SENADOR JOSAPHAT MARINHO</t>
        </is>
      </c>
      <c r="E2321" s="14" t="inlineStr">
        <is>
          <t>SETOR PLANALTO</t>
        </is>
      </c>
      <c r="F2321" s="14" t="inlineStr">
        <is>
          <t>RUA A, 100 - ZONA URBANA</t>
        </is>
      </c>
      <c r="G2321" s="27" t="inlineStr">
        <is>
          <t>47640-000</t>
        </is>
      </c>
      <c r="H2321" s="15" t="n">
        <v>2</v>
      </c>
      <c r="I2321" s="28" t="inlineStr">
        <is>
          <t>NÃO</t>
        </is>
      </c>
      <c r="J2321" s="29" t="n">
        <v>254.7</v>
      </c>
      <c r="K2321" s="14" t="str">
        <f>IF(J2321="","7. Acima de 2 km",IF(J2321&lt;=50,"1. Até 50 m",IF(J2321&lt;=100,"2. De 50 a 100 m",IF(J2321&lt;=200,"3. De 100 a 200 m",IF(J2321&lt;=300,"4. De 200 a 300 m",IF(J2321&lt;=500,"5. De 300 a 500 m","6. De 500 m a 2 km"))))))</f>
        <v>4. De 200 a 300 m</v>
      </c>
      <c r="L2321" s="26" t="n">
        <v>0</v>
      </c>
      <c r="M2321" s="26" t="n">
        <v>0</v>
      </c>
      <c r="N2321" s="26" t="n">
        <v>0</v>
      </c>
      <c r="O2321" s="26" t="n">
        <v>1</v>
      </c>
      <c r="P2321" s="30" t="n">
        <v>-13.3882397</v>
      </c>
      <c r="Q2321" s="30" t="n">
        <v>-44.2076994</v>
      </c>
      <c r="R2321" s="14" t="inlineStr">
        <is>
          <t>RUA CAPITÃO JOSÉ ALFAIATE, S/N, CENTRO, ST. MARIA DA VITÓRIA/BA</t>
        </is>
      </c>
      <c r="S2321" s="26">
        <f>IF(A2321=A2320,0,1)</f>
        <v>0</v>
      </c>
      <c r="T2321" s="26">
        <f>IF(COUNTIF($B$4:B2321,B2321)=1,1,0)</f>
        <v>0</v>
      </c>
    </row>
    <row r="2322">
      <c r="A2322" s="14" t="inlineStr">
        <is>
          <t>SANTA MARIA DA VITÓRIA</t>
        </is>
      </c>
      <c r="B2322" s="26" t="n">
        <v>72</v>
      </c>
      <c r="C2322" s="26" t="n">
        <v>1570</v>
      </c>
      <c r="D2322" s="14" t="inlineStr">
        <is>
          <t>ESCOLA EVANGÉLICA ROSA MAGALHÃES</t>
        </is>
      </c>
      <c r="E2322" s="14" t="inlineStr">
        <is>
          <t>VILA NOVA</t>
        </is>
      </c>
      <c r="F2322" s="14" t="inlineStr">
        <is>
          <t>RUA TENENTE FAÇANHA, S/N  - ZONA URBANA</t>
        </is>
      </c>
      <c r="G2322" s="27" t="inlineStr">
        <is>
          <t>47640-000</t>
        </is>
      </c>
      <c r="H2322" s="15" t="n">
        <v>2</v>
      </c>
      <c r="I2322" s="28" t="inlineStr">
        <is>
          <t>NÃO</t>
        </is>
      </c>
      <c r="J2322" s="29" t="n">
        <v>266.7</v>
      </c>
      <c r="K2322" s="14" t="str">
        <f>IF(J2322="","7. Acima de 2 km",IF(J2322&lt;=50,"1. Até 50 m",IF(J2322&lt;=100,"2. De 50 a 100 m",IF(J2322&lt;=200,"3. De 100 a 200 m",IF(J2322&lt;=300,"4. De 200 a 300 m",IF(J2322&lt;=500,"5. De 300 a 500 m","6. De 500 m a 2 km"))))))</f>
        <v>4. De 200 a 300 m</v>
      </c>
      <c r="L2322" s="26" t="n">
        <v>0</v>
      </c>
      <c r="M2322" s="26" t="n">
        <v>0</v>
      </c>
      <c r="N2322" s="26" t="n">
        <v>0</v>
      </c>
      <c r="O2322" s="26" t="n">
        <v>1</v>
      </c>
      <c r="P2322" s="30" t="n">
        <v>-13.3958184</v>
      </c>
      <c r="Q2322" s="30" t="n">
        <v>-44.2102096</v>
      </c>
      <c r="R2322" s="14" t="inlineStr">
        <is>
          <t>RUA CAPITÃO JOSÉ ALFAIATE, S/N, CENTRO, ST. MARIA DA VITÓRIA/BA</t>
        </is>
      </c>
      <c r="S2322" s="26">
        <f>IF(A2322=A2321,0,1)</f>
        <v>0</v>
      </c>
      <c r="T2322" s="26">
        <f>IF(COUNTIF($B$4:B2322,B2322)=1,1,0)</f>
        <v>0</v>
      </c>
    </row>
    <row r="2323">
      <c r="A2323" s="14" t="inlineStr">
        <is>
          <t>SANTANA</t>
        </is>
      </c>
      <c r="B2323" s="26" t="n">
        <v>99</v>
      </c>
      <c r="C2323" s="26" t="n">
        <v>1015</v>
      </c>
      <c r="D2323" s="14" t="inlineStr">
        <is>
          <t>EDUCANDÁRIO DIOCESANO SANT'ANA</t>
        </is>
      </c>
      <c r="E2323" s="14" t="inlineStr">
        <is>
          <t>CENTRO</t>
        </is>
      </c>
      <c r="F2323" s="14" t="inlineStr">
        <is>
          <t>RUA PADRE AURÉLIO, S/N - ZONA URBANA</t>
        </is>
      </c>
      <c r="G2323" s="27" t="inlineStr">
        <is>
          <t>47700-000</t>
        </is>
      </c>
      <c r="H2323" s="15" t="n">
        <v>8</v>
      </c>
      <c r="I2323" s="28" t="inlineStr">
        <is>
          <t>NÃO</t>
        </is>
      </c>
      <c r="J2323" s="29" t="n">
        <v>130.1</v>
      </c>
      <c r="K2323" s="14" t="str">
        <f>IF(J2323="","7. Acima de 2 km",IF(J2323&lt;=50,"1. Até 50 m",IF(J2323&lt;=100,"2. De 50 a 100 m",IF(J2323&lt;=200,"3. De 100 a 200 m",IF(J2323&lt;=300,"4. De 200 a 300 m",IF(J2323&lt;=500,"5. De 300 a 500 m","6. De 500 m a 2 km"))))))</f>
        <v>3. De 100 a 200 m</v>
      </c>
      <c r="L2323" s="26" t="n">
        <v>0</v>
      </c>
      <c r="M2323" s="26" t="n">
        <v>0</v>
      </c>
      <c r="N2323" s="26" t="n">
        <v>2</v>
      </c>
      <c r="O2323" s="26" t="n">
        <v>4</v>
      </c>
      <c r="P2323" s="30" t="n">
        <v>-12.981318</v>
      </c>
      <c r="Q2323" s="30" t="n">
        <v>-44.0493516</v>
      </c>
      <c r="R2323" s="14" t="inlineStr">
        <is>
          <t>FÓRUM LAUDELINO DE SOUZA LINO - RUA MONTEIRO LOBATO, S/N, CENTRO, SANTANA/BA</t>
        </is>
      </c>
      <c r="S2323" s="26">
        <f>IF(A2323=A2322,0,1)</f>
        <v>1</v>
      </c>
      <c r="T2323" s="26">
        <f>IF(COUNTIF($B$4:B2323,B2323)=1,1,0)</f>
        <v>1</v>
      </c>
    </row>
    <row r="2324">
      <c r="A2324" s="14" t="inlineStr">
        <is>
          <t>SANTANA</t>
        </is>
      </c>
      <c r="B2324" s="26" t="n">
        <v>99</v>
      </c>
      <c r="C2324" s="26" t="n">
        <v>1023</v>
      </c>
      <c r="D2324" s="14" t="inlineStr">
        <is>
          <t>PREDIO ESCOLAR BARAO DO RIO BRANCO</t>
        </is>
      </c>
      <c r="E2324" s="14" t="inlineStr">
        <is>
          <t>CENTRO</t>
        </is>
      </c>
      <c r="F2324" s="14" t="inlineStr">
        <is>
          <t>AVENIDA MANOEL NOVAIS, S/N - ZONA URBANA</t>
        </is>
      </c>
      <c r="G2324" s="27" t="inlineStr">
        <is>
          <t>47700-000</t>
        </is>
      </c>
      <c r="H2324" s="15" t="n">
        <v>6</v>
      </c>
      <c r="I2324" s="28" t="inlineStr">
        <is>
          <t>SIM</t>
        </is>
      </c>
      <c r="J2324" s="29" t="n">
        <v>56.8</v>
      </c>
      <c r="K2324" s="14" t="str">
        <f>IF(J2324="","7. Acima de 2 km",IF(J2324&lt;=50,"1. Até 50 m",IF(J2324&lt;=100,"2. De 50 a 100 m",IF(J2324&lt;=200,"3. De 100 a 200 m",IF(J2324&lt;=300,"4. De 200 a 300 m",IF(J2324&lt;=500,"5. De 300 a 500 m","6. De 500 m a 2 km"))))))</f>
        <v>2. De 50 a 100 m</v>
      </c>
      <c r="L2324" s="26" t="n">
        <v>0</v>
      </c>
      <c r="M2324" s="26" t="n">
        <v>1</v>
      </c>
      <c r="N2324" s="26" t="n">
        <v>4</v>
      </c>
      <c r="O2324" s="26" t="n">
        <v>4</v>
      </c>
      <c r="P2324" s="30" t="n">
        <v>-12.9818212</v>
      </c>
      <c r="Q2324" s="30" t="n">
        <v>-44.0502163</v>
      </c>
      <c r="R2324" s="14" t="inlineStr">
        <is>
          <t>FÓRUM LAUDELINO DE SOUZA LINO - RUA MONTEIRO LOBATO, S/N, CENTRO, SANTANA/BA</t>
        </is>
      </c>
      <c r="S2324" s="26">
        <f>IF(A2324=A2323,0,1)</f>
        <v>0</v>
      </c>
      <c r="T2324" s="26">
        <f>IF(COUNTIF($B$4:B2324,B2324)=1,1,0)</f>
        <v>0</v>
      </c>
    </row>
    <row r="2325">
      <c r="A2325" s="14" t="inlineStr">
        <is>
          <t>SANTANA</t>
        </is>
      </c>
      <c r="B2325" s="26" t="n">
        <v>99</v>
      </c>
      <c r="C2325" s="26" t="n">
        <v>1104</v>
      </c>
      <c r="D2325" s="14" t="inlineStr">
        <is>
          <t>SINDICATO DOS TRABALHADORES RURAIS</t>
        </is>
      </c>
      <c r="E2325" s="14" t="inlineStr">
        <is>
          <t>CENTRO</t>
        </is>
      </c>
      <c r="F2325" s="14" t="inlineStr">
        <is>
          <t>PRACA TIRADENTES, S/N - ZONA URBANA</t>
        </is>
      </c>
      <c r="G2325" s="27" t="inlineStr">
        <is>
          <t>47700-000</t>
        </is>
      </c>
      <c r="H2325" s="15" t="n">
        <v>2</v>
      </c>
      <c r="I2325" s="28" t="inlineStr">
        <is>
          <t>NÃO</t>
        </is>
      </c>
      <c r="J2325" s="29" t="n">
        <v>293.7</v>
      </c>
      <c r="K2325" s="14" t="str">
        <f>IF(J2325="","7. Acima de 2 km",IF(J2325&lt;=50,"1. Até 50 m",IF(J2325&lt;=100,"2. De 50 a 100 m",IF(J2325&lt;=200,"3. De 100 a 200 m",IF(J2325&lt;=300,"4. De 200 a 300 m",IF(J2325&lt;=500,"5. De 300 a 500 m","6. De 500 m a 2 km"))))))</f>
        <v>4. De 200 a 300 m</v>
      </c>
      <c r="L2325" s="26" t="n">
        <v>0</v>
      </c>
      <c r="M2325" s="26" t="n">
        <v>0</v>
      </c>
      <c r="N2325" s="26" t="n">
        <v>0</v>
      </c>
      <c r="O2325" s="26" t="n">
        <v>1</v>
      </c>
      <c r="P2325" s="30" t="n">
        <v>-12.984681</v>
      </c>
      <c r="Q2325" s="30" t="n">
        <v>-44.0524759</v>
      </c>
      <c r="R2325" s="14" t="inlineStr">
        <is>
          <t>FÓRUM LAUDELINO DE SOUZA LINO - RUA MONTEIRO LOBATO, S/N, CENTRO, SANTANA/BA</t>
        </is>
      </c>
      <c r="S2325" s="26">
        <f>IF(A2325=A2324,0,1)</f>
        <v>0</v>
      </c>
      <c r="T2325" s="26">
        <f>IF(COUNTIF($B$4:B2325,B2325)=1,1,0)</f>
        <v>0</v>
      </c>
    </row>
    <row r="2326">
      <c r="A2326" s="14" t="inlineStr">
        <is>
          <t>SANTANA</t>
        </is>
      </c>
      <c r="B2326" s="26" t="n">
        <v>99</v>
      </c>
      <c r="C2326" s="26" t="n">
        <v>1163</v>
      </c>
      <c r="D2326" s="14" t="inlineStr">
        <is>
          <t>ESCOLA MUNICIPAL ALEGRIA DO SABER</t>
        </is>
      </c>
      <c r="E2326" s="14" t="inlineStr">
        <is>
          <t>SÃO JOÃO</t>
        </is>
      </c>
      <c r="F2326" s="14" t="inlineStr">
        <is>
          <t>RUA SAO VICENTE DE PAULA, S/N - ZONA URBANA</t>
        </is>
      </c>
      <c r="G2326" s="27" t="inlineStr">
        <is>
          <t>47700-000</t>
        </is>
      </c>
      <c r="H2326" s="15" t="n">
        <v>6</v>
      </c>
      <c r="I2326" s="28" t="inlineStr">
        <is>
          <t>NÃO</t>
        </is>
      </c>
      <c r="J2326" s="29" t="n">
        <v>310.3</v>
      </c>
      <c r="K2326" s="14" t="str">
        <f>IF(J2326="","7. Acima de 2 km",IF(J2326&lt;=50,"1. Até 50 m",IF(J2326&lt;=100,"2. De 50 a 100 m",IF(J2326&lt;=200,"3. De 100 a 200 m",IF(J2326&lt;=300,"4. De 200 a 300 m",IF(J2326&lt;=500,"5. De 300 a 500 m","6. De 500 m a 2 km"))))))</f>
        <v>5. De 300 a 500 m</v>
      </c>
      <c r="L2326" s="26" t="n">
        <v>0</v>
      </c>
      <c r="M2326" s="26" t="n">
        <v>0</v>
      </c>
      <c r="N2326" s="26" t="n">
        <v>0</v>
      </c>
      <c r="O2326" s="26" t="n">
        <v>0</v>
      </c>
      <c r="P2326" s="30" t="n">
        <v>-12.979502</v>
      </c>
      <c r="Q2326" s="30" t="n">
        <v>-44.052434</v>
      </c>
      <c r="R2326" s="14" t="inlineStr">
        <is>
          <t>FÓRUM LAUDELINO DE SOUZA LINO - RUA MONTEIRO LOBATO, S/N, CENTRO, SANTANA/BA</t>
        </is>
      </c>
      <c r="S2326" s="26">
        <f>IF(A2326=A2325,0,1)</f>
        <v>0</v>
      </c>
      <c r="T2326" s="26">
        <f>IF(COUNTIF($B$4:B2326,B2326)=1,1,0)</f>
        <v>0</v>
      </c>
    </row>
    <row r="2327">
      <c r="A2327" s="14" t="inlineStr">
        <is>
          <t>SANTANA</t>
        </is>
      </c>
      <c r="B2327" s="26" t="n">
        <v>99</v>
      </c>
      <c r="C2327" s="26" t="n">
        <v>1171</v>
      </c>
      <c r="D2327" s="14" t="inlineStr">
        <is>
          <t>ESCOLA MUNICIPAL CLEBESON ANDRADE DE JESUS</t>
        </is>
      </c>
      <c r="E2327" s="14" t="inlineStr">
        <is>
          <t>ALTO SANTA RITA</t>
        </is>
      </c>
      <c r="F2327" s="14" t="inlineStr">
        <is>
          <t>AVENIDA JOSÉ CÂNDIDO FLORES - ZONA URBANA</t>
        </is>
      </c>
      <c r="G2327" s="27" t="inlineStr">
        <is>
          <t>47700-000</t>
        </is>
      </c>
      <c r="H2327" s="15" t="n">
        <v>4</v>
      </c>
      <c r="I2327" s="28" t="inlineStr">
        <is>
          <t>NÃO</t>
        </is>
      </c>
      <c r="J2327" s="29" t="n">
        <v>509.4</v>
      </c>
      <c r="K2327" s="14" t="str">
        <f>IF(J2327="","7. Acima de 2 km",IF(J2327&lt;=50,"1. Até 50 m",IF(J2327&lt;=100,"2. De 50 a 100 m",IF(J2327&lt;=200,"3. De 100 a 200 m",IF(J2327&lt;=300,"4. De 200 a 300 m",IF(J2327&lt;=500,"5. De 300 a 500 m","6. De 500 m a 2 km"))))))</f>
        <v>6. De 500 m a 2 km</v>
      </c>
      <c r="L2327" s="26" t="n">
        <v>0</v>
      </c>
      <c r="M2327" s="26" t="n">
        <v>0</v>
      </c>
      <c r="N2327" s="26" t="n">
        <v>0</v>
      </c>
      <c r="O2327" s="26" t="n">
        <v>0</v>
      </c>
      <c r="P2327" s="30" t="n">
        <v>-12.9798593</v>
      </c>
      <c r="Q2327" s="30" t="n">
        <v>-44.0550576</v>
      </c>
      <c r="R2327" s="14" t="inlineStr">
        <is>
          <t>FÓRUM LAUDELINO DE SOUZA LINO - RUA MONTEIRO LOBATO, S/N, CENTRO, SANTANA/BA</t>
        </is>
      </c>
      <c r="S2327" s="26">
        <f>IF(A2327=A2326,0,1)</f>
        <v>0</v>
      </c>
      <c r="T2327" s="26">
        <f>IF(COUNTIF($B$4:B2327,B2327)=1,1,0)</f>
        <v>0</v>
      </c>
    </row>
    <row r="2328">
      <c r="A2328" s="14" t="inlineStr">
        <is>
          <t>SANTANA</t>
        </is>
      </c>
      <c r="B2328" s="26" t="n">
        <v>99</v>
      </c>
      <c r="C2328" s="26" t="n">
        <v>1198</v>
      </c>
      <c r="D2328" s="14" t="inlineStr">
        <is>
          <t>INSTITUIÇÃO ESPÍRITA JESUS CHRISTO</t>
        </is>
      </c>
      <c r="E2328" s="14" t="inlineStr">
        <is>
          <t>SÃO JOSÉ</t>
        </is>
      </c>
      <c r="F2328" s="14" t="inlineStr">
        <is>
          <t>RUA UBALDINA REGIS, S/N - ZONA URBANA</t>
        </is>
      </c>
      <c r="G2328" s="27" t="inlineStr">
        <is>
          <t>47700-000</t>
        </is>
      </c>
      <c r="H2328" s="15" t="n">
        <v>8</v>
      </c>
      <c r="I2328" s="28" t="inlineStr">
        <is>
          <t>NÃO</t>
        </is>
      </c>
      <c r="J2328" s="29" t="n">
        <v>381.9</v>
      </c>
      <c r="K2328" s="14" t="str">
        <f>IF(J2328="","7. Acima de 2 km",IF(J2328&lt;=50,"1. Até 50 m",IF(J2328&lt;=100,"2. De 50 a 100 m",IF(J2328&lt;=200,"3. De 100 a 200 m",IF(J2328&lt;=300,"4. De 200 a 300 m",IF(J2328&lt;=500,"5. De 300 a 500 m","6. De 500 m a 2 km"))))))</f>
        <v>5. De 300 a 500 m</v>
      </c>
      <c r="L2328" s="26" t="n">
        <v>0</v>
      </c>
      <c r="M2328" s="26" t="n">
        <v>0</v>
      </c>
      <c r="N2328" s="26" t="n">
        <v>0</v>
      </c>
      <c r="O2328" s="26" t="n">
        <v>0</v>
      </c>
      <c r="P2328" s="30" t="n">
        <v>-12.9841056</v>
      </c>
      <c r="Q2328" s="30" t="n">
        <v>-44.0464654</v>
      </c>
      <c r="R2328" s="14" t="inlineStr">
        <is>
          <t>FÓRUM LAUDELINO DE SOUZA LINO - RUA MONTEIRO LOBATO, S/N, CENTRO, SANTANA/BA</t>
        </is>
      </c>
      <c r="S2328" s="26">
        <f>IF(A2328=A2327,0,1)</f>
        <v>0</v>
      </c>
      <c r="T2328" s="26">
        <f>IF(COUNTIF($B$4:B2328,B2328)=1,1,0)</f>
        <v>0</v>
      </c>
    </row>
    <row r="2329">
      <c r="A2329" s="14" t="inlineStr">
        <is>
          <t>SANTANA</t>
        </is>
      </c>
      <c r="B2329" s="26" t="n">
        <v>99</v>
      </c>
      <c r="C2329" s="26" t="n">
        <v>1210</v>
      </c>
      <c r="D2329" s="14" t="inlineStr">
        <is>
          <t>CRECHE MUNICIPAL JESUS BOM PASTOR</t>
        </is>
      </c>
      <c r="E2329" s="14" t="inlineStr">
        <is>
          <t>D. BOSCO</t>
        </is>
      </c>
      <c r="F2329" s="14" t="inlineStr">
        <is>
          <t>RUA CLAUDELINO JOSE BRANDAO, S/N - ZONA URBANA</t>
        </is>
      </c>
      <c r="G2329" s="27" t="inlineStr">
        <is>
          <t>47700-000</t>
        </is>
      </c>
      <c r="H2329" s="15" t="n">
        <v>2</v>
      </c>
      <c r="I2329" s="28" t="inlineStr">
        <is>
          <t>NÃO</t>
        </is>
      </c>
      <c r="J2329" s="29" t="n">
        <v>139.2</v>
      </c>
      <c r="K2329" s="14" t="str">
        <f>IF(J2329="","7. Acima de 2 km",IF(J2329&lt;=50,"1. Até 50 m",IF(J2329&lt;=100,"2. De 50 a 100 m",IF(J2329&lt;=200,"3. De 100 a 200 m",IF(J2329&lt;=300,"4. De 200 a 300 m",IF(J2329&lt;=500,"5. De 300 a 500 m","6. De 500 m a 2 km"))))))</f>
        <v>3. De 100 a 200 m</v>
      </c>
      <c r="L2329" s="26" t="n">
        <v>0</v>
      </c>
      <c r="M2329" s="26" t="n">
        <v>0</v>
      </c>
      <c r="N2329" s="26" t="n">
        <v>2</v>
      </c>
      <c r="O2329" s="26" t="n">
        <v>2</v>
      </c>
      <c r="P2329" s="30" t="n">
        <v>-12.9881281</v>
      </c>
      <c r="Q2329" s="30" t="n">
        <v>-44.0372619</v>
      </c>
      <c r="R2329" s="14" t="inlineStr">
        <is>
          <t>FÓRUM LAUDELINO DE SOUZA LINO - RUA MONTEIRO LOBATO, S/N, CENTRO, SANTANA/BA</t>
        </is>
      </c>
      <c r="S2329" s="26">
        <f>IF(A2329=A2328,0,1)</f>
        <v>0</v>
      </c>
      <c r="T2329" s="26">
        <f>IF(COUNTIF($B$4:B2329,B2329)=1,1,0)</f>
        <v>0</v>
      </c>
    </row>
    <row r="2330">
      <c r="A2330" s="14" t="inlineStr">
        <is>
          <t>SANTANA</t>
        </is>
      </c>
      <c r="B2330" s="26" t="n">
        <v>99</v>
      </c>
      <c r="C2330" s="26" t="n">
        <v>1228</v>
      </c>
      <c r="D2330" s="14" t="inlineStr">
        <is>
          <t>SECRETARIA MUNICIPAL DE EDUCAÇÃO</t>
        </is>
      </c>
      <c r="E2330" s="14" t="inlineStr">
        <is>
          <t>CENTRO</t>
        </is>
      </c>
      <c r="F2330" s="14" t="inlineStr">
        <is>
          <t>RUA JOSÉ BONIFÁCIO, S/N - ZONA URBANA</t>
        </is>
      </c>
      <c r="G2330" s="27" t="inlineStr">
        <is>
          <t>47700-000</t>
        </is>
      </c>
      <c r="H2330" s="15" t="n">
        <v>7</v>
      </c>
      <c r="I2330" s="28" t="inlineStr">
        <is>
          <t>NÃO</t>
        </is>
      </c>
      <c r="J2330" s="29" t="n">
        <v>219.1</v>
      </c>
      <c r="K2330" s="14" t="str">
        <f>IF(J2330="","7. Acima de 2 km",IF(J2330&lt;=50,"1. Até 50 m",IF(J2330&lt;=100,"2. De 50 a 100 m",IF(J2330&lt;=200,"3. De 100 a 200 m",IF(J2330&lt;=300,"4. De 200 a 300 m",IF(J2330&lt;=500,"5. De 300 a 500 m","6. De 500 m a 2 km"))))))</f>
        <v>4. De 200 a 300 m</v>
      </c>
      <c r="L2330" s="26" t="n">
        <v>0</v>
      </c>
      <c r="M2330" s="26" t="n">
        <v>0</v>
      </c>
      <c r="N2330" s="26" t="n">
        <v>0</v>
      </c>
      <c r="O2330" s="26" t="n">
        <v>3</v>
      </c>
      <c r="P2330" s="30" t="n">
        <v>-12.9825692</v>
      </c>
      <c r="Q2330" s="30" t="n">
        <v>-44.0481745</v>
      </c>
      <c r="R2330" s="14" t="inlineStr">
        <is>
          <t>FÓRUM LAUDELINO DE SOUZA LINO - RUA MONTEIRO LOBATO, S/N, CENTRO, SANTANA/BA</t>
        </is>
      </c>
      <c r="S2330" s="26">
        <f>IF(A2330=A2329,0,1)</f>
        <v>0</v>
      </c>
      <c r="T2330" s="26">
        <f>IF(COUNTIF($B$4:B2330,B2330)=1,1,0)</f>
        <v>0</v>
      </c>
    </row>
    <row r="2331">
      <c r="A2331" s="14" t="inlineStr">
        <is>
          <t>SANTANA</t>
        </is>
      </c>
      <c r="B2331" s="26" t="n">
        <v>99</v>
      </c>
      <c r="C2331" s="26" t="n">
        <v>1260</v>
      </c>
      <c r="D2331" s="14" t="inlineStr">
        <is>
          <t>CENTRO EDUCATIVO MUNICIPAL MOISÉS DE OLIVEIRA</t>
        </is>
      </c>
      <c r="E2331" s="14" t="inlineStr">
        <is>
          <t>DISTRITO PORTO NOVO</t>
        </is>
      </c>
      <c r="F2331" s="14" t="inlineStr">
        <is>
          <t>PRACA DA MATRIZ, S/N - ZONA RURAL</t>
        </is>
      </c>
      <c r="G2331" s="27" t="inlineStr">
        <is>
          <t>47710-000</t>
        </is>
      </c>
      <c r="H2331" s="15" t="n">
        <v>4</v>
      </c>
      <c r="I2331" s="28" t="inlineStr">
        <is>
          <t>NÃO</t>
        </is>
      </c>
      <c r="J2331" s="29" t="n"/>
      <c r="K2331" s="14" t="str">
        <f>IF(J2331="","7. Acima de 2 km",IF(J2331&lt;=50,"1. Até 50 m",IF(J2331&lt;=100,"2. De 50 a 100 m",IF(J2331&lt;=200,"3. De 100 a 200 m",IF(J2331&lt;=300,"4. De 200 a 300 m",IF(J2331&lt;=500,"5. De 300 a 500 m","6. De 500 m a 2 km"))))))</f>
        <v>7. Acima de 2 km</v>
      </c>
      <c r="L2331" s="26" t="n">
        <v>0</v>
      </c>
      <c r="M2331" s="26" t="n">
        <v>0</v>
      </c>
      <c r="N2331" s="26" t="n">
        <v>0</v>
      </c>
      <c r="O2331" s="26" t="n">
        <v>0</v>
      </c>
      <c r="P2331" s="30" t="n">
        <v>-13.2908234</v>
      </c>
      <c r="Q2331" s="30" t="n">
        <v>-43.9074274</v>
      </c>
      <c r="R2331" s="14" t="inlineStr">
        <is>
          <t>FÓRUM LAUDELINO DE SOUZA LINO - RUA MONTEIRO LOBATO, S/N, CENTRO, SANTANA/BA</t>
        </is>
      </c>
      <c r="S2331" s="26">
        <f>IF(A2331=A2330,0,1)</f>
        <v>0</v>
      </c>
      <c r="T2331" s="26">
        <f>IF(COUNTIF($B$4:B2331,B2331)=1,1,0)</f>
        <v>0</v>
      </c>
    </row>
    <row r="2332">
      <c r="A2332" s="14" t="inlineStr">
        <is>
          <t>SANTANA</t>
        </is>
      </c>
      <c r="B2332" s="26" t="n">
        <v>99</v>
      </c>
      <c r="C2332" s="26" t="n">
        <v>1295</v>
      </c>
      <c r="D2332" s="14" t="inlineStr">
        <is>
          <t>PREDIO ESCOLAR IRMA GENELISE DOMINGUES</t>
        </is>
      </c>
      <c r="E2332" s="14" t="inlineStr">
        <is>
          <t>POVOADO CEDRO</t>
        </is>
      </c>
      <c r="F2332" s="14" t="inlineStr">
        <is>
          <t>POVOADO CEDRO - ZONA RURAL</t>
        </is>
      </c>
      <c r="G2332" s="27" t="inlineStr">
        <is>
          <t>47700-000</t>
        </is>
      </c>
      <c r="H2332" s="15" t="n">
        <v>2</v>
      </c>
      <c r="I2332" s="28" t="inlineStr">
        <is>
          <t>NÃO</t>
        </is>
      </c>
      <c r="J2332" s="29" t="n"/>
      <c r="K2332" s="14" t="str">
        <f>IF(J2332="","7. Acima de 2 km",IF(J2332&lt;=50,"1. Até 50 m",IF(J2332&lt;=100,"2. De 50 a 100 m",IF(J2332&lt;=200,"3. De 100 a 200 m",IF(J2332&lt;=300,"4. De 200 a 300 m",IF(J2332&lt;=500,"5. De 300 a 500 m","6. De 500 m a 2 km"))))))</f>
        <v>7. Acima de 2 km</v>
      </c>
      <c r="L2332" s="26" t="n">
        <v>0</v>
      </c>
      <c r="M2332" s="26" t="n">
        <v>0</v>
      </c>
      <c r="N2332" s="26" t="n">
        <v>0</v>
      </c>
      <c r="O2332" s="26" t="n">
        <v>0</v>
      </c>
      <c r="P2332" s="30" t="n">
        <v>-12.9677049</v>
      </c>
      <c r="Q2332" s="30" t="n">
        <v>-44.0015159</v>
      </c>
      <c r="R2332" s="14" t="inlineStr">
        <is>
          <t>FÓRUM LAUDELINO DE SOUZA LINO - RUA MONTEIRO LOBATO, S/N, CENTRO, SANTANA/BA</t>
        </is>
      </c>
      <c r="S2332" s="26">
        <f>IF(A2332=A2331,0,1)</f>
        <v>0</v>
      </c>
      <c r="T2332" s="26">
        <f>IF(COUNTIF($B$4:B2332,B2332)=1,1,0)</f>
        <v>0</v>
      </c>
    </row>
    <row r="2333">
      <c r="A2333" s="14" t="inlineStr">
        <is>
          <t>SANTANA</t>
        </is>
      </c>
      <c r="B2333" s="26" t="n">
        <v>99</v>
      </c>
      <c r="C2333" s="26" t="n">
        <v>1309</v>
      </c>
      <c r="D2333" s="14" t="inlineStr">
        <is>
          <t>CENTRO EDUCATIVO VITAL FERREIRA DE ARAUJO</t>
        </is>
      </c>
      <c r="E2333" s="14" t="inlineStr">
        <is>
          <t>POVOADO CACHOEIRA</t>
        </is>
      </c>
      <c r="F2333" s="14" t="inlineStr">
        <is>
          <t>POVOADO CACHOEIRA - ZONA RURAL</t>
        </is>
      </c>
      <c r="G2333" s="27" t="inlineStr">
        <is>
          <t>47700-000</t>
        </is>
      </c>
      <c r="H2333" s="15" t="n">
        <v>5</v>
      </c>
      <c r="I2333" s="28" t="inlineStr">
        <is>
          <t>NÃO</t>
        </is>
      </c>
      <c r="J2333" s="29" t="n"/>
      <c r="K2333" s="14" t="str">
        <f>IF(J2333="","7. Acima de 2 km",IF(J2333&lt;=50,"1. Até 50 m",IF(J2333&lt;=100,"2. De 50 a 100 m",IF(J2333&lt;=200,"3. De 100 a 200 m",IF(J2333&lt;=300,"4. De 200 a 300 m",IF(J2333&lt;=500,"5. De 300 a 500 m","6. De 500 m a 2 km"))))))</f>
        <v>7. Acima de 2 km</v>
      </c>
      <c r="L2333" s="26" t="n">
        <v>0</v>
      </c>
      <c r="M2333" s="26" t="n">
        <v>0</v>
      </c>
      <c r="N2333" s="26" t="n">
        <v>0</v>
      </c>
      <c r="O2333" s="26" t="n">
        <v>0</v>
      </c>
      <c r="P2333" s="30" t="n">
        <v>-12.9642345</v>
      </c>
      <c r="Q2333" s="30" t="n">
        <v>-44.1511668</v>
      </c>
      <c r="R2333" s="14" t="inlineStr">
        <is>
          <t>FÓRUM LAUDELINO DE SOUZA LINO - RUA MONTEIRO LOBATO, S/N, CENTRO, SANTANA/BA</t>
        </is>
      </c>
      <c r="S2333" s="26">
        <f>IF(A2333=A2332,0,1)</f>
        <v>0</v>
      </c>
      <c r="T2333" s="26">
        <f>IF(COUNTIF($B$4:B2333,B2333)=1,1,0)</f>
        <v>0</v>
      </c>
    </row>
    <row r="2334">
      <c r="A2334" s="14" t="inlineStr">
        <is>
          <t>SANTANA</t>
        </is>
      </c>
      <c r="B2334" s="26" t="n">
        <v>99</v>
      </c>
      <c r="C2334" s="26" t="n">
        <v>1317</v>
      </c>
      <c r="D2334" s="14" t="inlineStr">
        <is>
          <t>PREDIO ESCOLAR AVELINO JOSE DE SOUZA</t>
        </is>
      </c>
      <c r="E2334" s="14" t="inlineStr">
        <is>
          <t>POVOADO UMBURANA</t>
        </is>
      </c>
      <c r="F2334" s="14" t="inlineStr">
        <is>
          <t>POVOADO UMBURANA - ZONA RURAL</t>
        </is>
      </c>
      <c r="G2334" s="27" t="inlineStr">
        <is>
          <t>47700-000</t>
        </is>
      </c>
      <c r="H2334" s="15" t="n">
        <v>4</v>
      </c>
      <c r="I2334" s="28" t="inlineStr">
        <is>
          <t>NÃO</t>
        </is>
      </c>
      <c r="J2334" s="29" t="n"/>
      <c r="K2334" s="14" t="str">
        <f>IF(J2334="","7. Acima de 2 km",IF(J2334&lt;=50,"1. Até 50 m",IF(J2334&lt;=100,"2. De 50 a 100 m",IF(J2334&lt;=200,"3. De 100 a 200 m",IF(J2334&lt;=300,"4. De 200 a 300 m",IF(J2334&lt;=500,"5. De 300 a 500 m","6. De 500 m a 2 km"))))))</f>
        <v>7. Acima de 2 km</v>
      </c>
      <c r="L2334" s="26" t="n">
        <v>0</v>
      </c>
      <c r="M2334" s="26" t="n">
        <v>0</v>
      </c>
      <c r="N2334" s="26" t="n">
        <v>0</v>
      </c>
      <c r="O2334" s="26" t="n">
        <v>0</v>
      </c>
      <c r="P2334" s="30" t="n">
        <v>-12.8867528</v>
      </c>
      <c r="Q2334" s="30" t="n">
        <v>-44.07905</v>
      </c>
      <c r="R2334" s="14" t="inlineStr">
        <is>
          <t>FÓRUM LAUDELINO DE SOUZA LINO - RUA MONTEIRO LOBATO, S/N, CENTRO, SANTANA/BA</t>
        </is>
      </c>
      <c r="S2334" s="26">
        <f>IF(A2334=A2333,0,1)</f>
        <v>0</v>
      </c>
      <c r="T2334" s="26">
        <f>IF(COUNTIF($B$4:B2334,B2334)=1,1,0)</f>
        <v>0</v>
      </c>
    </row>
    <row r="2335">
      <c r="A2335" s="14" t="inlineStr">
        <is>
          <t>SANTANA</t>
        </is>
      </c>
      <c r="B2335" s="26" t="n">
        <v>99</v>
      </c>
      <c r="C2335" s="26" t="n">
        <v>1325</v>
      </c>
      <c r="D2335" s="14" t="inlineStr">
        <is>
          <t>PREDIO ESCOLAR SEBASTIAO JOSE PEREIRA</t>
        </is>
      </c>
      <c r="E2335" s="14" t="inlineStr">
        <is>
          <t>POVOADO BAIXA FUNDA</t>
        </is>
      </c>
      <c r="F2335" s="14" t="inlineStr">
        <is>
          <t>POVOADO BAIXA FUNDA - ZONA RURAL</t>
        </is>
      </c>
      <c r="G2335" s="27" t="inlineStr">
        <is>
          <t>47700-000</t>
        </is>
      </c>
      <c r="H2335" s="15" t="n">
        <v>2</v>
      </c>
      <c r="I2335" s="28" t="inlineStr">
        <is>
          <t>NÃO</t>
        </is>
      </c>
      <c r="J2335" s="29" t="n"/>
      <c r="K2335" s="14" t="str">
        <f>IF(J2335="","7. Acima de 2 km",IF(J2335&lt;=50,"1. Até 50 m",IF(J2335&lt;=100,"2. De 50 a 100 m",IF(J2335&lt;=200,"3. De 100 a 200 m",IF(J2335&lt;=300,"4. De 200 a 300 m",IF(J2335&lt;=500,"5. De 300 a 500 m","6. De 500 m a 2 km"))))))</f>
        <v>7. Acima de 2 km</v>
      </c>
      <c r="L2335" s="26" t="n">
        <v>0</v>
      </c>
      <c r="M2335" s="26" t="n">
        <v>0</v>
      </c>
      <c r="N2335" s="26" t="n">
        <v>0</v>
      </c>
      <c r="O2335" s="26" t="n">
        <v>0</v>
      </c>
      <c r="P2335" s="30" t="n">
        <v>-13.0093817</v>
      </c>
      <c r="Q2335" s="30" t="n">
        <v>-43.8127233</v>
      </c>
      <c r="R2335" s="14" t="inlineStr">
        <is>
          <t>FÓRUM LAUDELINO DE SOUZA LINO - RUA MONTEIRO LOBATO, S/N, CENTRO, SANTANA/BA</t>
        </is>
      </c>
      <c r="S2335" s="26">
        <f>IF(A2335=A2334,0,1)</f>
        <v>0</v>
      </c>
      <c r="T2335" s="26">
        <f>IF(COUNTIF($B$4:B2335,B2335)=1,1,0)</f>
        <v>0</v>
      </c>
    </row>
    <row r="2336">
      <c r="A2336" s="14" t="inlineStr">
        <is>
          <t>SANTANA</t>
        </is>
      </c>
      <c r="B2336" s="26" t="n">
        <v>99</v>
      </c>
      <c r="C2336" s="26" t="n">
        <v>1341</v>
      </c>
      <c r="D2336" s="14" t="inlineStr">
        <is>
          <t>CENTRO EDUCACIONAL JULIAO PEREIRA DE OLIVEIRA</t>
        </is>
      </c>
      <c r="E2336" s="14" t="inlineStr">
        <is>
          <t>POVOADO CARAIBAS</t>
        </is>
      </c>
      <c r="F2336" s="14" t="inlineStr">
        <is>
          <t>POVOADO CARAIBAS - ZONA RURAL</t>
        </is>
      </c>
      <c r="G2336" s="27" t="inlineStr">
        <is>
          <t>47700-000</t>
        </is>
      </c>
      <c r="H2336" s="15" t="n">
        <v>3</v>
      </c>
      <c r="I2336" s="28" t="inlineStr">
        <is>
          <t>NÃO</t>
        </is>
      </c>
      <c r="J2336" s="29" t="n"/>
      <c r="K2336" s="14" t="str">
        <f>IF(J2336="","7. Acima de 2 km",IF(J2336&lt;=50,"1. Até 50 m",IF(J2336&lt;=100,"2. De 50 a 100 m",IF(J2336&lt;=200,"3. De 100 a 200 m",IF(J2336&lt;=300,"4. De 200 a 300 m",IF(J2336&lt;=500,"5. De 300 a 500 m","6. De 500 m a 2 km"))))))</f>
        <v>7. Acima de 2 km</v>
      </c>
      <c r="L2336" s="26" t="n">
        <v>0</v>
      </c>
      <c r="M2336" s="26" t="n">
        <v>0</v>
      </c>
      <c r="N2336" s="26" t="n">
        <v>0</v>
      </c>
      <c r="O2336" s="26" t="n">
        <v>0</v>
      </c>
      <c r="P2336" s="30" t="n">
        <v>-13.1704989</v>
      </c>
      <c r="Q2336" s="30" t="n">
        <v>-44.0256607</v>
      </c>
      <c r="R2336" s="14" t="inlineStr">
        <is>
          <t>FÓRUM LAUDELINO DE SOUZA LINO - RUA MONTEIRO LOBATO, S/N, CENTRO, SANTANA/BA</t>
        </is>
      </c>
      <c r="S2336" s="26">
        <f>IF(A2336=A2335,0,1)</f>
        <v>0</v>
      </c>
      <c r="T2336" s="26">
        <f>IF(COUNTIF($B$4:B2336,B2336)=1,1,0)</f>
        <v>0</v>
      </c>
    </row>
    <row r="2337">
      <c r="A2337" s="14" t="inlineStr">
        <is>
          <t>SANTANA</t>
        </is>
      </c>
      <c r="B2337" s="26" t="n">
        <v>99</v>
      </c>
      <c r="C2337" s="26" t="n">
        <v>1350</v>
      </c>
      <c r="D2337" s="14" t="inlineStr">
        <is>
          <t>PREDIO ESCOLAR RICARDO DOMINGUES DE FIGUEREDO</t>
        </is>
      </c>
      <c r="E2337" s="14" t="inlineStr">
        <is>
          <t>POVOADO TAMBORIL</t>
        </is>
      </c>
      <c r="F2337" s="14" t="inlineStr">
        <is>
          <t>POVOADO TAMBORIL - ZONA RURAL</t>
        </is>
      </c>
      <c r="G2337" s="27" t="inlineStr">
        <is>
          <t>47700-000</t>
        </is>
      </c>
      <c r="H2337" s="15" t="n">
        <v>3</v>
      </c>
      <c r="I2337" s="28" t="inlineStr">
        <is>
          <t>NÃO</t>
        </is>
      </c>
      <c r="J2337" s="29" t="n"/>
      <c r="K2337" s="14" t="str">
        <f>IF(J2337="","7. Acima de 2 km",IF(J2337&lt;=50,"1. Até 50 m",IF(J2337&lt;=100,"2. De 50 a 100 m",IF(J2337&lt;=200,"3. De 100 a 200 m",IF(J2337&lt;=300,"4. De 200 a 300 m",IF(J2337&lt;=500,"5. De 300 a 500 m","6. De 500 m a 2 km"))))))</f>
        <v>7. Acima de 2 km</v>
      </c>
      <c r="L2337" s="26" t="n">
        <v>0</v>
      </c>
      <c r="M2337" s="26" t="n">
        <v>0</v>
      </c>
      <c r="N2337" s="26" t="n">
        <v>0</v>
      </c>
      <c r="O2337" s="26" t="n">
        <v>0</v>
      </c>
      <c r="P2337" s="30" t="n">
        <v>-12.9937822</v>
      </c>
      <c r="Q2337" s="30" t="n">
        <v>-44.0903891</v>
      </c>
      <c r="R2337" s="14" t="inlineStr">
        <is>
          <t>FÓRUM LAUDELINO DE SOUZA LINO - RUA MONTEIRO LOBATO, S/N, CENTRO, SANTANA/BA</t>
        </is>
      </c>
      <c r="S2337" s="26">
        <f>IF(A2337=A2336,0,1)</f>
        <v>0</v>
      </c>
      <c r="T2337" s="26">
        <f>IF(COUNTIF($B$4:B2337,B2337)=1,1,0)</f>
        <v>0</v>
      </c>
    </row>
    <row r="2338">
      <c r="A2338" s="14" t="inlineStr">
        <is>
          <t>SANTANA</t>
        </is>
      </c>
      <c r="B2338" s="26" t="n">
        <v>99</v>
      </c>
      <c r="C2338" s="26" t="n">
        <v>1384</v>
      </c>
      <c r="D2338" s="14" t="inlineStr">
        <is>
          <t>ASSOCIAÇÃO DE AGRICULTORES FAMILIARES DO BAIXÃO DO CEDRO</t>
        </is>
      </c>
      <c r="E2338" s="14" t="inlineStr">
        <is>
          <t>POVOADO BAIXAO DO CEDRO</t>
        </is>
      </c>
      <c r="F2338" s="14" t="inlineStr">
        <is>
          <t>PROVOADO DE BAIXÃO DO CEDRO</t>
        </is>
      </c>
      <c r="G2338" s="27" t="inlineStr">
        <is>
          <t>47700-000</t>
        </is>
      </c>
      <c r="H2338" s="15" t="n">
        <v>1</v>
      </c>
      <c r="I2338" s="28" t="inlineStr">
        <is>
          <t>NÃO</t>
        </is>
      </c>
      <c r="J2338" s="29" t="n"/>
      <c r="K2338" s="14" t="str">
        <f>IF(J2338="","7. Acima de 2 km",IF(J2338&lt;=50,"1. Até 50 m",IF(J2338&lt;=100,"2. De 50 a 100 m",IF(J2338&lt;=200,"3. De 100 a 200 m",IF(J2338&lt;=300,"4. De 200 a 300 m",IF(J2338&lt;=500,"5. De 300 a 500 m","6. De 500 m a 2 km"))))))</f>
        <v>7. Acima de 2 km</v>
      </c>
      <c r="L2338" s="26" t="n">
        <v>0</v>
      </c>
      <c r="M2338" s="26" t="n">
        <v>0</v>
      </c>
      <c r="N2338" s="26" t="n">
        <v>0</v>
      </c>
      <c r="O2338" s="26" t="n">
        <v>0</v>
      </c>
      <c r="P2338" s="30" t="n">
        <v>-12.955071</v>
      </c>
      <c r="Q2338" s="30" t="n">
        <v>-44.1114981</v>
      </c>
      <c r="R2338" s="14" t="inlineStr">
        <is>
          <t>FÓRUM LAUDELINO DE SOUZA LINO - RUA MONTEIRO LOBATO, S/N, CENTRO, SANTANA/BA</t>
        </is>
      </c>
      <c r="S2338" s="26">
        <f>IF(A2338=A2337,0,1)</f>
        <v>0</v>
      </c>
      <c r="T2338" s="26">
        <f>IF(COUNTIF($B$4:B2338,B2338)=1,1,0)</f>
        <v>0</v>
      </c>
    </row>
    <row r="2339">
      <c r="A2339" s="14" t="inlineStr">
        <is>
          <t>SANTANA</t>
        </is>
      </c>
      <c r="B2339" s="26" t="n">
        <v>99</v>
      </c>
      <c r="C2339" s="26" t="n">
        <v>1392</v>
      </c>
      <c r="D2339" s="14" t="inlineStr">
        <is>
          <t>PREDIO ESCOLAR FRANCELINO TAVARES DA COSTA</t>
        </is>
      </c>
      <c r="E2339" s="14" t="inlineStr">
        <is>
          <t>POVOADO CANABRAVA</t>
        </is>
      </c>
      <c r="F2339" s="14" t="inlineStr">
        <is>
          <t>POVOADO CANABRAVA - ZONA RURAL</t>
        </is>
      </c>
      <c r="G2339" s="27" t="inlineStr">
        <is>
          <t>47700-000</t>
        </is>
      </c>
      <c r="H2339" s="15" t="n">
        <v>3</v>
      </c>
      <c r="I2339" s="28" t="inlineStr">
        <is>
          <t>NÃO</t>
        </is>
      </c>
      <c r="J2339" s="29" t="n"/>
      <c r="K2339" s="14" t="str">
        <f>IF(J2339="","7. Acima de 2 km",IF(J2339&lt;=50,"1. Até 50 m",IF(J2339&lt;=100,"2. De 50 a 100 m",IF(J2339&lt;=200,"3. De 100 a 200 m",IF(J2339&lt;=300,"4. De 200 a 300 m",IF(J2339&lt;=500,"5. De 300 a 500 m","6. De 500 m a 2 km"))))))</f>
        <v>7. Acima de 2 km</v>
      </c>
      <c r="L2339" s="26" t="n">
        <v>0</v>
      </c>
      <c r="M2339" s="26" t="n">
        <v>0</v>
      </c>
      <c r="N2339" s="26" t="n">
        <v>0</v>
      </c>
      <c r="O2339" s="26" t="n">
        <v>0</v>
      </c>
      <c r="P2339" s="30" t="n">
        <v>-13.0704833</v>
      </c>
      <c r="Q2339" s="30" t="n">
        <v>-44.0876183</v>
      </c>
      <c r="R2339" s="14" t="inlineStr">
        <is>
          <t>FÓRUM LAUDELINO DE SOUZA LINO - RUA MONTEIRO LOBATO, S/N, CENTRO, SANTANA/BA</t>
        </is>
      </c>
      <c r="S2339" s="26">
        <f>IF(A2339=A2338,0,1)</f>
        <v>0</v>
      </c>
      <c r="T2339" s="26">
        <f>IF(COUNTIF($B$4:B2339,B2339)=1,1,0)</f>
        <v>0</v>
      </c>
    </row>
    <row r="2340">
      <c r="A2340" s="14" t="inlineStr">
        <is>
          <t>SANTANA</t>
        </is>
      </c>
      <c r="B2340" s="26" t="n">
        <v>99</v>
      </c>
      <c r="C2340" s="26" t="n">
        <v>1422</v>
      </c>
      <c r="D2340" s="14" t="inlineStr">
        <is>
          <t>PREDIO ESCOLAR MUNICIPAL SANT'ANA</t>
        </is>
      </c>
      <c r="E2340" s="14" t="inlineStr">
        <is>
          <t>POVOADO ASSENTAMENTO JACARANDÁ</t>
        </is>
      </c>
      <c r="F2340" s="14" t="inlineStr">
        <is>
          <t>POVOADO ASSENTAMENTO JACARANDA - ZONA RURAL</t>
        </is>
      </c>
      <c r="G2340" s="27" t="inlineStr">
        <is>
          <t>47700-000</t>
        </is>
      </c>
      <c r="H2340" s="15" t="n">
        <v>1</v>
      </c>
      <c r="I2340" s="28" t="inlineStr">
        <is>
          <t>NÃO</t>
        </is>
      </c>
      <c r="J2340" s="29" t="n"/>
      <c r="K2340" s="14" t="str">
        <f>IF(J2340="","7. Acima de 2 km",IF(J2340&lt;=50,"1. Até 50 m",IF(J2340&lt;=100,"2. De 50 a 100 m",IF(J2340&lt;=200,"3. De 100 a 200 m",IF(J2340&lt;=300,"4. De 200 a 300 m",IF(J2340&lt;=500,"5. De 300 a 500 m","6. De 500 m a 2 km"))))))</f>
        <v>7. Acima de 2 km</v>
      </c>
      <c r="L2340" s="26" t="n">
        <v>0</v>
      </c>
      <c r="M2340" s="26" t="n">
        <v>0</v>
      </c>
      <c r="N2340" s="26" t="n">
        <v>0</v>
      </c>
      <c r="O2340" s="26" t="n">
        <v>0</v>
      </c>
      <c r="P2340" s="30" t="n">
        <v>-13.2162164</v>
      </c>
      <c r="Q2340" s="30" t="n">
        <v>-43.7822861</v>
      </c>
      <c r="R2340" s="14" t="inlineStr">
        <is>
          <t>FÓRUM LAUDELINO DE SOUZA LINO - RUA MONTEIRO LOBATO, S/N, CENTRO, SANTANA/BA</t>
        </is>
      </c>
      <c r="S2340" s="26">
        <f>IF(A2340=A2339,0,1)</f>
        <v>0</v>
      </c>
      <c r="T2340" s="26">
        <f>IF(COUNTIF($B$4:B2340,B2340)=1,1,0)</f>
        <v>0</v>
      </c>
    </row>
    <row r="2341">
      <c r="A2341" s="14" t="inlineStr">
        <is>
          <t>SANTANA</t>
        </is>
      </c>
      <c r="B2341" s="26" t="n">
        <v>99</v>
      </c>
      <c r="C2341" s="26" t="n">
        <v>1430</v>
      </c>
      <c r="D2341" s="14" t="inlineStr">
        <is>
          <t>ESCOLA MUNICIPAL PEDRO ARAÚJO BARRETO</t>
        </is>
      </c>
      <c r="E2341" s="14" t="inlineStr">
        <is>
          <t>POVOADO CIPÓ</t>
        </is>
      </c>
      <c r="F2341" s="14" t="inlineStr">
        <is>
          <t>POVOADO CIPÓ</t>
        </is>
      </c>
      <c r="G2341" s="27" t="inlineStr">
        <is>
          <t>47700-000</t>
        </is>
      </c>
      <c r="H2341" s="15" t="n">
        <v>1</v>
      </c>
      <c r="I2341" s="28" t="inlineStr">
        <is>
          <t>NÃO</t>
        </is>
      </c>
      <c r="J2341" s="29" t="n"/>
      <c r="K2341" s="14" t="str">
        <f>IF(J2341="","7. Acima de 2 km",IF(J2341&lt;=50,"1. Até 50 m",IF(J2341&lt;=100,"2. De 50 a 100 m",IF(J2341&lt;=200,"3. De 100 a 200 m",IF(J2341&lt;=300,"4. De 200 a 300 m",IF(J2341&lt;=500,"5. De 300 a 500 m","6. De 500 m a 2 km"))))))</f>
        <v>7. Acima de 2 km</v>
      </c>
      <c r="L2341" s="26" t="n">
        <v>0</v>
      </c>
      <c r="M2341" s="26" t="n">
        <v>0</v>
      </c>
      <c r="N2341" s="26" t="n">
        <v>0</v>
      </c>
      <c r="O2341" s="26" t="n">
        <v>0</v>
      </c>
      <c r="P2341" s="30" t="n">
        <v>-12.9666158</v>
      </c>
      <c r="Q2341" s="30" t="n">
        <v>-44.130237</v>
      </c>
      <c r="R2341" s="14" t="inlineStr">
        <is>
          <t>FÓRUM LAUDELINO DE SOUZA LINO - RUA MONTEIRO LOBATO, S/N, CENTRO, SANTANA/BA</t>
        </is>
      </c>
      <c r="S2341" s="26">
        <f>IF(A2341=A2340,0,1)</f>
        <v>0</v>
      </c>
      <c r="T2341" s="26">
        <f>IF(COUNTIF($B$4:B2341,B2341)=1,1,0)</f>
        <v>0</v>
      </c>
    </row>
    <row r="2342">
      <c r="A2342" s="14" t="inlineStr">
        <is>
          <t>SANTANA</t>
        </is>
      </c>
      <c r="B2342" s="26" t="n">
        <v>99</v>
      </c>
      <c r="C2342" s="26" t="n">
        <v>1457</v>
      </c>
      <c r="D2342" s="14" t="inlineStr">
        <is>
          <t>CENTRO EDUCACIONAL MUNICIPAL HENRIQUE FERREIRA SILVA</t>
        </is>
      </c>
      <c r="E2342" s="14" t="inlineStr">
        <is>
          <t>POVOADO BREJINHO</t>
        </is>
      </c>
      <c r="F2342" s="14" t="inlineStr">
        <is>
          <t>POVOADO BREJINHO - ZONA RURAL</t>
        </is>
      </c>
      <c r="G2342" s="27" t="inlineStr">
        <is>
          <t>47700-000</t>
        </is>
      </c>
      <c r="H2342" s="15" t="n">
        <v>1</v>
      </c>
      <c r="I2342" s="28" t="inlineStr">
        <is>
          <t>NÃO</t>
        </is>
      </c>
      <c r="J2342" s="29" t="n"/>
      <c r="K2342" s="14" t="str">
        <f>IF(J2342="","7. Acima de 2 km",IF(J2342&lt;=50,"1. Até 50 m",IF(J2342&lt;=100,"2. De 50 a 100 m",IF(J2342&lt;=200,"3. De 100 a 200 m",IF(J2342&lt;=300,"4. De 200 a 300 m",IF(J2342&lt;=500,"5. De 300 a 500 m","6. De 500 m a 2 km"))))))</f>
        <v>7. Acima de 2 km</v>
      </c>
      <c r="L2342" s="26" t="n">
        <v>0</v>
      </c>
      <c r="M2342" s="26" t="n">
        <v>0</v>
      </c>
      <c r="N2342" s="26" t="n">
        <v>0</v>
      </c>
      <c r="O2342" s="26" t="n">
        <v>0</v>
      </c>
      <c r="P2342" s="30" t="n">
        <v>-12.9735252</v>
      </c>
      <c r="Q2342" s="30" t="n">
        <v>-44.1038507</v>
      </c>
      <c r="R2342" s="14" t="inlineStr">
        <is>
          <t>FÓRUM LAUDELINO DE SOUZA LINO - RUA MONTEIRO LOBATO, S/N, CENTRO, SANTANA/BA</t>
        </is>
      </c>
      <c r="S2342" s="26">
        <f>IF(A2342=A2341,0,1)</f>
        <v>0</v>
      </c>
      <c r="T2342" s="26">
        <f>IF(COUNTIF($B$4:B2342,B2342)=1,1,0)</f>
        <v>0</v>
      </c>
    </row>
    <row r="2343">
      <c r="A2343" s="14" t="inlineStr">
        <is>
          <t>SANTO AMARO</t>
        </is>
      </c>
      <c r="B2343" s="26" t="n">
        <v>178</v>
      </c>
      <c r="C2343" s="26" t="n">
        <v>1023</v>
      </c>
      <c r="D2343" s="14" t="inlineStr">
        <is>
          <t>CENTRO EDUCACIONAL MUNICIPAL PROFESSORA STELA MUTTI</t>
        </is>
      </c>
      <c r="E2343" s="14" t="inlineStr">
        <is>
          <t>CENTRO</t>
        </is>
      </c>
      <c r="F2343" s="14" t="inlineStr">
        <is>
          <t>PRAÇA DA PURIFICAÇÃO, S/N - ZONA URBANA</t>
        </is>
      </c>
      <c r="G2343" s="27" t="inlineStr">
        <is>
          <t>44200-000</t>
        </is>
      </c>
      <c r="H2343" s="15" t="n">
        <v>5</v>
      </c>
      <c r="I2343" s="28" t="inlineStr">
        <is>
          <t>NÃO</t>
        </is>
      </c>
      <c r="J2343" s="29" t="n">
        <v>137.1</v>
      </c>
      <c r="K2343" s="14" t="str">
        <f>IF(J2343="","7. Acima de 2 km",IF(J2343&lt;=50,"1. Até 50 m",IF(J2343&lt;=100,"2. De 50 a 100 m",IF(J2343&lt;=200,"3. De 100 a 200 m",IF(J2343&lt;=300,"4. De 200 a 300 m",IF(J2343&lt;=500,"5. De 300 a 500 m","6. De 500 m a 2 km"))))))</f>
        <v>3. De 100 a 200 m</v>
      </c>
      <c r="L2343" s="26" t="n">
        <v>0</v>
      </c>
      <c r="M2343" s="26" t="n">
        <v>0</v>
      </c>
      <c r="N2343" s="26" t="n">
        <v>1</v>
      </c>
      <c r="O2343" s="26" t="n">
        <v>1</v>
      </c>
      <c r="P2343" s="30" t="n">
        <v>-12.546588</v>
      </c>
      <c r="Q2343" s="30" t="n">
        <v>-38.7109814</v>
      </c>
      <c r="R2343" s="14" t="inlineStr">
        <is>
          <t>SALÃO DE JÚRI DO FÓRUM ODILON SANTOS, AVENIDA PRESIDENTE VARGAS,148, CENTRO, SANTO AMARO/BA</t>
        </is>
      </c>
      <c r="S2343" s="26">
        <f>IF(A2343=A2342,0,1)</f>
        <v>1</v>
      </c>
      <c r="T2343" s="26">
        <f>IF(COUNTIF($B$4:B2343,B2343)=1,1,0)</f>
        <v>1</v>
      </c>
    </row>
    <row r="2344">
      <c r="A2344" s="14" t="inlineStr">
        <is>
          <t>SANTO AMARO</t>
        </is>
      </c>
      <c r="B2344" s="26" t="n">
        <v>178</v>
      </c>
      <c r="C2344" s="26" t="n">
        <v>1031</v>
      </c>
      <c r="D2344" s="14" t="inlineStr">
        <is>
          <t>PRÉDIO DO ANTIGO CENTRO EDUCACIONAL TEODORO SAMPAIO</t>
        </is>
      </c>
      <c r="E2344" s="14" t="inlineStr">
        <is>
          <t>CENTRO</t>
        </is>
      </c>
      <c r="F2344" s="14" t="inlineStr">
        <is>
          <t>AV. FERREIRA BANDEIRA, S/N - ZONA URBANA</t>
        </is>
      </c>
      <c r="G2344" s="27" t="inlineStr">
        <is>
          <t>44200-000</t>
        </is>
      </c>
      <c r="H2344" s="15" t="n">
        <v>16</v>
      </c>
      <c r="I2344" s="28" t="inlineStr">
        <is>
          <t>NÃO</t>
        </is>
      </c>
      <c r="J2344" s="29" t="n">
        <v>138.8</v>
      </c>
      <c r="K2344" s="14" t="str">
        <f>IF(J2344="","7. Acima de 2 km",IF(J2344&lt;=50,"1. Até 50 m",IF(J2344&lt;=100,"2. De 50 a 100 m",IF(J2344&lt;=200,"3. De 100 a 200 m",IF(J2344&lt;=300,"4. De 200 a 300 m",IF(J2344&lt;=500,"5. De 300 a 500 m","6. De 500 m a 2 km"))))))</f>
        <v>3. De 100 a 200 m</v>
      </c>
      <c r="L2344" s="26" t="n">
        <v>0</v>
      </c>
      <c r="M2344" s="26" t="n">
        <v>0</v>
      </c>
      <c r="N2344" s="26" t="n">
        <v>1</v>
      </c>
      <c r="O2344" s="26" t="n">
        <v>2</v>
      </c>
      <c r="P2344" s="30" t="n">
        <v>-12.5486282</v>
      </c>
      <c r="Q2344" s="30" t="n">
        <v>-38.7111057</v>
      </c>
      <c r="R2344" s="14" t="inlineStr">
        <is>
          <t>SALÃO DE JÚRI DO FÓRUM ODILON SANTOS, AVENIDA PRESIDENTE VARGAS,148, CENTRO, SANTO AMARO/BA</t>
        </is>
      </c>
      <c r="S2344" s="26">
        <f>IF(A2344=A2343,0,1)</f>
        <v>0</v>
      </c>
      <c r="T2344" s="26">
        <f>IF(COUNTIF($B$4:B2344,B2344)=1,1,0)</f>
        <v>0</v>
      </c>
    </row>
    <row r="2345">
      <c r="A2345" s="14" t="inlineStr">
        <is>
          <t>SANTO AMARO</t>
        </is>
      </c>
      <c r="B2345" s="26" t="n">
        <v>178</v>
      </c>
      <c r="C2345" s="26" t="n">
        <v>1040</v>
      </c>
      <c r="D2345" s="14" t="inlineStr">
        <is>
          <t>CENTRO EDUCACIONAL SENADOR PEDRO LAGO (UFRB-CECULT)</t>
        </is>
      </c>
      <c r="E2345" s="14" t="inlineStr">
        <is>
          <t>SACRAMENTO</t>
        </is>
      </c>
      <c r="F2345" s="14" t="inlineStr">
        <is>
          <t>PRAÇA DOS EX-COMBATENTES, S/N - ZONA URBANA</t>
        </is>
      </c>
      <c r="G2345" s="27" t="inlineStr">
        <is>
          <t>44200-000</t>
        </is>
      </c>
      <c r="H2345" s="15" t="n">
        <v>16</v>
      </c>
      <c r="I2345" s="28" t="inlineStr">
        <is>
          <t>NÃO</t>
        </is>
      </c>
      <c r="J2345" s="29" t="n">
        <v>249.9</v>
      </c>
      <c r="K2345" s="14" t="str">
        <f>IF(J2345="","7. Acima de 2 km",IF(J2345&lt;=50,"1. Até 50 m",IF(J2345&lt;=100,"2. De 50 a 100 m",IF(J2345&lt;=200,"3. De 100 a 200 m",IF(J2345&lt;=300,"4. De 200 a 300 m",IF(J2345&lt;=500,"5. De 300 a 500 m","6. De 500 m a 2 km"))))))</f>
        <v>4. De 200 a 300 m</v>
      </c>
      <c r="L2345" s="26" t="n">
        <v>0</v>
      </c>
      <c r="M2345" s="26" t="n">
        <v>0</v>
      </c>
      <c r="N2345" s="26" t="n">
        <v>0</v>
      </c>
      <c r="O2345" s="26" t="n">
        <v>1</v>
      </c>
      <c r="P2345" s="30" t="n">
        <v>-12.5456355</v>
      </c>
      <c r="Q2345" s="30" t="n">
        <v>-38.7092837</v>
      </c>
      <c r="R2345" s="14" t="inlineStr">
        <is>
          <t>SALÃO DE JÚRI DO FÓRUM ODILON SANTOS, AVENIDA PRESIDENTE VARGAS,148, CENTRO, SANTO AMARO/BA</t>
        </is>
      </c>
      <c r="S2345" s="26">
        <f>IF(A2345=A2344,0,1)</f>
        <v>0</v>
      </c>
      <c r="T2345" s="26">
        <f>IF(COUNTIF($B$4:B2345,B2345)=1,1,0)</f>
        <v>0</v>
      </c>
    </row>
    <row r="2346">
      <c r="A2346" s="14" t="inlineStr">
        <is>
          <t>SANTO AMARO</t>
        </is>
      </c>
      <c r="B2346" s="26" t="n">
        <v>178</v>
      </c>
      <c r="C2346" s="26" t="n">
        <v>1058</v>
      </c>
      <c r="D2346" s="14" t="inlineStr">
        <is>
          <t>APAE - SANTO AMARO</t>
        </is>
      </c>
      <c r="E2346" s="14" t="inlineStr">
        <is>
          <t>CENTRO</t>
        </is>
      </c>
      <c r="F2346" s="14" t="inlineStr">
        <is>
          <t>AV. FERREIRA BANDEIRA, S/N - ZONA URBANA</t>
        </is>
      </c>
      <c r="G2346" s="27" t="inlineStr">
        <is>
          <t>44200-000</t>
        </is>
      </c>
      <c r="H2346" s="15" t="n">
        <v>5</v>
      </c>
      <c r="I2346" s="28" t="inlineStr">
        <is>
          <t>SIM</t>
        </is>
      </c>
      <c r="J2346" s="29" t="n">
        <v>99.5</v>
      </c>
      <c r="K2346" s="14" t="str">
        <f>IF(J2346="","7. Acima de 2 km",IF(J2346&lt;=50,"1. Até 50 m",IF(J2346&lt;=100,"2. De 50 a 100 m",IF(J2346&lt;=200,"3. De 100 a 200 m",IF(J2346&lt;=300,"4. De 200 a 300 m",IF(J2346&lt;=500,"5. De 300 a 500 m","6. De 500 m a 2 km"))))))</f>
        <v>2. De 50 a 100 m</v>
      </c>
      <c r="L2346" s="26" t="n">
        <v>0</v>
      </c>
      <c r="M2346" s="26" t="n">
        <v>1</v>
      </c>
      <c r="N2346" s="26" t="n">
        <v>1</v>
      </c>
      <c r="O2346" s="26" t="n">
        <v>3</v>
      </c>
      <c r="P2346" s="30" t="n">
        <v>-12.549475</v>
      </c>
      <c r="Q2346" s="30" t="n">
        <v>-38.70988</v>
      </c>
      <c r="R2346" s="14" t="inlineStr">
        <is>
          <t>SALÃO DE JÚRI DO FÓRUM ODILON SANTOS, AVENIDA PRESIDENTE VARGAS,148, CENTRO, SANTO AMARO/BA</t>
        </is>
      </c>
      <c r="S2346" s="26">
        <f>IF(A2346=A2345,0,1)</f>
        <v>0</v>
      </c>
      <c r="T2346" s="26">
        <f>IF(COUNTIF($B$4:B2346,B2346)=1,1,0)</f>
        <v>0</v>
      </c>
    </row>
    <row r="2347">
      <c r="A2347" s="14" t="inlineStr">
        <is>
          <t>SANTO AMARO</t>
        </is>
      </c>
      <c r="B2347" s="26" t="n">
        <v>178</v>
      </c>
      <c r="C2347" s="26" t="n">
        <v>1066</v>
      </c>
      <c r="D2347" s="14" t="inlineStr">
        <is>
          <t>ESCOLA MUNICIPAL EDVALDO MACHADO BOAVENTURA</t>
        </is>
      </c>
      <c r="E2347" s="14" t="inlineStr">
        <is>
          <t>CENTRO</t>
        </is>
      </c>
      <c r="F2347" s="14" t="inlineStr">
        <is>
          <t>AV. PRESIDENTE VARGAS, N 150 - ZONA URBANA</t>
        </is>
      </c>
      <c r="G2347" s="27" t="inlineStr">
        <is>
          <t>44200-000</t>
        </is>
      </c>
      <c r="H2347" s="15" t="n">
        <v>12</v>
      </c>
      <c r="I2347" s="28" t="inlineStr">
        <is>
          <t>NÃO</t>
        </is>
      </c>
      <c r="J2347" s="29" t="n">
        <v>167.7</v>
      </c>
      <c r="K2347" s="14" t="str">
        <f>IF(J2347="","7. Acima de 2 km",IF(J2347&lt;=50,"1. Até 50 m",IF(J2347&lt;=100,"2. De 50 a 100 m",IF(J2347&lt;=200,"3. De 100 a 200 m",IF(J2347&lt;=300,"4. De 200 a 300 m",IF(J2347&lt;=500,"5. De 300 a 500 m","6. De 500 m a 2 km"))))))</f>
        <v>3. De 100 a 200 m</v>
      </c>
      <c r="L2347" s="26" t="n">
        <v>0</v>
      </c>
      <c r="M2347" s="26" t="n">
        <v>0</v>
      </c>
      <c r="N2347" s="26" t="n">
        <v>3</v>
      </c>
      <c r="O2347" s="26" t="n">
        <v>3</v>
      </c>
      <c r="P2347" s="30" t="n">
        <v>-12.5501057</v>
      </c>
      <c r="Q2347" s="30" t="n">
        <v>-38.7062052</v>
      </c>
      <c r="R2347" s="14" t="inlineStr">
        <is>
          <t>SALÃO DE JÚRI DO FÓRUM ODILON SANTOS, AVENIDA PRESIDENTE VARGAS,148, CENTRO, SANTO AMARO/BA</t>
        </is>
      </c>
      <c r="S2347" s="26">
        <f>IF(A2347=A2346,0,1)</f>
        <v>0</v>
      </c>
      <c r="T2347" s="26">
        <f>IF(COUNTIF($B$4:B2347,B2347)=1,1,0)</f>
        <v>0</v>
      </c>
    </row>
    <row r="2348">
      <c r="A2348" s="14" t="inlineStr">
        <is>
          <t>SANTO AMARO</t>
        </is>
      </c>
      <c r="B2348" s="26" t="n">
        <v>178</v>
      </c>
      <c r="C2348" s="26" t="n">
        <v>1074</v>
      </c>
      <c r="D2348" s="14" t="inlineStr">
        <is>
          <t>ESCOLA GOVERNADOR  LUIZ VIANA FILHO</t>
        </is>
      </c>
      <c r="E2348" s="14" t="inlineStr">
        <is>
          <t>TRAPICHE DE BAIXO</t>
        </is>
      </c>
      <c r="F2348" s="14" t="inlineStr">
        <is>
          <t>RUA SANTA LUZIA, S/N - ZONA URBANA</t>
        </is>
      </c>
      <c r="G2348" s="27" t="inlineStr">
        <is>
          <t>44200-000</t>
        </is>
      </c>
      <c r="H2348" s="15" t="n">
        <v>12</v>
      </c>
      <c r="I2348" s="28" t="inlineStr">
        <is>
          <t>NÃO</t>
        </is>
      </c>
      <c r="J2348" s="29" t="n">
        <v>377.3</v>
      </c>
      <c r="K2348" s="14" t="str">
        <f>IF(J2348="","7. Acima de 2 km",IF(J2348&lt;=50,"1. Até 50 m",IF(J2348&lt;=100,"2. De 50 a 100 m",IF(J2348&lt;=200,"3. De 100 a 200 m",IF(J2348&lt;=300,"4. De 200 a 300 m",IF(J2348&lt;=500,"5. De 300 a 500 m","6. De 500 m a 2 km"))))))</f>
        <v>5. De 300 a 500 m</v>
      </c>
      <c r="L2348" s="26" t="n">
        <v>0</v>
      </c>
      <c r="M2348" s="26" t="n">
        <v>0</v>
      </c>
      <c r="N2348" s="26" t="n">
        <v>0</v>
      </c>
      <c r="O2348" s="26" t="n">
        <v>0</v>
      </c>
      <c r="P2348" s="30" t="n">
        <v>-12.5563481</v>
      </c>
      <c r="Q2348" s="30" t="n">
        <v>-38.700462</v>
      </c>
      <c r="R2348" s="14" t="inlineStr">
        <is>
          <t>SALÃO DE JÚRI DO FÓRUM ODILON SANTOS, AVENIDA PRESIDENTE VARGAS,148, CENTRO, SANTO AMARO/BA</t>
        </is>
      </c>
      <c r="S2348" s="26">
        <f>IF(A2348=A2347,0,1)</f>
        <v>0</v>
      </c>
      <c r="T2348" s="26">
        <f>IF(COUNTIF($B$4:B2348,B2348)=1,1,0)</f>
        <v>0</v>
      </c>
    </row>
    <row r="2349">
      <c r="A2349" s="14" t="inlineStr">
        <is>
          <t>SANTO AMARO</t>
        </is>
      </c>
      <c r="B2349" s="26" t="n">
        <v>178</v>
      </c>
      <c r="C2349" s="26" t="n">
        <v>1082</v>
      </c>
      <c r="D2349" s="14" t="inlineStr">
        <is>
          <t>ESCOLA PRADO VALADARES</t>
        </is>
      </c>
      <c r="E2349" s="14" t="inlineStr">
        <is>
          <t>TRAPICHE DE BAIXO</t>
        </is>
      </c>
      <c r="F2349" s="14" t="inlineStr">
        <is>
          <t>RUA GENERAL OSÓRIO, S/N - ZONA URBANA</t>
        </is>
      </c>
      <c r="G2349" s="27" t="inlineStr">
        <is>
          <t>44200-000</t>
        </is>
      </c>
      <c r="H2349" s="15" t="n">
        <v>5</v>
      </c>
      <c r="I2349" s="28" t="inlineStr">
        <is>
          <t>NÃO</t>
        </is>
      </c>
      <c r="J2349" s="29" t="n">
        <v>231.1</v>
      </c>
      <c r="K2349" s="14" t="str">
        <f>IF(J2349="","7. Acima de 2 km",IF(J2349&lt;=50,"1. Até 50 m",IF(J2349&lt;=100,"2. De 50 a 100 m",IF(J2349&lt;=200,"3. De 100 a 200 m",IF(J2349&lt;=300,"4. De 200 a 300 m",IF(J2349&lt;=500,"5. De 300 a 500 m","6. De 500 m a 2 km"))))))</f>
        <v>4. De 200 a 300 m</v>
      </c>
      <c r="L2349" s="26" t="n">
        <v>0</v>
      </c>
      <c r="M2349" s="26" t="n">
        <v>0</v>
      </c>
      <c r="N2349" s="26" t="n">
        <v>0</v>
      </c>
      <c r="O2349" s="26" t="n">
        <v>1</v>
      </c>
      <c r="P2349" s="30" t="n">
        <v>-12.5576102</v>
      </c>
      <c r="Q2349" s="30" t="n">
        <v>-38.6999409</v>
      </c>
      <c r="R2349" s="14" t="inlineStr">
        <is>
          <t>SALÃO DE JÚRI DO FÓRUM ODILON SANTOS, AVENIDA PRESIDENTE VARGAS,148, CENTRO, SANTO AMARO/BA</t>
        </is>
      </c>
      <c r="S2349" s="26">
        <f>IF(A2349=A2348,0,1)</f>
        <v>0</v>
      </c>
      <c r="T2349" s="26">
        <f>IF(COUNTIF($B$4:B2349,B2349)=1,1,0)</f>
        <v>0</v>
      </c>
    </row>
    <row r="2350">
      <c r="A2350" s="14" t="inlineStr">
        <is>
          <t>SANTO AMARO</t>
        </is>
      </c>
      <c r="B2350" s="26" t="n">
        <v>178</v>
      </c>
      <c r="C2350" s="26" t="n">
        <v>1090</v>
      </c>
      <c r="D2350" s="14" t="inlineStr">
        <is>
          <t>ESCOLA MUNICIPAL DR. ARAÚJO PINHO</t>
        </is>
      </c>
      <c r="E2350" s="14" t="inlineStr">
        <is>
          <t>CENTRO</t>
        </is>
      </c>
      <c r="F2350" s="14" t="inlineStr">
        <is>
          <t>RUA DO IMPERADOR, SN - ZONA URBANA</t>
        </is>
      </c>
      <c r="G2350" s="27" t="inlineStr">
        <is>
          <t>44200-000</t>
        </is>
      </c>
      <c r="H2350" s="15" t="n">
        <v>3</v>
      </c>
      <c r="I2350" s="28" t="inlineStr">
        <is>
          <t>NÃO</t>
        </is>
      </c>
      <c r="J2350" s="29" t="n">
        <v>207.7</v>
      </c>
      <c r="K2350" s="14" t="str">
        <f>IF(J2350="","7. Acima de 2 km",IF(J2350&lt;=50,"1. Até 50 m",IF(J2350&lt;=100,"2. De 50 a 100 m",IF(J2350&lt;=200,"3. De 100 a 200 m",IF(J2350&lt;=300,"4. De 200 a 300 m",IF(J2350&lt;=500,"5. De 300 a 500 m","6. De 500 m a 2 km"))))))</f>
        <v>4. De 200 a 300 m</v>
      </c>
      <c r="L2350" s="26" t="n">
        <v>0</v>
      </c>
      <c r="M2350" s="26" t="n">
        <v>0</v>
      </c>
      <c r="N2350" s="26" t="n">
        <v>0</v>
      </c>
      <c r="O2350" s="26" t="n">
        <v>1</v>
      </c>
      <c r="P2350" s="30" t="n">
        <v>-12.5541297</v>
      </c>
      <c r="Q2350" s="30" t="n">
        <v>-38.7036476</v>
      </c>
      <c r="R2350" s="14" t="inlineStr">
        <is>
          <t>SALÃO DE JÚRI DO FÓRUM ODILON SANTOS, AVENIDA PRESIDENTE VARGAS,148, CENTRO, SANTO AMARO/BA</t>
        </is>
      </c>
      <c r="S2350" s="26">
        <f>IF(A2350=A2349,0,1)</f>
        <v>0</v>
      </c>
      <c r="T2350" s="26">
        <f>IF(COUNTIF($B$4:B2350,B2350)=1,1,0)</f>
        <v>0</v>
      </c>
    </row>
    <row r="2351">
      <c r="A2351" s="14" t="inlineStr">
        <is>
          <t>SANTO AMARO</t>
        </is>
      </c>
      <c r="B2351" s="26" t="n">
        <v>178</v>
      </c>
      <c r="C2351" s="26" t="n">
        <v>1104</v>
      </c>
      <c r="D2351" s="14" t="inlineStr">
        <is>
          <t>ESCOLA MUNICIPAL ELPÍDIO PARANHOS</t>
        </is>
      </c>
      <c r="E2351" s="14" t="inlineStr">
        <is>
          <t>SINIMBU</t>
        </is>
      </c>
      <c r="F2351" s="14" t="inlineStr">
        <is>
          <t>RUA DO SINIMBU, S/N - ZONA URBANA</t>
        </is>
      </c>
      <c r="G2351" s="27" t="inlineStr">
        <is>
          <t>44200-000</t>
        </is>
      </c>
      <c r="H2351" s="15" t="n">
        <v>5</v>
      </c>
      <c r="I2351" s="28" t="inlineStr">
        <is>
          <t>NÃO</t>
        </is>
      </c>
      <c r="J2351" s="29" t="n">
        <v>375.7</v>
      </c>
      <c r="K2351" s="14" t="str">
        <f>IF(J2351="","7. Acima de 2 km",IF(J2351&lt;=50,"1. Até 50 m",IF(J2351&lt;=100,"2. De 50 a 100 m",IF(J2351&lt;=200,"3. De 100 a 200 m",IF(J2351&lt;=300,"4. De 200 a 300 m",IF(J2351&lt;=500,"5. De 300 a 500 m","6. De 500 m a 2 km"))))))</f>
        <v>5. De 300 a 500 m</v>
      </c>
      <c r="L2351" s="26" t="n">
        <v>0</v>
      </c>
      <c r="M2351" s="26" t="n">
        <v>0</v>
      </c>
      <c r="N2351" s="26" t="n">
        <v>0</v>
      </c>
      <c r="O2351" s="26" t="n">
        <v>0</v>
      </c>
      <c r="P2351" s="30" t="n">
        <v>-12.5533092</v>
      </c>
      <c r="Q2351" s="30" t="n">
        <v>-38.7007471</v>
      </c>
      <c r="R2351" s="14" t="inlineStr">
        <is>
          <t>SALÃO DE JÚRI DO FÓRUM ODILON SANTOS, AVENIDA PRESIDENTE VARGAS,148, CENTRO, SANTO AMARO/BA</t>
        </is>
      </c>
      <c r="S2351" s="26">
        <f>IF(A2351=A2350,0,1)</f>
        <v>0</v>
      </c>
      <c r="T2351" s="26">
        <f>IF(COUNTIF($B$4:B2351,B2351)=1,1,0)</f>
        <v>0</v>
      </c>
    </row>
    <row r="2352">
      <c r="A2352" s="14" t="inlineStr">
        <is>
          <t>SANTO AMARO</t>
        </is>
      </c>
      <c r="B2352" s="26" t="n">
        <v>178</v>
      </c>
      <c r="C2352" s="26" t="n">
        <v>1112</v>
      </c>
      <c r="D2352" s="14" t="inlineStr">
        <is>
          <t>ESCOLA MUNICIPAL PROFA ISABEL COELHO</t>
        </is>
      </c>
      <c r="E2352" s="14" t="inlineStr">
        <is>
          <t>DISTRITO OLIVEIRA DOS CAMPINHOS</t>
        </is>
      </c>
      <c r="F2352" s="14" t="inlineStr">
        <is>
          <t>POVOADO DA NOVA CONQUISTA - ZONA RURAL</t>
        </is>
      </c>
      <c r="G2352" s="27" t="inlineStr">
        <is>
          <t>44200-000</t>
        </is>
      </c>
      <c r="H2352" s="15" t="n">
        <v>3</v>
      </c>
      <c r="I2352" s="28" t="inlineStr">
        <is>
          <t>NÃO</t>
        </is>
      </c>
      <c r="J2352" s="29" t="n"/>
      <c r="K2352" s="14" t="str">
        <f>IF(J2352="","7. Acima de 2 km",IF(J2352&lt;=50,"1. Até 50 m",IF(J2352&lt;=100,"2. De 50 a 100 m",IF(J2352&lt;=200,"3. De 100 a 200 m",IF(J2352&lt;=300,"4. De 200 a 300 m",IF(J2352&lt;=500,"5. De 300 a 500 m","6. De 500 m a 2 km"))))))</f>
        <v>7. Acima de 2 km</v>
      </c>
      <c r="L2352" s="26" t="n">
        <v>0</v>
      </c>
      <c r="M2352" s="26" t="n">
        <v>0</v>
      </c>
      <c r="N2352" s="26" t="n">
        <v>0</v>
      </c>
      <c r="O2352" s="26" t="n">
        <v>0</v>
      </c>
      <c r="P2352" s="30" t="n">
        <v>-12.4875424</v>
      </c>
      <c r="Q2352" s="30" t="n">
        <v>-38.7663702</v>
      </c>
      <c r="R2352" s="14" t="inlineStr">
        <is>
          <t>SALÃO DE JÚRI DO FÓRUM ODILON SANTOS, AVENIDA PRESIDENTE VARGAS,148, CENTRO, SANTO AMARO/BA</t>
        </is>
      </c>
      <c r="S2352" s="26">
        <f>IF(A2352=A2351,0,1)</f>
        <v>0</v>
      </c>
      <c r="T2352" s="26">
        <f>IF(COUNTIF($B$4:B2352,B2352)=1,1,0)</f>
        <v>0</v>
      </c>
    </row>
    <row r="2353">
      <c r="A2353" s="14" t="inlineStr">
        <is>
          <t>SANTO AMARO</t>
        </is>
      </c>
      <c r="B2353" s="26" t="n">
        <v>178</v>
      </c>
      <c r="C2353" s="26" t="n">
        <v>1120</v>
      </c>
      <c r="D2353" s="14" t="inlineStr">
        <is>
          <t>ESCOLA MUNICIPAL VISCONDE DE SÃO LOURENCO</t>
        </is>
      </c>
      <c r="E2353" s="14" t="inlineStr">
        <is>
          <t>DISTRITO OLIVEIRA DOS CAMPINHOS</t>
        </is>
      </c>
      <c r="F2353" s="14" t="inlineStr">
        <is>
          <t>POVOADO TANQUE DE SENZALA - ZONA RURAL</t>
        </is>
      </c>
      <c r="G2353" s="27" t="inlineStr">
        <is>
          <t>44200-000</t>
        </is>
      </c>
      <c r="H2353" s="15" t="n">
        <v>3</v>
      </c>
      <c r="I2353" s="28" t="inlineStr">
        <is>
          <t>NÃO</t>
        </is>
      </c>
      <c r="J2353" s="29" t="n"/>
      <c r="K2353" s="14" t="str">
        <f>IF(J2353="","7. Acima de 2 km",IF(J2353&lt;=50,"1. Até 50 m",IF(J2353&lt;=100,"2. De 50 a 100 m",IF(J2353&lt;=200,"3. De 100 a 200 m",IF(J2353&lt;=300,"4. De 200 a 300 m",IF(J2353&lt;=500,"5. De 300 a 500 m","6. De 500 m a 2 km"))))))</f>
        <v>7. Acima de 2 km</v>
      </c>
      <c r="L2353" s="26" t="n">
        <v>0</v>
      </c>
      <c r="M2353" s="26" t="n">
        <v>0</v>
      </c>
      <c r="N2353" s="26" t="n">
        <v>0</v>
      </c>
      <c r="O2353" s="26" t="n">
        <v>0</v>
      </c>
      <c r="P2353" s="30" t="n">
        <v>-12.3855995</v>
      </c>
      <c r="Q2353" s="30" t="n">
        <v>-38.8154025</v>
      </c>
      <c r="R2353" s="14" t="inlineStr">
        <is>
          <t>SALÃO DE JÚRI DO FÓRUM ODILON SANTOS, AVENIDA PRESIDENTE VARGAS,148, CENTRO, SANTO AMARO/BA</t>
        </is>
      </c>
      <c r="S2353" s="26">
        <f>IF(A2353=A2352,0,1)</f>
        <v>0</v>
      </c>
      <c r="T2353" s="26">
        <f>IF(COUNTIF($B$4:B2353,B2353)=1,1,0)</f>
        <v>0</v>
      </c>
    </row>
    <row r="2354">
      <c r="A2354" s="14" t="inlineStr">
        <is>
          <t>SANTO AMARO</t>
        </is>
      </c>
      <c r="B2354" s="26" t="n">
        <v>178</v>
      </c>
      <c r="C2354" s="26" t="n">
        <v>1155</v>
      </c>
      <c r="D2354" s="14" t="inlineStr">
        <is>
          <t>CENTRO EDUCACIONAL MUNICIPAL ARMANDO SAMPAIO TAVARES (CEMOC)</t>
        </is>
      </c>
      <c r="E2354" s="14" t="inlineStr">
        <is>
          <t>DISTRITO OLIVEIRA DOS CAMPINHOS</t>
        </is>
      </c>
      <c r="F2354" s="14" t="inlineStr">
        <is>
          <t>PRAÇA HEITOR DIAS PEREIRA,SN - ZONA RURAL</t>
        </is>
      </c>
      <c r="G2354" s="27" t="inlineStr">
        <is>
          <t>44200-000</t>
        </is>
      </c>
      <c r="H2354" s="15" t="n">
        <v>10</v>
      </c>
      <c r="I2354" s="28" t="inlineStr">
        <is>
          <t>NÃO</t>
        </is>
      </c>
      <c r="J2354" s="29" t="n">
        <v>207.5</v>
      </c>
      <c r="K2354" s="14" t="str">
        <f>IF(J2354="","7. Acima de 2 km",IF(J2354&lt;=50,"1. Até 50 m",IF(J2354&lt;=100,"2. De 50 a 100 m",IF(J2354&lt;=200,"3. De 100 a 200 m",IF(J2354&lt;=300,"4. De 200 a 300 m",IF(J2354&lt;=500,"5. De 300 a 500 m","6. De 500 m a 2 km"))))))</f>
        <v>4. De 200 a 300 m</v>
      </c>
      <c r="L2354" s="26" t="n">
        <v>0</v>
      </c>
      <c r="M2354" s="26" t="n">
        <v>0</v>
      </c>
      <c r="N2354" s="26" t="n">
        <v>0</v>
      </c>
      <c r="O2354" s="26" t="n">
        <v>1</v>
      </c>
      <c r="P2354" s="30" t="n">
        <v>-12.4253412</v>
      </c>
      <c r="Q2354" s="30" t="n">
        <v>-38.7944155</v>
      </c>
      <c r="R2354" s="14" t="inlineStr">
        <is>
          <t>SALÃO DE JÚRI DO FÓRUM ODILON SANTOS, AVENIDA PRESIDENTE VARGAS,148, CENTRO, SANTO AMARO/BA</t>
        </is>
      </c>
      <c r="S2354" s="26">
        <f>IF(A2354=A2353,0,1)</f>
        <v>0</v>
      </c>
      <c r="T2354" s="26">
        <f>IF(COUNTIF($B$4:B2354,B2354)=1,1,0)</f>
        <v>0</v>
      </c>
    </row>
    <row r="2355">
      <c r="A2355" s="14" t="inlineStr">
        <is>
          <t>SANTO AMARO</t>
        </is>
      </c>
      <c r="B2355" s="26" t="n">
        <v>178</v>
      </c>
      <c r="C2355" s="26" t="n">
        <v>1163</v>
      </c>
      <c r="D2355" s="14" t="inlineStr">
        <is>
          <t>ESCOLA MUNICIPAL JOSÉ DE OLIVEIRA TEIXEIRA</t>
        </is>
      </c>
      <c r="E2355" s="14" t="inlineStr">
        <is>
          <t>POVOADO CEPEL</t>
        </is>
      </c>
      <c r="F2355" s="14" t="inlineStr">
        <is>
          <t>POVOADO CEPEL - ZONA RURAL</t>
        </is>
      </c>
      <c r="G2355" s="27" t="inlineStr">
        <is>
          <t>44200-000</t>
        </is>
      </c>
      <c r="H2355" s="15" t="n">
        <v>3</v>
      </c>
      <c r="I2355" s="28" t="inlineStr">
        <is>
          <t>NÃO</t>
        </is>
      </c>
      <c r="J2355" s="29" t="n"/>
      <c r="K2355" s="14" t="str">
        <f>IF(J2355="","7. Acima de 2 km",IF(J2355&lt;=50,"1. Até 50 m",IF(J2355&lt;=100,"2. De 50 a 100 m",IF(J2355&lt;=200,"3. De 100 a 200 m",IF(J2355&lt;=300,"4. De 200 a 300 m",IF(J2355&lt;=500,"5. De 300 a 500 m","6. De 500 m a 2 km"))))))</f>
        <v>7. Acima de 2 km</v>
      </c>
      <c r="L2355" s="26" t="n">
        <v>0</v>
      </c>
      <c r="M2355" s="26" t="n">
        <v>0</v>
      </c>
      <c r="N2355" s="26" t="n">
        <v>0</v>
      </c>
      <c r="O2355" s="26" t="n">
        <v>0</v>
      </c>
      <c r="P2355" s="30" t="n">
        <v>-12.5432871</v>
      </c>
      <c r="Q2355" s="30" t="n">
        <v>-38.8530134</v>
      </c>
      <c r="R2355" s="14" t="inlineStr">
        <is>
          <t>SALÃO DE JÚRI DO FÓRUM ODILON SANTOS, AVENIDA PRESIDENTE VARGAS,148, CENTRO, SANTO AMARO/BA</t>
        </is>
      </c>
      <c r="S2355" s="26">
        <f>IF(A2355=A2354,0,1)</f>
        <v>0</v>
      </c>
      <c r="T2355" s="26">
        <f>IF(COUNTIF($B$4:B2355,B2355)=1,1,0)</f>
        <v>0</v>
      </c>
    </row>
    <row r="2356">
      <c r="A2356" s="14" t="inlineStr">
        <is>
          <t>SANTO AMARO</t>
        </is>
      </c>
      <c r="B2356" s="26" t="n">
        <v>178</v>
      </c>
      <c r="C2356" s="26" t="n">
        <v>1180</v>
      </c>
      <c r="D2356" s="14" t="inlineStr">
        <is>
          <t>CENTRO EDUCACIONAL MUNICIPAL DE ACUPE (CEMAC)</t>
        </is>
      </c>
      <c r="E2356" s="14" t="inlineStr">
        <is>
          <t>DISTRITO ACUPE</t>
        </is>
      </c>
      <c r="F2356" s="14" t="inlineStr">
        <is>
          <t>RUA EDVAL CARLOS BARRETO, S/N - ZONA RURAL</t>
        </is>
      </c>
      <c r="G2356" s="27" t="inlineStr">
        <is>
          <t>44200-000</t>
        </is>
      </c>
      <c r="H2356" s="15" t="n">
        <v>8</v>
      </c>
      <c r="I2356" s="28" t="inlineStr">
        <is>
          <t>NÃO</t>
        </is>
      </c>
      <c r="J2356" s="29" t="n"/>
      <c r="K2356" s="14" t="str">
        <f>IF(J2356="","7. Acima de 2 km",IF(J2356&lt;=50,"1. Até 50 m",IF(J2356&lt;=100,"2. De 50 a 100 m",IF(J2356&lt;=200,"3. De 100 a 200 m",IF(J2356&lt;=300,"4. De 200 a 300 m",IF(J2356&lt;=500,"5. De 300 a 500 m","6. De 500 m a 2 km"))))))</f>
        <v>7. Acima de 2 km</v>
      </c>
      <c r="L2356" s="26" t="n">
        <v>0</v>
      </c>
      <c r="M2356" s="26" t="n">
        <v>0</v>
      </c>
      <c r="N2356" s="26" t="n">
        <v>0</v>
      </c>
      <c r="O2356" s="26" t="n">
        <v>0</v>
      </c>
      <c r="P2356" s="30" t="n">
        <v>-12.6617584</v>
      </c>
      <c r="Q2356" s="30" t="n">
        <v>-38.7517651</v>
      </c>
      <c r="R2356" s="14" t="inlineStr">
        <is>
          <t>SALÃO DE JÚRI DO FÓRUM ODILON SANTOS, AVENIDA PRESIDENTE VARGAS,148, CENTRO, SANTO AMARO/BA</t>
        </is>
      </c>
      <c r="S2356" s="26">
        <f>IF(A2356=A2355,0,1)</f>
        <v>0</v>
      </c>
      <c r="T2356" s="26">
        <f>IF(COUNTIF($B$4:B2356,B2356)=1,1,0)</f>
        <v>0</v>
      </c>
    </row>
    <row r="2357">
      <c r="A2357" s="14" t="inlineStr">
        <is>
          <t>SANTO AMARO</t>
        </is>
      </c>
      <c r="B2357" s="26" t="n">
        <v>178</v>
      </c>
      <c r="C2357" s="26" t="n">
        <v>1201</v>
      </c>
      <c r="D2357" s="14" t="inlineStr">
        <is>
          <t>ASSOCIAÇÃO DOS MORADORES DE ITAPEMA</t>
        </is>
      </c>
      <c r="E2357" s="14" t="inlineStr">
        <is>
          <t>DISTRITO ITAPEMA</t>
        </is>
      </c>
      <c r="F2357" s="14" t="inlineStr">
        <is>
          <t>DISTRITO DE ITAPEMA - ZONA RURAL</t>
        </is>
      </c>
      <c r="G2357" s="27" t="inlineStr">
        <is>
          <t>44200-000</t>
        </is>
      </c>
      <c r="H2357" s="15" t="n">
        <v>1</v>
      </c>
      <c r="I2357" s="28" t="inlineStr">
        <is>
          <t>NÃO</t>
        </is>
      </c>
      <c r="J2357" s="29" t="n"/>
      <c r="K2357" s="14" t="str">
        <f>IF(J2357="","7. Acima de 2 km",IF(J2357&lt;=50,"1. Até 50 m",IF(J2357&lt;=100,"2. De 50 a 100 m",IF(J2357&lt;=200,"3. De 100 a 200 m",IF(J2357&lt;=300,"4. De 200 a 300 m",IF(J2357&lt;=500,"5. De 300 a 500 m","6. De 500 m a 2 km"))))))</f>
        <v>7. Acima de 2 km</v>
      </c>
      <c r="L2357" s="26" t="n">
        <v>0</v>
      </c>
      <c r="M2357" s="26" t="n">
        <v>0</v>
      </c>
      <c r="N2357" s="26" t="n">
        <v>0</v>
      </c>
      <c r="O2357" s="26" t="n">
        <v>0</v>
      </c>
      <c r="P2357" s="30" t="n">
        <v>-12.7046294</v>
      </c>
      <c r="Q2357" s="30" t="n">
        <v>-38.75474956</v>
      </c>
      <c r="R2357" s="14" t="inlineStr">
        <is>
          <t>SALÃO DE JÚRI DO FÓRUM ODILON SANTOS, AVENIDA PRESIDENTE VARGAS,148, CENTRO, SANTO AMARO/BA</t>
        </is>
      </c>
      <c r="S2357" s="26">
        <f>IF(A2357=A2356,0,1)</f>
        <v>0</v>
      </c>
      <c r="T2357" s="26">
        <f>IF(COUNTIF($B$4:B2357,B2357)=1,1,0)</f>
        <v>0</v>
      </c>
    </row>
    <row r="2358">
      <c r="A2358" s="14" t="inlineStr">
        <is>
          <t>SANTO AMARO</t>
        </is>
      </c>
      <c r="B2358" s="26" t="n">
        <v>178</v>
      </c>
      <c r="C2358" s="26" t="n">
        <v>1228</v>
      </c>
      <c r="D2358" s="14" t="inlineStr">
        <is>
          <t>ESCOLA MUNICIPAL FAZENDA CANOA</t>
        </is>
      </c>
      <c r="E2358" s="14" t="inlineStr">
        <is>
          <t>DISTRITO OLIVEIRA DOS CAMPINHOS</t>
        </is>
      </c>
      <c r="F2358" s="14" t="inlineStr">
        <is>
          <t>POVOADO CANOA - ZONA RURAL</t>
        </is>
      </c>
      <c r="G2358" s="27" t="inlineStr">
        <is>
          <t>44200-000</t>
        </is>
      </c>
      <c r="H2358" s="15" t="n">
        <v>2</v>
      </c>
      <c r="I2358" s="28" t="inlineStr">
        <is>
          <t>NÃO</t>
        </is>
      </c>
      <c r="J2358" s="29" t="n"/>
      <c r="K2358" s="14" t="str">
        <f>IF(J2358="","7. Acima de 2 km",IF(J2358&lt;=50,"1. Até 50 m",IF(J2358&lt;=100,"2. De 50 a 100 m",IF(J2358&lt;=200,"3. De 100 a 200 m",IF(J2358&lt;=300,"4. De 200 a 300 m",IF(J2358&lt;=500,"5. De 300 a 500 m","6. De 500 m a 2 km"))))))</f>
        <v>7. Acima de 2 km</v>
      </c>
      <c r="L2358" s="26" t="n">
        <v>0</v>
      </c>
      <c r="M2358" s="26" t="n">
        <v>0</v>
      </c>
      <c r="N2358" s="26" t="n">
        <v>0</v>
      </c>
      <c r="O2358" s="26" t="n">
        <v>0</v>
      </c>
      <c r="P2358" s="30" t="n">
        <v>-12.4526939</v>
      </c>
      <c r="Q2358" s="30" t="n">
        <v>-38.7653108</v>
      </c>
      <c r="R2358" s="14" t="inlineStr">
        <is>
          <t>SALÃO DE JÚRI DO FÓRUM ODILON SANTOS, AVENIDA PRESIDENTE VARGAS,148, CENTRO, SANTO AMARO/BA</t>
        </is>
      </c>
      <c r="S2358" s="26">
        <f>IF(A2358=A2357,0,1)</f>
        <v>0</v>
      </c>
      <c r="T2358" s="26">
        <f>IF(COUNTIF($B$4:B2358,B2358)=1,1,0)</f>
        <v>0</v>
      </c>
    </row>
    <row r="2359">
      <c r="A2359" s="14" t="inlineStr">
        <is>
          <t>SANTO AMARO</t>
        </is>
      </c>
      <c r="B2359" s="26" t="n">
        <v>178</v>
      </c>
      <c r="C2359" s="26" t="n">
        <v>1236</v>
      </c>
      <c r="D2359" s="14" t="inlineStr">
        <is>
          <t>CÍRCULO OPERÁRIO CATÓLICO DE SANTO AMARO</t>
        </is>
      </c>
      <c r="E2359" s="14" t="inlineStr">
        <is>
          <t>CENTRO</t>
        </is>
      </c>
      <c r="F2359" s="14" t="inlineStr">
        <is>
          <t>PRAÇA JOVINIANO BARRETO, 23/25 - ZONA URBANA</t>
        </is>
      </c>
      <c r="G2359" s="27" t="inlineStr">
        <is>
          <t>44200-000</t>
        </is>
      </c>
      <c r="H2359" s="15" t="n">
        <v>14</v>
      </c>
      <c r="I2359" s="28" t="inlineStr">
        <is>
          <t>NÃO</t>
        </is>
      </c>
      <c r="J2359" s="29" t="n">
        <v>347.6</v>
      </c>
      <c r="K2359" s="14" t="str">
        <f>IF(J2359="","7. Acima de 2 km",IF(J2359&lt;=50,"1. Até 50 m",IF(J2359&lt;=100,"2. De 50 a 100 m",IF(J2359&lt;=200,"3. De 100 a 200 m",IF(J2359&lt;=300,"4. De 200 a 300 m",IF(J2359&lt;=500,"5. De 300 a 500 m","6. De 500 m a 2 km"))))))</f>
        <v>5. De 300 a 500 m</v>
      </c>
      <c r="L2359" s="26" t="n">
        <v>0</v>
      </c>
      <c r="M2359" s="26" t="n">
        <v>0</v>
      </c>
      <c r="N2359" s="26" t="n">
        <v>0</v>
      </c>
      <c r="O2359" s="26" t="n">
        <v>0</v>
      </c>
      <c r="P2359" s="30" t="n">
        <v>-12.5516335</v>
      </c>
      <c r="Q2359" s="30" t="n">
        <v>-38.7109171</v>
      </c>
      <c r="R2359" s="14" t="inlineStr">
        <is>
          <t>SALÃO DE JÚRI DO FÓRUM ODILON SANTOS, AVENIDA PRESIDENTE VARGAS,148, CENTRO, SANTO AMARO/BA</t>
        </is>
      </c>
      <c r="S2359" s="26">
        <f>IF(A2359=A2358,0,1)</f>
        <v>0</v>
      </c>
      <c r="T2359" s="26">
        <f>IF(COUNTIF($B$4:B2359,B2359)=1,1,0)</f>
        <v>0</v>
      </c>
    </row>
    <row r="2360">
      <c r="A2360" s="14" t="inlineStr">
        <is>
          <t>SANTO AMARO</t>
        </is>
      </c>
      <c r="B2360" s="26" t="n">
        <v>178</v>
      </c>
      <c r="C2360" s="26" t="n">
        <v>1252</v>
      </c>
      <c r="D2360" s="14" t="inlineStr">
        <is>
          <t>CENTRO EDUCACIONAL MUNICIPAL JOÃO CÂNCIO</t>
        </is>
      </c>
      <c r="E2360" s="14" t="inlineStr">
        <is>
          <t>POVOADO SÍTIO CAMACARI</t>
        </is>
      </c>
      <c r="F2360" s="14" t="inlineStr">
        <is>
          <t>SÍTIO CAMAÇARI - ZONA RURAL</t>
        </is>
      </c>
      <c r="G2360" s="27" t="inlineStr">
        <is>
          <t>44200-000</t>
        </is>
      </c>
      <c r="H2360" s="15" t="n">
        <v>5</v>
      </c>
      <c r="I2360" s="28" t="inlineStr">
        <is>
          <t>NÃO</t>
        </is>
      </c>
      <c r="J2360" s="29" t="n">
        <v>331.6</v>
      </c>
      <c r="K2360" s="14" t="str">
        <f>IF(J2360="","7. Acima de 2 km",IF(J2360&lt;=50,"1. Até 50 m",IF(J2360&lt;=100,"2. De 50 a 100 m",IF(J2360&lt;=200,"3. De 100 a 200 m",IF(J2360&lt;=300,"4. De 200 a 300 m",IF(J2360&lt;=500,"5. De 300 a 500 m","6. De 500 m a 2 km"))))))</f>
        <v>5. De 300 a 500 m</v>
      </c>
      <c r="L2360" s="26" t="n">
        <v>0</v>
      </c>
      <c r="M2360" s="26" t="n">
        <v>0</v>
      </c>
      <c r="N2360" s="26" t="n">
        <v>0</v>
      </c>
      <c r="O2360" s="26" t="n">
        <v>0</v>
      </c>
      <c r="P2360" s="30" t="n">
        <v>-12.56151252</v>
      </c>
      <c r="Q2360" s="30" t="n">
        <v>-38.69742266</v>
      </c>
      <c r="R2360" s="14" t="inlineStr">
        <is>
          <t>SALÃO DE JÚRI DO FÓRUM ODILON SANTOS, AVENIDA PRESIDENTE VARGAS,148, CENTRO, SANTO AMARO/BA</t>
        </is>
      </c>
      <c r="S2360" s="26">
        <f>IF(A2360=A2359,0,1)</f>
        <v>0</v>
      </c>
      <c r="T2360" s="26">
        <f>IF(COUNTIF($B$4:B2360,B2360)=1,1,0)</f>
        <v>0</v>
      </c>
    </row>
    <row r="2361">
      <c r="A2361" s="14" t="inlineStr">
        <is>
          <t>SANTO AMARO</t>
        </is>
      </c>
      <c r="B2361" s="26" t="n">
        <v>178</v>
      </c>
      <c r="C2361" s="26" t="n">
        <v>1260</v>
      </c>
      <c r="D2361" s="14" t="inlineStr">
        <is>
          <t>CENTRO EDUCACIONAL MUNICIPAL ANA JUDITE DE ARAÚJO MELO</t>
        </is>
      </c>
      <c r="E2361" s="14" t="inlineStr">
        <is>
          <t>DISTRITO SÃO BRAZ</t>
        </is>
      </c>
      <c r="F2361" s="14" t="inlineStr">
        <is>
          <t>RUA NOVA, S/N  - ZONA RURAL</t>
        </is>
      </c>
      <c r="G2361" s="27" t="inlineStr">
        <is>
          <t>44200-000</t>
        </is>
      </c>
      <c r="H2361" s="15" t="n">
        <v>3</v>
      </c>
      <c r="I2361" s="28" t="inlineStr">
        <is>
          <t>NÃO</t>
        </is>
      </c>
      <c r="J2361" s="29" t="n"/>
      <c r="K2361" s="14" t="str">
        <f>IF(J2361="","7. Acima de 2 km",IF(J2361&lt;=50,"1. Até 50 m",IF(J2361&lt;=100,"2. De 50 a 100 m",IF(J2361&lt;=200,"3. De 100 a 200 m",IF(J2361&lt;=300,"4. De 200 a 300 m",IF(J2361&lt;=500,"5. De 300 a 500 m","6. De 500 m a 2 km"))))))</f>
        <v>7. Acima de 2 km</v>
      </c>
      <c r="L2361" s="26" t="n">
        <v>0</v>
      </c>
      <c r="M2361" s="26" t="n">
        <v>0</v>
      </c>
      <c r="N2361" s="26" t="n">
        <v>0</v>
      </c>
      <c r="O2361" s="26" t="n">
        <v>0</v>
      </c>
      <c r="P2361" s="30" t="n">
        <v>-12.6058883</v>
      </c>
      <c r="Q2361" s="30" t="n">
        <v>-38.728225</v>
      </c>
      <c r="R2361" s="14" t="inlineStr">
        <is>
          <t>SALÃO DE JÚRI DO FÓRUM ODILON SANTOS, AVENIDA PRESIDENTE VARGAS,148, CENTRO, SANTO AMARO/BA</t>
        </is>
      </c>
      <c r="S2361" s="26">
        <f>IF(A2361=A2360,0,1)</f>
        <v>0</v>
      </c>
      <c r="T2361" s="26">
        <f>IF(COUNTIF($B$4:B2361,B2361)=1,1,0)</f>
        <v>0</v>
      </c>
    </row>
    <row r="2362">
      <c r="A2362" s="14" t="inlineStr">
        <is>
          <t>SANTO AMARO</t>
        </is>
      </c>
      <c r="B2362" s="26" t="n">
        <v>178</v>
      </c>
      <c r="C2362" s="26" t="n">
        <v>1279</v>
      </c>
      <c r="D2362" s="14" t="inlineStr">
        <is>
          <t>CENTRO EDUCACIONAL PROFESSOR NESTOR DA COSTA OLIVEIRA</t>
        </is>
      </c>
      <c r="E2362" s="14" t="inlineStr">
        <is>
          <t>DISTRITO PEDRAS</t>
        </is>
      </c>
      <c r="F2362" s="14" t="inlineStr">
        <is>
          <t>RUA DO ASFALTO,SN - ZONA RURAL</t>
        </is>
      </c>
      <c r="G2362" s="27" t="inlineStr">
        <is>
          <t>44200-000</t>
        </is>
      </c>
      <c r="H2362" s="15" t="n">
        <v>5</v>
      </c>
      <c r="I2362" s="28" t="inlineStr">
        <is>
          <t>NÃO</t>
        </is>
      </c>
      <c r="J2362" s="29" t="n"/>
      <c r="K2362" s="14" t="str">
        <f>IF(J2362="","7. Acima de 2 km",IF(J2362&lt;=50,"1. Até 50 m",IF(J2362&lt;=100,"2. De 50 a 100 m",IF(J2362&lt;=200,"3. De 100 a 200 m",IF(J2362&lt;=300,"4. De 200 a 300 m",IF(J2362&lt;=500,"5. De 300 a 500 m","6. De 500 m a 2 km"))))))</f>
        <v>7. Acima de 2 km</v>
      </c>
      <c r="L2362" s="26" t="n">
        <v>0</v>
      </c>
      <c r="M2362" s="26" t="n">
        <v>0</v>
      </c>
      <c r="N2362" s="26" t="n">
        <v>0</v>
      </c>
      <c r="O2362" s="26" t="n">
        <v>0</v>
      </c>
      <c r="P2362" s="30" t="n">
        <v>-12.5496487</v>
      </c>
      <c r="Q2362" s="30" t="n">
        <v>-38.7707879</v>
      </c>
      <c r="R2362" s="14" t="inlineStr">
        <is>
          <t>SALÃO DE JÚRI DO FÓRUM ODILON SANTOS, AVENIDA PRESIDENTE VARGAS,148, CENTRO, SANTO AMARO/BA</t>
        </is>
      </c>
      <c r="S2362" s="26">
        <f>IF(A2362=A2361,0,1)</f>
        <v>0</v>
      </c>
      <c r="T2362" s="26">
        <f>IF(COUNTIF($B$4:B2362,B2362)=1,1,0)</f>
        <v>0</v>
      </c>
    </row>
    <row r="2363">
      <c r="A2363" s="14" t="inlineStr">
        <is>
          <t>SANTO AMARO</t>
        </is>
      </c>
      <c r="B2363" s="26" t="n">
        <v>178</v>
      </c>
      <c r="C2363" s="26" t="n">
        <v>1287</v>
      </c>
      <c r="D2363" s="14" t="inlineStr">
        <is>
          <t>COLÉGIO ESTADUAL CASTRO ALVES</t>
        </is>
      </c>
      <c r="E2363" s="14" t="inlineStr">
        <is>
          <t>DISTRITO ACUPE</t>
        </is>
      </c>
      <c r="F2363" s="14" t="inlineStr">
        <is>
          <t>AV. EDVAL CARLOS BARRETO - ZONA RURAL</t>
        </is>
      </c>
      <c r="G2363" s="27" t="inlineStr">
        <is>
          <t>44200-000</t>
        </is>
      </c>
      <c r="H2363" s="15" t="n">
        <v>6</v>
      </c>
      <c r="I2363" s="28" t="inlineStr">
        <is>
          <t>NÃO</t>
        </is>
      </c>
      <c r="J2363" s="29" t="n"/>
      <c r="K2363" s="14" t="str">
        <f>IF(J2363="","7. Acima de 2 km",IF(J2363&lt;=50,"1. Até 50 m",IF(J2363&lt;=100,"2. De 50 a 100 m",IF(J2363&lt;=200,"3. De 100 a 200 m",IF(J2363&lt;=300,"4. De 200 a 300 m",IF(J2363&lt;=500,"5. De 300 a 500 m","6. De 500 m a 2 km"))))))</f>
        <v>7. Acima de 2 km</v>
      </c>
      <c r="L2363" s="26" t="n">
        <v>0</v>
      </c>
      <c r="M2363" s="26" t="n">
        <v>0</v>
      </c>
      <c r="N2363" s="26" t="n">
        <v>0</v>
      </c>
      <c r="O2363" s="26" t="n">
        <v>0</v>
      </c>
      <c r="P2363" s="30" t="n">
        <v>-12.6612747</v>
      </c>
      <c r="Q2363" s="30" t="n">
        <v>-38.7507497</v>
      </c>
      <c r="R2363" s="14" t="inlineStr">
        <is>
          <t>SALÃO DE JÚRI DO FÓRUM ODILON SANTOS, AVENIDA PRESIDENTE VARGAS,148, CENTRO, SANTO AMARO/BA</t>
        </is>
      </c>
      <c r="S2363" s="26">
        <f>IF(A2363=A2362,0,1)</f>
        <v>0</v>
      </c>
      <c r="T2363" s="26">
        <f>IF(COUNTIF($B$4:B2363,B2363)=1,1,0)</f>
        <v>0</v>
      </c>
    </row>
    <row r="2364">
      <c r="A2364" s="14" t="inlineStr">
        <is>
          <t>SANTO AMARO</t>
        </is>
      </c>
      <c r="B2364" s="26" t="n">
        <v>178</v>
      </c>
      <c r="C2364" s="26" t="n">
        <v>1309</v>
      </c>
      <c r="D2364" s="14" t="inlineStr">
        <is>
          <t>COMPLEXO EDUC MUNIC Mª LUZIA COSTA DOS SANTOS(COMPLEXO MALU)</t>
        </is>
      </c>
      <c r="E2364" s="14" t="inlineStr">
        <is>
          <t>POVOADO JERICÓ</t>
        </is>
      </c>
      <c r="F2364" s="14" t="inlineStr">
        <is>
          <t>ENTRADA DA PEDRA - ZONA RURAL</t>
        </is>
      </c>
      <c r="G2364" s="27" t="inlineStr">
        <is>
          <t>44200-000</t>
        </is>
      </c>
      <c r="H2364" s="15" t="n">
        <v>3</v>
      </c>
      <c r="I2364" s="28" t="inlineStr">
        <is>
          <t>NÃO</t>
        </is>
      </c>
      <c r="J2364" s="29" t="n"/>
      <c r="K2364" s="14" t="str">
        <f>IF(J2364="","7. Acima de 2 km",IF(J2364&lt;=50,"1. Até 50 m",IF(J2364&lt;=100,"2. De 50 a 100 m",IF(J2364&lt;=200,"3. De 100 a 200 m",IF(J2364&lt;=300,"4. De 200 a 300 m",IF(J2364&lt;=500,"5. De 300 a 500 m","6. De 500 m a 2 km"))))))</f>
        <v>7. Acima de 2 km</v>
      </c>
      <c r="L2364" s="26" t="n">
        <v>0</v>
      </c>
      <c r="M2364" s="26" t="n">
        <v>0</v>
      </c>
      <c r="N2364" s="26" t="n">
        <v>0</v>
      </c>
      <c r="O2364" s="26" t="n">
        <v>0</v>
      </c>
      <c r="P2364" s="30" t="n">
        <v>-12.5305739</v>
      </c>
      <c r="Q2364" s="30" t="n">
        <v>-38.7339111</v>
      </c>
      <c r="R2364" s="14" t="inlineStr">
        <is>
          <t>SALÃO DE JÚRI DO FÓRUM ODILON SANTOS, AVENIDA PRESIDENTE VARGAS,148, CENTRO, SANTO AMARO/BA</t>
        </is>
      </c>
      <c r="S2364" s="26">
        <f>IF(A2364=A2363,0,1)</f>
        <v>0</v>
      </c>
      <c r="T2364" s="26">
        <f>IF(COUNTIF($B$4:B2364,B2364)=1,1,0)</f>
        <v>0</v>
      </c>
    </row>
    <row r="2365">
      <c r="A2365" s="14" t="inlineStr">
        <is>
          <t>SANTO AMARO</t>
        </is>
      </c>
      <c r="B2365" s="26" t="n">
        <v>178</v>
      </c>
      <c r="C2365" s="26" t="n">
        <v>1333</v>
      </c>
      <c r="D2365" s="14" t="inlineStr">
        <is>
          <t>ESCOLA MUNICIPAL CORONEL FRANCISCO PINTO</t>
        </is>
      </c>
      <c r="E2365" s="14" t="inlineStr">
        <is>
          <t>IDEAL</t>
        </is>
      </c>
      <c r="F2365" s="14" t="inlineStr">
        <is>
          <t>AVENIDA SANTOS, S/N - ZONA URBANA</t>
        </is>
      </c>
      <c r="G2365" s="27" t="inlineStr">
        <is>
          <t>44200-000</t>
        </is>
      </c>
      <c r="H2365" s="15" t="n">
        <v>4</v>
      </c>
      <c r="I2365" s="28" t="inlineStr">
        <is>
          <t>NÃO</t>
        </is>
      </c>
      <c r="J2365" s="29" t="n">
        <v>535.1</v>
      </c>
      <c r="K2365" s="14" t="str">
        <f>IF(J2365="","7. Acima de 2 km",IF(J2365&lt;=50,"1. Até 50 m",IF(J2365&lt;=100,"2. De 50 a 100 m",IF(J2365&lt;=200,"3. De 100 a 200 m",IF(J2365&lt;=300,"4. De 200 a 300 m",IF(J2365&lt;=500,"5. De 300 a 500 m","6. De 500 m a 2 km"))))))</f>
        <v>6. De 500 m a 2 km</v>
      </c>
      <c r="L2365" s="26" t="n">
        <v>0</v>
      </c>
      <c r="M2365" s="26" t="n">
        <v>0</v>
      </c>
      <c r="N2365" s="26" t="n">
        <v>0</v>
      </c>
      <c r="O2365" s="26" t="n">
        <v>0</v>
      </c>
      <c r="P2365" s="30" t="n">
        <v>-12.5453492</v>
      </c>
      <c r="Q2365" s="30" t="n">
        <v>-38.7146588</v>
      </c>
      <c r="R2365" s="14" t="inlineStr">
        <is>
          <t>SALÃO DE JÚRI DO FÓRUM ODILON SANTOS, AVENIDA PRESIDENTE VARGAS,148, CENTRO, SANTO AMARO/BA</t>
        </is>
      </c>
      <c r="S2365" s="26">
        <f>IF(A2365=A2364,0,1)</f>
        <v>0</v>
      </c>
      <c r="T2365" s="26">
        <f>IF(COUNTIF($B$4:B2365,B2365)=1,1,0)</f>
        <v>0</v>
      </c>
    </row>
    <row r="2366">
      <c r="A2366" s="14" t="inlineStr">
        <is>
          <t>SANTO AMARO</t>
        </is>
      </c>
      <c r="B2366" s="26" t="n">
        <v>178</v>
      </c>
      <c r="C2366" s="26" t="n">
        <v>1341</v>
      </c>
      <c r="D2366" s="14" t="inlineStr">
        <is>
          <t>ESCOLA MUNICIPAL PROFESSORA MARIA ALELUIA DE OLIVEIRA</t>
        </is>
      </c>
      <c r="E2366" s="14" t="inlineStr">
        <is>
          <t>POVOADO PITINGA</t>
        </is>
      </c>
      <c r="F2366" s="14" t="inlineStr">
        <is>
          <t>POVOADO FAZENDA PITINGA - ZONA RURAL</t>
        </is>
      </c>
      <c r="G2366" s="27" t="inlineStr">
        <is>
          <t>44200-000</t>
        </is>
      </c>
      <c r="H2366" s="15" t="n">
        <v>2</v>
      </c>
      <c r="I2366" s="28" t="inlineStr">
        <is>
          <t>NÃO</t>
        </is>
      </c>
      <c r="J2366" s="29" t="n">
        <v>1607.6</v>
      </c>
      <c r="K2366" s="14" t="str">
        <f>IF(J2366="","7. Acima de 2 km",IF(J2366&lt;=50,"1. Até 50 m",IF(J2366&lt;=100,"2. De 50 a 100 m",IF(J2366&lt;=200,"3. De 100 a 200 m",IF(J2366&lt;=300,"4. De 200 a 300 m",IF(J2366&lt;=500,"5. De 300 a 500 m","6. De 500 m a 2 km"))))))</f>
        <v>6. De 500 m a 2 km</v>
      </c>
      <c r="L2366" s="26" t="n">
        <v>0</v>
      </c>
      <c r="M2366" s="26" t="n">
        <v>0</v>
      </c>
      <c r="N2366" s="26" t="n">
        <v>0</v>
      </c>
      <c r="O2366" s="26" t="n">
        <v>0</v>
      </c>
      <c r="P2366" s="30" t="n">
        <v>-12.5691036</v>
      </c>
      <c r="Q2366" s="30" t="n">
        <v>-38.7128769</v>
      </c>
      <c r="R2366" s="14" t="inlineStr">
        <is>
          <t>SALÃO DE JÚRI DO FÓRUM ODILON SANTOS, AVENIDA PRESIDENTE VARGAS,148, CENTRO, SANTO AMARO/BA</t>
        </is>
      </c>
      <c r="S2366" s="26">
        <f>IF(A2366=A2365,0,1)</f>
        <v>0</v>
      </c>
      <c r="T2366" s="26">
        <f>IF(COUNTIF($B$4:B2366,B2366)=1,1,0)</f>
        <v>0</v>
      </c>
    </row>
    <row r="2367">
      <c r="A2367" s="14" t="inlineStr">
        <is>
          <t>SANTO AMARO</t>
        </is>
      </c>
      <c r="B2367" s="26" t="n">
        <v>178</v>
      </c>
      <c r="C2367" s="26" t="n">
        <v>1376</v>
      </c>
      <c r="D2367" s="14" t="inlineStr">
        <is>
          <t>CENTRO EDUCACIONAL MUNICIPAL LUÍS EDUARDO MAGALHÃES</t>
        </is>
      </c>
      <c r="E2367" s="14" t="inlineStr">
        <is>
          <t>DERBA</t>
        </is>
      </c>
      <c r="F2367" s="14" t="inlineStr">
        <is>
          <t>RUA DA RODAGEM, S/N - ZONA URBANA</t>
        </is>
      </c>
      <c r="G2367" s="27" t="inlineStr">
        <is>
          <t>44200-000</t>
        </is>
      </c>
      <c r="H2367" s="15" t="n">
        <v>3</v>
      </c>
      <c r="I2367" s="28" t="inlineStr">
        <is>
          <t>NÃO</t>
        </is>
      </c>
      <c r="J2367" s="29" t="n">
        <v>612.5</v>
      </c>
      <c r="K2367" s="14" t="str">
        <f>IF(J2367="","7. Acima de 2 km",IF(J2367&lt;=50,"1. Até 50 m",IF(J2367&lt;=100,"2. De 50 a 100 m",IF(J2367&lt;=200,"3. De 100 a 200 m",IF(J2367&lt;=300,"4. De 200 a 300 m",IF(J2367&lt;=500,"5. De 300 a 500 m","6. De 500 m a 2 km"))))))</f>
        <v>6. De 500 m a 2 km</v>
      </c>
      <c r="L2367" s="26" t="n">
        <v>0</v>
      </c>
      <c r="M2367" s="26" t="n">
        <v>0</v>
      </c>
      <c r="N2367" s="26" t="n">
        <v>0</v>
      </c>
      <c r="O2367" s="26" t="n">
        <v>0</v>
      </c>
      <c r="P2367" s="30" t="n">
        <v>-12.5518564</v>
      </c>
      <c r="Q2367" s="30" t="n">
        <v>-38.6904855</v>
      </c>
      <c r="R2367" s="14" t="inlineStr">
        <is>
          <t>SALÃO DE JÚRI DO FÓRUM ODILON SANTOS, AVENIDA PRESIDENTE VARGAS,148, CENTRO, SANTO AMARO/BA</t>
        </is>
      </c>
      <c r="S2367" s="26">
        <f>IF(A2367=A2366,0,1)</f>
        <v>0</v>
      </c>
      <c r="T2367" s="26">
        <f>IF(COUNTIF($B$4:B2367,B2367)=1,1,0)</f>
        <v>0</v>
      </c>
    </row>
    <row r="2368">
      <c r="A2368" s="14" t="inlineStr">
        <is>
          <t>SANTO AMARO</t>
        </is>
      </c>
      <c r="B2368" s="26" t="n">
        <v>178</v>
      </c>
      <c r="C2368" s="26" t="n">
        <v>1392</v>
      </c>
      <c r="D2368" s="14" t="inlineStr">
        <is>
          <t>ESCOLA MUNICIPAL CORONEL JOSÉ ANTÔNIO TORRES</t>
        </is>
      </c>
      <c r="E2368" s="14" t="inlineStr">
        <is>
          <t>DISTRITO ACUPE</t>
        </is>
      </c>
      <c r="F2368" s="14" t="inlineStr">
        <is>
          <t>PRAÇA 2 DE JULHO, S/N - ZONA RURAL</t>
        </is>
      </c>
      <c r="G2368" s="27" t="inlineStr">
        <is>
          <t>44200-000</t>
        </is>
      </c>
      <c r="H2368" s="15" t="n">
        <v>3</v>
      </c>
      <c r="I2368" s="28" t="inlineStr">
        <is>
          <t>NÃO</t>
        </is>
      </c>
      <c r="J2368" s="29" t="n"/>
      <c r="K2368" s="14" t="str">
        <f>IF(J2368="","7. Acima de 2 km",IF(J2368&lt;=50,"1. Até 50 m",IF(J2368&lt;=100,"2. De 50 a 100 m",IF(J2368&lt;=200,"3. De 100 a 200 m",IF(J2368&lt;=300,"4. De 200 a 300 m",IF(J2368&lt;=500,"5. De 300 a 500 m","6. De 500 m a 2 km"))))))</f>
        <v>7. Acima de 2 km</v>
      </c>
      <c r="L2368" s="26" t="n">
        <v>0</v>
      </c>
      <c r="M2368" s="26" t="n">
        <v>0</v>
      </c>
      <c r="N2368" s="26" t="n">
        <v>0</v>
      </c>
      <c r="O2368" s="26" t="n">
        <v>0</v>
      </c>
      <c r="P2368" s="30" t="n">
        <v>-12.6599261</v>
      </c>
      <c r="Q2368" s="30" t="n">
        <v>-38.7466169</v>
      </c>
      <c r="R2368" s="14" t="inlineStr">
        <is>
          <t>SALÃO DE JÚRI DO FÓRUM ODILON SANTOS, AVENIDA PRESIDENTE VARGAS,148, CENTRO, SANTO AMARO/BA</t>
        </is>
      </c>
      <c r="S2368" s="26">
        <f>IF(A2368=A2367,0,1)</f>
        <v>0</v>
      </c>
      <c r="T2368" s="26">
        <f>IF(COUNTIF($B$4:B2368,B2368)=1,1,0)</f>
        <v>0</v>
      </c>
    </row>
    <row r="2369">
      <c r="A2369" s="14" t="inlineStr">
        <is>
          <t>SANTO AMARO</t>
        </is>
      </c>
      <c r="B2369" s="26" t="n">
        <v>178</v>
      </c>
      <c r="C2369" s="26" t="n">
        <v>1406</v>
      </c>
      <c r="D2369" s="14" t="inlineStr">
        <is>
          <t>ESCOLA MUNICIPAL LUIS SIMÕES REIS</t>
        </is>
      </c>
      <c r="E2369" s="14" t="inlineStr">
        <is>
          <t>ALTO DO SÃO FRANCISCO</t>
        </is>
      </c>
      <c r="F2369" s="14" t="inlineStr">
        <is>
          <t>RUA ALTO DO SÃO FRANCISCO, S/N - ZONA URBANA</t>
        </is>
      </c>
      <c r="G2369" s="27" t="inlineStr">
        <is>
          <t>44200-000</t>
        </is>
      </c>
      <c r="H2369" s="15" t="n">
        <v>2</v>
      </c>
      <c r="I2369" s="28" t="inlineStr">
        <is>
          <t>NÃO</t>
        </is>
      </c>
      <c r="J2369" s="29" t="n">
        <v>487.9</v>
      </c>
      <c r="K2369" s="14" t="str">
        <f>IF(J2369="","7. Acima de 2 km",IF(J2369&lt;=50,"1. Até 50 m",IF(J2369&lt;=100,"2. De 50 a 100 m",IF(J2369&lt;=200,"3. De 100 a 200 m",IF(J2369&lt;=300,"4. De 200 a 300 m",IF(J2369&lt;=500,"5. De 300 a 500 m","6. De 500 m a 2 km"))))))</f>
        <v>5. De 300 a 500 m</v>
      </c>
      <c r="L2369" s="26" t="n">
        <v>0</v>
      </c>
      <c r="M2369" s="26" t="n">
        <v>0</v>
      </c>
      <c r="N2369" s="26" t="n">
        <v>0</v>
      </c>
      <c r="O2369" s="26" t="n">
        <v>0</v>
      </c>
      <c r="P2369" s="30" t="n">
        <v>-12.5504245</v>
      </c>
      <c r="Q2369" s="30" t="n">
        <v>-38.7137981</v>
      </c>
      <c r="R2369" s="14" t="inlineStr">
        <is>
          <t>SALÃO DE JÚRI DO FÓRUM ODILON SANTOS, AVENIDA PRESIDENTE VARGAS,148, CENTRO, SANTO AMARO/BA</t>
        </is>
      </c>
      <c r="S2369" s="26">
        <f>IF(A2369=A2368,0,1)</f>
        <v>0</v>
      </c>
      <c r="T2369" s="26">
        <f>IF(COUNTIF($B$4:B2369,B2369)=1,1,0)</f>
        <v>0</v>
      </c>
    </row>
    <row r="2370">
      <c r="A2370" s="14" t="inlineStr">
        <is>
          <t>SANTO AMARO</t>
        </is>
      </c>
      <c r="B2370" s="26" t="n">
        <v>178</v>
      </c>
      <c r="C2370" s="26" t="n">
        <v>1414</v>
      </c>
      <c r="D2370" s="14" t="inlineStr">
        <is>
          <t>ESCOLA MARIA QUITÉRIA</t>
        </is>
      </c>
      <c r="E2370" s="14" t="inlineStr">
        <is>
          <t>POVOADO MURINGUE</t>
        </is>
      </c>
      <c r="F2370" s="14" t="inlineStr">
        <is>
          <t>POVOADO MURINGUE  - ZONA RURAL</t>
        </is>
      </c>
      <c r="G2370" s="27" t="inlineStr">
        <is>
          <t>44200-000</t>
        </is>
      </c>
      <c r="H2370" s="15" t="n">
        <v>1</v>
      </c>
      <c r="I2370" s="28" t="inlineStr">
        <is>
          <t>NÃO</t>
        </is>
      </c>
      <c r="J2370" s="29" t="n"/>
      <c r="K2370" s="14" t="str">
        <f>IF(J2370="","7. Acima de 2 km",IF(J2370&lt;=50,"1. Até 50 m",IF(J2370&lt;=100,"2. De 50 a 100 m",IF(J2370&lt;=200,"3. De 100 a 200 m",IF(J2370&lt;=300,"4. De 200 a 300 m",IF(J2370&lt;=500,"5. De 300 a 500 m","6. De 500 m a 2 km"))))))</f>
        <v>7. Acima de 2 km</v>
      </c>
      <c r="L2370" s="26" t="n">
        <v>0</v>
      </c>
      <c r="M2370" s="26" t="n">
        <v>0</v>
      </c>
      <c r="N2370" s="26" t="n">
        <v>0</v>
      </c>
      <c r="O2370" s="26" t="n">
        <v>0</v>
      </c>
      <c r="P2370" s="30" t="n">
        <v>-12.4572804</v>
      </c>
      <c r="Q2370" s="30" t="n">
        <v>-38.8363103</v>
      </c>
      <c r="R2370" s="14" t="inlineStr">
        <is>
          <t>SALÃO DE JÚRI DO FÓRUM ODILON SANTOS, AVENIDA PRESIDENTE VARGAS,148, CENTRO, SANTO AMARO/BA</t>
        </is>
      </c>
      <c r="S2370" s="26">
        <f>IF(A2370=A2369,0,1)</f>
        <v>0</v>
      </c>
      <c r="T2370" s="26">
        <f>IF(COUNTIF($B$4:B2370,B2370)=1,1,0)</f>
        <v>0</v>
      </c>
    </row>
    <row r="2371">
      <c r="A2371" s="14" t="inlineStr">
        <is>
          <t>SANTO AMARO</t>
        </is>
      </c>
      <c r="B2371" s="26" t="n">
        <v>178</v>
      </c>
      <c r="C2371" s="26" t="n">
        <v>1422</v>
      </c>
      <c r="D2371" s="14" t="inlineStr">
        <is>
          <t>ESCOLA MUNICIPAL ISIDORO PARANHOS</t>
        </is>
      </c>
      <c r="E2371" s="14" t="inlineStr">
        <is>
          <t>POVOADO BARRO VERMELHO</t>
        </is>
      </c>
      <c r="F2371" s="14" t="inlineStr">
        <is>
          <t>POVOADO BARRO VERMELHO - ZONA RURAL</t>
        </is>
      </c>
      <c r="G2371" s="27" t="inlineStr">
        <is>
          <t>44200-000</t>
        </is>
      </c>
      <c r="H2371" s="15" t="n">
        <v>1</v>
      </c>
      <c r="I2371" s="28" t="inlineStr">
        <is>
          <t>NÃO</t>
        </is>
      </c>
      <c r="J2371" s="29" t="n"/>
      <c r="K2371" s="14" t="str">
        <f>IF(J2371="","7. Acima de 2 km",IF(J2371&lt;=50,"1. Até 50 m",IF(J2371&lt;=100,"2. De 50 a 100 m",IF(J2371&lt;=200,"3. De 100 a 200 m",IF(J2371&lt;=300,"4. De 200 a 300 m",IF(J2371&lt;=500,"5. De 300 a 500 m","6. De 500 m a 2 km"))))))</f>
        <v>7. Acima de 2 km</v>
      </c>
      <c r="L2371" s="26" t="n">
        <v>0</v>
      </c>
      <c r="M2371" s="26" t="n">
        <v>0</v>
      </c>
      <c r="N2371" s="26" t="n">
        <v>0</v>
      </c>
      <c r="O2371" s="26" t="n">
        <v>0</v>
      </c>
      <c r="P2371" s="30" t="n">
        <v>-12.4310002</v>
      </c>
      <c r="Q2371" s="30" t="n">
        <v>-38.8225116</v>
      </c>
      <c r="R2371" s="14" t="inlineStr">
        <is>
          <t>SALÃO DE JÚRI DO FÓRUM ODILON SANTOS, AVENIDA PRESIDENTE VARGAS,148, CENTRO, SANTO AMARO/BA</t>
        </is>
      </c>
      <c r="S2371" s="26">
        <f>IF(A2371=A2370,0,1)</f>
        <v>0</v>
      </c>
      <c r="T2371" s="26">
        <f>IF(COUNTIF($B$4:B2371,B2371)=1,1,0)</f>
        <v>0</v>
      </c>
    </row>
    <row r="2372">
      <c r="A2372" s="14" t="inlineStr">
        <is>
          <t>SANTO AMARO</t>
        </is>
      </c>
      <c r="B2372" s="26" t="n">
        <v>178</v>
      </c>
      <c r="C2372" s="26" t="n">
        <v>1430</v>
      </c>
      <c r="D2372" s="14" t="inlineStr">
        <is>
          <t>ESCOLA MUNICIPAL PROFESSORA MARIA DOS ANJOS SALLES BRASIL</t>
        </is>
      </c>
      <c r="E2372" s="14" t="inlineStr">
        <is>
          <t>NOVA SANTO AMARO</t>
        </is>
      </c>
      <c r="F2372" s="14" t="inlineStr">
        <is>
          <t>RUA CAMPO DA INVASÃO DA NOVA SANTO AMARO, N 46 - ZONA URBANA</t>
        </is>
      </c>
      <c r="G2372" s="27" t="inlineStr">
        <is>
          <t>44200-000</t>
        </is>
      </c>
      <c r="H2372" s="15" t="n">
        <v>2</v>
      </c>
      <c r="I2372" s="28" t="inlineStr">
        <is>
          <t>NÃO</t>
        </is>
      </c>
      <c r="J2372" s="29" t="n">
        <v>337.9</v>
      </c>
      <c r="K2372" s="14" t="str">
        <f>IF(J2372="","7. Acima de 2 km",IF(J2372&lt;=50,"1. Até 50 m",IF(J2372&lt;=100,"2. De 50 a 100 m",IF(J2372&lt;=200,"3. De 100 a 200 m",IF(J2372&lt;=300,"4. De 200 a 300 m",IF(J2372&lt;=500,"5. De 300 a 500 m","6. De 500 m a 2 km"))))))</f>
        <v>5. De 300 a 500 m</v>
      </c>
      <c r="L2372" s="26" t="n">
        <v>0</v>
      </c>
      <c r="M2372" s="26" t="n">
        <v>0</v>
      </c>
      <c r="N2372" s="26" t="n">
        <v>0</v>
      </c>
      <c r="O2372" s="26" t="n">
        <v>0</v>
      </c>
      <c r="P2372" s="30" t="n">
        <v>-12.5494701</v>
      </c>
      <c r="Q2372" s="30" t="n">
        <v>-38.6962877</v>
      </c>
      <c r="R2372" s="14" t="inlineStr">
        <is>
          <t>SALÃO DE JÚRI DO FÓRUM ODILON SANTOS, AVENIDA PRESIDENTE VARGAS,148, CENTRO, SANTO AMARO/BA</t>
        </is>
      </c>
      <c r="S2372" s="26">
        <f>IF(A2372=A2371,0,1)</f>
        <v>0</v>
      </c>
      <c r="T2372" s="26">
        <f>IF(COUNTIF($B$4:B2372,B2372)=1,1,0)</f>
        <v>0</v>
      </c>
    </row>
    <row r="2373">
      <c r="A2373" s="14" t="inlineStr">
        <is>
          <t>SANTO AMARO</t>
        </is>
      </c>
      <c r="B2373" s="26" t="n">
        <v>178</v>
      </c>
      <c r="C2373" s="26" t="n">
        <v>1449</v>
      </c>
      <c r="D2373" s="14" t="inlineStr">
        <is>
          <t>ESCOLA MUNICIPAL PROFESSORA MARIA NAZARETH FERREIRA FALCÃO</t>
        </is>
      </c>
      <c r="E2373" s="14" t="inlineStr">
        <is>
          <t>CANDOLÂNDIA</t>
        </is>
      </c>
      <c r="F2373" s="14" t="inlineStr">
        <is>
          <t>RUA ALTO DO CRUZEIRO, S/N - ZONA URBANA</t>
        </is>
      </c>
      <c r="G2373" s="27" t="inlineStr">
        <is>
          <t>44200-000</t>
        </is>
      </c>
      <c r="H2373" s="15" t="n">
        <v>1</v>
      </c>
      <c r="I2373" s="28" t="inlineStr">
        <is>
          <t>NÃO</t>
        </is>
      </c>
      <c r="J2373" s="29" t="n">
        <v>477</v>
      </c>
      <c r="K2373" s="14" t="str">
        <f>IF(J2373="","7. Acima de 2 km",IF(J2373&lt;=50,"1. Até 50 m",IF(J2373&lt;=100,"2. De 50 a 100 m",IF(J2373&lt;=200,"3. De 100 a 200 m",IF(J2373&lt;=300,"4. De 200 a 300 m",IF(J2373&lt;=500,"5. De 300 a 500 m","6. De 500 m a 2 km"))))))</f>
        <v>5. De 300 a 500 m</v>
      </c>
      <c r="L2373" s="26" t="n">
        <v>0</v>
      </c>
      <c r="M2373" s="26" t="n">
        <v>0</v>
      </c>
      <c r="N2373" s="26" t="n">
        <v>0</v>
      </c>
      <c r="O2373" s="26" t="n">
        <v>0</v>
      </c>
      <c r="P2373" s="30" t="n">
        <v>-12.5483233</v>
      </c>
      <c r="Q2373" s="30" t="n">
        <v>-38.7024147</v>
      </c>
      <c r="R2373" s="14" t="inlineStr">
        <is>
          <t>SALÃO DE JÚRI DO FÓRUM ODILON SANTOS, AVENIDA PRESIDENTE VARGAS,148, CENTRO, SANTO AMARO/BA</t>
        </is>
      </c>
      <c r="S2373" s="26">
        <f>IF(A2373=A2372,0,1)</f>
        <v>0</v>
      </c>
      <c r="T2373" s="26">
        <f>IF(COUNTIF($B$4:B2373,B2373)=1,1,0)</f>
        <v>0</v>
      </c>
    </row>
    <row r="2374">
      <c r="A2374" s="14" t="inlineStr">
        <is>
          <t>SANTO ANTÔNIO DE JESUS</t>
        </is>
      </c>
      <c r="B2374" s="26" t="n">
        <v>56</v>
      </c>
      <c r="C2374" s="26" t="n">
        <v>1023</v>
      </c>
      <c r="D2374" s="14" t="inlineStr">
        <is>
          <t>COOPEDUCAR</t>
        </is>
      </c>
      <c r="E2374" s="14" t="inlineStr">
        <is>
          <t>CAJUEIRO</t>
        </is>
      </c>
      <c r="F2374" s="14" t="inlineStr">
        <is>
          <t>RUA VIRIATO LOBO, N 132, ZONA URBANA</t>
        </is>
      </c>
      <c r="G2374" s="27" t="inlineStr">
        <is>
          <t>44430-540</t>
        </is>
      </c>
      <c r="H2374" s="15" t="n">
        <v>9</v>
      </c>
      <c r="I2374" s="28" t="inlineStr">
        <is>
          <t>NÃO</t>
        </is>
      </c>
      <c r="J2374" s="29" t="n">
        <v>286.2</v>
      </c>
      <c r="K2374" s="14" t="str">
        <f>IF(J2374="","7. Acima de 2 km",IF(J2374&lt;=50,"1. Até 50 m",IF(J2374&lt;=100,"2. De 50 a 100 m",IF(J2374&lt;=200,"3. De 100 a 200 m",IF(J2374&lt;=300,"4. De 200 a 300 m",IF(J2374&lt;=500,"5. De 300 a 500 m","6. De 500 m a 2 km"))))))</f>
        <v>4. De 200 a 300 m</v>
      </c>
      <c r="L2374" s="26" t="n">
        <v>0</v>
      </c>
      <c r="M2374" s="26" t="n">
        <v>0</v>
      </c>
      <c r="N2374" s="26" t="n">
        <v>0</v>
      </c>
      <c r="O2374" s="26" t="n">
        <v>1</v>
      </c>
      <c r="P2374" s="30" t="n">
        <v>-12.9689163</v>
      </c>
      <c r="Q2374" s="30" t="n">
        <v>-39.2573152</v>
      </c>
      <c r="R2374" s="14" t="inlineStr">
        <is>
          <t>RUA VEREADOR ALBERTINO LIRA, Nº 05, QUITANDINHA, SANTO ANTÔNIO DE JESUS/BA</t>
        </is>
      </c>
      <c r="S2374" s="26">
        <f>IF(A2374=A2373,0,1)</f>
        <v>1</v>
      </c>
      <c r="T2374" s="26">
        <f>IF(COUNTIF($B$4:B2374,B2374)=1,1,0)</f>
        <v>1</v>
      </c>
    </row>
    <row r="2375">
      <c r="A2375" s="14" t="inlineStr">
        <is>
          <t>SANTO ANTÔNIO DE JESUS</t>
        </is>
      </c>
      <c r="B2375" s="26" t="n">
        <v>56</v>
      </c>
      <c r="C2375" s="26" t="n">
        <v>1040</v>
      </c>
      <c r="D2375" s="14" t="inlineStr">
        <is>
          <t>COLÉGIO STATUS</t>
        </is>
      </c>
      <c r="E2375" s="14" t="inlineStr">
        <is>
          <t>CENTRO</t>
        </is>
      </c>
      <c r="F2375" s="14" t="inlineStr">
        <is>
          <t>RUA SETE DE SETEMBRO, N 354, ZONA URBANA</t>
        </is>
      </c>
      <c r="G2375" s="27" t="inlineStr">
        <is>
          <t>44430-124</t>
        </is>
      </c>
      <c r="H2375" s="15" t="n">
        <v>6</v>
      </c>
      <c r="I2375" s="28" t="inlineStr">
        <is>
          <t>NÃO</t>
        </is>
      </c>
      <c r="J2375" s="29" t="n">
        <v>134.1</v>
      </c>
      <c r="K2375" s="14" t="str">
        <f>IF(J2375="","7. Acima de 2 km",IF(J2375&lt;=50,"1. Até 50 m",IF(J2375&lt;=100,"2. De 50 a 100 m",IF(J2375&lt;=200,"3. De 100 a 200 m",IF(J2375&lt;=300,"4. De 200 a 300 m",IF(J2375&lt;=500,"5. De 300 a 500 m","6. De 500 m a 2 km"))))))</f>
        <v>3. De 100 a 200 m</v>
      </c>
      <c r="L2375" s="26" t="n">
        <v>0</v>
      </c>
      <c r="M2375" s="26" t="n">
        <v>0</v>
      </c>
      <c r="N2375" s="26" t="n">
        <v>1</v>
      </c>
      <c r="O2375" s="26" t="n">
        <v>2</v>
      </c>
      <c r="P2375" s="30" t="n">
        <v>-12.9677286</v>
      </c>
      <c r="Q2375" s="30" t="n">
        <v>-39.2593714</v>
      </c>
      <c r="R2375" s="14" t="inlineStr">
        <is>
          <t>RUA VEREADOR ALBERTINO LIRA, Nº 05, QUITANDINHA, SANTO ANTÔNIO DE JESUS/BA</t>
        </is>
      </c>
      <c r="S2375" s="26">
        <f>IF(A2375=A2374,0,1)</f>
        <v>0</v>
      </c>
      <c r="T2375" s="26">
        <f>IF(COUNTIF($B$4:B2375,B2375)=1,1,0)</f>
        <v>0</v>
      </c>
    </row>
    <row r="2376">
      <c r="A2376" s="14" t="inlineStr">
        <is>
          <t>SANTO ANTÔNIO DE JESUS</t>
        </is>
      </c>
      <c r="B2376" s="26" t="n">
        <v>56</v>
      </c>
      <c r="C2376" s="26" t="n">
        <v>1082</v>
      </c>
      <c r="D2376" s="14" t="inlineStr">
        <is>
          <t>ESCOLA MUNICIPAL DEPUTADO LUIS EDUARDO M. DE MAGALHÃES</t>
        </is>
      </c>
      <c r="E2376" s="14" t="inlineStr">
        <is>
          <t>CENTRO</t>
        </is>
      </c>
      <c r="F2376" s="14" t="inlineStr">
        <is>
          <t>RUA VEREADOR ADEMÁRIO FRANCISCO DOS SANTOS, S/N, ZONA URBANA</t>
        </is>
      </c>
      <c r="G2376" s="27" t="inlineStr">
        <is>
          <t>44430-078</t>
        </is>
      </c>
      <c r="H2376" s="15" t="n">
        <v>8</v>
      </c>
      <c r="I2376" s="28" t="inlineStr">
        <is>
          <t>NÃO</t>
        </is>
      </c>
      <c r="J2376" s="29" t="n">
        <v>263.6</v>
      </c>
      <c r="K2376" s="14" t="str">
        <f>IF(J2376="","7. Acima de 2 km",IF(J2376&lt;=50,"1. Até 50 m",IF(J2376&lt;=100,"2. De 50 a 100 m",IF(J2376&lt;=200,"3. De 100 a 200 m",IF(J2376&lt;=300,"4. De 200 a 300 m",IF(J2376&lt;=500,"5. De 300 a 500 m","6. De 500 m a 2 km"))))))</f>
        <v>4. De 200 a 300 m</v>
      </c>
      <c r="L2376" s="26" t="n">
        <v>0</v>
      </c>
      <c r="M2376" s="26" t="n">
        <v>0</v>
      </c>
      <c r="N2376" s="26" t="n">
        <v>0</v>
      </c>
      <c r="O2376" s="26" t="n">
        <v>3</v>
      </c>
      <c r="P2376" s="30" t="n">
        <v>-12.9681054</v>
      </c>
      <c r="Q2376" s="30" t="n">
        <v>-39.2678239</v>
      </c>
      <c r="R2376" s="14" t="inlineStr">
        <is>
          <t>RUA VEREADOR ALBERTINO LIRA, Nº 05, QUITANDINHA, SANTO ANTÔNIO DE JESUS/BA</t>
        </is>
      </c>
      <c r="S2376" s="26">
        <f>IF(A2376=A2375,0,1)</f>
        <v>0</v>
      </c>
      <c r="T2376" s="26">
        <f>IF(COUNTIF($B$4:B2376,B2376)=1,1,0)</f>
        <v>0</v>
      </c>
    </row>
    <row r="2377">
      <c r="A2377" s="14" t="inlineStr">
        <is>
          <t>SANTO ANTÔNIO DE JESUS</t>
        </is>
      </c>
      <c r="B2377" s="26" t="n">
        <v>56</v>
      </c>
      <c r="C2377" s="26" t="n">
        <v>1090</v>
      </c>
      <c r="D2377" s="14" t="inlineStr">
        <is>
          <t>COLÉGIO ESTADUAL FRANCISCO DA CONCEIÇÃO MENEZES</t>
        </is>
      </c>
      <c r="E2377" s="14" t="inlineStr">
        <is>
          <t>ANDAIÁ</t>
        </is>
      </c>
      <c r="F2377" s="14" t="inlineStr">
        <is>
          <t>RUA MACHADO BITTENCOURT, S/N, ZONA URBANA</t>
        </is>
      </c>
      <c r="G2377" s="27" t="inlineStr">
        <is>
          <t>44434-536</t>
        </is>
      </c>
      <c r="H2377" s="15" t="n">
        <v>10</v>
      </c>
      <c r="I2377" s="28" t="inlineStr">
        <is>
          <t>NÃO</t>
        </is>
      </c>
      <c r="J2377" s="29" t="n">
        <v>263</v>
      </c>
      <c r="K2377" s="14" t="str">
        <f>IF(J2377="","7. Acima de 2 km",IF(J2377&lt;=50,"1. Até 50 m",IF(J2377&lt;=100,"2. De 50 a 100 m",IF(J2377&lt;=200,"3. De 100 a 200 m",IF(J2377&lt;=300,"4. De 200 a 300 m",IF(J2377&lt;=500,"5. De 300 a 500 m","6. De 500 m a 2 km"))))))</f>
        <v>4. De 200 a 300 m</v>
      </c>
      <c r="L2377" s="26" t="n">
        <v>0</v>
      </c>
      <c r="M2377" s="26" t="n">
        <v>0</v>
      </c>
      <c r="N2377" s="26" t="n">
        <v>0</v>
      </c>
      <c r="O2377" s="26" t="n">
        <v>1</v>
      </c>
      <c r="P2377" s="30" t="n">
        <v>-12.970099</v>
      </c>
      <c r="Q2377" s="30" t="n">
        <v>-39.2689465</v>
      </c>
      <c r="R2377" s="14" t="inlineStr">
        <is>
          <t>RUA VEREADOR ALBERTINO LIRA, Nº 05, QUITANDINHA, SANTO ANTÔNIO DE JESUS/BA</t>
        </is>
      </c>
      <c r="S2377" s="26">
        <f>IF(A2377=A2376,0,1)</f>
        <v>0</v>
      </c>
      <c r="T2377" s="26">
        <f>IF(COUNTIF($B$4:B2377,B2377)=1,1,0)</f>
        <v>0</v>
      </c>
    </row>
    <row r="2378">
      <c r="A2378" s="14" t="inlineStr">
        <is>
          <t>SANTO ANTÔNIO DE JESUS</t>
        </is>
      </c>
      <c r="B2378" s="26" t="n">
        <v>56</v>
      </c>
      <c r="C2378" s="26" t="n">
        <v>1120</v>
      </c>
      <c r="D2378" s="14" t="inlineStr">
        <is>
          <t>ESCOLA MUNICIPALIZADA LUIZ ARGOLO</t>
        </is>
      </c>
      <c r="E2378" s="14" t="inlineStr">
        <is>
          <t>ANDAIÁ</t>
        </is>
      </c>
      <c r="F2378" s="14" t="inlineStr">
        <is>
          <t>LARGO SÃO JOSÉ, S/N, ZONA URBANA</t>
        </is>
      </c>
      <c r="G2378" s="27" t="inlineStr">
        <is>
          <t>44434-224</t>
        </is>
      </c>
      <c r="H2378" s="15" t="n">
        <v>2</v>
      </c>
      <c r="I2378" s="28" t="inlineStr">
        <is>
          <t>NÃO</t>
        </is>
      </c>
      <c r="J2378" s="29" t="n">
        <v>200.2</v>
      </c>
      <c r="K2378" s="14" t="str">
        <f>IF(J2378="","7. Acima de 2 km",IF(J2378&lt;=50,"1. Até 50 m",IF(J2378&lt;=100,"2. De 50 a 100 m",IF(J2378&lt;=200,"3. De 100 a 200 m",IF(J2378&lt;=300,"4. De 200 a 300 m",IF(J2378&lt;=500,"5. De 300 a 500 m","6. De 500 m a 2 km"))))))</f>
        <v>4. De 200 a 300 m</v>
      </c>
      <c r="L2378" s="26" t="n">
        <v>0</v>
      </c>
      <c r="M2378" s="26" t="n">
        <v>0</v>
      </c>
      <c r="N2378" s="26" t="n">
        <v>0</v>
      </c>
      <c r="O2378" s="26" t="n">
        <v>3</v>
      </c>
      <c r="P2378" s="30" t="n">
        <v>-12.9801361</v>
      </c>
      <c r="Q2378" s="30" t="n">
        <v>-39.2762921</v>
      </c>
      <c r="R2378" s="14" t="inlineStr">
        <is>
          <t>RUA VEREADOR ALBERTINO LIRA, Nº 05, QUITANDINHA, SANTO ANTÔNIO DE JESUS/BA</t>
        </is>
      </c>
      <c r="S2378" s="26">
        <f>IF(A2378=A2377,0,1)</f>
        <v>0</v>
      </c>
      <c r="T2378" s="26">
        <f>IF(COUNTIF($B$4:B2378,B2378)=1,1,0)</f>
        <v>0</v>
      </c>
    </row>
    <row r="2379">
      <c r="A2379" s="14" t="inlineStr">
        <is>
          <t>SANTO ANTÔNIO DE JESUS</t>
        </is>
      </c>
      <c r="B2379" s="26" t="n">
        <v>56</v>
      </c>
      <c r="C2379" s="26" t="n">
        <v>1155</v>
      </c>
      <c r="D2379" s="14" t="inlineStr">
        <is>
          <t>COLÉGIO SANTO ANTÔNIO</t>
        </is>
      </c>
      <c r="E2379" s="14" t="inlineStr">
        <is>
          <t>CENTRO</t>
        </is>
      </c>
      <c r="F2379" s="14" t="inlineStr">
        <is>
          <t>RUA MONSENHOR ANTÔNIO OLIVEIRA, 58, ZONA URBANA</t>
        </is>
      </c>
      <c r="G2379" s="27" t="inlineStr">
        <is>
          <t>44430-172</t>
        </is>
      </c>
      <c r="H2379" s="15" t="n">
        <v>9</v>
      </c>
      <c r="I2379" s="28" t="inlineStr">
        <is>
          <t>NÃO</t>
        </is>
      </c>
      <c r="J2379" s="29" t="n">
        <v>173.8</v>
      </c>
      <c r="K2379" s="14" t="str">
        <f>IF(J2379="","7. Acima de 2 km",IF(J2379&lt;=50,"1. Até 50 m",IF(J2379&lt;=100,"2. De 50 a 100 m",IF(J2379&lt;=200,"3. De 100 a 200 m",IF(J2379&lt;=300,"4. De 200 a 300 m",IF(J2379&lt;=500,"5. De 300 a 500 m","6. De 500 m a 2 km"))))))</f>
        <v>3. De 100 a 200 m</v>
      </c>
      <c r="L2379" s="26" t="n">
        <v>0</v>
      </c>
      <c r="M2379" s="26" t="n">
        <v>0</v>
      </c>
      <c r="N2379" s="26" t="n">
        <v>6</v>
      </c>
      <c r="O2379" s="26" t="n">
        <v>9</v>
      </c>
      <c r="P2379" s="30" t="n">
        <v>-12.970612</v>
      </c>
      <c r="Q2379" s="30" t="n">
        <v>-39.2632723</v>
      </c>
      <c r="R2379" s="14" t="inlineStr">
        <is>
          <t>RUA VEREADOR ALBERTINO LIRA, Nº 05, QUITANDINHA, SANTO ANTÔNIO DE JESUS/BA</t>
        </is>
      </c>
      <c r="S2379" s="26">
        <f>IF(A2379=A2378,0,1)</f>
        <v>0</v>
      </c>
      <c r="T2379" s="26">
        <f>IF(COUNTIF($B$4:B2379,B2379)=1,1,0)</f>
        <v>0</v>
      </c>
    </row>
    <row r="2380">
      <c r="A2380" s="14" t="inlineStr">
        <is>
          <t>SANTO ANTÔNIO DE JESUS</t>
        </is>
      </c>
      <c r="B2380" s="26" t="n">
        <v>56</v>
      </c>
      <c r="C2380" s="26" t="n">
        <v>1163</v>
      </c>
      <c r="D2380" s="14" t="inlineStr">
        <is>
          <t>SINDICATO DOS TRABALHADORES RURAIS</t>
        </is>
      </c>
      <c r="E2380" s="14" t="inlineStr">
        <is>
          <t>CENTRO</t>
        </is>
      </c>
      <c r="F2380" s="14" t="inlineStr">
        <is>
          <t>PRAÇA DUQUE DE CAXIAS, 16, ZONA URBANA</t>
        </is>
      </c>
      <c r="G2380" s="27" t="inlineStr">
        <is>
          <t>44430-156</t>
        </is>
      </c>
      <c r="H2380" s="15" t="n">
        <v>2</v>
      </c>
      <c r="I2380" s="28" t="inlineStr">
        <is>
          <t>NÃO</t>
        </is>
      </c>
      <c r="J2380" s="29" t="n">
        <v>118.9</v>
      </c>
      <c r="K2380" s="14" t="str">
        <f>IF(J2380="","7. Acima de 2 km",IF(J2380&lt;=50,"1. Até 50 m",IF(J2380&lt;=100,"2. De 50 a 100 m",IF(J2380&lt;=200,"3. De 100 a 200 m",IF(J2380&lt;=300,"4. De 200 a 300 m",IF(J2380&lt;=500,"5. De 300 a 500 m","6. De 500 m a 2 km"))))))</f>
        <v>3. De 100 a 200 m</v>
      </c>
      <c r="L2380" s="26" t="n">
        <v>0</v>
      </c>
      <c r="M2380" s="26" t="n">
        <v>0</v>
      </c>
      <c r="N2380" s="26" t="n">
        <v>3</v>
      </c>
      <c r="O2380" s="26" t="n">
        <v>5</v>
      </c>
      <c r="P2380" s="30" t="n">
        <v>-12.9727688</v>
      </c>
      <c r="Q2380" s="30" t="n">
        <v>-39.2614509</v>
      </c>
      <c r="R2380" s="14" t="inlineStr">
        <is>
          <t>RUA VEREADOR ALBERTINO LIRA, Nº 05, QUITANDINHA, SANTO ANTÔNIO DE JESUS/BA</t>
        </is>
      </c>
      <c r="S2380" s="26">
        <f>IF(A2380=A2379,0,1)</f>
        <v>0</v>
      </c>
      <c r="T2380" s="26">
        <f>IF(COUNTIF($B$4:B2380,B2380)=1,1,0)</f>
        <v>0</v>
      </c>
    </row>
    <row r="2381">
      <c r="A2381" s="14" t="inlineStr">
        <is>
          <t>SANTO ANTÔNIO DE JESUS</t>
        </is>
      </c>
      <c r="B2381" s="26" t="n">
        <v>56</v>
      </c>
      <c r="C2381" s="26" t="n">
        <v>1180</v>
      </c>
      <c r="D2381" s="14" t="inlineStr">
        <is>
          <t>A.A.B.B.</t>
        </is>
      </c>
      <c r="E2381" s="14" t="inlineStr">
        <is>
          <t>SANTA RITA</t>
        </is>
      </c>
      <c r="F2381" s="14" t="inlineStr">
        <is>
          <t>RUA SÃO PAULO, S/N, ZONA URBANA</t>
        </is>
      </c>
      <c r="G2381" s="27" t="inlineStr">
        <is>
          <t>44431-016</t>
        </is>
      </c>
      <c r="H2381" s="15" t="n">
        <v>3</v>
      </c>
      <c r="I2381" s="28" t="inlineStr">
        <is>
          <t>NÃO</t>
        </is>
      </c>
      <c r="J2381" s="29" t="n">
        <v>303.3</v>
      </c>
      <c r="K2381" s="14" t="str">
        <f>IF(J2381="","7. Acima de 2 km",IF(J2381&lt;=50,"1. Até 50 m",IF(J2381&lt;=100,"2. De 50 a 100 m",IF(J2381&lt;=200,"3. De 100 a 200 m",IF(J2381&lt;=300,"4. De 200 a 300 m",IF(J2381&lt;=500,"5. De 300 a 500 m","6. De 500 m a 2 km"))))))</f>
        <v>5. De 300 a 500 m</v>
      </c>
      <c r="L2381" s="26" t="n">
        <v>0</v>
      </c>
      <c r="M2381" s="26" t="n">
        <v>0</v>
      </c>
      <c r="N2381" s="26" t="n">
        <v>0</v>
      </c>
      <c r="O2381" s="26" t="n">
        <v>0</v>
      </c>
      <c r="P2381" s="30" t="n">
        <v>-12.9769855</v>
      </c>
      <c r="Q2381" s="30" t="n">
        <v>-39.2641102</v>
      </c>
      <c r="R2381" s="14" t="inlineStr">
        <is>
          <t>RUA VEREADOR ALBERTINO LIRA, Nº 05, QUITANDINHA, SANTO ANTÔNIO DE JESUS/BA</t>
        </is>
      </c>
      <c r="S2381" s="26">
        <f>IF(A2381=A2380,0,1)</f>
        <v>0</v>
      </c>
      <c r="T2381" s="26">
        <f>IF(COUNTIF($B$4:B2381,B2381)=1,1,0)</f>
        <v>0</v>
      </c>
    </row>
    <row r="2382">
      <c r="A2382" s="14" t="inlineStr">
        <is>
          <t>SANTO ANTÔNIO DE JESUS</t>
        </is>
      </c>
      <c r="B2382" s="26" t="n">
        <v>56</v>
      </c>
      <c r="C2382" s="26" t="n">
        <v>1252</v>
      </c>
      <c r="D2382" s="14" t="inlineStr">
        <is>
          <t>ROTARY CLUBE II</t>
        </is>
      </c>
      <c r="E2382" s="14" t="inlineStr">
        <is>
          <t>SANTA RITA</t>
        </is>
      </c>
      <c r="F2382" s="14" t="inlineStr">
        <is>
          <t>RUA PERNAMBUCO, S/N, ZONA URBANA</t>
        </is>
      </c>
      <c r="G2382" s="27" t="inlineStr">
        <is>
          <t>44431-294</t>
        </is>
      </c>
      <c r="H2382" s="15" t="n">
        <v>2</v>
      </c>
      <c r="I2382" s="28" t="inlineStr">
        <is>
          <t>NÃO</t>
        </is>
      </c>
      <c r="J2382" s="29" t="n">
        <v>429.3</v>
      </c>
      <c r="K2382" s="14" t="str">
        <f>IF(J2382="","7. Acima de 2 km",IF(J2382&lt;=50,"1. Até 50 m",IF(J2382&lt;=100,"2. De 50 a 100 m",IF(J2382&lt;=200,"3. De 100 a 200 m",IF(J2382&lt;=300,"4. De 200 a 300 m",IF(J2382&lt;=500,"5. De 300 a 500 m","6. De 500 m a 2 km"))))))</f>
        <v>5. De 300 a 500 m</v>
      </c>
      <c r="L2382" s="26" t="n">
        <v>0</v>
      </c>
      <c r="M2382" s="26" t="n">
        <v>0</v>
      </c>
      <c r="N2382" s="26" t="n">
        <v>0</v>
      </c>
      <c r="O2382" s="26" t="n">
        <v>0</v>
      </c>
      <c r="P2382" s="30" t="n">
        <v>-12.9777754</v>
      </c>
      <c r="Q2382" s="30" t="n">
        <v>-39.2631666</v>
      </c>
      <c r="R2382" s="14" t="inlineStr">
        <is>
          <t>RUA VEREADOR ALBERTINO LIRA, Nº 05, QUITANDINHA, SANTO ANTÔNIO DE JESUS/BA</t>
        </is>
      </c>
      <c r="S2382" s="26">
        <f>IF(A2382=A2381,0,1)</f>
        <v>0</v>
      </c>
      <c r="T2382" s="26">
        <f>IF(COUNTIF($B$4:B2382,B2382)=1,1,0)</f>
        <v>0</v>
      </c>
    </row>
    <row r="2383">
      <c r="A2383" s="14" t="inlineStr">
        <is>
          <t>SANTO ANTÔNIO DE JESUS</t>
        </is>
      </c>
      <c r="B2383" s="26" t="n">
        <v>56</v>
      </c>
      <c r="C2383" s="26" t="n">
        <v>1309</v>
      </c>
      <c r="D2383" s="14" t="inlineStr">
        <is>
          <t>MINISTÉRIO PÚBLICO DO TRABALHO - PTM SANTO ANTÔNIO DE JESUS</t>
        </is>
      </c>
      <c r="E2383" s="14" t="inlineStr">
        <is>
          <t>CENTRO</t>
        </is>
      </c>
      <c r="F2383" s="14" t="inlineStr">
        <is>
          <t>RUA CORONEL JOVINO AMÂNCIO, N 67 - ZONA IRBANA</t>
        </is>
      </c>
      <c r="G2383" s="27" t="inlineStr">
        <is>
          <t>44430-202</t>
        </is>
      </c>
      <c r="H2383" s="15" t="n">
        <v>2</v>
      </c>
      <c r="I2383" s="28" t="inlineStr">
        <is>
          <t>NÃO</t>
        </is>
      </c>
      <c r="J2383" s="29" t="n">
        <v>124.5</v>
      </c>
      <c r="K2383" s="14" t="str">
        <f>IF(J2383="","7. Acima de 2 km",IF(J2383&lt;=50,"1. Até 50 m",IF(J2383&lt;=100,"2. De 50 a 100 m",IF(J2383&lt;=200,"3. De 100 a 200 m",IF(J2383&lt;=300,"4. De 200 a 300 m",IF(J2383&lt;=500,"5. De 300 a 500 m","6. De 500 m a 2 km"))))))</f>
        <v>3. De 100 a 200 m</v>
      </c>
      <c r="L2383" s="26" t="n">
        <v>0</v>
      </c>
      <c r="M2383" s="26" t="n">
        <v>0</v>
      </c>
      <c r="N2383" s="26" t="n">
        <v>2</v>
      </c>
      <c r="O2383" s="26" t="n">
        <v>5</v>
      </c>
      <c r="P2383" s="30" t="n">
        <v>-12.9670308</v>
      </c>
      <c r="Q2383" s="30" t="n">
        <v>-39.2671292</v>
      </c>
      <c r="R2383" s="14" t="inlineStr">
        <is>
          <t>RUA VEREADOR ALBERTINO LIRA, Nº 05, QUITANDINHA, SANTO ANTÔNIO DE JESUS/BA</t>
        </is>
      </c>
      <c r="S2383" s="26">
        <f>IF(A2383=A2382,0,1)</f>
        <v>0</v>
      </c>
      <c r="T2383" s="26">
        <f>IF(COUNTIF($B$4:B2383,B2383)=1,1,0)</f>
        <v>0</v>
      </c>
    </row>
    <row r="2384">
      <c r="A2384" s="14" t="inlineStr">
        <is>
          <t>SANTO ANTÔNIO DE JESUS</t>
        </is>
      </c>
      <c r="B2384" s="26" t="n">
        <v>56</v>
      </c>
      <c r="C2384" s="26" t="n">
        <v>1317</v>
      </c>
      <c r="D2384" s="14" t="inlineStr">
        <is>
          <t>ESCOLA MUNICIPAL MARIA DE LOURDES QUEIROZ DE ALMEIDA</t>
        </is>
      </c>
      <c r="E2384" s="14" t="inlineStr">
        <is>
          <t>POVOADO BONFIM</t>
        </is>
      </c>
      <c r="F2384" s="14" t="inlineStr">
        <is>
          <t>POVOADO BONFIM, S/N, ZONA RURAL</t>
        </is>
      </c>
      <c r="G2384" s="27" t="inlineStr">
        <is>
          <t>44447-899</t>
        </is>
      </c>
      <c r="H2384" s="15" t="n">
        <v>2</v>
      </c>
      <c r="I2384" s="28" t="inlineStr">
        <is>
          <t>NÃO</t>
        </is>
      </c>
      <c r="J2384" s="29" t="n"/>
      <c r="K2384" s="14" t="str">
        <f>IF(J2384="","7. Acima de 2 km",IF(J2384&lt;=50,"1. Até 50 m",IF(J2384&lt;=100,"2. De 50 a 100 m",IF(J2384&lt;=200,"3. De 100 a 200 m",IF(J2384&lt;=300,"4. De 200 a 300 m",IF(J2384&lt;=500,"5. De 300 a 500 m","6. De 500 m a 2 km"))))))</f>
        <v>7. Acima de 2 km</v>
      </c>
      <c r="L2384" s="26" t="n">
        <v>0</v>
      </c>
      <c r="M2384" s="26" t="n">
        <v>0</v>
      </c>
      <c r="N2384" s="26" t="n">
        <v>0</v>
      </c>
      <c r="O2384" s="26" t="n">
        <v>0</v>
      </c>
      <c r="P2384" s="30" t="n">
        <v>-13.0186962</v>
      </c>
      <c r="Q2384" s="30" t="n">
        <v>-39.2914855</v>
      </c>
      <c r="R2384" s="14" t="inlineStr">
        <is>
          <t>RUA VEREADOR ALBERTINO LIRA, Nº 05, QUITANDINHA, SANTO ANTÔNIO DE JESUS/BA</t>
        </is>
      </c>
      <c r="S2384" s="26">
        <f>IF(A2384=A2383,0,1)</f>
        <v>0</v>
      </c>
      <c r="T2384" s="26">
        <f>IF(COUNTIF($B$4:B2384,B2384)=1,1,0)</f>
        <v>0</v>
      </c>
    </row>
    <row r="2385">
      <c r="A2385" s="14" t="inlineStr">
        <is>
          <t>SANTO ANTÔNIO DE JESUS</t>
        </is>
      </c>
      <c r="B2385" s="26" t="n">
        <v>56</v>
      </c>
      <c r="C2385" s="26" t="n">
        <v>1325</v>
      </c>
      <c r="D2385" s="14" t="inlineStr">
        <is>
          <t>ESCOLA MUNICIPAL JOSÉ SÁ TELES</t>
        </is>
      </c>
      <c r="E2385" s="14" t="inlineStr">
        <is>
          <t>POVOADO BENFICA</t>
        </is>
      </c>
      <c r="F2385" s="14" t="inlineStr">
        <is>
          <t>POVOADO BENFICA, S/N, ZONA RURAL</t>
        </is>
      </c>
      <c r="G2385" s="27" t="inlineStr">
        <is>
          <t>44447-899</t>
        </is>
      </c>
      <c r="H2385" s="15" t="n">
        <v>3</v>
      </c>
      <c r="I2385" s="28" t="inlineStr">
        <is>
          <t>NÃO</t>
        </is>
      </c>
      <c r="J2385" s="29" t="n"/>
      <c r="K2385" s="14" t="str">
        <f>IF(J2385="","7. Acima de 2 km",IF(J2385&lt;=50,"1. Até 50 m",IF(J2385&lt;=100,"2. De 50 a 100 m",IF(J2385&lt;=200,"3. De 100 a 200 m",IF(J2385&lt;=300,"4. De 200 a 300 m",IF(J2385&lt;=500,"5. De 300 a 500 m","6. De 500 m a 2 km"))))))</f>
        <v>7. Acima de 2 km</v>
      </c>
      <c r="L2385" s="26" t="n">
        <v>0</v>
      </c>
      <c r="M2385" s="26" t="n">
        <v>0</v>
      </c>
      <c r="N2385" s="26" t="n">
        <v>0</v>
      </c>
      <c r="O2385" s="26" t="n">
        <v>0</v>
      </c>
      <c r="P2385" s="30" t="n">
        <v>-12.999368</v>
      </c>
      <c r="Q2385" s="30" t="n">
        <v>-39.2093009</v>
      </c>
      <c r="R2385" s="14" t="inlineStr">
        <is>
          <t>RUA VEREADOR ALBERTINO LIRA, Nº 05, QUITANDINHA, SANTO ANTÔNIO DE JESUS/BA</t>
        </is>
      </c>
      <c r="S2385" s="26">
        <f>IF(A2385=A2384,0,1)</f>
        <v>0</v>
      </c>
      <c r="T2385" s="26">
        <f>IF(COUNTIF($B$4:B2385,B2385)=1,1,0)</f>
        <v>0</v>
      </c>
    </row>
    <row r="2386">
      <c r="A2386" s="14" t="inlineStr">
        <is>
          <t>SANTO ANTÔNIO DE JESUS</t>
        </is>
      </c>
      <c r="B2386" s="26" t="n">
        <v>56</v>
      </c>
      <c r="C2386" s="26" t="n">
        <v>1333</v>
      </c>
      <c r="D2386" s="14" t="inlineStr">
        <is>
          <t>ESCOLA MUNICIPAL PADRE MANOEL DA NÓBREGA</t>
        </is>
      </c>
      <c r="E2386" s="14" t="inlineStr">
        <is>
          <t>POVOADO CUNHA</t>
        </is>
      </c>
      <c r="F2386" s="14" t="inlineStr">
        <is>
          <t>POVOADO CUNHA, S/N, ZONA RURAL</t>
        </is>
      </c>
      <c r="G2386" s="27" t="inlineStr">
        <is>
          <t>44447-899</t>
        </is>
      </c>
      <c r="H2386" s="15" t="n">
        <v>2</v>
      </c>
      <c r="I2386" s="28" t="inlineStr">
        <is>
          <t>NÃO</t>
        </is>
      </c>
      <c r="J2386" s="29" t="n"/>
      <c r="K2386" s="14" t="str">
        <f>IF(J2386="","7. Acima de 2 km",IF(J2386&lt;=50,"1. Até 50 m",IF(J2386&lt;=100,"2. De 50 a 100 m",IF(J2386&lt;=200,"3. De 100 a 200 m",IF(J2386&lt;=300,"4. De 200 a 300 m",IF(J2386&lt;=500,"5. De 300 a 500 m","6. De 500 m a 2 km"))))))</f>
        <v>7. Acima de 2 km</v>
      </c>
      <c r="L2386" s="26" t="n">
        <v>0</v>
      </c>
      <c r="M2386" s="26" t="n">
        <v>0</v>
      </c>
      <c r="N2386" s="26" t="n">
        <v>0</v>
      </c>
      <c r="O2386" s="26" t="n">
        <v>0</v>
      </c>
      <c r="P2386" s="30" t="n">
        <v>-12.9572648</v>
      </c>
      <c r="Q2386" s="30" t="n">
        <v>-39.3010979</v>
      </c>
      <c r="R2386" s="14" t="inlineStr">
        <is>
          <t>RUA VEREADOR ALBERTINO LIRA, Nº 05, QUITANDINHA, SANTO ANTÔNIO DE JESUS/BA</t>
        </is>
      </c>
      <c r="S2386" s="26">
        <f>IF(A2386=A2385,0,1)</f>
        <v>0</v>
      </c>
      <c r="T2386" s="26">
        <f>IF(COUNTIF($B$4:B2386,B2386)=1,1,0)</f>
        <v>0</v>
      </c>
    </row>
    <row r="2387">
      <c r="A2387" s="14" t="inlineStr">
        <is>
          <t>SANTO ANTÔNIO DE JESUS</t>
        </is>
      </c>
      <c r="B2387" s="26" t="n">
        <v>56</v>
      </c>
      <c r="C2387" s="26" t="n">
        <v>1350</v>
      </c>
      <c r="D2387" s="14" t="inlineStr">
        <is>
          <t>ESCOLA MUNICIPAL ANTÔNIO MATEUS DOS SANTOS</t>
        </is>
      </c>
      <c r="E2387" s="14" t="inlineStr">
        <is>
          <t>POVOADO MORRO</t>
        </is>
      </c>
      <c r="F2387" s="14" t="inlineStr">
        <is>
          <t>POVOADO ALTO DO MORRO, S/N, ZONA RURAL</t>
        </is>
      </c>
      <c r="G2387" s="27" t="inlineStr">
        <is>
          <t>44447-899</t>
        </is>
      </c>
      <c r="H2387" s="15" t="n">
        <v>4</v>
      </c>
      <c r="I2387" s="28" t="inlineStr">
        <is>
          <t>NÃO</t>
        </is>
      </c>
      <c r="J2387" s="29" t="n"/>
      <c r="K2387" s="14" t="str">
        <f>IF(J2387="","7. Acima de 2 km",IF(J2387&lt;=50,"1. Até 50 m",IF(J2387&lt;=100,"2. De 50 a 100 m",IF(J2387&lt;=200,"3. De 100 a 200 m",IF(J2387&lt;=300,"4. De 200 a 300 m",IF(J2387&lt;=500,"5. De 300 a 500 m","6. De 500 m a 2 km"))))))</f>
        <v>7. Acima de 2 km</v>
      </c>
      <c r="L2387" s="26" t="n">
        <v>0</v>
      </c>
      <c r="M2387" s="26" t="n">
        <v>0</v>
      </c>
      <c r="N2387" s="26" t="n">
        <v>0</v>
      </c>
      <c r="O2387" s="26" t="n">
        <v>0</v>
      </c>
      <c r="P2387" s="30" t="n">
        <v>-13.0490259</v>
      </c>
      <c r="Q2387" s="30" t="n">
        <v>-39.2461001</v>
      </c>
      <c r="R2387" s="14" t="inlineStr">
        <is>
          <t>RUA VEREADOR ALBERTINO LIRA, Nº 05, QUITANDINHA, SANTO ANTÔNIO DE JESUS/BA</t>
        </is>
      </c>
      <c r="S2387" s="26">
        <f>IF(A2387=A2386,0,1)</f>
        <v>0</v>
      </c>
      <c r="T2387" s="26">
        <f>IF(COUNTIF($B$4:B2387,B2387)=1,1,0)</f>
        <v>0</v>
      </c>
    </row>
    <row r="2388">
      <c r="A2388" s="14" t="inlineStr">
        <is>
          <t>SANTO ANTÔNIO DE JESUS</t>
        </is>
      </c>
      <c r="B2388" s="26" t="n">
        <v>56</v>
      </c>
      <c r="C2388" s="26" t="n">
        <v>1376</v>
      </c>
      <c r="D2388" s="14" t="inlineStr">
        <is>
          <t>ESCOLA MUNICIPAL IVANY GOMES DE GUSMÃO</t>
        </is>
      </c>
      <c r="E2388" s="14" t="inlineStr">
        <is>
          <t>POVOADO FÁTIMA</t>
        </is>
      </c>
      <c r="F2388" s="14" t="inlineStr">
        <is>
          <t>POVOADO FÁTIMA, S/N, ZONA RURAL</t>
        </is>
      </c>
      <c r="G2388" s="27" t="inlineStr">
        <is>
          <t>44447-899</t>
        </is>
      </c>
      <c r="H2388" s="15" t="n">
        <v>2</v>
      </c>
      <c r="I2388" s="28" t="inlineStr">
        <is>
          <t>NÃO</t>
        </is>
      </c>
      <c r="J2388" s="29" t="n">
        <v>1445.3</v>
      </c>
      <c r="K2388" s="14" t="str">
        <f>IF(J2388="","7. Acima de 2 km",IF(J2388&lt;=50,"1. Até 50 m",IF(J2388&lt;=100,"2. De 50 a 100 m",IF(J2388&lt;=200,"3. De 100 a 200 m",IF(J2388&lt;=300,"4. De 200 a 300 m",IF(J2388&lt;=500,"5. De 300 a 500 m","6. De 500 m a 2 km"))))))</f>
        <v>6. De 500 m a 2 km</v>
      </c>
      <c r="L2388" s="26" t="n">
        <v>0</v>
      </c>
      <c r="M2388" s="26" t="n">
        <v>0</v>
      </c>
      <c r="N2388" s="26" t="n">
        <v>0</v>
      </c>
      <c r="O2388" s="26" t="n">
        <v>0</v>
      </c>
      <c r="P2388" s="30" t="n">
        <v>-13.0026071</v>
      </c>
      <c r="Q2388" s="30" t="n">
        <v>-39.1820403</v>
      </c>
      <c r="R2388" s="14" t="inlineStr">
        <is>
          <t>RUA VEREADOR ALBERTINO LIRA, Nº 05, QUITANDINHA, SANTO ANTÔNIO DE JESUS/BA</t>
        </is>
      </c>
      <c r="S2388" s="26">
        <f>IF(A2388=A2387,0,1)</f>
        <v>0</v>
      </c>
      <c r="T2388" s="26">
        <f>IF(COUNTIF($B$4:B2388,B2388)=1,1,0)</f>
        <v>0</v>
      </c>
    </row>
    <row r="2389">
      <c r="A2389" s="14" t="inlineStr">
        <is>
          <t>SANTO ANTÔNIO DE JESUS</t>
        </is>
      </c>
      <c r="B2389" s="26" t="n">
        <v>56</v>
      </c>
      <c r="C2389" s="26" t="n">
        <v>1392</v>
      </c>
      <c r="D2389" s="14" t="inlineStr">
        <is>
          <t>ESCOLA MUNICIPAL FLORISVALDO JOSÉ DOS SANTOS</t>
        </is>
      </c>
      <c r="E2389" s="14" t="inlineStr">
        <is>
          <t>POVOADO VILA BONFIM</t>
        </is>
      </c>
      <c r="F2389" s="14" t="inlineStr">
        <is>
          <t>VILA BONFIM, S/N, ZONA RURAL</t>
        </is>
      </c>
      <c r="G2389" s="27" t="inlineStr">
        <is>
          <t>44447-899</t>
        </is>
      </c>
      <c r="H2389" s="15" t="n">
        <v>3</v>
      </c>
      <c r="I2389" s="28" t="inlineStr">
        <is>
          <t>NÃO</t>
        </is>
      </c>
      <c r="J2389" s="29" t="n"/>
      <c r="K2389" s="14" t="str">
        <f>IF(J2389="","7. Acima de 2 km",IF(J2389&lt;=50,"1. Até 50 m",IF(J2389&lt;=100,"2. De 50 a 100 m",IF(J2389&lt;=200,"3. De 100 a 200 m",IF(J2389&lt;=300,"4. De 200 a 300 m",IF(J2389&lt;=500,"5. De 300 a 500 m","6. De 500 m a 2 km"))))))</f>
        <v>7. Acima de 2 km</v>
      </c>
      <c r="L2389" s="26" t="n">
        <v>0</v>
      </c>
      <c r="M2389" s="26" t="n">
        <v>0</v>
      </c>
      <c r="N2389" s="26" t="n">
        <v>0</v>
      </c>
      <c r="O2389" s="26" t="n">
        <v>0</v>
      </c>
      <c r="P2389" s="30" t="n">
        <v>-13.0271853</v>
      </c>
      <c r="Q2389" s="30" t="n">
        <v>-39.2243088</v>
      </c>
      <c r="R2389" s="14" t="inlineStr">
        <is>
          <t>RUA VEREADOR ALBERTINO LIRA, Nº 05, QUITANDINHA, SANTO ANTÔNIO DE JESUS/BA</t>
        </is>
      </c>
      <c r="S2389" s="26">
        <f>IF(A2389=A2388,0,1)</f>
        <v>0</v>
      </c>
      <c r="T2389" s="26">
        <f>IF(COUNTIF($B$4:B2389,B2389)=1,1,0)</f>
        <v>0</v>
      </c>
    </row>
    <row r="2390">
      <c r="A2390" s="14" t="inlineStr">
        <is>
          <t>SANTO ANTÔNIO DE JESUS</t>
        </is>
      </c>
      <c r="B2390" s="26" t="n">
        <v>56</v>
      </c>
      <c r="C2390" s="26" t="n">
        <v>1406</v>
      </c>
      <c r="D2390" s="14" t="inlineStr">
        <is>
          <t>ESCOLA MUNICIPAL FRANCISCO SÉRGIO MURICY SANTANA</t>
        </is>
      </c>
      <c r="E2390" s="14" t="inlineStr">
        <is>
          <t>POVOADO BOA VISTA</t>
        </is>
      </c>
      <c r="F2390" s="14" t="inlineStr">
        <is>
          <t>POVOADO BOA VISTA, S/N, ZONA RURAL</t>
        </is>
      </c>
      <c r="G2390" s="27" t="inlineStr">
        <is>
          <t>44447-899</t>
        </is>
      </c>
      <c r="H2390" s="15" t="n">
        <v>4</v>
      </c>
      <c r="I2390" s="28" t="inlineStr">
        <is>
          <t>NÃO</t>
        </is>
      </c>
      <c r="J2390" s="29" t="n"/>
      <c r="K2390" s="14" t="str">
        <f>IF(J2390="","7. Acima de 2 km",IF(J2390&lt;=50,"1. Até 50 m",IF(J2390&lt;=100,"2. De 50 a 100 m",IF(J2390&lt;=200,"3. De 100 a 200 m",IF(J2390&lt;=300,"4. De 200 a 300 m",IF(J2390&lt;=500,"5. De 300 a 500 m","6. De 500 m a 2 km"))))))</f>
        <v>7. Acima de 2 km</v>
      </c>
      <c r="L2390" s="26" t="n">
        <v>0</v>
      </c>
      <c r="M2390" s="26" t="n">
        <v>0</v>
      </c>
      <c r="N2390" s="26" t="n">
        <v>0</v>
      </c>
      <c r="O2390" s="26" t="n">
        <v>0</v>
      </c>
      <c r="P2390" s="30" t="n">
        <v>-13.0192442</v>
      </c>
      <c r="Q2390" s="30" t="n">
        <v>-39.2541891</v>
      </c>
      <c r="R2390" s="14" t="inlineStr">
        <is>
          <t>RUA VEREADOR ALBERTINO LIRA, Nº 05, QUITANDINHA, SANTO ANTÔNIO DE JESUS/BA</t>
        </is>
      </c>
      <c r="S2390" s="26">
        <f>IF(A2390=A2389,0,1)</f>
        <v>0</v>
      </c>
      <c r="T2390" s="26">
        <f>IF(COUNTIF($B$4:B2390,B2390)=1,1,0)</f>
        <v>0</v>
      </c>
    </row>
    <row r="2391">
      <c r="A2391" s="14" t="inlineStr">
        <is>
          <t>SANTO ANTÔNIO DE JESUS</t>
        </is>
      </c>
      <c r="B2391" s="26" t="n">
        <v>56</v>
      </c>
      <c r="C2391" s="26" t="n">
        <v>1414</v>
      </c>
      <c r="D2391" s="14" t="inlineStr">
        <is>
          <t>POSTO DE SAÚDE DO BONFIM</t>
        </is>
      </c>
      <c r="E2391" s="14" t="inlineStr">
        <is>
          <t>POVOADO BONFIM</t>
        </is>
      </c>
      <c r="F2391" s="14" t="inlineStr">
        <is>
          <t>POVOADO BONFIM, S/N, ZONA RURAL</t>
        </is>
      </c>
      <c r="G2391" s="27" t="inlineStr">
        <is>
          <t>44447-899</t>
        </is>
      </c>
      <c r="H2391" s="15" t="n">
        <v>1</v>
      </c>
      <c r="I2391" s="28" t="inlineStr">
        <is>
          <t>NÃO</t>
        </is>
      </c>
      <c r="J2391" s="29" t="n"/>
      <c r="K2391" s="14" t="str">
        <f>IF(J2391="","7. Acima de 2 km",IF(J2391&lt;=50,"1. Até 50 m",IF(J2391&lt;=100,"2. De 50 a 100 m",IF(J2391&lt;=200,"3. De 100 a 200 m",IF(J2391&lt;=300,"4. De 200 a 300 m",IF(J2391&lt;=500,"5. De 300 a 500 m","6. De 500 m a 2 km"))))))</f>
        <v>7. Acima de 2 km</v>
      </c>
      <c r="L2391" s="26" t="n">
        <v>0</v>
      </c>
      <c r="M2391" s="26" t="n">
        <v>0</v>
      </c>
      <c r="N2391" s="26" t="n">
        <v>0</v>
      </c>
      <c r="O2391" s="26" t="n">
        <v>0</v>
      </c>
      <c r="P2391" s="30" t="n">
        <v>-13.0186018</v>
      </c>
      <c r="Q2391" s="30" t="n">
        <v>-39.2915247</v>
      </c>
      <c r="R2391" s="14" t="inlineStr">
        <is>
          <t>RUA VEREADOR ALBERTINO LIRA, Nº 05, QUITANDINHA, SANTO ANTÔNIO DE JESUS/BA</t>
        </is>
      </c>
      <c r="S2391" s="26">
        <f>IF(A2391=A2390,0,1)</f>
        <v>0</v>
      </c>
      <c r="T2391" s="26">
        <f>IF(COUNTIF($B$4:B2391,B2391)=1,1,0)</f>
        <v>0</v>
      </c>
    </row>
    <row r="2392">
      <c r="A2392" s="14" t="inlineStr">
        <is>
          <t>SANTO ANTÔNIO DE JESUS</t>
        </is>
      </c>
      <c r="B2392" s="26" t="n">
        <v>56</v>
      </c>
      <c r="C2392" s="26" t="n">
        <v>1554</v>
      </c>
      <c r="D2392" s="14" t="inlineStr">
        <is>
          <t>NISSA - CAMPUS UNIFACEMP</t>
        </is>
      </c>
      <c r="E2392" s="14" t="inlineStr">
        <is>
          <t>CENTRO</t>
        </is>
      </c>
      <c r="F2392" s="14" t="inlineStr">
        <is>
          <t>AVENIDA BARROS E ALMEIDA, S/N - ZONA URBANA</t>
        </is>
      </c>
      <c r="G2392" s="27" t="inlineStr">
        <is>
          <t>44430-108</t>
        </is>
      </c>
      <c r="H2392" s="15" t="n">
        <v>4</v>
      </c>
      <c r="I2392" s="28" t="inlineStr">
        <is>
          <t>NÃO</t>
        </is>
      </c>
      <c r="J2392" s="29" t="n">
        <v>103.9</v>
      </c>
      <c r="K2392" s="14" t="str">
        <f>IF(J2392="","7. Acima de 2 km",IF(J2392&lt;=50,"1. Até 50 m",IF(J2392&lt;=100,"2. De 50 a 100 m",IF(J2392&lt;=200,"3. De 100 a 200 m",IF(J2392&lt;=300,"4. De 200 a 300 m",IF(J2392&lt;=500,"5. De 300 a 500 m","6. De 500 m a 2 km"))))))</f>
        <v>3. De 100 a 200 m</v>
      </c>
      <c r="L2392" s="26" t="n">
        <v>0</v>
      </c>
      <c r="M2392" s="26" t="n">
        <v>0</v>
      </c>
      <c r="N2392" s="26" t="n">
        <v>1</v>
      </c>
      <c r="O2392" s="26" t="n">
        <v>4</v>
      </c>
      <c r="P2392" s="30" t="n">
        <v>-12.9655962</v>
      </c>
      <c r="Q2392" s="30" t="n">
        <v>-39.2607743</v>
      </c>
      <c r="R2392" s="14" t="inlineStr">
        <is>
          <t>RUA VEREADOR ALBERTINO LIRA, Nº 05, QUITANDINHA, SANTO ANTÔNIO DE JESUS/BA</t>
        </is>
      </c>
      <c r="S2392" s="26">
        <f>IF(A2392=A2391,0,1)</f>
        <v>0</v>
      </c>
      <c r="T2392" s="26">
        <f>IF(COUNTIF($B$4:B2392,B2392)=1,1,0)</f>
        <v>0</v>
      </c>
    </row>
    <row r="2393">
      <c r="A2393" s="14" t="inlineStr">
        <is>
          <t>SANTO ANTÔNIO DE JESUS</t>
        </is>
      </c>
      <c r="B2393" s="26" t="n">
        <v>56</v>
      </c>
      <c r="C2393" s="26" t="n">
        <v>1627</v>
      </c>
      <c r="D2393" s="14" t="inlineStr">
        <is>
          <t>ESCOLA MUNICIPAL MACÁRIO BISPO DOS SANTOS</t>
        </is>
      </c>
      <c r="E2393" s="14" t="inlineStr">
        <is>
          <t>POVOADO PANGARÉ</t>
        </is>
      </c>
      <c r="F2393" s="14" t="inlineStr">
        <is>
          <t>POVOADO COMUM DO RIO DA DONA, S/N, ZONA RURAL</t>
        </is>
      </c>
      <c r="G2393" s="27" t="inlineStr">
        <is>
          <t>44447-899</t>
        </is>
      </c>
      <c r="H2393" s="15" t="n">
        <v>1</v>
      </c>
      <c r="I2393" s="28" t="inlineStr">
        <is>
          <t>NÃO</t>
        </is>
      </c>
      <c r="J2393" s="29" t="n"/>
      <c r="K2393" s="14" t="str">
        <f>IF(J2393="","7. Acima de 2 km",IF(J2393&lt;=50,"1. Até 50 m",IF(J2393&lt;=100,"2. De 50 a 100 m",IF(J2393&lt;=200,"3. De 100 a 200 m",IF(J2393&lt;=300,"4. De 200 a 300 m",IF(J2393&lt;=500,"5. De 300 a 500 m","6. De 500 m a 2 km"))))))</f>
        <v>7. Acima de 2 km</v>
      </c>
      <c r="L2393" s="26" t="n">
        <v>0</v>
      </c>
      <c r="M2393" s="26" t="n">
        <v>0</v>
      </c>
      <c r="N2393" s="26" t="n">
        <v>0</v>
      </c>
      <c r="O2393" s="26" t="n">
        <v>0</v>
      </c>
      <c r="P2393" s="30" t="n">
        <v>-13.0853604</v>
      </c>
      <c r="Q2393" s="30" t="n">
        <v>-39.2381972</v>
      </c>
      <c r="R2393" s="14" t="inlineStr">
        <is>
          <t>RUA VEREADOR ALBERTINO LIRA, Nº 05, QUITANDINHA, SANTO ANTÔNIO DE JESUS/BA</t>
        </is>
      </c>
      <c r="S2393" s="26">
        <f>IF(A2393=A2392,0,1)</f>
        <v>0</v>
      </c>
      <c r="T2393" s="26">
        <f>IF(COUNTIF($B$4:B2393,B2393)=1,1,0)</f>
        <v>0</v>
      </c>
    </row>
    <row r="2394">
      <c r="A2394" s="14" t="inlineStr">
        <is>
          <t>SANTO ANTÔNIO DE JESUS</t>
        </is>
      </c>
      <c r="B2394" s="26" t="n">
        <v>56</v>
      </c>
      <c r="C2394" s="26" t="n">
        <v>1643</v>
      </c>
      <c r="D2394" s="14" t="inlineStr">
        <is>
          <t>ESCOLA MUNICIPAL ERNESTO DANTAS F. DE OLIVEIRA</t>
        </is>
      </c>
      <c r="E2394" s="14" t="inlineStr">
        <is>
          <t>RENATO MACHADO</t>
        </is>
      </c>
      <c r="F2394" s="14" t="inlineStr">
        <is>
          <t>RUA SÃO JORGE, S/N, ZONA URBANA</t>
        </is>
      </c>
      <c r="G2394" s="27" t="inlineStr">
        <is>
          <t>44436-390</t>
        </is>
      </c>
      <c r="H2394" s="15" t="n">
        <v>5</v>
      </c>
      <c r="I2394" s="28" t="inlineStr">
        <is>
          <t>NÃO</t>
        </is>
      </c>
      <c r="J2394" s="29" t="n">
        <v>575.8</v>
      </c>
      <c r="K2394" s="14" t="str">
        <f>IF(J2394="","7. Acima de 2 km",IF(J2394&lt;=50,"1. Até 50 m",IF(J2394&lt;=100,"2. De 50 a 100 m",IF(J2394&lt;=200,"3. De 100 a 200 m",IF(J2394&lt;=300,"4. De 200 a 300 m",IF(J2394&lt;=500,"5. De 300 a 500 m","6. De 500 m a 2 km"))))))</f>
        <v>6. De 500 m a 2 km</v>
      </c>
      <c r="L2394" s="26" t="n">
        <v>0</v>
      </c>
      <c r="M2394" s="26" t="n">
        <v>0</v>
      </c>
      <c r="N2394" s="26" t="n">
        <v>0</v>
      </c>
      <c r="O2394" s="26" t="n">
        <v>0</v>
      </c>
      <c r="P2394" s="30" t="n">
        <v>-12.9742574</v>
      </c>
      <c r="Q2394" s="30" t="n">
        <v>-39.2822991</v>
      </c>
      <c r="R2394" s="14" t="inlineStr">
        <is>
          <t>RUA VEREADOR ALBERTINO LIRA, Nº 05, QUITANDINHA, SANTO ANTÔNIO DE JESUS/BA</t>
        </is>
      </c>
      <c r="S2394" s="26">
        <f>IF(A2394=A2393,0,1)</f>
        <v>0</v>
      </c>
      <c r="T2394" s="26">
        <f>IF(COUNTIF($B$4:B2394,B2394)=1,1,0)</f>
        <v>0</v>
      </c>
    </row>
    <row r="2395">
      <c r="A2395" s="14" t="inlineStr">
        <is>
          <t>SANTO ANTÔNIO DE JESUS</t>
        </is>
      </c>
      <c r="B2395" s="26" t="n">
        <v>56</v>
      </c>
      <c r="C2395" s="26" t="n">
        <v>1651</v>
      </c>
      <c r="D2395" s="14" t="inlineStr">
        <is>
          <t>ESCOLA MUNICIPAL MÁXIMO AQUINO PEIXOTO</t>
        </is>
      </c>
      <c r="E2395" s="14" t="inlineStr">
        <is>
          <t>POVOADO SAPUCAIA</t>
        </is>
      </c>
      <c r="F2395" s="14" t="inlineStr">
        <is>
          <t>POVOADO SAPUCAIA, S/N, ZONA RURAL</t>
        </is>
      </c>
      <c r="G2395" s="27" t="inlineStr">
        <is>
          <t>44447-899</t>
        </is>
      </c>
      <c r="H2395" s="15" t="n">
        <v>2</v>
      </c>
      <c r="I2395" s="28" t="inlineStr">
        <is>
          <t>NÃO</t>
        </is>
      </c>
      <c r="J2395" s="29" t="n"/>
      <c r="K2395" s="14" t="str">
        <f>IF(J2395="","7. Acima de 2 km",IF(J2395&lt;=50,"1. Até 50 m",IF(J2395&lt;=100,"2. De 50 a 100 m",IF(J2395&lt;=200,"3. De 100 a 200 m",IF(J2395&lt;=300,"4. De 200 a 300 m",IF(J2395&lt;=500,"5. De 300 a 500 m","6. De 500 m a 2 km"))))))</f>
        <v>7. Acima de 2 km</v>
      </c>
      <c r="L2395" s="26" t="n">
        <v>0</v>
      </c>
      <c r="M2395" s="26" t="n">
        <v>0</v>
      </c>
      <c r="N2395" s="26" t="n">
        <v>0</v>
      </c>
      <c r="O2395" s="26" t="n">
        <v>0</v>
      </c>
      <c r="P2395" s="30" t="n">
        <v>-13.0406161</v>
      </c>
      <c r="Q2395" s="30" t="n">
        <v>-39.2767007</v>
      </c>
      <c r="R2395" s="14" t="inlineStr">
        <is>
          <t>RUA VEREADOR ALBERTINO LIRA, Nº 05, QUITANDINHA, SANTO ANTÔNIO DE JESUS/BA</t>
        </is>
      </c>
      <c r="S2395" s="26">
        <f>IF(A2395=A2394,0,1)</f>
        <v>0</v>
      </c>
      <c r="T2395" s="26">
        <f>IF(COUNTIF($B$4:B2395,B2395)=1,1,0)</f>
        <v>0</v>
      </c>
    </row>
    <row r="2396">
      <c r="A2396" s="14" t="inlineStr">
        <is>
          <t>SANTO ANTÔNIO DE JESUS</t>
        </is>
      </c>
      <c r="B2396" s="26" t="n">
        <v>56</v>
      </c>
      <c r="C2396" s="26" t="n">
        <v>1678</v>
      </c>
      <c r="D2396" s="14" t="inlineStr">
        <is>
          <t>ESCOLA MUNICIPAL ÁUREA CHAMUSCA DE CARVALHO</t>
        </is>
      </c>
      <c r="E2396" s="14" t="inlineStr">
        <is>
          <t>BARRO VERMELHO</t>
        </is>
      </c>
      <c r="F2396" s="14" t="inlineStr">
        <is>
          <t>RUA BARRO VERMELHO, S/N, ZONA URBANA</t>
        </is>
      </c>
      <c r="G2396" s="27" t="inlineStr">
        <is>
          <t>44436-868</t>
        </is>
      </c>
      <c r="H2396" s="15" t="n">
        <v>5</v>
      </c>
      <c r="I2396" s="28" t="inlineStr">
        <is>
          <t>NÃO</t>
        </is>
      </c>
      <c r="J2396" s="29" t="n">
        <v>203</v>
      </c>
      <c r="K2396" s="14" t="str">
        <f>IF(J2396="","7. Acima de 2 km",IF(J2396&lt;=50,"1. Até 50 m",IF(J2396&lt;=100,"2. De 50 a 100 m",IF(J2396&lt;=200,"3. De 100 a 200 m",IF(J2396&lt;=300,"4. De 200 a 300 m",IF(J2396&lt;=500,"5. De 300 a 500 m","6. De 500 m a 2 km"))))))</f>
        <v>4. De 200 a 300 m</v>
      </c>
      <c r="L2396" s="26" t="n">
        <v>0</v>
      </c>
      <c r="M2396" s="26" t="n">
        <v>0</v>
      </c>
      <c r="N2396" s="26" t="n">
        <v>0</v>
      </c>
      <c r="O2396" s="26" t="n">
        <v>1</v>
      </c>
      <c r="P2396" s="30" t="n">
        <v>-12.9809423</v>
      </c>
      <c r="Q2396" s="30" t="n">
        <v>-39.2980415</v>
      </c>
      <c r="R2396" s="14" t="inlineStr">
        <is>
          <t>RUA VEREADOR ALBERTINO LIRA, Nº 05, QUITANDINHA, SANTO ANTÔNIO DE JESUS/BA</t>
        </is>
      </c>
      <c r="S2396" s="26">
        <f>IF(A2396=A2395,0,1)</f>
        <v>0</v>
      </c>
      <c r="T2396" s="26">
        <f>IF(COUNTIF($B$4:B2396,B2396)=1,1,0)</f>
        <v>0</v>
      </c>
    </row>
    <row r="2397">
      <c r="A2397" s="14" t="inlineStr">
        <is>
          <t>SANTO ANTÔNIO DE JESUS</t>
        </is>
      </c>
      <c r="B2397" s="26" t="n">
        <v>56</v>
      </c>
      <c r="C2397" s="26" t="n">
        <v>1694</v>
      </c>
      <c r="D2397" s="14" t="inlineStr">
        <is>
          <t>SALÃO PAROQUIAL DA IGREJA DE SENHOR DO BONFIM</t>
        </is>
      </c>
      <c r="E2397" s="14" t="inlineStr">
        <is>
          <t>POVOADO BONFIM</t>
        </is>
      </c>
      <c r="F2397" s="14" t="inlineStr">
        <is>
          <t>POVOADO DO BONFIM, S/N, ZONA RURAL</t>
        </is>
      </c>
      <c r="G2397" s="27" t="inlineStr">
        <is>
          <t>44447-899</t>
        </is>
      </c>
      <c r="H2397" s="15" t="n">
        <v>1</v>
      </c>
      <c r="I2397" s="28" t="inlineStr">
        <is>
          <t>NÃO</t>
        </is>
      </c>
      <c r="J2397" s="29" t="n"/>
      <c r="K2397" s="14" t="str">
        <f>IF(J2397="","7. Acima de 2 km",IF(J2397&lt;=50,"1. Até 50 m",IF(J2397&lt;=100,"2. De 50 a 100 m",IF(J2397&lt;=200,"3. De 100 a 200 m",IF(J2397&lt;=300,"4. De 200 a 300 m",IF(J2397&lt;=500,"5. De 300 a 500 m","6. De 500 m a 2 km"))))))</f>
        <v>7. Acima de 2 km</v>
      </c>
      <c r="L2397" s="26" t="n">
        <v>0</v>
      </c>
      <c r="M2397" s="26" t="n">
        <v>0</v>
      </c>
      <c r="N2397" s="26" t="n">
        <v>0</v>
      </c>
      <c r="O2397" s="26" t="n">
        <v>0</v>
      </c>
      <c r="P2397" s="30" t="n">
        <v>-13.0196081</v>
      </c>
      <c r="Q2397" s="30" t="n">
        <v>-39.2921105</v>
      </c>
      <c r="R2397" s="14" t="inlineStr">
        <is>
          <t>RUA VEREADOR ALBERTINO LIRA, Nº 05, QUITANDINHA, SANTO ANTÔNIO DE JESUS/BA</t>
        </is>
      </c>
      <c r="S2397" s="26">
        <f>IF(A2397=A2396,0,1)</f>
        <v>0</v>
      </c>
      <c r="T2397" s="26">
        <f>IF(COUNTIF($B$4:B2397,B2397)=1,1,0)</f>
        <v>0</v>
      </c>
    </row>
    <row r="2398">
      <c r="A2398" s="14" t="inlineStr">
        <is>
          <t>SANTO ANTÔNIO DE JESUS</t>
        </is>
      </c>
      <c r="B2398" s="26" t="n">
        <v>56</v>
      </c>
      <c r="C2398" s="26" t="n">
        <v>1716</v>
      </c>
      <c r="D2398" s="14" t="inlineStr">
        <is>
          <t>ESCOLA MUNICIPALIZADA MARIA CONCEIÇÃO COSTA E SILVA DE OLIVEIRA</t>
        </is>
      </c>
      <c r="E2398" s="14" t="inlineStr">
        <is>
          <t>ANDAIÁ</t>
        </is>
      </c>
      <c r="F2398" s="14" t="inlineStr">
        <is>
          <t>RUA TEODORO DIAS BARRETO, 477, ZONA URBANA</t>
        </is>
      </c>
      <c r="G2398" s="27" t="inlineStr">
        <is>
          <t>44434-532</t>
        </is>
      </c>
      <c r="H2398" s="15" t="n">
        <v>9</v>
      </c>
      <c r="I2398" s="28" t="inlineStr">
        <is>
          <t>NÃO</t>
        </is>
      </c>
      <c r="J2398" s="29" t="n">
        <v>502.5</v>
      </c>
      <c r="K2398" s="14" t="str">
        <f>IF(J2398="","7. Acima de 2 km",IF(J2398&lt;=50,"1. Até 50 m",IF(J2398&lt;=100,"2. De 50 a 100 m",IF(J2398&lt;=200,"3. De 100 a 200 m",IF(J2398&lt;=300,"4. De 200 a 300 m",IF(J2398&lt;=500,"5. De 300 a 500 m","6. De 500 m a 2 km"))))))</f>
        <v>6. De 500 m a 2 km</v>
      </c>
      <c r="L2398" s="26" t="n">
        <v>0</v>
      </c>
      <c r="M2398" s="26" t="n">
        <v>0</v>
      </c>
      <c r="N2398" s="26" t="n">
        <v>0</v>
      </c>
      <c r="O2398" s="26" t="n">
        <v>0</v>
      </c>
      <c r="P2398" s="30" t="n">
        <v>-12.9745526</v>
      </c>
      <c r="Q2398" s="30" t="n">
        <v>-39.2731266</v>
      </c>
      <c r="R2398" s="14" t="inlineStr">
        <is>
          <t>RUA VEREADOR ALBERTINO LIRA, Nº 05, QUITANDINHA, SANTO ANTÔNIO DE JESUS/BA</t>
        </is>
      </c>
      <c r="S2398" s="26">
        <f>IF(A2398=A2397,0,1)</f>
        <v>0</v>
      </c>
      <c r="T2398" s="26">
        <f>IF(COUNTIF($B$4:B2398,B2398)=1,1,0)</f>
        <v>0</v>
      </c>
    </row>
    <row r="2399">
      <c r="A2399" s="14" t="inlineStr">
        <is>
          <t>SANTO ANTÔNIO DE JESUS</t>
        </is>
      </c>
      <c r="B2399" s="26" t="n">
        <v>56</v>
      </c>
      <c r="C2399" s="26" t="n">
        <v>1813</v>
      </c>
      <c r="D2399" s="14" t="inlineStr">
        <is>
          <t>ESCOLA MUNICIPAL CELESTINO ANÍSIO PIMENTA</t>
        </is>
      </c>
      <c r="E2399" s="14" t="inlineStr">
        <is>
          <t>ANDAIÁ</t>
        </is>
      </c>
      <c r="F2399" s="14" t="inlineStr">
        <is>
          <t>RUA FERREIRA SILVA, S/N, ZONA URBANA</t>
        </is>
      </c>
      <c r="G2399" s="27" t="inlineStr">
        <is>
          <t>44434-272</t>
        </is>
      </c>
      <c r="H2399" s="15" t="n">
        <v>5</v>
      </c>
      <c r="I2399" s="28" t="inlineStr">
        <is>
          <t>NÃO</t>
        </is>
      </c>
      <c r="J2399" s="29" t="n">
        <v>238.6</v>
      </c>
      <c r="K2399" s="14" t="str">
        <f>IF(J2399="","7. Acima de 2 km",IF(J2399&lt;=50,"1. Até 50 m",IF(J2399&lt;=100,"2. De 50 a 100 m",IF(J2399&lt;=200,"3. De 100 a 200 m",IF(J2399&lt;=300,"4. De 200 a 300 m",IF(J2399&lt;=500,"5. De 300 a 500 m","6. De 500 m a 2 km"))))))</f>
        <v>4. De 200 a 300 m</v>
      </c>
      <c r="L2399" s="26" t="n">
        <v>0</v>
      </c>
      <c r="M2399" s="26" t="n">
        <v>0</v>
      </c>
      <c r="N2399" s="26" t="n">
        <v>0</v>
      </c>
      <c r="O2399" s="26" t="n">
        <v>1</v>
      </c>
      <c r="P2399" s="30" t="n">
        <v>-12.9805903</v>
      </c>
      <c r="Q2399" s="30" t="n">
        <v>-39.275559</v>
      </c>
      <c r="R2399" s="14" t="inlineStr">
        <is>
          <t>RUA VEREADOR ALBERTINO LIRA, Nº 05, QUITANDINHA, SANTO ANTÔNIO DE JESUS/BA</t>
        </is>
      </c>
      <c r="S2399" s="26">
        <f>IF(A2399=A2398,0,1)</f>
        <v>0</v>
      </c>
      <c r="T2399" s="26">
        <f>IF(COUNTIF($B$4:B2399,B2399)=1,1,0)</f>
        <v>0</v>
      </c>
    </row>
    <row r="2400">
      <c r="A2400" s="14" t="inlineStr">
        <is>
          <t>SANTO ANTÔNIO DE JESUS</t>
        </is>
      </c>
      <c r="B2400" s="26" t="n">
        <v>56</v>
      </c>
      <c r="C2400" s="26" t="n">
        <v>1821</v>
      </c>
      <c r="D2400" s="14" t="inlineStr">
        <is>
          <t>CETEP - RECÔNCAVO</t>
        </is>
      </c>
      <c r="E2400" s="14" t="inlineStr">
        <is>
          <t>AMPARO</t>
        </is>
      </c>
      <c r="F2400" s="14" t="inlineStr">
        <is>
          <t>PRIMEIRA TRAVESSA DO AMPARO, S/N, ZONA URBANA</t>
        </is>
      </c>
      <c r="G2400" s="27" t="inlineStr">
        <is>
          <t>44436-190</t>
        </is>
      </c>
      <c r="H2400" s="15" t="n">
        <v>10</v>
      </c>
      <c r="I2400" s="28" t="inlineStr">
        <is>
          <t>SIM</t>
        </is>
      </c>
      <c r="J2400" s="29" t="n">
        <v>83.59999999999999</v>
      </c>
      <c r="K2400" s="14" t="str">
        <f>IF(J2400="","7. Acima de 2 km",IF(J2400&lt;=50,"1. Até 50 m",IF(J2400&lt;=100,"2. De 50 a 100 m",IF(J2400&lt;=200,"3. De 100 a 200 m",IF(J2400&lt;=300,"4. De 200 a 300 m",IF(J2400&lt;=500,"5. De 300 a 500 m","6. De 500 m a 2 km"))))))</f>
        <v>2. De 50 a 100 m</v>
      </c>
      <c r="L2400" s="26" t="n">
        <v>0</v>
      </c>
      <c r="M2400" s="26" t="n">
        <v>1</v>
      </c>
      <c r="N2400" s="26" t="n">
        <v>1</v>
      </c>
      <c r="O2400" s="26" t="n">
        <v>2</v>
      </c>
      <c r="P2400" s="30" t="n">
        <v>-12.9696912</v>
      </c>
      <c r="Q2400" s="30" t="n">
        <v>-39.2728749</v>
      </c>
      <c r="R2400" s="14" t="inlineStr">
        <is>
          <t>RUA VEREADOR ALBERTINO LIRA, Nº 05, QUITANDINHA, SANTO ANTÔNIO DE JESUS/BA</t>
        </is>
      </c>
      <c r="S2400" s="26">
        <f>IF(A2400=A2399,0,1)</f>
        <v>0</v>
      </c>
      <c r="T2400" s="26">
        <f>IF(COUNTIF($B$4:B2400,B2400)=1,1,0)</f>
        <v>0</v>
      </c>
    </row>
    <row r="2401">
      <c r="A2401" s="14" t="inlineStr">
        <is>
          <t>SANTO ANTÔNIO DE JESUS</t>
        </is>
      </c>
      <c r="B2401" s="26" t="n">
        <v>56</v>
      </c>
      <c r="C2401" s="26" t="n">
        <v>1830</v>
      </c>
      <c r="D2401" s="14" t="inlineStr">
        <is>
          <t>LOJA MACÔNICA ROSA CRUZ</t>
        </is>
      </c>
      <c r="E2401" s="14" t="inlineStr">
        <is>
          <t>CENTRO</t>
        </is>
      </c>
      <c r="F2401" s="14" t="inlineStr">
        <is>
          <t>RUA VEREADOR ADEMÁRIO FRANCISCO DOS SANTOS, N 112 , ZONA URBANA</t>
        </is>
      </c>
      <c r="G2401" s="27" t="inlineStr">
        <is>
          <t>44430-078</t>
        </is>
      </c>
      <c r="H2401" s="15" t="n">
        <v>2</v>
      </c>
      <c r="I2401" s="28" t="inlineStr">
        <is>
          <t>NÃO</t>
        </is>
      </c>
      <c r="J2401" s="29" t="n">
        <v>223.4</v>
      </c>
      <c r="K2401" s="14" t="str">
        <f>IF(J2401="","7. Acima de 2 km",IF(J2401&lt;=50,"1. Até 50 m",IF(J2401&lt;=100,"2. De 50 a 100 m",IF(J2401&lt;=200,"3. De 100 a 200 m",IF(J2401&lt;=300,"4. De 200 a 300 m",IF(J2401&lt;=500,"5. De 300 a 500 m","6. De 500 m a 2 km"))))))</f>
        <v>4. De 200 a 300 m</v>
      </c>
      <c r="L2401" s="26" t="n">
        <v>0</v>
      </c>
      <c r="M2401" s="26" t="n">
        <v>0</v>
      </c>
      <c r="N2401" s="26" t="n">
        <v>0</v>
      </c>
      <c r="O2401" s="26" t="n">
        <v>4</v>
      </c>
      <c r="P2401" s="30" t="n">
        <v>-12.9678565</v>
      </c>
      <c r="Q2401" s="30" t="n">
        <v>-39.2675492</v>
      </c>
      <c r="R2401" s="14" t="inlineStr">
        <is>
          <t>RUA VEREADOR ALBERTINO LIRA, Nº 05, QUITANDINHA, SANTO ANTÔNIO DE JESUS/BA</t>
        </is>
      </c>
      <c r="S2401" s="26">
        <f>IF(A2401=A2400,0,1)</f>
        <v>0</v>
      </c>
      <c r="T2401" s="26">
        <f>IF(COUNTIF($B$4:B2401,B2401)=1,1,0)</f>
        <v>0</v>
      </c>
    </row>
    <row r="2402">
      <c r="A2402" s="14" t="inlineStr">
        <is>
          <t>SANTO ANTÔNIO DE JESUS</t>
        </is>
      </c>
      <c r="B2402" s="26" t="n">
        <v>56</v>
      </c>
      <c r="C2402" s="26" t="n">
        <v>1856</v>
      </c>
      <c r="D2402" s="14" t="inlineStr">
        <is>
          <t>UNIFACEMP - CENTRO UNIVERSITÁRIO DE CIÊNCIAS E EMPREENDEDORISMO</t>
        </is>
      </c>
      <c r="E2402" s="14" t="inlineStr">
        <is>
          <t>CENTRO</t>
        </is>
      </c>
      <c r="F2402" s="14" t="inlineStr">
        <is>
          <t>RUA ANTONIO VEIGA ARGOLO, N 58 - ZONA URBANA</t>
        </is>
      </c>
      <c r="G2402" s="27" t="inlineStr">
        <is>
          <t>44430-100</t>
        </is>
      </c>
      <c r="H2402" s="15" t="n">
        <v>4</v>
      </c>
      <c r="I2402" s="28" t="inlineStr">
        <is>
          <t>SIM</t>
        </is>
      </c>
      <c r="J2402" s="29" t="n">
        <v>65.3</v>
      </c>
      <c r="K2402" s="14" t="str">
        <f>IF(J2402="","7. Acima de 2 km",IF(J2402&lt;=50,"1. Até 50 m",IF(J2402&lt;=100,"2. De 50 a 100 m",IF(J2402&lt;=200,"3. De 100 a 200 m",IF(J2402&lt;=300,"4. De 200 a 300 m",IF(J2402&lt;=500,"5. De 300 a 500 m","6. De 500 m a 2 km"))))))</f>
        <v>2. De 50 a 100 m</v>
      </c>
      <c r="L2402" s="26" t="n">
        <v>0</v>
      </c>
      <c r="M2402" s="26" t="n">
        <v>4</v>
      </c>
      <c r="N2402" s="26" t="n">
        <v>10</v>
      </c>
      <c r="O2402" s="26" t="n">
        <v>12</v>
      </c>
      <c r="P2402" s="30" t="n">
        <v>-12.9669035</v>
      </c>
      <c r="Q2402" s="30" t="n">
        <v>-39.2631417</v>
      </c>
      <c r="R2402" s="14" t="inlineStr">
        <is>
          <t>RUA VEREADOR ALBERTINO LIRA, Nº 05, QUITANDINHA, SANTO ANTÔNIO DE JESUS/BA</t>
        </is>
      </c>
      <c r="S2402" s="26">
        <f>IF(A2402=A2401,0,1)</f>
        <v>0</v>
      </c>
      <c r="T2402" s="26">
        <f>IF(COUNTIF($B$4:B2402,B2402)=1,1,0)</f>
        <v>0</v>
      </c>
    </row>
    <row r="2403">
      <c r="A2403" s="14" t="inlineStr">
        <is>
          <t>SANTO ANTÔNIO DE JESUS</t>
        </is>
      </c>
      <c r="B2403" s="26" t="n">
        <v>56</v>
      </c>
      <c r="C2403" s="26" t="n">
        <v>1864</v>
      </c>
      <c r="D2403" s="14" t="inlineStr">
        <is>
          <t>SALÃO PAROQUIAL DA IGREJA SANTA RITA</t>
        </is>
      </c>
      <c r="E2403" s="14" t="inlineStr">
        <is>
          <t>SANTA RITA</t>
        </is>
      </c>
      <c r="F2403" s="14" t="inlineStr">
        <is>
          <t>RUA CEARÁ, N 227 - ZONA URBANA</t>
        </is>
      </c>
      <c r="G2403" s="27" t="inlineStr">
        <is>
          <t>44430-392</t>
        </is>
      </c>
      <c r="H2403" s="15" t="n">
        <v>2</v>
      </c>
      <c r="I2403" s="28" t="inlineStr">
        <is>
          <t>NÃO</t>
        </is>
      </c>
      <c r="J2403" s="29" t="n">
        <v>315.4</v>
      </c>
      <c r="K2403" s="14" t="str">
        <f>IF(J2403="","7. Acima de 2 km",IF(J2403&lt;=50,"1. Até 50 m",IF(J2403&lt;=100,"2. De 50 a 100 m",IF(J2403&lt;=200,"3. De 100 a 200 m",IF(J2403&lt;=300,"4. De 200 a 300 m",IF(J2403&lt;=500,"5. De 300 a 500 m","6. De 500 m a 2 km"))))))</f>
        <v>5. De 300 a 500 m</v>
      </c>
      <c r="L2403" s="26" t="n">
        <v>0</v>
      </c>
      <c r="M2403" s="26" t="n">
        <v>0</v>
      </c>
      <c r="N2403" s="26" t="n">
        <v>0</v>
      </c>
      <c r="O2403" s="26" t="n">
        <v>0</v>
      </c>
      <c r="P2403" s="30" t="n">
        <v>-12.9762844</v>
      </c>
      <c r="Q2403" s="30" t="n">
        <v>-39.2638928</v>
      </c>
      <c r="R2403" s="14" t="inlineStr">
        <is>
          <t>RUA VEREADOR ALBERTINO LIRA, Nº 05, QUITANDINHA, SANTO ANTÔNIO DE JESUS/BA</t>
        </is>
      </c>
      <c r="S2403" s="26">
        <f>IF(A2403=A2402,0,1)</f>
        <v>0</v>
      </c>
      <c r="T2403" s="26">
        <f>IF(COUNTIF($B$4:B2403,B2403)=1,1,0)</f>
        <v>0</v>
      </c>
    </row>
    <row r="2404">
      <c r="A2404" s="14" t="inlineStr">
        <is>
          <t>SANTO ANTÔNIO DE JESUS</t>
        </is>
      </c>
      <c r="B2404" s="26" t="n">
        <v>56</v>
      </c>
      <c r="C2404" s="26" t="n">
        <v>1880</v>
      </c>
      <c r="D2404" s="14" t="inlineStr">
        <is>
          <t>CENTRO DE ESPECIALIDADES ODONTOLOGICAS DR. RENATO LYRIO DE MELLO - CEO</t>
        </is>
      </c>
      <c r="E2404" s="14" t="inlineStr">
        <is>
          <t>MARIA PRETA</t>
        </is>
      </c>
      <c r="F2404" s="14" t="inlineStr">
        <is>
          <t>AVENIDA ESPERANÇA, 406, ZONA URBANA</t>
        </is>
      </c>
      <c r="G2404" s="27" t="inlineStr">
        <is>
          <t>44435-500</t>
        </is>
      </c>
      <c r="H2404" s="15" t="n">
        <v>2</v>
      </c>
      <c r="I2404" s="28" t="inlineStr">
        <is>
          <t>NÃO</t>
        </is>
      </c>
      <c r="J2404" s="29" t="n">
        <v>150.3</v>
      </c>
      <c r="K2404" s="14" t="str">
        <f>IF(J2404="","7. Acima de 2 km",IF(J2404&lt;=50,"1. Até 50 m",IF(J2404&lt;=100,"2. De 50 a 100 m",IF(J2404&lt;=200,"3. De 100 a 200 m",IF(J2404&lt;=300,"4. De 200 a 300 m",IF(J2404&lt;=500,"5. De 300 a 500 m","6. De 500 m a 2 km"))))))</f>
        <v>3. De 100 a 200 m</v>
      </c>
      <c r="L2404" s="26" t="n">
        <v>0</v>
      </c>
      <c r="M2404" s="26" t="n">
        <v>0</v>
      </c>
      <c r="N2404" s="26" t="n">
        <v>1</v>
      </c>
      <c r="O2404" s="26" t="n">
        <v>1</v>
      </c>
      <c r="P2404" s="30" t="n">
        <v>-12.9757433</v>
      </c>
      <c r="Q2404" s="30" t="n">
        <v>-39.2680925</v>
      </c>
      <c r="R2404" s="14" t="inlineStr">
        <is>
          <t>RUA VEREADOR ALBERTINO LIRA, Nº 05, QUITANDINHA, SANTO ANTÔNIO DE JESUS/BA</t>
        </is>
      </c>
      <c r="S2404" s="26">
        <f>IF(A2404=A2403,0,1)</f>
        <v>0</v>
      </c>
      <c r="T2404" s="26">
        <f>IF(COUNTIF($B$4:B2404,B2404)=1,1,0)</f>
        <v>0</v>
      </c>
    </row>
    <row r="2405">
      <c r="A2405" s="14" t="inlineStr">
        <is>
          <t>SANTO ANTÔNIO DE JESUS</t>
        </is>
      </c>
      <c r="B2405" s="26" t="n">
        <v>56</v>
      </c>
      <c r="C2405" s="26" t="n">
        <v>1899</v>
      </c>
      <c r="D2405" s="14" t="inlineStr">
        <is>
          <t>4º NÚCLEO REGIONAL DE SAÚDE LESTE - NRSL (ANTIGA 4ª DIRES)</t>
        </is>
      </c>
      <c r="E2405" s="14" t="inlineStr">
        <is>
          <t>MARIA PRETA</t>
        </is>
      </c>
      <c r="F2405" s="14" t="inlineStr">
        <is>
          <t>AVENIDA ESPERANÇA, 406, ZONA URBANA</t>
        </is>
      </c>
      <c r="G2405" s="27" t="inlineStr">
        <is>
          <t>44435-500</t>
        </is>
      </c>
      <c r="H2405" s="15" t="n">
        <v>1</v>
      </c>
      <c r="I2405" s="28" t="inlineStr">
        <is>
          <t>NÃO</t>
        </is>
      </c>
      <c r="J2405" s="29" t="n">
        <v>148.6</v>
      </c>
      <c r="K2405" s="14" t="str">
        <f>IF(J2405="","7. Acima de 2 km",IF(J2405&lt;=50,"1. Até 50 m",IF(J2405&lt;=100,"2. De 50 a 100 m",IF(J2405&lt;=200,"3. De 100 a 200 m",IF(J2405&lt;=300,"4. De 200 a 300 m",IF(J2405&lt;=500,"5. De 300 a 500 m","6. De 500 m a 2 km"))))))</f>
        <v>3. De 100 a 200 m</v>
      </c>
      <c r="L2405" s="26" t="n">
        <v>0</v>
      </c>
      <c r="M2405" s="26" t="n">
        <v>0</v>
      </c>
      <c r="N2405" s="26" t="n">
        <v>1</v>
      </c>
      <c r="O2405" s="26" t="n">
        <v>1</v>
      </c>
      <c r="P2405" s="30" t="n">
        <v>-12.9757347</v>
      </c>
      <c r="Q2405" s="30" t="n">
        <v>-39.2680721</v>
      </c>
      <c r="R2405" s="14" t="inlineStr">
        <is>
          <t>RUA VEREADOR ALBERTINO LIRA, Nº 05, QUITANDINHA, SANTO ANTÔNIO DE JESUS/BA</t>
        </is>
      </c>
      <c r="S2405" s="26">
        <f>IF(A2405=A2404,0,1)</f>
        <v>0</v>
      </c>
      <c r="T2405" s="26">
        <f>IF(COUNTIF($B$4:B2405,B2405)=1,1,0)</f>
        <v>0</v>
      </c>
    </row>
    <row r="2406">
      <c r="A2406" s="14" t="inlineStr">
        <is>
          <t>SANTO ANTÔNIO DE JESUS</t>
        </is>
      </c>
      <c r="B2406" s="26" t="n">
        <v>202</v>
      </c>
      <c r="C2406" s="26" t="n">
        <v>1015</v>
      </c>
      <c r="D2406" s="14" t="inlineStr">
        <is>
          <t>COLÉGIO RENATO MACHADO</t>
        </is>
      </c>
      <c r="E2406" s="14" t="inlineStr">
        <is>
          <t>SÃO BENEDITO</t>
        </is>
      </c>
      <c r="F2406" s="14" t="inlineStr">
        <is>
          <t>RUA DO SURURU, S/N - ZONA URBANA</t>
        </is>
      </c>
      <c r="G2406" s="27" t="inlineStr">
        <is>
          <t>44570-000</t>
        </is>
      </c>
      <c r="H2406" s="15" t="n">
        <v>5</v>
      </c>
      <c r="I2406" s="28" t="inlineStr">
        <is>
          <t>NÃO</t>
        </is>
      </c>
      <c r="J2406" s="29" t="n">
        <v>152.4</v>
      </c>
      <c r="K2406" s="14" t="str">
        <f>IF(J2406="","7. Acima de 2 km",IF(J2406&lt;=50,"1. Até 50 m",IF(J2406&lt;=100,"2. De 50 a 100 m",IF(J2406&lt;=200,"3. De 100 a 200 m",IF(J2406&lt;=300,"4. De 200 a 300 m",IF(J2406&lt;=500,"5. De 300 a 500 m","6. De 500 m a 2 km"))))))</f>
        <v>3. De 100 a 200 m</v>
      </c>
      <c r="L2406" s="26" t="n">
        <v>0</v>
      </c>
      <c r="M2406" s="26" t="n">
        <v>0</v>
      </c>
      <c r="N2406" s="26" t="n">
        <v>3</v>
      </c>
      <c r="O2406" s="26" t="n">
        <v>4</v>
      </c>
      <c r="P2406" s="30" t="n">
        <v>-12.9610819</v>
      </c>
      <c r="Q2406" s="30" t="n">
        <v>-39.2553232</v>
      </c>
      <c r="R2406" s="14" t="inlineStr">
        <is>
          <t>RUA VEREADOR ALBERTINO LYRA, Nº 05, QUITANDINHA, SANTO ANTONIO DE JESUS/BA</t>
        </is>
      </c>
      <c r="S2406" s="26">
        <f>IF(A2406=A2405,0,1)</f>
        <v>0</v>
      </c>
      <c r="T2406" s="26">
        <f>IF(COUNTIF($B$4:B2406,B2406)=1,1,0)</f>
        <v>1</v>
      </c>
    </row>
    <row r="2407">
      <c r="A2407" s="14" t="inlineStr">
        <is>
          <t>SANTO ANTÔNIO DE JESUS</t>
        </is>
      </c>
      <c r="B2407" s="26" t="n">
        <v>202</v>
      </c>
      <c r="C2407" s="26" t="n">
        <v>1023</v>
      </c>
      <c r="D2407" s="14" t="inlineStr">
        <is>
          <t>COLÉGIO ANÍSIO TEIXEIRA</t>
        </is>
      </c>
      <c r="E2407" s="14" t="inlineStr">
        <is>
          <t>CENTRO</t>
        </is>
      </c>
      <c r="F2407" s="14" t="inlineStr">
        <is>
          <t>RUA D, URBIS II - ZONA URBANA</t>
        </is>
      </c>
      <c r="G2407" s="27" t="inlineStr">
        <is>
          <t>44570-000</t>
        </is>
      </c>
      <c r="H2407" s="15" t="n">
        <v>7</v>
      </c>
      <c r="I2407" s="28" t="inlineStr">
        <is>
          <t>NÃO</t>
        </is>
      </c>
      <c r="J2407" s="29" t="n">
        <v>331.1</v>
      </c>
      <c r="K2407" s="14" t="str">
        <f>IF(J2407="","7. Acima de 2 km",IF(J2407&lt;=50,"1. Até 50 m",IF(J2407&lt;=100,"2. De 50 a 100 m",IF(J2407&lt;=200,"3. De 100 a 200 m",IF(J2407&lt;=300,"4. De 200 a 300 m",IF(J2407&lt;=500,"5. De 300 a 500 m","6. De 500 m a 2 km"))))))</f>
        <v>5. De 300 a 500 m</v>
      </c>
      <c r="L2407" s="26" t="n">
        <v>0</v>
      </c>
      <c r="M2407" s="26" t="n">
        <v>0</v>
      </c>
      <c r="N2407" s="26" t="n">
        <v>0</v>
      </c>
      <c r="O2407" s="26" t="n">
        <v>0</v>
      </c>
      <c r="P2407" s="30" t="n">
        <v>-12.9715501</v>
      </c>
      <c r="Q2407" s="30" t="n">
        <v>-39.2505771</v>
      </c>
      <c r="R2407" s="14" t="inlineStr">
        <is>
          <t>RUA VEREADOR ALBERTINO LYRA, Nº 05, QUITANDINHA, SANTO ANTONIO DE JESUS/BA</t>
        </is>
      </c>
      <c r="S2407" s="26">
        <f>IF(A2407=A2406,0,1)</f>
        <v>0</v>
      </c>
      <c r="T2407" s="26">
        <f>IF(COUNTIF($B$4:B2407,B2407)=1,1,0)</f>
        <v>0</v>
      </c>
    </row>
    <row r="2408">
      <c r="A2408" s="14" t="inlineStr">
        <is>
          <t>SANTO ANTÔNIO DE JESUS</t>
        </is>
      </c>
      <c r="B2408" s="26" t="n">
        <v>202</v>
      </c>
      <c r="C2408" s="26" t="n">
        <v>1040</v>
      </c>
      <c r="D2408" s="14" t="inlineStr">
        <is>
          <t>PRÉDIO ESCOLAR IRMÃ HELENA</t>
        </is>
      </c>
      <c r="E2408" s="14" t="inlineStr">
        <is>
          <t>SÃO PAULO</t>
        </is>
      </c>
      <c r="F2408" s="14" t="inlineStr">
        <is>
          <t>RUA D, N 25. BAIRRO SÃO PAULO- ZONA URBANA</t>
        </is>
      </c>
      <c r="G2408" s="27" t="inlineStr">
        <is>
          <t>44570-000</t>
        </is>
      </c>
      <c r="H2408" s="15" t="n">
        <v>3</v>
      </c>
      <c r="I2408" s="28" t="inlineStr">
        <is>
          <t>NÃO</t>
        </is>
      </c>
      <c r="J2408" s="29" t="n">
        <v>258.1</v>
      </c>
      <c r="K2408" s="14" t="str">
        <f>IF(J2408="","7. Acima de 2 km",IF(J2408&lt;=50,"1. Até 50 m",IF(J2408&lt;=100,"2. De 50 a 100 m",IF(J2408&lt;=200,"3. De 100 a 200 m",IF(J2408&lt;=300,"4. De 200 a 300 m",IF(J2408&lt;=500,"5. De 300 a 500 m","6. De 500 m a 2 km"))))))</f>
        <v>4. De 200 a 300 m</v>
      </c>
      <c r="L2408" s="26" t="n">
        <v>0</v>
      </c>
      <c r="M2408" s="26" t="n">
        <v>0</v>
      </c>
      <c r="N2408" s="26" t="n">
        <v>0</v>
      </c>
      <c r="O2408" s="26" t="n">
        <v>2</v>
      </c>
      <c r="P2408" s="30" t="n">
        <v>-12.964028</v>
      </c>
      <c r="Q2408" s="30" t="n">
        <v>-39.2414233</v>
      </c>
      <c r="R2408" s="14" t="inlineStr">
        <is>
          <t>RUA VEREADOR ALBERTINO LYRA, Nº 05, QUITANDINHA, SANTO ANTONIO DE JESUS/BA</t>
        </is>
      </c>
      <c r="S2408" s="26">
        <f>IF(A2408=A2407,0,1)</f>
        <v>0</v>
      </c>
      <c r="T2408" s="26">
        <f>IF(COUNTIF($B$4:B2408,B2408)=1,1,0)</f>
        <v>0</v>
      </c>
    </row>
    <row r="2409">
      <c r="A2409" s="14" t="inlineStr">
        <is>
          <t>SANTO ANTÔNIO DE JESUS</t>
        </is>
      </c>
      <c r="B2409" s="26" t="n">
        <v>202</v>
      </c>
      <c r="C2409" s="26" t="n">
        <v>1058</v>
      </c>
      <c r="D2409" s="14" t="inlineStr">
        <is>
          <t>SECRETARIA MUNICIPAL DE EDUCACAO</t>
        </is>
      </c>
      <c r="E2409" s="14" t="inlineStr">
        <is>
          <t>CENTRO</t>
        </is>
      </c>
      <c r="F2409" s="14" t="inlineStr">
        <is>
          <t>PRACA MADRE ROSARIO, S/N - ZONA URBANA</t>
        </is>
      </c>
      <c r="G2409" s="27" t="inlineStr">
        <is>
          <t>44570-000</t>
        </is>
      </c>
      <c r="H2409" s="15" t="n">
        <v>2</v>
      </c>
      <c r="I2409" s="28" t="inlineStr">
        <is>
          <t>NÃO</t>
        </is>
      </c>
      <c r="J2409" s="29" t="n">
        <v>112.3</v>
      </c>
      <c r="K2409" s="14" t="str">
        <f>IF(J2409="","7. Acima de 2 km",IF(J2409&lt;=50,"1. Até 50 m",IF(J2409&lt;=100,"2. De 50 a 100 m",IF(J2409&lt;=200,"3. De 100 a 200 m",IF(J2409&lt;=300,"4. De 200 a 300 m",IF(J2409&lt;=500,"5. De 300 a 500 m","6. De 500 m a 2 km"))))))</f>
        <v>3. De 100 a 200 m</v>
      </c>
      <c r="L2409" s="26" t="n">
        <v>0</v>
      </c>
      <c r="M2409" s="26" t="n">
        <v>0</v>
      </c>
      <c r="N2409" s="26" t="n">
        <v>1</v>
      </c>
      <c r="O2409" s="26" t="n">
        <v>1</v>
      </c>
      <c r="P2409" s="30" t="n">
        <v>-12.9675434</v>
      </c>
      <c r="Q2409" s="30" t="n">
        <v>-39.2580914</v>
      </c>
      <c r="R2409" s="14" t="inlineStr">
        <is>
          <t>RUA VEREADOR ALBERTINO LYRA, Nº 05, QUITANDINHA, SANTO ANTONIO DE JESUS/BA</t>
        </is>
      </c>
      <c r="S2409" s="26">
        <f>IF(A2409=A2408,0,1)</f>
        <v>0</v>
      </c>
      <c r="T2409" s="26">
        <f>IF(COUNTIF($B$4:B2409,B2409)=1,1,0)</f>
        <v>0</v>
      </c>
    </row>
    <row r="2410">
      <c r="A2410" s="14" t="inlineStr">
        <is>
          <t>SANTO ANTÔNIO DE JESUS</t>
        </is>
      </c>
      <c r="B2410" s="26" t="n">
        <v>202</v>
      </c>
      <c r="C2410" s="26" t="n">
        <v>1066</v>
      </c>
      <c r="D2410" s="14" t="inlineStr">
        <is>
          <t>GRUPO ESCOLAR ANESIO LEAL</t>
        </is>
      </c>
      <c r="E2410" s="14" t="inlineStr">
        <is>
          <t>POVOADO CASACA DE FERRO</t>
        </is>
      </c>
      <c r="F2410" s="14" t="inlineStr">
        <is>
          <t>POVOADO CASACA DE FERRO - ZONA RURAL</t>
        </is>
      </c>
      <c r="G2410" s="27" t="inlineStr">
        <is>
          <t>44570-000</t>
        </is>
      </c>
      <c r="H2410" s="15" t="n">
        <v>2</v>
      </c>
      <c r="I2410" s="28" t="inlineStr">
        <is>
          <t>NÃO</t>
        </is>
      </c>
      <c r="J2410" s="29" t="n"/>
      <c r="K2410" s="14" t="str">
        <f>IF(J2410="","7. Acima de 2 km",IF(J2410&lt;=50,"1. Até 50 m",IF(J2410&lt;=100,"2. De 50 a 100 m",IF(J2410&lt;=200,"3. De 100 a 200 m",IF(J2410&lt;=300,"4. De 200 a 300 m",IF(J2410&lt;=500,"5. De 300 a 500 m","6. De 500 m a 2 km"))))))</f>
        <v>7. Acima de 2 km</v>
      </c>
      <c r="L2410" s="26" t="n">
        <v>0</v>
      </c>
      <c r="M2410" s="26" t="n">
        <v>0</v>
      </c>
      <c r="N2410" s="26" t="n">
        <v>0</v>
      </c>
      <c r="O2410" s="26" t="n">
        <v>0</v>
      </c>
      <c r="P2410" s="30" t="n">
        <v>-12.9582417</v>
      </c>
      <c r="Q2410" s="30" t="n">
        <v>-39.1983964</v>
      </c>
      <c r="R2410" s="14" t="inlineStr">
        <is>
          <t>RUA VEREADOR ALBERTINO LYRA, Nº 05, QUITANDINHA, SANTO ANTONIO DE JESUS/BA</t>
        </is>
      </c>
      <c r="S2410" s="26">
        <f>IF(A2410=A2409,0,1)</f>
        <v>0</v>
      </c>
      <c r="T2410" s="26">
        <f>IF(COUNTIF($B$4:B2410,B2410)=1,1,0)</f>
        <v>0</v>
      </c>
    </row>
    <row r="2411">
      <c r="A2411" s="14" t="inlineStr">
        <is>
          <t>SANTO ANTÔNIO DE JESUS</t>
        </is>
      </c>
      <c r="B2411" s="26" t="n">
        <v>202</v>
      </c>
      <c r="C2411" s="26" t="n">
        <v>1074</v>
      </c>
      <c r="D2411" s="14" t="inlineStr">
        <is>
          <t>ESCOLA MUNCIPAL ANTONIO ALBUQUERQUE</t>
        </is>
      </c>
      <c r="E2411" s="14" t="inlineStr">
        <is>
          <t>POVOADO COCÃO</t>
        </is>
      </c>
      <c r="F2411" s="14" t="inlineStr">
        <is>
          <t>POVOADO COCAO - ZONA RURAL</t>
        </is>
      </c>
      <c r="G2411" s="27" t="inlineStr">
        <is>
          <t>44570-000</t>
        </is>
      </c>
      <c r="H2411" s="15" t="n">
        <v>3</v>
      </c>
      <c r="I2411" s="28" t="inlineStr">
        <is>
          <t>NÃO</t>
        </is>
      </c>
      <c r="J2411" s="29" t="n"/>
      <c r="K2411" s="14" t="str">
        <f>IF(J2411="","7. Acima de 2 km",IF(J2411&lt;=50,"1. Até 50 m",IF(J2411&lt;=100,"2. De 50 a 100 m",IF(J2411&lt;=200,"3. De 100 a 200 m",IF(J2411&lt;=300,"4. De 200 a 300 m",IF(J2411&lt;=500,"5. De 300 a 500 m","6. De 500 m a 2 km"))))))</f>
        <v>7. Acima de 2 km</v>
      </c>
      <c r="L2411" s="26" t="n">
        <v>0</v>
      </c>
      <c r="M2411" s="26" t="n">
        <v>0</v>
      </c>
      <c r="N2411" s="26" t="n">
        <v>0</v>
      </c>
      <c r="O2411" s="26" t="n">
        <v>0</v>
      </c>
      <c r="P2411" s="30" t="n">
        <v>-13.0159307</v>
      </c>
      <c r="Q2411" s="30" t="n">
        <v>-39.1504872</v>
      </c>
      <c r="R2411" s="14" t="inlineStr">
        <is>
          <t>RUA VEREADOR ALBERTINO LYRA, Nº 05, QUITANDINHA, SANTO ANTONIO DE JESUS/BA</t>
        </is>
      </c>
      <c r="S2411" s="26">
        <f>IF(A2411=A2410,0,1)</f>
        <v>0</v>
      </c>
      <c r="T2411" s="26">
        <f>IF(COUNTIF($B$4:B2411,B2411)=1,1,0)</f>
        <v>0</v>
      </c>
    </row>
    <row r="2412">
      <c r="A2412" s="14" t="inlineStr">
        <is>
          <t>SANTO ANTÔNIO DE JESUS</t>
        </is>
      </c>
      <c r="B2412" s="26" t="n">
        <v>202</v>
      </c>
      <c r="C2412" s="26" t="n">
        <v>1082</v>
      </c>
      <c r="D2412" s="14" t="inlineStr">
        <is>
          <t>PRÉDIO ESCOLAR FLORENTINO FIRMINO DE ALMEIDA</t>
        </is>
      </c>
      <c r="E2412" s="14" t="inlineStr">
        <is>
          <t>SÃO PAULO</t>
        </is>
      </c>
      <c r="F2412" s="14" t="inlineStr">
        <is>
          <t>AV. ANTONIO CARLOS MAGALHÃES, S/N - ZONA URBANA</t>
        </is>
      </c>
      <c r="G2412" s="27" t="inlineStr">
        <is>
          <t>44570-000</t>
        </is>
      </c>
      <c r="H2412" s="15" t="n">
        <v>4</v>
      </c>
      <c r="I2412" s="28" t="inlineStr">
        <is>
          <t>SIM</t>
        </is>
      </c>
      <c r="J2412" s="29" t="n">
        <v>77</v>
      </c>
      <c r="K2412" s="14" t="str">
        <f>IF(J2412="","7. Acima de 2 km",IF(J2412&lt;=50,"1. Até 50 m",IF(J2412&lt;=100,"2. De 50 a 100 m",IF(J2412&lt;=200,"3. De 100 a 200 m",IF(J2412&lt;=300,"4. De 200 a 300 m",IF(J2412&lt;=500,"5. De 300 a 500 m","6. De 500 m a 2 km"))))))</f>
        <v>2. De 50 a 100 m</v>
      </c>
      <c r="L2412" s="26" t="n">
        <v>0</v>
      </c>
      <c r="M2412" s="26" t="n">
        <v>1</v>
      </c>
      <c r="N2412" s="26" t="n">
        <v>2</v>
      </c>
      <c r="O2412" s="26" t="n">
        <v>2</v>
      </c>
      <c r="P2412" s="30" t="n">
        <v>-12.9657829</v>
      </c>
      <c r="Q2412" s="30" t="n">
        <v>-39.2411349</v>
      </c>
      <c r="R2412" s="14" t="inlineStr">
        <is>
          <t>RUA VEREADOR ALBERTINO LYRA, Nº 05, QUITANDINHA, SANTO ANTONIO DE JESUS/BA</t>
        </is>
      </c>
      <c r="S2412" s="26">
        <f>IF(A2412=A2411,0,1)</f>
        <v>0</v>
      </c>
      <c r="T2412" s="26">
        <f>IF(COUNTIF($B$4:B2412,B2412)=1,1,0)</f>
        <v>0</v>
      </c>
    </row>
    <row r="2413">
      <c r="A2413" s="14" t="inlineStr">
        <is>
          <t>SANTO ANTÔNIO DE JESUS</t>
        </is>
      </c>
      <c r="B2413" s="26" t="n">
        <v>202</v>
      </c>
      <c r="C2413" s="26" t="n">
        <v>1090</v>
      </c>
      <c r="D2413" s="14" t="inlineStr">
        <is>
          <t>ESCOLINHA PADRE MATEUS</t>
        </is>
      </c>
      <c r="E2413" s="14" t="inlineStr">
        <is>
          <t>CENTRO</t>
        </is>
      </c>
      <c r="F2413" s="14" t="inlineStr">
        <is>
          <t>AV. LUIZ VIANA, S/N - ZONA URBANA</t>
        </is>
      </c>
      <c r="G2413" s="27" t="inlineStr">
        <is>
          <t>44570-000</t>
        </is>
      </c>
      <c r="H2413" s="15" t="n">
        <v>5</v>
      </c>
      <c r="I2413" s="28" t="inlineStr">
        <is>
          <t>NÃO</t>
        </is>
      </c>
      <c r="J2413" s="29" t="n">
        <v>225</v>
      </c>
      <c r="K2413" s="14" t="str">
        <f>IF(J2413="","7. Acima de 2 km",IF(J2413&lt;=50,"1. Até 50 m",IF(J2413&lt;=100,"2. De 50 a 100 m",IF(J2413&lt;=200,"3. De 100 a 200 m",IF(J2413&lt;=300,"4. De 200 a 300 m",IF(J2413&lt;=500,"5. De 300 a 500 m","6. De 500 m a 2 km"))))))</f>
        <v>4. De 200 a 300 m</v>
      </c>
      <c r="L2413" s="26" t="n">
        <v>0</v>
      </c>
      <c r="M2413" s="26" t="n">
        <v>0</v>
      </c>
      <c r="N2413" s="26" t="n">
        <v>0</v>
      </c>
      <c r="O2413" s="26" t="n">
        <v>1</v>
      </c>
      <c r="P2413" s="30" t="n">
        <v>-12.9678806</v>
      </c>
      <c r="Q2413" s="30" t="n">
        <v>-39.2569914</v>
      </c>
      <c r="R2413" s="14" t="inlineStr">
        <is>
          <t>RUA VEREADOR ALBERTINO LYRA, Nº 05, QUITANDINHA, SANTO ANTONIO DE JESUS/BA</t>
        </is>
      </c>
      <c r="S2413" s="26">
        <f>IF(A2413=A2412,0,1)</f>
        <v>0</v>
      </c>
      <c r="T2413" s="26">
        <f>IF(COUNTIF($B$4:B2413,B2413)=1,1,0)</f>
        <v>0</v>
      </c>
    </row>
    <row r="2414">
      <c r="A2414" s="14" t="inlineStr">
        <is>
          <t>SANTO ANTÔNIO DE JESUS</t>
        </is>
      </c>
      <c r="B2414" s="26" t="n">
        <v>202</v>
      </c>
      <c r="C2414" s="26" t="n">
        <v>1104</v>
      </c>
      <c r="D2414" s="14" t="inlineStr">
        <is>
          <t>ESCOLA MUNICIPAL ERCILIA TINOCO DE ANDRADE</t>
        </is>
      </c>
      <c r="E2414" s="14" t="inlineStr">
        <is>
          <t>SALGADEIRA</t>
        </is>
      </c>
      <c r="F2414" s="14" t="inlineStr">
        <is>
          <t>RUA SILVESTRE EVANGELISTA, S/N - ZONA URBANA</t>
        </is>
      </c>
      <c r="G2414" s="27" t="inlineStr">
        <is>
          <t>44570-000</t>
        </is>
      </c>
      <c r="H2414" s="15" t="n">
        <v>6</v>
      </c>
      <c r="I2414" s="28" t="inlineStr">
        <is>
          <t>NÃO</t>
        </is>
      </c>
      <c r="J2414" s="29" t="n">
        <v>129.9</v>
      </c>
      <c r="K2414" s="14" t="str">
        <f>IF(J2414="","7. Acima de 2 km",IF(J2414&lt;=50,"1. Até 50 m",IF(J2414&lt;=100,"2. De 50 a 100 m",IF(J2414&lt;=200,"3. De 100 a 200 m",IF(J2414&lt;=300,"4. De 200 a 300 m",IF(J2414&lt;=500,"5. De 300 a 500 m","6. De 500 m a 2 km"))))))</f>
        <v>3. De 100 a 200 m</v>
      </c>
      <c r="L2414" s="26" t="n">
        <v>0</v>
      </c>
      <c r="M2414" s="26" t="n">
        <v>0</v>
      </c>
      <c r="N2414" s="26" t="n">
        <v>1</v>
      </c>
      <c r="O2414" s="26" t="n">
        <v>1</v>
      </c>
      <c r="P2414" s="30" t="n">
        <v>-12.9708794</v>
      </c>
      <c r="Q2414" s="30" t="n">
        <v>-39.2551426</v>
      </c>
      <c r="R2414" s="14" t="inlineStr">
        <is>
          <t>RUA VEREADOR ALBERTINO LYRA, Nº 05, QUITANDINHA, SANTO ANTONIO DE JESUS/BA</t>
        </is>
      </c>
      <c r="S2414" s="26">
        <f>IF(A2414=A2413,0,1)</f>
        <v>0</v>
      </c>
      <c r="T2414" s="26">
        <f>IF(COUNTIF($B$4:B2414,B2414)=1,1,0)</f>
        <v>0</v>
      </c>
    </row>
    <row r="2415">
      <c r="A2415" s="14" t="inlineStr">
        <is>
          <t>SANTO ANTÔNIO DE JESUS</t>
        </is>
      </c>
      <c r="B2415" s="26" t="n">
        <v>202</v>
      </c>
      <c r="C2415" s="26" t="n">
        <v>1120</v>
      </c>
      <c r="D2415" s="14" t="inlineStr">
        <is>
          <t>GRUPO ESCOLAR MARIA AUGUSTA LOPES FERREIRA</t>
        </is>
      </c>
      <c r="E2415" s="14" t="inlineStr">
        <is>
          <t xml:space="preserve">URBIS I </t>
        </is>
      </c>
      <c r="F2415" s="14" t="inlineStr">
        <is>
          <t>RUA 1, S/N - ZONA URBANA</t>
        </is>
      </c>
      <c r="G2415" s="27" t="inlineStr">
        <is>
          <t>44570-000</t>
        </is>
      </c>
      <c r="H2415" s="15" t="n">
        <v>3</v>
      </c>
      <c r="I2415" s="28" t="inlineStr">
        <is>
          <t>NÃO</t>
        </is>
      </c>
      <c r="J2415" s="29" t="n">
        <v>299.4</v>
      </c>
      <c r="K2415" s="14" t="str">
        <f>IF(J2415="","7. Acima de 2 km",IF(J2415&lt;=50,"1. Até 50 m",IF(J2415&lt;=100,"2. De 50 a 100 m",IF(J2415&lt;=200,"3. De 100 a 200 m",IF(J2415&lt;=300,"4. De 200 a 300 m",IF(J2415&lt;=500,"5. De 300 a 500 m","6. De 500 m a 2 km"))))))</f>
        <v>4. De 200 a 300 m</v>
      </c>
      <c r="L2415" s="26" t="n">
        <v>0</v>
      </c>
      <c r="M2415" s="26" t="n">
        <v>0</v>
      </c>
      <c r="N2415" s="26" t="n">
        <v>0</v>
      </c>
      <c r="O2415" s="26" t="n">
        <v>1</v>
      </c>
      <c r="P2415" s="30" t="n">
        <v>-12.9676239</v>
      </c>
      <c r="Q2415" s="30" t="n">
        <v>-39.2506276</v>
      </c>
      <c r="R2415" s="14" t="inlineStr">
        <is>
          <t>RUA VEREADOR ALBERTINO LYRA, Nº 05, QUITANDINHA, SANTO ANTONIO DE JESUS/BA</t>
        </is>
      </c>
      <c r="S2415" s="26">
        <f>IF(A2415=A2414,0,1)</f>
        <v>0</v>
      </c>
      <c r="T2415" s="26">
        <f>IF(COUNTIF($B$4:B2415,B2415)=1,1,0)</f>
        <v>0</v>
      </c>
    </row>
    <row r="2416">
      <c r="A2416" s="14" t="inlineStr">
        <is>
          <t>SANTO ANTÔNIO DE JESUS</t>
        </is>
      </c>
      <c r="B2416" s="26" t="n">
        <v>202</v>
      </c>
      <c r="C2416" s="26" t="n">
        <v>1139</v>
      </c>
      <c r="D2416" s="14" t="inlineStr">
        <is>
          <t>UNEB</t>
        </is>
      </c>
      <c r="E2416" s="14" t="inlineStr">
        <is>
          <t>CENTRO</t>
        </is>
      </c>
      <c r="F2416" s="14" t="inlineStr">
        <is>
          <t>RUA TENENTE-CORONEL BANDEIRA DE MELO, S/N - JARDIM BAHIA - ZONA URBANA</t>
        </is>
      </c>
      <c r="G2416" s="27" t="inlineStr">
        <is>
          <t>44570-000</t>
        </is>
      </c>
      <c r="H2416" s="15" t="n">
        <v>12</v>
      </c>
      <c r="I2416" s="28" t="inlineStr">
        <is>
          <t>NÃO</t>
        </is>
      </c>
      <c r="J2416" s="29" t="n">
        <v>443.3</v>
      </c>
      <c r="K2416" s="14" t="str">
        <f>IF(J2416="","7. Acima de 2 km",IF(J2416&lt;=50,"1. Até 50 m",IF(J2416&lt;=100,"2. De 50 a 100 m",IF(J2416&lt;=200,"3. De 100 a 200 m",IF(J2416&lt;=300,"4. De 200 a 300 m",IF(J2416&lt;=500,"5. De 300 a 500 m","6. De 500 m a 2 km"))))))</f>
        <v>5. De 300 a 500 m</v>
      </c>
      <c r="L2416" s="26" t="n">
        <v>0</v>
      </c>
      <c r="M2416" s="26" t="n">
        <v>0</v>
      </c>
      <c r="N2416" s="26" t="n">
        <v>0</v>
      </c>
      <c r="O2416" s="26" t="n">
        <v>0</v>
      </c>
      <c r="P2416" s="30" t="n">
        <v>-12.9663888</v>
      </c>
      <c r="Q2416" s="30" t="n">
        <v>-39.254388</v>
      </c>
      <c r="R2416" s="14" t="inlineStr">
        <is>
          <t>RUA VEREADOR ALBERTINO LYRA, Nº 05, QUITANDINHA, SANTO ANTONIO DE JESUS/BA</t>
        </is>
      </c>
      <c r="S2416" s="26">
        <f>IF(A2416=A2415,0,1)</f>
        <v>0</v>
      </c>
      <c r="T2416" s="26">
        <f>IF(COUNTIF($B$4:B2416,B2416)=1,1,0)</f>
        <v>0</v>
      </c>
    </row>
    <row r="2417">
      <c r="A2417" s="14" t="inlineStr">
        <is>
          <t>SANTO ANTÔNIO DE JESUS</t>
        </is>
      </c>
      <c r="B2417" s="26" t="n">
        <v>202</v>
      </c>
      <c r="C2417" s="26" t="n">
        <v>1147</v>
      </c>
      <c r="D2417" s="14" t="inlineStr">
        <is>
          <t>CRECHE ESCOLA MARIO MOREIRA SAMPAIO</t>
        </is>
      </c>
      <c r="E2417" s="14" t="inlineStr">
        <is>
          <t>IRMÃ DULCE</t>
        </is>
      </c>
      <c r="F2417" s="14" t="inlineStr">
        <is>
          <t>AV. BEIRA MAR, S/N  - ZONA URBANA</t>
        </is>
      </c>
      <c r="G2417" s="27" t="inlineStr">
        <is>
          <t>44574-285</t>
        </is>
      </c>
      <c r="H2417" s="15" t="n">
        <v>3</v>
      </c>
      <c r="I2417" s="28" t="inlineStr">
        <is>
          <t>NÃO</t>
        </is>
      </c>
      <c r="J2417" s="29" t="n">
        <v>137.5</v>
      </c>
      <c r="K2417" s="14" t="str">
        <f>IF(J2417="","7. Acima de 2 km",IF(J2417&lt;=50,"1. Até 50 m",IF(J2417&lt;=100,"2. De 50 a 100 m",IF(J2417&lt;=200,"3. De 100 a 200 m",IF(J2417&lt;=300,"4. De 200 a 300 m",IF(J2417&lt;=500,"5. De 300 a 500 m","6. De 500 m a 2 km"))))))</f>
        <v>3. De 100 a 200 m</v>
      </c>
      <c r="L2417" s="26" t="n">
        <v>0</v>
      </c>
      <c r="M2417" s="26" t="n">
        <v>0</v>
      </c>
      <c r="N2417" s="26" t="n">
        <v>1</v>
      </c>
      <c r="O2417" s="26" t="n">
        <v>1</v>
      </c>
      <c r="P2417" s="30" t="n">
        <v>-12.9686657</v>
      </c>
      <c r="Q2417" s="30" t="n">
        <v>-39.2471886</v>
      </c>
      <c r="R2417" s="14" t="inlineStr">
        <is>
          <t>RUA VEREADOR ALBERTINO LYRA, Nº 05, QUITANDINHA, SANTO ANTONIO DE JESUS/BA</t>
        </is>
      </c>
      <c r="S2417" s="26">
        <f>IF(A2417=A2416,0,1)</f>
        <v>0</v>
      </c>
      <c r="T2417" s="26">
        <f>IF(COUNTIF($B$4:B2417,B2417)=1,1,0)</f>
        <v>0</v>
      </c>
    </row>
    <row r="2418">
      <c r="A2418" s="14" t="inlineStr">
        <is>
          <t>SANTO ANTÔNIO DE JESUS</t>
        </is>
      </c>
      <c r="B2418" s="26" t="n">
        <v>202</v>
      </c>
      <c r="C2418" s="26" t="n">
        <v>1155</v>
      </c>
      <c r="D2418" s="14" t="inlineStr">
        <is>
          <t>PREDIO ESCOLAR MADRE MARIA GORETTE NERY</t>
        </is>
      </c>
      <c r="E2418" s="14" t="inlineStr">
        <is>
          <t>SALGADEIRA</t>
        </is>
      </c>
      <c r="F2418" s="14" t="inlineStr">
        <is>
          <t>PRACA SILVESTRE EVANGELISTA, S/N - ZONA URBANA</t>
        </is>
      </c>
      <c r="G2418" s="27" t="inlineStr">
        <is>
          <t>44570-000</t>
        </is>
      </c>
      <c r="H2418" s="15" t="n">
        <v>4</v>
      </c>
      <c r="I2418" s="28" t="inlineStr">
        <is>
          <t>NÃO</t>
        </is>
      </c>
      <c r="J2418" s="29" t="n">
        <v>329.3</v>
      </c>
      <c r="K2418" s="14" t="str">
        <f>IF(J2418="","7. Acima de 2 km",IF(J2418&lt;=50,"1. Até 50 m",IF(J2418&lt;=100,"2. De 50 a 100 m",IF(J2418&lt;=200,"3. De 100 a 200 m",IF(J2418&lt;=300,"4. De 200 a 300 m",IF(J2418&lt;=500,"5. De 300 a 500 m","6. De 500 m a 2 km"))))))</f>
        <v>5. De 300 a 500 m</v>
      </c>
      <c r="L2418" s="26" t="n">
        <v>0</v>
      </c>
      <c r="M2418" s="26" t="n">
        <v>0</v>
      </c>
      <c r="N2418" s="26" t="n">
        <v>0</v>
      </c>
      <c r="O2418" s="26" t="n">
        <v>0</v>
      </c>
      <c r="P2418" s="30" t="n">
        <v>-12.9703757</v>
      </c>
      <c r="Q2418" s="30" t="n">
        <v>-39.2532642</v>
      </c>
      <c r="R2418" s="14" t="inlineStr">
        <is>
          <t>RUA VEREADOR ALBERTINO LYRA, Nº 05, QUITANDINHA, SANTO ANTONIO DE JESUS/BA</t>
        </is>
      </c>
      <c r="S2418" s="26">
        <f>IF(A2418=A2417,0,1)</f>
        <v>0</v>
      </c>
      <c r="T2418" s="26">
        <f>IF(COUNTIF($B$4:B2418,B2418)=1,1,0)</f>
        <v>0</v>
      </c>
    </row>
    <row r="2419">
      <c r="A2419" s="14" t="inlineStr">
        <is>
          <t>SANTO ANTÔNIO DE JESUS</t>
        </is>
      </c>
      <c r="B2419" s="26" t="n">
        <v>202</v>
      </c>
      <c r="C2419" s="26" t="n">
        <v>1163</v>
      </c>
      <c r="D2419" s="14" t="inlineStr">
        <is>
          <t>PREDIO ESCOLAR ARGEMIRO JOSE DAS MERCES</t>
        </is>
      </c>
      <c r="E2419" s="14" t="inlineStr">
        <is>
          <t>POVOADO AÇOUGUE VELHO</t>
        </is>
      </c>
      <c r="F2419" s="14" t="inlineStr">
        <is>
          <t>POVOADO ACOUGUE VELHO - ZONA RURAL</t>
        </is>
      </c>
      <c r="G2419" s="27" t="inlineStr">
        <is>
          <t>44570-000</t>
        </is>
      </c>
      <c r="H2419" s="15" t="n">
        <v>2</v>
      </c>
      <c r="I2419" s="28" t="inlineStr">
        <is>
          <t>NÃO</t>
        </is>
      </c>
      <c r="J2419" s="29" t="n"/>
      <c r="K2419" s="14" t="str">
        <f>IF(J2419="","7. Acima de 2 km",IF(J2419&lt;=50,"1. Até 50 m",IF(J2419&lt;=100,"2. De 50 a 100 m",IF(J2419&lt;=200,"3. De 100 a 200 m",IF(J2419&lt;=300,"4. De 200 a 300 m",IF(J2419&lt;=500,"5. De 300 a 500 m","6. De 500 m a 2 km"))))))</f>
        <v>7. Acima de 2 km</v>
      </c>
      <c r="L2419" s="26" t="n">
        <v>0</v>
      </c>
      <c r="M2419" s="26" t="n">
        <v>0</v>
      </c>
      <c r="N2419" s="26" t="n">
        <v>0</v>
      </c>
      <c r="O2419" s="26" t="n">
        <v>0</v>
      </c>
      <c r="P2419" s="30" t="n">
        <v>-12.974459</v>
      </c>
      <c r="Q2419" s="30" t="n">
        <v>-39.2172937</v>
      </c>
      <c r="R2419" s="14" t="inlineStr">
        <is>
          <t>RUA VEREADOR ALBERTINO LYRA, Nº 05, QUITANDINHA, SANTO ANTONIO DE JESUS/BA</t>
        </is>
      </c>
      <c r="S2419" s="26">
        <f>IF(A2419=A2418,0,1)</f>
        <v>0</v>
      </c>
      <c r="T2419" s="26">
        <f>IF(COUNTIF($B$4:B2419,B2419)=1,1,0)</f>
        <v>0</v>
      </c>
    </row>
    <row r="2420">
      <c r="A2420" s="14" t="inlineStr">
        <is>
          <t>SANTO ANTÔNIO DE JESUS</t>
        </is>
      </c>
      <c r="B2420" s="26" t="n">
        <v>202</v>
      </c>
      <c r="C2420" s="26" t="n">
        <v>1171</v>
      </c>
      <c r="D2420" s="14" t="inlineStr">
        <is>
          <t>PREDIO ESCOLAR JOAO DA CRUZ</t>
        </is>
      </c>
      <c r="E2420" s="14" t="inlineStr">
        <is>
          <t>POVOADO RIACHO DANTAS</t>
        </is>
      </c>
      <c r="F2420" s="14" t="inlineStr">
        <is>
          <t>POVOADO RIACHO DANTAS - ZONA RURAL</t>
        </is>
      </c>
      <c r="G2420" s="27" t="inlineStr">
        <is>
          <t>44570-000</t>
        </is>
      </c>
      <c r="H2420" s="15" t="n">
        <v>2</v>
      </c>
      <c r="I2420" s="28" t="inlineStr">
        <is>
          <t>NÃO</t>
        </is>
      </c>
      <c r="J2420" s="29" t="n"/>
      <c r="K2420" s="14" t="str">
        <f>IF(J2420="","7. Acima de 2 km",IF(J2420&lt;=50,"1. Até 50 m",IF(J2420&lt;=100,"2. De 50 a 100 m",IF(J2420&lt;=200,"3. De 100 a 200 m",IF(J2420&lt;=300,"4. De 200 a 300 m",IF(J2420&lt;=500,"5. De 300 a 500 m","6. De 500 m a 2 km"))))))</f>
        <v>7. Acima de 2 km</v>
      </c>
      <c r="L2420" s="26" t="n">
        <v>0</v>
      </c>
      <c r="M2420" s="26" t="n">
        <v>0</v>
      </c>
      <c r="N2420" s="26" t="n">
        <v>0</v>
      </c>
      <c r="O2420" s="26" t="n">
        <v>0</v>
      </c>
      <c r="P2420" s="30" t="n">
        <v>-13.0649386</v>
      </c>
      <c r="Q2420" s="30" t="n">
        <v>-39.18806</v>
      </c>
      <c r="R2420" s="14" t="inlineStr">
        <is>
          <t>RUA VEREADOR ALBERTINO LYRA, Nº 05, QUITANDINHA, SANTO ANTONIO DE JESUS/BA</t>
        </is>
      </c>
      <c r="S2420" s="26">
        <f>IF(A2420=A2419,0,1)</f>
        <v>0</v>
      </c>
      <c r="T2420" s="26">
        <f>IF(COUNTIF($B$4:B2420,B2420)=1,1,0)</f>
        <v>0</v>
      </c>
    </row>
    <row r="2421">
      <c r="A2421" s="14" t="inlineStr">
        <is>
          <t>SANTO ANTÔNIO DE JESUS</t>
        </is>
      </c>
      <c r="B2421" s="26" t="n">
        <v>202</v>
      </c>
      <c r="C2421" s="26" t="n">
        <v>1201</v>
      </c>
      <c r="D2421" s="14" t="inlineStr">
        <is>
          <t>CIRETRAN</t>
        </is>
      </c>
      <c r="E2421" s="14" t="inlineStr">
        <is>
          <t>SÃO PAULO</t>
        </is>
      </c>
      <c r="F2421" s="14" t="inlineStr">
        <is>
          <t>AV. ANTONIO CARLOS MAGALHAES, S/N - ZONA URBANA</t>
        </is>
      </c>
      <c r="G2421" s="27" t="inlineStr">
        <is>
          <t>44570-000</t>
        </is>
      </c>
      <c r="H2421" s="15" t="n">
        <v>1</v>
      </c>
      <c r="I2421" s="28" t="inlineStr">
        <is>
          <t>SIM</t>
        </is>
      </c>
      <c r="J2421" s="29" t="n">
        <v>80.3</v>
      </c>
      <c r="K2421" s="14" t="str">
        <f>IF(J2421="","7. Acima de 2 km",IF(J2421&lt;=50,"1. Até 50 m",IF(J2421&lt;=100,"2. De 50 a 100 m",IF(J2421&lt;=200,"3. De 100 a 200 m",IF(J2421&lt;=300,"4. De 200 a 300 m",IF(J2421&lt;=500,"5. De 300 a 500 m","6. De 500 m a 2 km"))))))</f>
        <v>2. De 50 a 100 m</v>
      </c>
      <c r="L2421" s="26" t="n">
        <v>0</v>
      </c>
      <c r="M2421" s="26" t="n">
        <v>1</v>
      </c>
      <c r="N2421" s="26" t="n">
        <v>1</v>
      </c>
      <c r="O2421" s="26" t="n">
        <v>1</v>
      </c>
      <c r="P2421" s="30" t="n">
        <v>-12.9642471</v>
      </c>
      <c r="Q2421" s="30" t="n">
        <v>-39.244957</v>
      </c>
      <c r="R2421" s="14" t="inlineStr">
        <is>
          <t>RUA VEREADOR ALBERTINO LYRA, Nº 05, QUITANDINHA, SANTO ANTONIO DE JESUS/BA</t>
        </is>
      </c>
      <c r="S2421" s="26">
        <f>IF(A2421=A2420,0,1)</f>
        <v>0</v>
      </c>
      <c r="T2421" s="26">
        <f>IF(COUNTIF($B$4:B2421,B2421)=1,1,0)</f>
        <v>0</v>
      </c>
    </row>
    <row r="2422">
      <c r="A2422" s="14" t="inlineStr">
        <is>
          <t>SANTO ANTÔNIO DE JESUS</t>
        </is>
      </c>
      <c r="B2422" s="26" t="n">
        <v>202</v>
      </c>
      <c r="C2422" s="26" t="n">
        <v>1210</v>
      </c>
      <c r="D2422" s="14" t="inlineStr">
        <is>
          <t>COLÉGIO CLÓVIS EZEQUIEL DOS SANTOS</t>
        </is>
      </c>
      <c r="E2422" s="14" t="inlineStr">
        <is>
          <t>CENTRO</t>
        </is>
      </c>
      <c r="F2422" s="14" t="inlineStr">
        <is>
          <t>RUA TENENTE CORONEL BANDEIRA DE MELO, S/N - ZONA URBANA</t>
        </is>
      </c>
      <c r="G2422" s="27" t="inlineStr">
        <is>
          <t>44570-000</t>
        </is>
      </c>
      <c r="H2422" s="15" t="n">
        <v>9</v>
      </c>
      <c r="I2422" s="28" t="inlineStr">
        <is>
          <t>NÃO</t>
        </is>
      </c>
      <c r="J2422" s="29" t="n">
        <v>479.9</v>
      </c>
      <c r="K2422" s="14" t="str">
        <f>IF(J2422="","7. Acima de 2 km",IF(J2422&lt;=50,"1. Até 50 m",IF(J2422&lt;=100,"2. De 50 a 100 m",IF(J2422&lt;=200,"3. De 100 a 200 m",IF(J2422&lt;=300,"4. De 200 a 300 m",IF(J2422&lt;=500,"5. De 300 a 500 m","6. De 500 m a 2 km"))))))</f>
        <v>5. De 300 a 500 m</v>
      </c>
      <c r="L2422" s="26" t="n">
        <v>0</v>
      </c>
      <c r="M2422" s="26" t="n">
        <v>0</v>
      </c>
      <c r="N2422" s="26" t="n">
        <v>0</v>
      </c>
      <c r="O2422" s="26" t="n">
        <v>0</v>
      </c>
      <c r="P2422" s="30" t="n">
        <v>-12.966693</v>
      </c>
      <c r="Q2422" s="30" t="n">
        <v>-39.2539727</v>
      </c>
      <c r="R2422" s="14" t="inlineStr">
        <is>
          <t>RUA VEREADOR ALBERTINO LYRA, Nº 05, QUITANDINHA, SANTO ANTONIO DE JESUS/BA</t>
        </is>
      </c>
      <c r="S2422" s="26">
        <f>IF(A2422=A2421,0,1)</f>
        <v>0</v>
      </c>
      <c r="T2422" s="26">
        <f>IF(COUNTIF($B$4:B2422,B2422)=1,1,0)</f>
        <v>0</v>
      </c>
    </row>
    <row r="2423">
      <c r="A2423" s="14" t="inlineStr">
        <is>
          <t>SANTO ANTÔNIO DE JESUS</t>
        </is>
      </c>
      <c r="B2423" s="26" t="n">
        <v>202</v>
      </c>
      <c r="C2423" s="26" t="n">
        <v>1228</v>
      </c>
      <c r="D2423" s="14" t="inlineStr">
        <is>
          <t>COLÉGIO ISAIAS ALVES</t>
        </is>
      </c>
      <c r="E2423" s="14" t="inlineStr">
        <is>
          <t>SÃO BENEDITO</t>
        </is>
      </c>
      <c r="F2423" s="14" t="inlineStr">
        <is>
          <t>RUA DA CONCEIÇÃO, S/N  - ZONA URBANA</t>
        </is>
      </c>
      <c r="G2423" s="27" t="inlineStr">
        <is>
          <t>44570-000</t>
        </is>
      </c>
      <c r="H2423" s="15" t="n">
        <v>7</v>
      </c>
      <c r="I2423" s="28" t="inlineStr">
        <is>
          <t>NÃO</t>
        </is>
      </c>
      <c r="J2423" s="29" t="n">
        <v>196.1</v>
      </c>
      <c r="K2423" s="14" t="str">
        <f>IF(J2423="","7. Acima de 2 km",IF(J2423&lt;=50,"1. Até 50 m",IF(J2423&lt;=100,"2. De 50 a 100 m",IF(J2423&lt;=200,"3. De 100 a 200 m",IF(J2423&lt;=300,"4. De 200 a 300 m",IF(J2423&lt;=500,"5. De 300 a 500 m","6. De 500 m a 2 km"))))))</f>
        <v>3. De 100 a 200 m</v>
      </c>
      <c r="L2423" s="26" t="n">
        <v>0</v>
      </c>
      <c r="M2423" s="26" t="n">
        <v>0</v>
      </c>
      <c r="N2423" s="26" t="n">
        <v>2</v>
      </c>
      <c r="O2423" s="26" t="n">
        <v>4</v>
      </c>
      <c r="P2423" s="30" t="n">
        <v>-12.9614641</v>
      </c>
      <c r="Q2423" s="30" t="n">
        <v>-39.2519856</v>
      </c>
      <c r="R2423" s="14" t="inlineStr">
        <is>
          <t>RUA VEREADOR ALBERTINO LYRA, Nº 05, QUITANDINHA, SANTO ANTONIO DE JESUS/BA</t>
        </is>
      </c>
      <c r="S2423" s="26">
        <f>IF(A2423=A2422,0,1)</f>
        <v>0</v>
      </c>
      <c r="T2423" s="26">
        <f>IF(COUNTIF($B$4:B2423,B2423)=1,1,0)</f>
        <v>0</v>
      </c>
    </row>
    <row r="2424">
      <c r="A2424" s="14" t="inlineStr">
        <is>
          <t>SANTO ANTÔNIO DE JESUS</t>
        </is>
      </c>
      <c r="B2424" s="26" t="n">
        <v>202</v>
      </c>
      <c r="C2424" s="26" t="n">
        <v>1236</v>
      </c>
      <c r="D2424" s="14" t="inlineStr">
        <is>
          <t>GRUPO ESCOLAR ERNESTO GEISEL</t>
        </is>
      </c>
      <c r="E2424" s="14" t="inlineStr">
        <is>
          <t>POVOADO CASCO</t>
        </is>
      </c>
      <c r="F2424" s="14" t="inlineStr">
        <is>
          <t>POVOADO CASCO - ZONA RURAL</t>
        </is>
      </c>
      <c r="G2424" s="27" t="inlineStr">
        <is>
          <t>44570-000</t>
        </is>
      </c>
      <c r="H2424" s="15" t="n">
        <v>2</v>
      </c>
      <c r="I2424" s="28" t="inlineStr">
        <is>
          <t>NÃO</t>
        </is>
      </c>
      <c r="J2424" s="29" t="n">
        <v>297.4</v>
      </c>
      <c r="K2424" s="14" t="str">
        <f>IF(J2424="","7. Acima de 2 km",IF(J2424&lt;=50,"1. Até 50 m",IF(J2424&lt;=100,"2. De 50 a 100 m",IF(J2424&lt;=200,"3. De 100 a 200 m",IF(J2424&lt;=300,"4. De 200 a 300 m",IF(J2424&lt;=500,"5. De 300 a 500 m","6. De 500 m a 2 km"))))))</f>
        <v>4. De 200 a 300 m</v>
      </c>
      <c r="L2424" s="26" t="n">
        <v>0</v>
      </c>
      <c r="M2424" s="26" t="n">
        <v>0</v>
      </c>
      <c r="N2424" s="26" t="n">
        <v>0</v>
      </c>
      <c r="O2424" s="26" t="n">
        <v>1</v>
      </c>
      <c r="P2424" s="30" t="n">
        <v>-12.9558518</v>
      </c>
      <c r="Q2424" s="30" t="n">
        <v>-39.2468441</v>
      </c>
      <c r="R2424" s="14" t="inlineStr">
        <is>
          <t>RUA VEREADOR ALBERTINO LYRA, Nº 05, QUITANDINHA, SANTO ANTONIO DE JESUS/BA</t>
        </is>
      </c>
      <c r="S2424" s="26">
        <f>IF(A2424=A2423,0,1)</f>
        <v>0</v>
      </c>
      <c r="T2424" s="26">
        <f>IF(COUNTIF($B$4:B2424,B2424)=1,1,0)</f>
        <v>0</v>
      </c>
    </row>
    <row r="2425">
      <c r="A2425" s="14" t="inlineStr">
        <is>
          <t>SANTO ANTÔNIO DE JESUS</t>
        </is>
      </c>
      <c r="B2425" s="26" t="n">
        <v>202</v>
      </c>
      <c r="C2425" s="26" t="n">
        <v>1244</v>
      </c>
      <c r="D2425" s="14" t="inlineStr">
        <is>
          <t>CLUBE DOS CEM</t>
        </is>
      </c>
      <c r="E2425" s="14" t="inlineStr">
        <is>
          <t>SÃO CRISTOVÃO</t>
        </is>
      </c>
      <c r="F2425" s="14" t="inlineStr">
        <is>
          <t>RUA LOMANTO JÚNIOR, S/N - ZONA URBANA</t>
        </is>
      </c>
      <c r="G2425" s="27" t="inlineStr">
        <is>
          <t>44571-026</t>
        </is>
      </c>
      <c r="H2425" s="15" t="n">
        <v>5</v>
      </c>
      <c r="I2425" s="28" t="inlineStr">
        <is>
          <t>NÃO</t>
        </is>
      </c>
      <c r="J2425" s="29" t="n">
        <v>424.5</v>
      </c>
      <c r="K2425" s="14" t="str">
        <f>IF(J2425="","7. Acima de 2 km",IF(J2425&lt;=50,"1. Até 50 m",IF(J2425&lt;=100,"2. De 50 a 100 m",IF(J2425&lt;=200,"3. De 100 a 200 m",IF(J2425&lt;=300,"4. De 200 a 300 m",IF(J2425&lt;=500,"5. De 300 a 500 m","6. De 500 m a 2 km"))))))</f>
        <v>5. De 300 a 500 m</v>
      </c>
      <c r="L2425" s="26" t="n">
        <v>0</v>
      </c>
      <c r="M2425" s="26" t="n">
        <v>0</v>
      </c>
      <c r="N2425" s="26" t="n">
        <v>0</v>
      </c>
      <c r="O2425" s="26" t="n">
        <v>0</v>
      </c>
      <c r="P2425" s="30" t="n">
        <v>-12.962668</v>
      </c>
      <c r="Q2425" s="30" t="n">
        <v>-39.260166</v>
      </c>
      <c r="R2425" s="14" t="inlineStr">
        <is>
          <t>RUA VEREADOR ALBERTINO LYRA, Nº 05, QUITANDINHA, SANTO ANTONIO DE JESUS/BA</t>
        </is>
      </c>
      <c r="S2425" s="26">
        <f>IF(A2425=A2424,0,1)</f>
        <v>0</v>
      </c>
      <c r="T2425" s="26">
        <f>IF(COUNTIF($B$4:B2425,B2425)=1,1,0)</f>
        <v>0</v>
      </c>
    </row>
    <row r="2426">
      <c r="A2426" s="14" t="inlineStr">
        <is>
          <t>SANTO ANTÔNIO DE JESUS</t>
        </is>
      </c>
      <c r="B2426" s="26" t="n">
        <v>202</v>
      </c>
      <c r="C2426" s="26" t="n">
        <v>1252</v>
      </c>
      <c r="D2426" s="14" t="inlineStr">
        <is>
          <t>PREDIO ESCOLAR MADRE MARIA DO ROSARIO</t>
        </is>
      </c>
      <c r="E2426" s="14" t="inlineStr">
        <is>
          <t>CENTRO</t>
        </is>
      </c>
      <c r="F2426" s="14" t="inlineStr">
        <is>
          <t>RUA JUSTINIANO ROCHA GALVAO, S/N - ZONA URBANA</t>
        </is>
      </c>
      <c r="G2426" s="27" t="inlineStr">
        <is>
          <t>44570-000</t>
        </is>
      </c>
      <c r="H2426" s="15" t="n">
        <v>2</v>
      </c>
      <c r="I2426" s="28" t="inlineStr">
        <is>
          <t>NÃO</t>
        </is>
      </c>
      <c r="J2426" s="29" t="n">
        <v>732.1</v>
      </c>
      <c r="K2426" s="14" t="str">
        <f>IF(J2426="","7. Acima de 2 km",IF(J2426&lt;=50,"1. Até 50 m",IF(J2426&lt;=100,"2. De 50 a 100 m",IF(J2426&lt;=200,"3. De 100 a 200 m",IF(J2426&lt;=300,"4. De 200 a 300 m",IF(J2426&lt;=500,"5. De 300 a 500 m","6. De 500 m a 2 km"))))))</f>
        <v>6. De 500 m a 2 km</v>
      </c>
      <c r="L2426" s="26" t="n">
        <v>0</v>
      </c>
      <c r="M2426" s="26" t="n">
        <v>0</v>
      </c>
      <c r="N2426" s="26" t="n">
        <v>0</v>
      </c>
      <c r="O2426" s="26" t="n">
        <v>0</v>
      </c>
      <c r="P2426" s="30" t="n">
        <v>-12.9587324</v>
      </c>
      <c r="Q2426" s="30" t="n">
        <v>-39.2691525</v>
      </c>
      <c r="R2426" s="14" t="inlineStr">
        <is>
          <t>RUA VEREADOR ALBERTINO LYRA, Nº 05, QUITANDINHA, SANTO ANTONIO DE JESUS/BA</t>
        </is>
      </c>
      <c r="S2426" s="26">
        <f>IF(A2426=A2425,0,1)</f>
        <v>0</v>
      </c>
      <c r="T2426" s="26">
        <f>IF(COUNTIF($B$4:B2426,B2426)=1,1,0)</f>
        <v>0</v>
      </c>
    </row>
    <row r="2427">
      <c r="A2427" s="14" t="inlineStr">
        <is>
          <t>SANTO ANTÔNIO DE JESUS</t>
        </is>
      </c>
      <c r="B2427" s="26" t="n">
        <v>202</v>
      </c>
      <c r="C2427" s="26" t="n">
        <v>1260</v>
      </c>
      <c r="D2427" s="14" t="inlineStr">
        <is>
          <t>PREDIO MUNICIPAL FLORENCIO FERREIRA</t>
        </is>
      </c>
      <c r="E2427" s="14" t="inlineStr">
        <is>
          <t>POVOADO GAMELO</t>
        </is>
      </c>
      <c r="F2427" s="14" t="inlineStr">
        <is>
          <t>POVOADO GAMELO - ZONA RURAL</t>
        </is>
      </c>
      <c r="G2427" s="27" t="inlineStr">
        <is>
          <t>44570-000</t>
        </is>
      </c>
      <c r="H2427" s="15" t="n">
        <v>1</v>
      </c>
      <c r="I2427" s="28" t="inlineStr">
        <is>
          <t>NÃO</t>
        </is>
      </c>
      <c r="J2427" s="29" t="n">
        <v>992.3</v>
      </c>
      <c r="K2427" s="14" t="str">
        <f>IF(J2427="","7. Acima de 2 km",IF(J2427&lt;=50,"1. Até 50 m",IF(J2427&lt;=100,"2. De 50 a 100 m",IF(J2427&lt;=200,"3. De 100 a 200 m",IF(J2427&lt;=300,"4. De 200 a 300 m",IF(J2427&lt;=500,"5. De 300 a 500 m","6. De 500 m a 2 km"))))))</f>
        <v>6. De 500 m a 2 km</v>
      </c>
      <c r="L2427" s="26" t="n">
        <v>0</v>
      </c>
      <c r="M2427" s="26" t="n">
        <v>0</v>
      </c>
      <c r="N2427" s="26" t="n">
        <v>0</v>
      </c>
      <c r="O2427" s="26" t="n">
        <v>0</v>
      </c>
      <c r="P2427" s="30" t="n">
        <v>-12.9964225</v>
      </c>
      <c r="Q2427" s="30" t="n">
        <v>-39.165237</v>
      </c>
      <c r="R2427" s="14" t="inlineStr">
        <is>
          <t>RUA VEREADOR ALBERTINO LYRA, Nº 05, QUITANDINHA, SANTO ANTONIO DE JESUS/BA</t>
        </is>
      </c>
      <c r="S2427" s="26">
        <f>IF(A2427=A2426,0,1)</f>
        <v>0</v>
      </c>
      <c r="T2427" s="26">
        <f>IF(COUNTIF($B$4:B2427,B2427)=1,1,0)</f>
        <v>0</v>
      </c>
    </row>
    <row r="2428">
      <c r="A2428" s="14" t="inlineStr">
        <is>
          <t>SANTO ANTÔNIO DE JESUS</t>
        </is>
      </c>
      <c r="B2428" s="26" t="n">
        <v>202</v>
      </c>
      <c r="C2428" s="26" t="n">
        <v>1279</v>
      </c>
      <c r="D2428" s="14" t="inlineStr">
        <is>
          <t>ESCOLA MUNICIPAL ROMULO BARRETO DE ALMEIDA</t>
        </is>
      </c>
      <c r="E2428" s="14" t="inlineStr">
        <is>
          <t>SANTA TEREZINHA</t>
        </is>
      </c>
      <c r="F2428" s="14" t="inlineStr">
        <is>
          <t>URBIS III, RUA A, S/N - ZONA URBANA</t>
        </is>
      </c>
      <c r="G2428" s="27" t="inlineStr">
        <is>
          <t>44570-000</t>
        </is>
      </c>
      <c r="H2428" s="15" t="n">
        <v>4</v>
      </c>
      <c r="I2428" s="28" t="inlineStr">
        <is>
          <t>NÃO</t>
        </is>
      </c>
      <c r="J2428" s="29" t="n">
        <v>322.2</v>
      </c>
      <c r="K2428" s="14" t="str">
        <f>IF(J2428="","7. Acima de 2 km",IF(J2428&lt;=50,"1. Até 50 m",IF(J2428&lt;=100,"2. De 50 a 100 m",IF(J2428&lt;=200,"3. De 100 a 200 m",IF(J2428&lt;=300,"4. De 200 a 300 m",IF(J2428&lt;=500,"5. De 300 a 500 m","6. De 500 m a 2 km"))))))</f>
        <v>5. De 300 a 500 m</v>
      </c>
      <c r="L2428" s="26" t="n">
        <v>0</v>
      </c>
      <c r="M2428" s="26" t="n">
        <v>0</v>
      </c>
      <c r="N2428" s="26" t="n">
        <v>0</v>
      </c>
      <c r="O2428" s="26" t="n">
        <v>0</v>
      </c>
      <c r="P2428" s="30" t="n">
        <v>-12.9661994</v>
      </c>
      <c r="Q2428" s="30" t="n">
        <v>-39.2330754</v>
      </c>
      <c r="R2428" s="14" t="inlineStr">
        <is>
          <t>RUA VEREADOR ALBERTINO LYRA, Nº 05, QUITANDINHA, SANTO ANTONIO DE JESUS/BA</t>
        </is>
      </c>
      <c r="S2428" s="26">
        <f>IF(A2428=A2427,0,1)</f>
        <v>0</v>
      </c>
      <c r="T2428" s="26">
        <f>IF(COUNTIF($B$4:B2428,B2428)=1,1,0)</f>
        <v>0</v>
      </c>
    </row>
    <row r="2429">
      <c r="A2429" s="14" t="inlineStr">
        <is>
          <t>SANTO ANTÔNIO DE JESUS</t>
        </is>
      </c>
      <c r="B2429" s="26" t="n">
        <v>202</v>
      </c>
      <c r="C2429" s="26" t="n">
        <v>1287</v>
      </c>
      <c r="D2429" s="14" t="inlineStr">
        <is>
          <t>UFRB</t>
        </is>
      </c>
      <c r="E2429" s="14" t="inlineStr">
        <is>
          <t>CAJUEIRO</t>
        </is>
      </c>
      <c r="F2429" s="14" t="inlineStr">
        <is>
          <t>AVENIDA CARLOS AMARAL, 1015 - ZONA URBANA</t>
        </is>
      </c>
      <c r="G2429" s="27" t="inlineStr">
        <is>
          <t>44574-490</t>
        </is>
      </c>
      <c r="H2429" s="15" t="n">
        <v>4</v>
      </c>
      <c r="I2429" s="28" t="inlineStr">
        <is>
          <t>NÃO</t>
        </is>
      </c>
      <c r="J2429" s="29" t="n">
        <v>119.4</v>
      </c>
      <c r="K2429" s="14" t="str">
        <f>IF(J2429="","7. Acima de 2 km",IF(J2429&lt;=50,"1. Até 50 m",IF(J2429&lt;=100,"2. De 50 a 100 m",IF(J2429&lt;=200,"3. De 100 a 200 m",IF(J2429&lt;=300,"4. De 200 a 300 m",IF(J2429&lt;=500,"5. De 300 a 500 m","6. De 500 m a 2 km"))))))</f>
        <v>3. De 100 a 200 m</v>
      </c>
      <c r="L2429" s="26" t="n">
        <v>0</v>
      </c>
      <c r="M2429" s="26" t="n">
        <v>0</v>
      </c>
      <c r="N2429" s="26" t="n">
        <v>2</v>
      </c>
      <c r="O2429" s="26" t="n">
        <v>2</v>
      </c>
      <c r="P2429" s="30" t="n">
        <v>-12.9785614</v>
      </c>
      <c r="Q2429" s="30" t="n">
        <v>-39.2499622</v>
      </c>
      <c r="R2429" s="14" t="inlineStr">
        <is>
          <t>RUA VEREADOR ALBERTINO LYRA, Nº 05, QUITANDINHA, SANTO ANTONIO DE JESUS/BA</t>
        </is>
      </c>
      <c r="S2429" s="26">
        <f>IF(A2429=A2428,0,1)</f>
        <v>0</v>
      </c>
      <c r="T2429" s="26">
        <f>IF(COUNTIF($B$4:B2429,B2429)=1,1,0)</f>
        <v>0</v>
      </c>
    </row>
    <row r="2430">
      <c r="A2430" s="14" t="inlineStr">
        <is>
          <t>SANTO ESTEVÃO</t>
        </is>
      </c>
      <c r="B2430" s="26" t="n">
        <v>143</v>
      </c>
      <c r="C2430" s="26" t="n">
        <v>1015</v>
      </c>
      <c r="D2430" s="14" t="inlineStr">
        <is>
          <t xml:space="preserve">ESCOLA MUNICIPAL MARIA ORLANDA MAGALHÃES DE OLIVEIRA </t>
        </is>
      </c>
      <c r="E2430" s="14" t="inlineStr">
        <is>
          <t>CENTRO</t>
        </is>
      </c>
      <c r="F2430" s="14" t="inlineStr">
        <is>
          <t>AV. CASTRO ALVES, 303</t>
        </is>
      </c>
      <c r="G2430" s="27" t="inlineStr">
        <is>
          <t>44190-000</t>
        </is>
      </c>
      <c r="H2430" s="15" t="n">
        <v>4</v>
      </c>
      <c r="I2430" s="28" t="inlineStr">
        <is>
          <t>NÃO</t>
        </is>
      </c>
      <c r="J2430" s="29" t="n">
        <v>319.1</v>
      </c>
      <c r="K2430" s="14" t="str">
        <f>IF(J2430="","7. Acima de 2 km",IF(J2430&lt;=50,"1. Até 50 m",IF(J2430&lt;=100,"2. De 50 a 100 m",IF(J2430&lt;=200,"3. De 100 a 200 m",IF(J2430&lt;=300,"4. De 200 a 300 m",IF(J2430&lt;=500,"5. De 300 a 500 m","6. De 500 m a 2 km"))))))</f>
        <v>5. De 300 a 500 m</v>
      </c>
      <c r="L2430" s="26" t="n">
        <v>0</v>
      </c>
      <c r="M2430" s="26" t="n">
        <v>0</v>
      </c>
      <c r="N2430" s="26" t="n">
        <v>0</v>
      </c>
      <c r="O2430" s="26" t="n">
        <v>0</v>
      </c>
      <c r="P2430" s="30" t="n">
        <v>-12.429067</v>
      </c>
      <c r="Q2430" s="30" t="n">
        <v>-39.2543475</v>
      </c>
      <c r="R2430" s="14" t="inlineStr">
        <is>
          <t>AV. GETÚLIO VARGAS, S/N, CENTRO, SANTO ESTÊVÃO/BA</t>
        </is>
      </c>
      <c r="S2430" s="26">
        <f>IF(A2430=A2429,0,1)</f>
        <v>1</v>
      </c>
      <c r="T2430" s="26">
        <f>IF(COUNTIF($B$4:B2430,B2430)=1,1,0)</f>
        <v>1</v>
      </c>
    </row>
    <row r="2431">
      <c r="A2431" s="14" t="inlineStr">
        <is>
          <t>SANTO ESTEVÃO</t>
        </is>
      </c>
      <c r="B2431" s="26" t="n">
        <v>143</v>
      </c>
      <c r="C2431" s="26" t="n">
        <v>1023</v>
      </c>
      <c r="D2431" s="14" t="inlineStr">
        <is>
          <t>COLÉGIO ESTADUAL DE TEMPO INTEGRAL PROFESSORA EDITE FERREIRA FONSECA</t>
        </is>
      </c>
      <c r="E2431" s="14" t="inlineStr">
        <is>
          <t>CENTRO</t>
        </is>
      </c>
      <c r="F2431" s="14" t="inlineStr">
        <is>
          <t>PRAÇA HUMBERTO ALVES NOGUEIRA, S/N, CENTRO</t>
        </is>
      </c>
      <c r="G2431" s="27" t="inlineStr">
        <is>
          <t>44190-000</t>
        </is>
      </c>
      <c r="H2431" s="15" t="n">
        <v>11</v>
      </c>
      <c r="I2431" s="28" t="inlineStr">
        <is>
          <t>NÃO</t>
        </is>
      </c>
      <c r="J2431" s="29" t="n">
        <v>159.3</v>
      </c>
      <c r="K2431" s="14" t="str">
        <f>IF(J2431="","7. Acima de 2 km",IF(J2431&lt;=50,"1. Até 50 m",IF(J2431&lt;=100,"2. De 50 a 100 m",IF(J2431&lt;=200,"3. De 100 a 200 m",IF(J2431&lt;=300,"4. De 200 a 300 m",IF(J2431&lt;=500,"5. De 300 a 500 m","6. De 500 m a 2 km"))))))</f>
        <v>3. De 100 a 200 m</v>
      </c>
      <c r="L2431" s="26" t="n">
        <v>0</v>
      </c>
      <c r="M2431" s="26" t="n">
        <v>0</v>
      </c>
      <c r="N2431" s="26" t="n">
        <v>1</v>
      </c>
      <c r="O2431" s="26" t="n">
        <v>2</v>
      </c>
      <c r="P2431" s="30" t="n">
        <v>-12.4329584</v>
      </c>
      <c r="Q2431" s="30" t="n">
        <v>-39.2512657</v>
      </c>
      <c r="R2431" s="14" t="inlineStr">
        <is>
          <t>AV. GETÚLIO VARGAS, S/N, CENTRO, SANTO ESTÊVÃO/BA</t>
        </is>
      </c>
      <c r="S2431" s="26">
        <f>IF(A2431=A2430,0,1)</f>
        <v>0</v>
      </c>
      <c r="T2431" s="26">
        <f>IF(COUNTIF($B$4:B2431,B2431)=1,1,0)</f>
        <v>0</v>
      </c>
    </row>
    <row r="2432">
      <c r="A2432" s="14" t="inlineStr">
        <is>
          <t>SANTO ESTEVÃO</t>
        </is>
      </c>
      <c r="B2432" s="26" t="n">
        <v>143</v>
      </c>
      <c r="C2432" s="26" t="n">
        <v>1066</v>
      </c>
      <c r="D2432" s="14" t="inlineStr">
        <is>
          <t>ESCOLA MUNICIPAL DOM PEDRO I</t>
        </is>
      </c>
      <c r="E2432" s="14" t="inlineStr">
        <is>
          <t>CENTRO</t>
        </is>
      </c>
      <c r="F2432" s="14" t="inlineStr">
        <is>
          <t xml:space="preserve">AV GETÚLIO VARGAS CENTRO </t>
        </is>
      </c>
      <c r="G2432" s="27" t="inlineStr">
        <is>
          <t>44190-000</t>
        </is>
      </c>
      <c r="H2432" s="15" t="n">
        <v>11</v>
      </c>
      <c r="I2432" s="28" t="inlineStr">
        <is>
          <t>SIM</t>
        </is>
      </c>
      <c r="J2432" s="29" t="n">
        <v>30.7</v>
      </c>
      <c r="K2432" s="14" t="str">
        <f>IF(J2432="","7. Acima de 2 km",IF(J2432&lt;=50,"1. Até 50 m",IF(J2432&lt;=100,"2. De 50 a 100 m",IF(J2432&lt;=200,"3. De 100 a 200 m",IF(J2432&lt;=300,"4. De 200 a 300 m",IF(J2432&lt;=500,"5. De 300 a 500 m","6. De 500 m a 2 km"))))))</f>
        <v>1. Até 50 m</v>
      </c>
      <c r="L2432" s="26" t="n">
        <v>1</v>
      </c>
      <c r="M2432" s="26" t="n">
        <v>1</v>
      </c>
      <c r="N2432" s="26" t="n">
        <v>1</v>
      </c>
      <c r="O2432" s="26" t="n">
        <v>1</v>
      </c>
      <c r="P2432" s="30" t="n">
        <v>-12.4332844</v>
      </c>
      <c r="Q2432" s="30" t="n">
        <v>-39.2492002</v>
      </c>
      <c r="R2432" s="14" t="inlineStr">
        <is>
          <t>AV. GETÚLIO VARGAS, S/N, CENTRO, SANTO ESTÊVÃO/BA</t>
        </is>
      </c>
      <c r="S2432" s="26">
        <f>IF(A2432=A2431,0,1)</f>
        <v>0</v>
      </c>
      <c r="T2432" s="26">
        <f>IF(COUNTIF($B$4:B2432,B2432)=1,1,0)</f>
        <v>0</v>
      </c>
    </row>
    <row r="2433">
      <c r="A2433" s="14" t="inlineStr">
        <is>
          <t>SANTO ESTEVÃO</t>
        </is>
      </c>
      <c r="B2433" s="26" t="n">
        <v>143</v>
      </c>
      <c r="C2433" s="26" t="n">
        <v>1074</v>
      </c>
      <c r="D2433" s="14" t="inlineStr">
        <is>
          <t>GRUPO ESCOLAR ISAURO BORGES CABRAL</t>
        </is>
      </c>
      <c r="E2433" s="14" t="inlineStr">
        <is>
          <t>CENTRO</t>
        </is>
      </c>
      <c r="F2433" s="14" t="inlineStr">
        <is>
          <t>PRAÇA 21 DE SETEMBRO, S/N  - ZONA URBANA</t>
        </is>
      </c>
      <c r="G2433" s="27" t="inlineStr">
        <is>
          <t>44190-000</t>
        </is>
      </c>
      <c r="H2433" s="15" t="n">
        <v>5</v>
      </c>
      <c r="I2433" s="28" t="inlineStr">
        <is>
          <t>NÃO</t>
        </is>
      </c>
      <c r="J2433" s="29" t="n">
        <v>499.1</v>
      </c>
      <c r="K2433" s="14" t="str">
        <f>IF(J2433="","7. Acima de 2 km",IF(J2433&lt;=50,"1. Até 50 m",IF(J2433&lt;=100,"2. De 50 a 100 m",IF(J2433&lt;=200,"3. De 100 a 200 m",IF(J2433&lt;=300,"4. De 200 a 300 m",IF(J2433&lt;=500,"5. De 300 a 500 m","6. De 500 m a 2 km"))))))</f>
        <v>5. De 300 a 500 m</v>
      </c>
      <c r="L2433" s="26" t="n">
        <v>0</v>
      </c>
      <c r="M2433" s="26" t="n">
        <v>0</v>
      </c>
      <c r="N2433" s="26" t="n">
        <v>0</v>
      </c>
      <c r="O2433" s="26" t="n">
        <v>0</v>
      </c>
      <c r="P2433" s="30" t="n">
        <v>-12.4350531</v>
      </c>
      <c r="Q2433" s="30" t="n">
        <v>-39.2541695</v>
      </c>
      <c r="R2433" s="14" t="inlineStr">
        <is>
          <t>AV. GETÚLIO VARGAS, S/N, CENTRO, SANTO ESTÊVÃO/BA</t>
        </is>
      </c>
      <c r="S2433" s="26">
        <f>IF(A2433=A2432,0,1)</f>
        <v>0</v>
      </c>
      <c r="T2433" s="26">
        <f>IF(COUNTIF($B$4:B2433,B2433)=1,1,0)</f>
        <v>0</v>
      </c>
    </row>
    <row r="2434">
      <c r="A2434" s="14" t="inlineStr">
        <is>
          <t>SANTO ESTEVÃO</t>
        </is>
      </c>
      <c r="B2434" s="26" t="n">
        <v>143</v>
      </c>
      <c r="C2434" s="26" t="n">
        <v>1082</v>
      </c>
      <c r="D2434" s="14" t="inlineStr">
        <is>
          <t xml:space="preserve">ESCOLA MUNICIPAL PROFESSOR JOSÉ AGNALDO BARRETO DE ALMEIDA </t>
        </is>
      </c>
      <c r="E2434" s="14" t="inlineStr">
        <is>
          <t>CENTRO</t>
        </is>
      </c>
      <c r="F2434" s="14" t="inlineStr">
        <is>
          <t>AVENIDA LUIZ VIANA   - ZONA URBANA</t>
        </is>
      </c>
      <c r="G2434" s="27" t="inlineStr">
        <is>
          <t>44190-000</t>
        </is>
      </c>
      <c r="H2434" s="15" t="n">
        <v>4</v>
      </c>
      <c r="I2434" s="28" t="inlineStr">
        <is>
          <t>SIM</t>
        </is>
      </c>
      <c r="J2434" s="29" t="n">
        <v>14</v>
      </c>
      <c r="K2434" s="14" t="str">
        <f>IF(J2434="","7. Acima de 2 km",IF(J2434&lt;=50,"1. Até 50 m",IF(J2434&lt;=100,"2. De 50 a 100 m",IF(J2434&lt;=200,"3. De 100 a 200 m",IF(J2434&lt;=300,"4. De 200 a 300 m",IF(J2434&lt;=500,"5. De 300 a 500 m","6. De 500 m a 2 km"))))))</f>
        <v>1. Até 50 m</v>
      </c>
      <c r="L2434" s="26" t="n">
        <v>1</v>
      </c>
      <c r="M2434" s="26" t="n">
        <v>1</v>
      </c>
      <c r="N2434" s="26" t="n">
        <v>1</v>
      </c>
      <c r="O2434" s="26" t="n">
        <v>2</v>
      </c>
      <c r="P2434" s="30" t="n">
        <v>-12.4290071</v>
      </c>
      <c r="Q2434" s="30" t="n">
        <v>-39.2472377</v>
      </c>
      <c r="R2434" s="14" t="inlineStr">
        <is>
          <t>AV. GETÚLIO VARGAS, S/N, CENTRO, SANTO ESTÊVÃO/BA</t>
        </is>
      </c>
      <c r="S2434" s="26">
        <f>IF(A2434=A2433,0,1)</f>
        <v>0</v>
      </c>
      <c r="T2434" s="26">
        <f>IF(COUNTIF($B$4:B2434,B2434)=1,1,0)</f>
        <v>0</v>
      </c>
    </row>
    <row r="2435">
      <c r="A2435" s="14" t="inlineStr">
        <is>
          <t>SANTO ESTEVÃO</t>
        </is>
      </c>
      <c r="B2435" s="26" t="n">
        <v>143</v>
      </c>
      <c r="C2435" s="26" t="n">
        <v>1120</v>
      </c>
      <c r="D2435" s="14" t="inlineStr">
        <is>
          <t>ESCOLA MUNICIPAL PROFESSOR JOSÉ DE OLIVEIRA ARAPIRACA</t>
        </is>
      </c>
      <c r="E2435" s="14" t="inlineStr">
        <is>
          <t>POVOADO PAIAIA</t>
        </is>
      </c>
      <c r="F2435" s="14" t="inlineStr">
        <is>
          <t>POVOADO PAIAIA - ZONA RURAL</t>
        </is>
      </c>
      <c r="G2435" s="27" t="inlineStr">
        <is>
          <t>44190-000</t>
        </is>
      </c>
      <c r="H2435" s="15" t="n">
        <v>2</v>
      </c>
      <c r="I2435" s="28" t="inlineStr">
        <is>
          <t>NÃO</t>
        </is>
      </c>
      <c r="J2435" s="29" t="n"/>
      <c r="K2435" s="14" t="str">
        <f>IF(J2435="","7. Acima de 2 km",IF(J2435&lt;=50,"1. Até 50 m",IF(J2435&lt;=100,"2. De 50 a 100 m",IF(J2435&lt;=200,"3. De 100 a 200 m",IF(J2435&lt;=300,"4. De 200 a 300 m",IF(J2435&lt;=500,"5. De 300 a 500 m","6. De 500 m a 2 km"))))))</f>
        <v>7. Acima de 2 km</v>
      </c>
      <c r="L2435" s="26" t="n">
        <v>0</v>
      </c>
      <c r="M2435" s="26" t="n">
        <v>0</v>
      </c>
      <c r="N2435" s="26" t="n">
        <v>0</v>
      </c>
      <c r="O2435" s="26" t="n">
        <v>0</v>
      </c>
      <c r="P2435" s="30" t="n">
        <v>-12.4941765</v>
      </c>
      <c r="Q2435" s="30" t="n">
        <v>-39.3783608</v>
      </c>
      <c r="R2435" s="14" t="inlineStr">
        <is>
          <t>AV. GETÚLIO VARGAS, S/N, CENTRO, SANTO ESTÊVÃO/BA</t>
        </is>
      </c>
      <c r="S2435" s="26">
        <f>IF(A2435=A2434,0,1)</f>
        <v>0</v>
      </c>
      <c r="T2435" s="26">
        <f>IF(COUNTIF($B$4:B2435,B2435)=1,1,0)</f>
        <v>0</v>
      </c>
    </row>
    <row r="2436">
      <c r="A2436" s="14" t="inlineStr">
        <is>
          <t>SANTO ESTEVÃO</t>
        </is>
      </c>
      <c r="B2436" s="26" t="n">
        <v>143</v>
      </c>
      <c r="C2436" s="26" t="n">
        <v>1139</v>
      </c>
      <c r="D2436" s="14" t="inlineStr">
        <is>
          <t>ESCOLA MUNICIPAL LINÉSIO BASTOS DE SANTANA</t>
        </is>
      </c>
      <c r="E2436" s="14" t="inlineStr">
        <is>
          <t>POVOADO KM 50</t>
        </is>
      </c>
      <c r="F2436" s="14" t="inlineStr">
        <is>
          <t>POVOADO KM 50 - ZONA RURAL</t>
        </is>
      </c>
      <c r="G2436" s="27" t="inlineStr">
        <is>
          <t>44190-000</t>
        </is>
      </c>
      <c r="H2436" s="15" t="n">
        <v>2</v>
      </c>
      <c r="I2436" s="28" t="inlineStr">
        <is>
          <t>NÃO</t>
        </is>
      </c>
      <c r="J2436" s="29" t="n"/>
      <c r="K2436" s="14" t="str">
        <f>IF(J2436="","7. Acima de 2 km",IF(J2436&lt;=50,"1. Até 50 m",IF(J2436&lt;=100,"2. De 50 a 100 m",IF(J2436&lt;=200,"3. De 100 a 200 m",IF(J2436&lt;=300,"4. De 200 a 300 m",IF(J2436&lt;=500,"5. De 300 a 500 m","6. De 500 m a 2 km"))))))</f>
        <v>7. Acima de 2 km</v>
      </c>
      <c r="L2436" s="26" t="n">
        <v>0</v>
      </c>
      <c r="M2436" s="26" t="n">
        <v>0</v>
      </c>
      <c r="N2436" s="26" t="n">
        <v>0</v>
      </c>
      <c r="O2436" s="26" t="n">
        <v>0</v>
      </c>
      <c r="P2436" s="30" t="n">
        <v>-12.4959767</v>
      </c>
      <c r="Q2436" s="30" t="n">
        <v>-39.3394087</v>
      </c>
      <c r="R2436" s="14" t="inlineStr">
        <is>
          <t>AV. GETÚLIO VARGAS, S/N, CENTRO, SANTO ESTÊVÃO/BA</t>
        </is>
      </c>
      <c r="S2436" s="26">
        <f>IF(A2436=A2435,0,1)</f>
        <v>0</v>
      </c>
      <c r="T2436" s="26">
        <f>IF(COUNTIF($B$4:B2436,B2436)=1,1,0)</f>
        <v>0</v>
      </c>
    </row>
    <row r="2437">
      <c r="A2437" s="14" t="inlineStr">
        <is>
          <t>SANTO ESTEVÃO</t>
        </is>
      </c>
      <c r="B2437" s="26" t="n">
        <v>143</v>
      </c>
      <c r="C2437" s="26" t="n">
        <v>1147</v>
      </c>
      <c r="D2437" s="14" t="inlineStr">
        <is>
          <t>ESCOLA MUNICIPAL JOÃO VITORINO DE MOURA</t>
        </is>
      </c>
      <c r="E2437" s="14" t="inlineStr">
        <is>
          <t>POVOADO LAGOA PEQUENA</t>
        </is>
      </c>
      <c r="F2437" s="14" t="inlineStr">
        <is>
          <t>POVOADO LAGOA PEQUENA - ZONA RURAL</t>
        </is>
      </c>
      <c r="G2437" s="27" t="inlineStr">
        <is>
          <t>44190-000</t>
        </is>
      </c>
      <c r="H2437" s="15" t="n">
        <v>2</v>
      </c>
      <c r="I2437" s="28" t="inlineStr">
        <is>
          <t>NÃO</t>
        </is>
      </c>
      <c r="J2437" s="29" t="n"/>
      <c r="K2437" s="14" t="str">
        <f>IF(J2437="","7. Acima de 2 km",IF(J2437&lt;=50,"1. Até 50 m",IF(J2437&lt;=100,"2. De 50 a 100 m",IF(J2437&lt;=200,"3. De 100 a 200 m",IF(J2437&lt;=300,"4. De 200 a 300 m",IF(J2437&lt;=500,"5. De 300 a 500 m","6. De 500 m a 2 km"))))))</f>
        <v>7. Acima de 2 km</v>
      </c>
      <c r="L2437" s="26" t="n">
        <v>0</v>
      </c>
      <c r="M2437" s="26" t="n">
        <v>0</v>
      </c>
      <c r="N2437" s="26" t="n">
        <v>0</v>
      </c>
      <c r="O2437" s="26" t="n">
        <v>0</v>
      </c>
      <c r="P2437" s="30" t="n">
        <v>-12.5082982</v>
      </c>
      <c r="Q2437" s="30" t="n">
        <v>-39.3205653</v>
      </c>
      <c r="R2437" s="14" t="inlineStr">
        <is>
          <t>AV. GETÚLIO VARGAS, S/N, CENTRO, SANTO ESTÊVÃO/BA</t>
        </is>
      </c>
      <c r="S2437" s="26">
        <f>IF(A2437=A2436,0,1)</f>
        <v>0</v>
      </c>
      <c r="T2437" s="26">
        <f>IF(COUNTIF($B$4:B2437,B2437)=1,1,0)</f>
        <v>0</v>
      </c>
    </row>
    <row r="2438">
      <c r="A2438" s="14" t="inlineStr">
        <is>
          <t>SANTO ESTEVÃO</t>
        </is>
      </c>
      <c r="B2438" s="26" t="n">
        <v>143</v>
      </c>
      <c r="C2438" s="26" t="n">
        <v>1163</v>
      </c>
      <c r="D2438" s="14" t="inlineStr">
        <is>
          <t>ESCOLA MUNICIPAL RAMIRO JÚLIO DA PAIXÃO</t>
        </is>
      </c>
      <c r="E2438" s="14" t="inlineStr">
        <is>
          <t>POVOADO CAATINGUINHA</t>
        </is>
      </c>
      <c r="F2438" s="14" t="inlineStr">
        <is>
          <t>POVOADO CAATINGUINHA - ZONA RURAL</t>
        </is>
      </c>
      <c r="G2438" s="27" t="inlineStr">
        <is>
          <t>44190-000</t>
        </is>
      </c>
      <c r="H2438" s="15" t="n">
        <v>4</v>
      </c>
      <c r="I2438" s="28" t="inlineStr">
        <is>
          <t>NÃO</t>
        </is>
      </c>
      <c r="J2438" s="29" t="n"/>
      <c r="K2438" s="14" t="str">
        <f>IF(J2438="","7. Acima de 2 km",IF(J2438&lt;=50,"1. Até 50 m",IF(J2438&lt;=100,"2. De 50 a 100 m",IF(J2438&lt;=200,"3. De 100 a 200 m",IF(J2438&lt;=300,"4. De 200 a 300 m",IF(J2438&lt;=500,"5. De 300 a 500 m","6. De 500 m a 2 km"))))))</f>
        <v>7. Acima de 2 km</v>
      </c>
      <c r="L2438" s="26" t="n">
        <v>0</v>
      </c>
      <c r="M2438" s="26" t="n">
        <v>0</v>
      </c>
      <c r="N2438" s="26" t="n">
        <v>0</v>
      </c>
      <c r="O2438" s="26" t="n">
        <v>0</v>
      </c>
      <c r="P2438" s="30" t="n">
        <v>-12.4633465</v>
      </c>
      <c r="Q2438" s="30" t="n">
        <v>-39.1919607</v>
      </c>
      <c r="R2438" s="14" t="inlineStr">
        <is>
          <t>AV. GETÚLIO VARGAS, S/N, CENTRO, SANTO ESTÊVÃO/BA</t>
        </is>
      </c>
      <c r="S2438" s="26">
        <f>IF(A2438=A2437,0,1)</f>
        <v>0</v>
      </c>
      <c r="T2438" s="26">
        <f>IF(COUNTIF($B$4:B2438,B2438)=1,1,0)</f>
        <v>0</v>
      </c>
    </row>
    <row r="2439">
      <c r="A2439" s="14" t="inlineStr">
        <is>
          <t>SANTO ESTEVÃO</t>
        </is>
      </c>
      <c r="B2439" s="26" t="n">
        <v>143</v>
      </c>
      <c r="C2439" s="26" t="n">
        <v>1198</v>
      </c>
      <c r="D2439" s="14" t="inlineStr">
        <is>
          <t>ESCOLA MUNICIPAL PROFESSORA AUTA PEREIRA DE AZEVEDO</t>
        </is>
      </c>
      <c r="E2439" s="14" t="inlineStr">
        <is>
          <t>POVOADO SÍTIO DO ARAGÃO</t>
        </is>
      </c>
      <c r="F2439" s="14" t="inlineStr">
        <is>
          <t>POVOADO SÍTIO DO ARAGÃO - ZONA RURAL</t>
        </is>
      </c>
      <c r="G2439" s="27" t="inlineStr">
        <is>
          <t>44190-000</t>
        </is>
      </c>
      <c r="H2439" s="15" t="n">
        <v>5</v>
      </c>
      <c r="I2439" s="28" t="inlineStr">
        <is>
          <t>NÃO</t>
        </is>
      </c>
      <c r="J2439" s="29" t="n"/>
      <c r="K2439" s="14" t="str">
        <f>IF(J2439="","7. Acima de 2 km",IF(J2439&lt;=50,"1. Até 50 m",IF(J2439&lt;=100,"2. De 50 a 100 m",IF(J2439&lt;=200,"3. De 100 a 200 m",IF(J2439&lt;=300,"4. De 200 a 300 m",IF(J2439&lt;=500,"5. De 300 a 500 m","6. De 500 m a 2 km"))))))</f>
        <v>7. Acima de 2 km</v>
      </c>
      <c r="L2439" s="26" t="n">
        <v>0</v>
      </c>
      <c r="M2439" s="26" t="n">
        <v>0</v>
      </c>
      <c r="N2439" s="26" t="n">
        <v>0</v>
      </c>
      <c r="O2439" s="26" t="n">
        <v>0</v>
      </c>
      <c r="P2439" s="30" t="n">
        <v>-12.4345219</v>
      </c>
      <c r="Q2439" s="30" t="n">
        <v>-39.3155681</v>
      </c>
      <c r="R2439" s="14" t="inlineStr">
        <is>
          <t>AV. GETÚLIO VARGAS, S/N, CENTRO, SANTO ESTÊVÃO/BA</t>
        </is>
      </c>
      <c r="S2439" s="26">
        <f>IF(A2439=A2438,0,1)</f>
        <v>0</v>
      </c>
      <c r="T2439" s="26">
        <f>IF(COUNTIF($B$4:B2439,B2439)=1,1,0)</f>
        <v>0</v>
      </c>
    </row>
    <row r="2440">
      <c r="A2440" s="14" t="inlineStr">
        <is>
          <t>SANTO ESTEVÃO</t>
        </is>
      </c>
      <c r="B2440" s="26" t="n">
        <v>143</v>
      </c>
      <c r="C2440" s="26" t="n">
        <v>1201</v>
      </c>
      <c r="D2440" s="14" t="inlineStr">
        <is>
          <t>ESCOLA MUNICIPAL ODILTON OLIVEIRA</t>
        </is>
      </c>
      <c r="E2440" s="14" t="inlineStr">
        <is>
          <t>POVOADO DIQUE</t>
        </is>
      </c>
      <c r="F2440" s="14" t="inlineStr">
        <is>
          <t>POVOADO DIQUE  - ZONA RURAL</t>
        </is>
      </c>
      <c r="G2440" s="27" t="inlineStr">
        <is>
          <t>44190-000</t>
        </is>
      </c>
      <c r="H2440" s="15" t="n">
        <v>3</v>
      </c>
      <c r="I2440" s="28" t="inlineStr">
        <is>
          <t>NÃO</t>
        </is>
      </c>
      <c r="J2440" s="29" t="n"/>
      <c r="K2440" s="14" t="str">
        <f>IF(J2440="","7. Acima de 2 km",IF(J2440&lt;=50,"1. Até 50 m",IF(J2440&lt;=100,"2. De 50 a 100 m",IF(J2440&lt;=200,"3. De 100 a 200 m",IF(J2440&lt;=300,"4. De 200 a 300 m",IF(J2440&lt;=500,"5. De 300 a 500 m","6. De 500 m a 2 km"))))))</f>
        <v>7. Acima de 2 km</v>
      </c>
      <c r="L2440" s="26" t="n">
        <v>0</v>
      </c>
      <c r="M2440" s="26" t="n">
        <v>0</v>
      </c>
      <c r="N2440" s="26" t="n">
        <v>0</v>
      </c>
      <c r="O2440" s="26" t="n">
        <v>0</v>
      </c>
      <c r="P2440" s="30" t="n">
        <v>-12.4910385</v>
      </c>
      <c r="Q2440" s="30" t="n">
        <v>-39.2791956</v>
      </c>
      <c r="R2440" s="14" t="inlineStr">
        <is>
          <t>AV. GETÚLIO VARGAS, S/N, CENTRO, SANTO ESTÊVÃO/BA</t>
        </is>
      </c>
      <c r="S2440" s="26">
        <f>IF(A2440=A2439,0,1)</f>
        <v>0</v>
      </c>
      <c r="T2440" s="26">
        <f>IF(COUNTIF($B$4:B2440,B2440)=1,1,0)</f>
        <v>0</v>
      </c>
    </row>
    <row r="2441">
      <c r="A2441" s="14" t="inlineStr">
        <is>
          <t>SANTO ESTEVÃO</t>
        </is>
      </c>
      <c r="B2441" s="26" t="n">
        <v>143</v>
      </c>
      <c r="C2441" s="26" t="n">
        <v>1210</v>
      </c>
      <c r="D2441" s="14" t="inlineStr">
        <is>
          <t>ESCOLA MUNICIPAL ANTONIA OLIVEIRA SILVA ARAÚJO</t>
        </is>
      </c>
      <c r="E2441" s="14" t="inlineStr">
        <is>
          <t>POVOADO VÁRZEA SUJA</t>
        </is>
      </c>
      <c r="F2441" s="14" t="inlineStr">
        <is>
          <t>POVOADO VÁRZEA DA CASA - ZONA RURAL</t>
        </is>
      </c>
      <c r="G2441" s="27" t="inlineStr">
        <is>
          <t>44190-000</t>
        </is>
      </c>
      <c r="H2441" s="15" t="n">
        <v>5</v>
      </c>
      <c r="I2441" s="28" t="inlineStr">
        <is>
          <t>NÃO</t>
        </is>
      </c>
      <c r="J2441" s="29" t="n"/>
      <c r="K2441" s="14" t="str">
        <f>IF(J2441="","7. Acima de 2 km",IF(J2441&lt;=50,"1. Até 50 m",IF(J2441&lt;=100,"2. De 50 a 100 m",IF(J2441&lt;=200,"3. De 100 a 200 m",IF(J2441&lt;=300,"4. De 200 a 300 m",IF(J2441&lt;=500,"5. De 300 a 500 m","6. De 500 m a 2 km"))))))</f>
        <v>7. Acima de 2 km</v>
      </c>
      <c r="L2441" s="26" t="n">
        <v>0</v>
      </c>
      <c r="M2441" s="26" t="n">
        <v>0</v>
      </c>
      <c r="N2441" s="26" t="n">
        <v>0</v>
      </c>
      <c r="O2441" s="26" t="n">
        <v>0</v>
      </c>
      <c r="P2441" s="30" t="n">
        <v>-12.4751436</v>
      </c>
      <c r="Q2441" s="30" t="n">
        <v>-39.2398827</v>
      </c>
      <c r="R2441" s="14" t="inlineStr">
        <is>
          <t>AV. GETÚLIO VARGAS, S/N, CENTRO, SANTO ESTÊVÃO/BA</t>
        </is>
      </c>
      <c r="S2441" s="26">
        <f>IF(A2441=A2440,0,1)</f>
        <v>0</v>
      </c>
      <c r="T2441" s="26">
        <f>IF(COUNTIF($B$4:B2441,B2441)=1,1,0)</f>
        <v>0</v>
      </c>
    </row>
    <row r="2442">
      <c r="A2442" s="14" t="inlineStr">
        <is>
          <t>SANTO ESTEVÃO</t>
        </is>
      </c>
      <c r="B2442" s="26" t="n">
        <v>143</v>
      </c>
      <c r="C2442" s="26" t="n">
        <v>1228</v>
      </c>
      <c r="D2442" s="14" t="inlineStr">
        <is>
          <t>ESCOLA MUNICIPAL PROFESSORA NEUZA MARIA PIRES DA SILVA</t>
        </is>
      </c>
      <c r="E2442" s="14" t="inlineStr">
        <is>
          <t>POVOADO VÁRZEA DA CASA</t>
        </is>
      </c>
      <c r="F2442" s="14" t="inlineStr">
        <is>
          <t>POVOADO VÁRZEA DA CASA - ZONA RURAL</t>
        </is>
      </c>
      <c r="G2442" s="27" t="inlineStr">
        <is>
          <t>44190-000</t>
        </is>
      </c>
      <c r="H2442" s="15" t="n">
        <v>4</v>
      </c>
      <c r="I2442" s="28" t="inlineStr">
        <is>
          <t>NÃO</t>
        </is>
      </c>
      <c r="J2442" s="29" t="n"/>
      <c r="K2442" s="14" t="str">
        <f>IF(J2442="","7. Acima de 2 km",IF(J2442&lt;=50,"1. Até 50 m",IF(J2442&lt;=100,"2. De 50 a 100 m",IF(J2442&lt;=200,"3. De 100 a 200 m",IF(J2442&lt;=300,"4. De 200 a 300 m",IF(J2442&lt;=500,"5. De 300 a 500 m","6. De 500 m a 2 km"))))))</f>
        <v>7. Acima de 2 km</v>
      </c>
      <c r="L2442" s="26" t="n">
        <v>0</v>
      </c>
      <c r="M2442" s="26" t="n">
        <v>0</v>
      </c>
      <c r="N2442" s="26" t="n">
        <v>0</v>
      </c>
      <c r="O2442" s="26" t="n">
        <v>0</v>
      </c>
      <c r="P2442" s="30" t="n">
        <v>-12.4749286</v>
      </c>
      <c r="Q2442" s="30" t="n">
        <v>-39.2406599</v>
      </c>
      <c r="R2442" s="14" t="inlineStr">
        <is>
          <t>AV. GETÚLIO VARGAS, S/N, CENTRO, SANTO ESTÊVÃO/BA</t>
        </is>
      </c>
      <c r="S2442" s="26">
        <f>IF(A2442=A2441,0,1)</f>
        <v>0</v>
      </c>
      <c r="T2442" s="26">
        <f>IF(COUNTIF($B$4:B2442,B2442)=1,1,0)</f>
        <v>0</v>
      </c>
    </row>
    <row r="2443">
      <c r="A2443" s="14" t="inlineStr">
        <is>
          <t>SANTO ESTEVÃO</t>
        </is>
      </c>
      <c r="B2443" s="26" t="n">
        <v>143</v>
      </c>
      <c r="C2443" s="26" t="n">
        <v>1236</v>
      </c>
      <c r="D2443" s="14" t="inlineStr">
        <is>
          <t>COLÉGIO ESTADUAL DE TEMPO INTEGRAL DE SANTO ESTEVÃO</t>
        </is>
      </c>
      <c r="E2443" s="14" t="inlineStr">
        <is>
          <t>CENTRO</t>
        </is>
      </c>
      <c r="F2443" s="14" t="inlineStr">
        <is>
          <t>RUA DR. ANÍSIO MOREIRA ALVES, 79, CENTRO - ZONA URBANA</t>
        </is>
      </c>
      <c r="G2443" s="27" t="inlineStr">
        <is>
          <t>44190-000</t>
        </is>
      </c>
      <c r="H2443" s="15" t="n">
        <v>24</v>
      </c>
      <c r="I2443" s="28" t="inlineStr">
        <is>
          <t>NÃO</t>
        </is>
      </c>
      <c r="J2443" s="29" t="n">
        <v>261.3</v>
      </c>
      <c r="K2443" s="14" t="str">
        <f>IF(J2443="","7. Acima de 2 km",IF(J2443&lt;=50,"1. Até 50 m",IF(J2443&lt;=100,"2. De 50 a 100 m",IF(J2443&lt;=200,"3. De 100 a 200 m",IF(J2443&lt;=300,"4. De 200 a 300 m",IF(J2443&lt;=500,"5. De 300 a 500 m","6. De 500 m a 2 km"))))))</f>
        <v>4. De 200 a 300 m</v>
      </c>
      <c r="L2443" s="26" t="n">
        <v>0</v>
      </c>
      <c r="M2443" s="26" t="n">
        <v>0</v>
      </c>
      <c r="N2443" s="26" t="n">
        <v>0</v>
      </c>
      <c r="O2443" s="26" t="n">
        <v>1</v>
      </c>
      <c r="P2443" s="30" t="n">
        <v>-12.4329211</v>
      </c>
      <c r="Q2443" s="30" t="n">
        <v>-39.2532627</v>
      </c>
      <c r="R2443" s="14" t="inlineStr">
        <is>
          <t>AV. GETÚLIO VARGAS, S/N, CENTRO, SANTO ESTÊVÃO/BA</t>
        </is>
      </c>
      <c r="S2443" s="26">
        <f>IF(A2443=A2442,0,1)</f>
        <v>0</v>
      </c>
      <c r="T2443" s="26">
        <f>IF(COUNTIF($B$4:B2443,B2443)=1,1,0)</f>
        <v>0</v>
      </c>
    </row>
    <row r="2444">
      <c r="A2444" s="14" t="inlineStr">
        <is>
          <t>SANTO ESTEVÃO</t>
        </is>
      </c>
      <c r="B2444" s="26" t="n">
        <v>143</v>
      </c>
      <c r="C2444" s="26" t="n">
        <v>1260</v>
      </c>
      <c r="D2444" s="14" t="inlineStr">
        <is>
          <t>ESCOLA MUNICIPAL MARIZELIA DE JESUS ROCHA LEAL</t>
        </is>
      </c>
      <c r="E2444" s="14" t="inlineStr">
        <is>
          <t>CENTRO</t>
        </is>
      </c>
      <c r="F2444" s="14" t="inlineStr">
        <is>
          <t>RUA MARECHAL FLORIANO PEIXOTO, S/N - ZONA URBANA</t>
        </is>
      </c>
      <c r="G2444" s="27" t="inlineStr">
        <is>
          <t>44190-000</t>
        </is>
      </c>
      <c r="H2444" s="15" t="n">
        <v>6</v>
      </c>
      <c r="I2444" s="28" t="inlineStr">
        <is>
          <t>SIM</t>
        </is>
      </c>
      <c r="J2444" s="29" t="n">
        <v>96.7</v>
      </c>
      <c r="K2444" s="14" t="str">
        <f>IF(J2444="","7. Acima de 2 km",IF(J2444&lt;=50,"1. Até 50 m",IF(J2444&lt;=100,"2. De 50 a 100 m",IF(J2444&lt;=200,"3. De 100 a 200 m",IF(J2444&lt;=300,"4. De 200 a 300 m",IF(J2444&lt;=500,"5. De 300 a 500 m","6. De 500 m a 2 km"))))))</f>
        <v>2. De 50 a 100 m</v>
      </c>
      <c r="L2444" s="26" t="n">
        <v>0</v>
      </c>
      <c r="M2444" s="26" t="n">
        <v>1</v>
      </c>
      <c r="N2444" s="26" t="n">
        <v>1</v>
      </c>
      <c r="O2444" s="26" t="n">
        <v>5</v>
      </c>
      <c r="P2444" s="30" t="n">
        <v>-12.4323869</v>
      </c>
      <c r="Q2444" s="30" t="n">
        <v>-39.2514543</v>
      </c>
      <c r="R2444" s="14" t="inlineStr">
        <is>
          <t>AV. GETÚLIO VARGAS, S/N, CENTRO, SANTO ESTÊVÃO/BA</t>
        </is>
      </c>
      <c r="S2444" s="26">
        <f>IF(A2444=A2443,0,1)</f>
        <v>0</v>
      </c>
      <c r="T2444" s="26">
        <f>IF(COUNTIF($B$4:B2444,B2444)=1,1,0)</f>
        <v>0</v>
      </c>
    </row>
    <row r="2445">
      <c r="A2445" s="14" t="inlineStr">
        <is>
          <t>SANTO ESTEVÃO</t>
        </is>
      </c>
      <c r="B2445" s="26" t="n">
        <v>143</v>
      </c>
      <c r="C2445" s="26" t="n">
        <v>1287</v>
      </c>
      <c r="D2445" s="14" t="inlineStr">
        <is>
          <t xml:space="preserve">ESCOLA MUNICIPAL JOSÉ FERREIRA CONCEIÇÃO </t>
        </is>
      </c>
      <c r="E2445" s="14" t="inlineStr">
        <is>
          <t>POVOADO JUAZEIRO</t>
        </is>
      </c>
      <c r="F2445" s="14" t="inlineStr">
        <is>
          <t>POVOADO JUAZEIRO - ZONA RURAL</t>
        </is>
      </c>
      <c r="G2445" s="27" t="inlineStr">
        <is>
          <t>44190-000</t>
        </is>
      </c>
      <c r="H2445" s="15" t="n">
        <v>2</v>
      </c>
      <c r="I2445" s="28" t="inlineStr">
        <is>
          <t>NÃO</t>
        </is>
      </c>
      <c r="J2445" s="29" t="n"/>
      <c r="K2445" s="14" t="str">
        <f>IF(J2445="","7. Acima de 2 km",IF(J2445&lt;=50,"1. Até 50 m",IF(J2445&lt;=100,"2. De 50 a 100 m",IF(J2445&lt;=200,"3. De 100 a 200 m",IF(J2445&lt;=300,"4. De 200 a 300 m",IF(J2445&lt;=500,"5. De 300 a 500 m","6. De 500 m a 2 km"))))))</f>
        <v>7. Acima de 2 km</v>
      </c>
      <c r="L2445" s="26" t="n">
        <v>0</v>
      </c>
      <c r="M2445" s="26" t="n">
        <v>0</v>
      </c>
      <c r="N2445" s="26" t="n">
        <v>0</v>
      </c>
      <c r="O2445" s="26" t="n">
        <v>0</v>
      </c>
      <c r="P2445" s="30" t="n">
        <v>-12.4444767</v>
      </c>
      <c r="Q2445" s="30" t="n">
        <v>-39.1951375</v>
      </c>
      <c r="R2445" s="14" t="inlineStr">
        <is>
          <t>AV. GETÚLIO VARGAS, S/N, CENTRO, SANTO ESTÊVÃO/BA</t>
        </is>
      </c>
      <c r="S2445" s="26">
        <f>IF(A2445=A2444,0,1)</f>
        <v>0</v>
      </c>
      <c r="T2445" s="26">
        <f>IF(COUNTIF($B$4:B2445,B2445)=1,1,0)</f>
        <v>0</v>
      </c>
    </row>
    <row r="2446">
      <c r="A2446" s="14" t="inlineStr">
        <is>
          <t>SANTO ESTEVÃO</t>
        </is>
      </c>
      <c r="B2446" s="26" t="n">
        <v>143</v>
      </c>
      <c r="C2446" s="26" t="n">
        <v>1295</v>
      </c>
      <c r="D2446" s="14" t="inlineStr">
        <is>
          <t>ESCOLA MUNICIPAL MONSENHOR JOSÉ WALDIR DE SOUZA</t>
        </is>
      </c>
      <c r="E2446" s="14" t="inlineStr">
        <is>
          <t>TRIÂNGULO</t>
        </is>
      </c>
      <c r="F2446" s="14" t="inlineStr">
        <is>
          <t>AVENIDA RIO BAHIA - ZONA URBANA</t>
        </is>
      </c>
      <c r="G2446" s="27" t="inlineStr">
        <is>
          <t>44190-000</t>
        </is>
      </c>
      <c r="H2446" s="15" t="n">
        <v>3</v>
      </c>
      <c r="I2446" s="28" t="inlineStr">
        <is>
          <t>SIM</t>
        </is>
      </c>
      <c r="J2446" s="29" t="n">
        <v>75.09999999999999</v>
      </c>
      <c r="K2446" s="14" t="str">
        <f>IF(J2446="","7. Acima de 2 km",IF(J2446&lt;=50,"1. Até 50 m",IF(J2446&lt;=100,"2. De 50 a 100 m",IF(J2446&lt;=200,"3. De 100 a 200 m",IF(J2446&lt;=300,"4. De 200 a 300 m",IF(J2446&lt;=500,"5. De 300 a 500 m","6. De 500 m a 2 km"))))))</f>
        <v>2. De 50 a 100 m</v>
      </c>
      <c r="L2446" s="26" t="n">
        <v>0</v>
      </c>
      <c r="M2446" s="26" t="n">
        <v>1</v>
      </c>
      <c r="N2446" s="26" t="n">
        <v>1</v>
      </c>
      <c r="O2446" s="26" t="n">
        <v>1</v>
      </c>
      <c r="P2446" s="30" t="n">
        <v>-12.4477435</v>
      </c>
      <c r="Q2446" s="30" t="n">
        <v>-39.2430676</v>
      </c>
      <c r="R2446" s="14" t="inlineStr">
        <is>
          <t>AV. GETÚLIO VARGAS, S/N, CENTRO, SANTO ESTÊVÃO/BA</t>
        </is>
      </c>
      <c r="S2446" s="26">
        <f>IF(A2446=A2445,0,1)</f>
        <v>0</v>
      </c>
      <c r="T2446" s="26">
        <f>IF(COUNTIF($B$4:B2446,B2446)=1,1,0)</f>
        <v>0</v>
      </c>
    </row>
    <row r="2447">
      <c r="A2447" s="14" t="inlineStr">
        <is>
          <t>SANTO ESTEVÃO</t>
        </is>
      </c>
      <c r="B2447" s="26" t="n">
        <v>143</v>
      </c>
      <c r="C2447" s="26" t="n">
        <v>1309</v>
      </c>
      <c r="D2447" s="14" t="inlineStr">
        <is>
          <t>ESCOLA MUNICIPAL REITOR EDGAR SANTOS</t>
        </is>
      </c>
      <c r="E2447" s="14" t="inlineStr">
        <is>
          <t>POVOADO LAMARÃO</t>
        </is>
      </c>
      <c r="F2447" s="14" t="inlineStr">
        <is>
          <t>POVOADO LAMARÃO - ZONA RURAL</t>
        </is>
      </c>
      <c r="G2447" s="27" t="inlineStr">
        <is>
          <t>44190-000</t>
        </is>
      </c>
      <c r="H2447" s="15" t="n">
        <v>3</v>
      </c>
      <c r="I2447" s="28" t="inlineStr">
        <is>
          <t>NÃO</t>
        </is>
      </c>
      <c r="J2447" s="29" t="n"/>
      <c r="K2447" s="14" t="str">
        <f>IF(J2447="","7. Acima de 2 km",IF(J2447&lt;=50,"1. Até 50 m",IF(J2447&lt;=100,"2. De 50 a 100 m",IF(J2447&lt;=200,"3. De 100 a 200 m",IF(J2447&lt;=300,"4. De 200 a 300 m",IF(J2447&lt;=500,"5. De 300 a 500 m","6. De 500 m a 2 km"))))))</f>
        <v>7. Acima de 2 km</v>
      </c>
      <c r="L2447" s="26" t="n">
        <v>0</v>
      </c>
      <c r="M2447" s="26" t="n">
        <v>0</v>
      </c>
      <c r="N2447" s="26" t="n">
        <v>0</v>
      </c>
      <c r="O2447" s="26" t="n">
        <v>0</v>
      </c>
      <c r="P2447" s="30" t="n">
        <v>-12.4133183</v>
      </c>
      <c r="Q2447" s="30" t="n">
        <v>-39.2895045</v>
      </c>
      <c r="R2447" s="14" t="inlineStr">
        <is>
          <t>AV. GETÚLIO VARGAS, S/N, CENTRO, SANTO ESTÊVÃO/BA</t>
        </is>
      </c>
      <c r="S2447" s="26">
        <f>IF(A2447=A2446,0,1)</f>
        <v>0</v>
      </c>
      <c r="T2447" s="26">
        <f>IF(COUNTIF($B$4:B2447,B2447)=1,1,0)</f>
        <v>0</v>
      </c>
    </row>
    <row r="2448">
      <c r="A2448" s="14" t="inlineStr">
        <is>
          <t>SANTO ESTEVÃO</t>
        </is>
      </c>
      <c r="B2448" s="26" t="n">
        <v>143</v>
      </c>
      <c r="C2448" s="26" t="n">
        <v>1317</v>
      </c>
      <c r="D2448" s="14" t="inlineStr">
        <is>
          <t>ESCOLA MUNICIPAL PROF AMENAIDE DE CARVALHO</t>
        </is>
      </c>
      <c r="E2448" s="14" t="inlineStr">
        <is>
          <t>POVOADO MODELO</t>
        </is>
      </c>
      <c r="F2448" s="14" t="inlineStr">
        <is>
          <t>POVOADO MODELO - ZONA RURAL</t>
        </is>
      </c>
      <c r="G2448" s="27" t="inlineStr">
        <is>
          <t>44190-000</t>
        </is>
      </c>
      <c r="H2448" s="15" t="n">
        <v>2</v>
      </c>
      <c r="I2448" s="28" t="inlineStr">
        <is>
          <t>NÃO</t>
        </is>
      </c>
      <c r="J2448" s="29" t="n"/>
      <c r="K2448" s="14" t="str">
        <f>IF(J2448="","7. Acima de 2 km",IF(J2448&lt;=50,"1. Até 50 m",IF(J2448&lt;=100,"2. De 50 a 100 m",IF(J2448&lt;=200,"3. De 100 a 200 m",IF(J2448&lt;=300,"4. De 200 a 300 m",IF(J2448&lt;=500,"5. De 300 a 500 m","6. De 500 m a 2 km"))))))</f>
        <v>7. Acima de 2 km</v>
      </c>
      <c r="L2448" s="26" t="n">
        <v>0</v>
      </c>
      <c r="M2448" s="26" t="n">
        <v>0</v>
      </c>
      <c r="N2448" s="26" t="n">
        <v>0</v>
      </c>
      <c r="O2448" s="26" t="n">
        <v>0</v>
      </c>
      <c r="P2448" s="30" t="n">
        <v>-12.4167798</v>
      </c>
      <c r="Q2448" s="30" t="n">
        <v>-39.2304698</v>
      </c>
      <c r="R2448" s="14" t="inlineStr">
        <is>
          <t>AV. GETÚLIO VARGAS, S/N, CENTRO, SANTO ESTÊVÃO/BA</t>
        </is>
      </c>
      <c r="S2448" s="26">
        <f>IF(A2448=A2447,0,1)</f>
        <v>0</v>
      </c>
      <c r="T2448" s="26">
        <f>IF(COUNTIF($B$4:B2448,B2448)=1,1,0)</f>
        <v>0</v>
      </c>
    </row>
    <row r="2449">
      <c r="A2449" s="14" t="inlineStr">
        <is>
          <t>SANTO ESTEVÃO</t>
        </is>
      </c>
      <c r="B2449" s="26" t="n">
        <v>143</v>
      </c>
      <c r="C2449" s="26" t="n">
        <v>1325</v>
      </c>
      <c r="D2449" s="14" t="inlineStr">
        <is>
          <t>ESCOLA MUNICIPAL JOSÉ DE JESUS ROCHA</t>
        </is>
      </c>
      <c r="E2449" s="14" t="inlineStr">
        <is>
          <t>POVOADO CONGA</t>
        </is>
      </c>
      <c r="F2449" s="14" t="inlineStr">
        <is>
          <t>POVOADO CONGA - ZONA RURAL</t>
        </is>
      </c>
      <c r="G2449" s="27" t="inlineStr">
        <is>
          <t>44190-000</t>
        </is>
      </c>
      <c r="H2449" s="15" t="n">
        <v>4</v>
      </c>
      <c r="I2449" s="28" t="inlineStr">
        <is>
          <t>NÃO</t>
        </is>
      </c>
      <c r="J2449" s="29" t="n">
        <v>1448.1</v>
      </c>
      <c r="K2449" s="14" t="str">
        <f>IF(J2449="","7. Acima de 2 km",IF(J2449&lt;=50,"1. Até 50 m",IF(J2449&lt;=100,"2. De 50 a 100 m",IF(J2449&lt;=200,"3. De 100 a 200 m",IF(J2449&lt;=300,"4. De 200 a 300 m",IF(J2449&lt;=500,"5. De 300 a 500 m","6. De 500 m a 2 km"))))))</f>
        <v>6. De 500 m a 2 km</v>
      </c>
      <c r="L2449" s="26" t="n">
        <v>0</v>
      </c>
      <c r="M2449" s="26" t="n">
        <v>0</v>
      </c>
      <c r="N2449" s="26" t="n">
        <v>0</v>
      </c>
      <c r="O2449" s="26" t="n">
        <v>0</v>
      </c>
      <c r="P2449" s="30" t="n">
        <v>-12.4470127</v>
      </c>
      <c r="Q2449" s="30" t="n">
        <v>-39.2167617</v>
      </c>
      <c r="R2449" s="14" t="inlineStr">
        <is>
          <t>AV. GETÚLIO VARGAS, S/N, CENTRO, SANTO ESTÊVÃO/BA</t>
        </is>
      </c>
      <c r="S2449" s="26">
        <f>IF(A2449=A2448,0,1)</f>
        <v>0</v>
      </c>
      <c r="T2449" s="26">
        <f>IF(COUNTIF($B$4:B2449,B2449)=1,1,0)</f>
        <v>0</v>
      </c>
    </row>
    <row r="2450">
      <c r="A2450" s="14" t="inlineStr">
        <is>
          <t>SANTO ESTEVÃO</t>
        </is>
      </c>
      <c r="B2450" s="26" t="n">
        <v>143</v>
      </c>
      <c r="C2450" s="26" t="n">
        <v>1333</v>
      </c>
      <c r="D2450" s="14" t="inlineStr">
        <is>
          <t>ESCOLA MUNICIPAL RAQUEL SENA LEITE</t>
        </is>
      </c>
      <c r="E2450" s="14" t="inlineStr">
        <is>
          <t>POVOADO URUÇU</t>
        </is>
      </c>
      <c r="F2450" s="14" t="inlineStr">
        <is>
          <t>POVOADO DO URUÇU</t>
        </is>
      </c>
      <c r="G2450" s="27" t="inlineStr">
        <is>
          <t>44190-000</t>
        </is>
      </c>
      <c r="H2450" s="15" t="n">
        <v>4</v>
      </c>
      <c r="I2450" s="28" t="inlineStr">
        <is>
          <t>NÃO</t>
        </is>
      </c>
      <c r="J2450" s="29" t="n">
        <v>123.5</v>
      </c>
      <c r="K2450" s="14" t="str">
        <f>IF(J2450="","7. Acima de 2 km",IF(J2450&lt;=50,"1. Até 50 m",IF(J2450&lt;=100,"2. De 50 a 100 m",IF(J2450&lt;=200,"3. De 100 a 200 m",IF(J2450&lt;=300,"4. De 200 a 300 m",IF(J2450&lt;=500,"5. De 300 a 500 m","6. De 500 m a 2 km"))))))</f>
        <v>3. De 100 a 200 m</v>
      </c>
      <c r="L2450" s="26" t="n">
        <v>0</v>
      </c>
      <c r="M2450" s="26" t="n">
        <v>0</v>
      </c>
      <c r="N2450" s="26" t="n">
        <v>3</v>
      </c>
      <c r="O2450" s="26" t="n">
        <v>7</v>
      </c>
      <c r="P2450" s="30" t="n">
        <v>-12.4282503</v>
      </c>
      <c r="Q2450" s="30" t="n">
        <v>-39.2522815</v>
      </c>
      <c r="R2450" s="14" t="inlineStr">
        <is>
          <t>AV. GETÚLIO VARGAS, S/N, CENTRO, SANTO ESTÊVÃO/BA</t>
        </is>
      </c>
      <c r="S2450" s="26">
        <f>IF(A2450=A2449,0,1)</f>
        <v>0</v>
      </c>
      <c r="T2450" s="26">
        <f>IF(COUNTIF($B$4:B2450,B2450)=1,1,0)</f>
        <v>0</v>
      </c>
    </row>
    <row r="2451">
      <c r="A2451" s="14" t="inlineStr">
        <is>
          <t>SANTO ESTEVÃO</t>
        </is>
      </c>
      <c r="B2451" s="26" t="n">
        <v>143</v>
      </c>
      <c r="C2451" s="26" t="n">
        <v>1341</v>
      </c>
      <c r="D2451" s="14" t="inlineStr">
        <is>
          <t>ESCOLA MUNICIPAL CLARA DE ASSIS</t>
        </is>
      </c>
      <c r="E2451" s="14" t="inlineStr">
        <is>
          <t>POVOADO VARGINHA</t>
        </is>
      </c>
      <c r="F2451" s="14" t="inlineStr">
        <is>
          <t>POVOADO SÍTIO DO ARAGÃO - ZONA RURAL</t>
        </is>
      </c>
      <c r="G2451" s="27" t="inlineStr">
        <is>
          <t>44190-000</t>
        </is>
      </c>
      <c r="H2451" s="15" t="n">
        <v>1</v>
      </c>
      <c r="I2451" s="28" t="inlineStr">
        <is>
          <t>NÃO</t>
        </is>
      </c>
      <c r="J2451" s="29" t="n"/>
      <c r="K2451" s="14" t="str">
        <f>IF(J2451="","7. Acima de 2 km",IF(J2451&lt;=50,"1. Até 50 m",IF(J2451&lt;=100,"2. De 50 a 100 m",IF(J2451&lt;=200,"3. De 100 a 200 m",IF(J2451&lt;=300,"4. De 200 a 300 m",IF(J2451&lt;=500,"5. De 300 a 500 m","6. De 500 m a 2 km"))))))</f>
        <v>7. Acima de 2 km</v>
      </c>
      <c r="L2451" s="26" t="n">
        <v>0</v>
      </c>
      <c r="M2451" s="26" t="n">
        <v>0</v>
      </c>
      <c r="N2451" s="26" t="n">
        <v>0</v>
      </c>
      <c r="O2451" s="26" t="n">
        <v>0</v>
      </c>
      <c r="P2451" s="30" t="n">
        <v>-12.4343484</v>
      </c>
      <c r="Q2451" s="30" t="n">
        <v>-39.3124494</v>
      </c>
      <c r="R2451" s="14" t="inlineStr">
        <is>
          <t>AV. GETÚLIO VARGAS, S/N, CENTRO, SANTO ESTÊVÃO/BA</t>
        </is>
      </c>
      <c r="S2451" s="26">
        <f>IF(A2451=A2450,0,1)</f>
        <v>0</v>
      </c>
      <c r="T2451" s="26">
        <f>IF(COUNTIF($B$4:B2451,B2451)=1,1,0)</f>
        <v>0</v>
      </c>
    </row>
    <row r="2452">
      <c r="A2452" s="14" t="inlineStr">
        <is>
          <t>SANTO ESTEVÃO</t>
        </is>
      </c>
      <c r="B2452" s="26" t="n">
        <v>143</v>
      </c>
      <c r="C2452" s="26" t="n">
        <v>1350</v>
      </c>
      <c r="D2452" s="14" t="inlineStr">
        <is>
          <t>ESCOLA MUNICIPAL MARIA AMÉLIA DO CONDE CARDOSO</t>
        </is>
      </c>
      <c r="E2452" s="14" t="inlineStr">
        <is>
          <t>POVOADO BARAÚNAS</t>
        </is>
      </c>
      <c r="F2452" s="14" t="inlineStr">
        <is>
          <t>POVOADO BARAÚNAS - ZONA RURAL</t>
        </is>
      </c>
      <c r="G2452" s="27" t="inlineStr">
        <is>
          <t>44190-000</t>
        </is>
      </c>
      <c r="H2452" s="15" t="n">
        <v>2</v>
      </c>
      <c r="I2452" s="28" t="inlineStr">
        <is>
          <t>NÃO</t>
        </is>
      </c>
      <c r="J2452" s="29" t="n"/>
      <c r="K2452" s="14" t="str">
        <f>IF(J2452="","7. Acima de 2 km",IF(J2452&lt;=50,"1. Até 50 m",IF(J2452&lt;=100,"2. De 50 a 100 m",IF(J2452&lt;=200,"3. De 100 a 200 m",IF(J2452&lt;=300,"4. De 200 a 300 m",IF(J2452&lt;=500,"5. De 300 a 500 m","6. De 500 m a 2 km"))))))</f>
        <v>7. Acima de 2 km</v>
      </c>
      <c r="L2452" s="26" t="n">
        <v>0</v>
      </c>
      <c r="M2452" s="26" t="n">
        <v>0</v>
      </c>
      <c r="N2452" s="26" t="n">
        <v>0</v>
      </c>
      <c r="O2452" s="26" t="n">
        <v>0</v>
      </c>
      <c r="P2452" s="30" t="n">
        <v>-12.4578124</v>
      </c>
      <c r="Q2452" s="30" t="n">
        <v>-39.2679147</v>
      </c>
      <c r="R2452" s="14" t="inlineStr">
        <is>
          <t>AV. GETÚLIO VARGAS, S/N, CENTRO, SANTO ESTÊVÃO/BA</t>
        </is>
      </c>
      <c r="S2452" s="26">
        <f>IF(A2452=A2451,0,1)</f>
        <v>0</v>
      </c>
      <c r="T2452" s="26">
        <f>IF(COUNTIF($B$4:B2452,B2452)=1,1,0)</f>
        <v>0</v>
      </c>
    </row>
    <row r="2453">
      <c r="A2453" s="14" t="inlineStr">
        <is>
          <t>SANTO ESTEVÃO</t>
        </is>
      </c>
      <c r="B2453" s="26" t="n">
        <v>143</v>
      </c>
      <c r="C2453" s="26" t="n">
        <v>1368</v>
      </c>
      <c r="D2453" s="14" t="inlineStr">
        <is>
          <t>ESCOLA MUNICIPAL TANCREDO NEVES</t>
        </is>
      </c>
      <c r="E2453" s="14" t="inlineStr">
        <is>
          <t>POVOADO PAU DE VELA</t>
        </is>
      </c>
      <c r="F2453" s="14" t="inlineStr">
        <is>
          <t>POVOADO PAU DE VELA - ZONA RURAL</t>
        </is>
      </c>
      <c r="G2453" s="27" t="inlineStr">
        <is>
          <t>44190-000</t>
        </is>
      </c>
      <c r="H2453" s="15" t="n">
        <v>3</v>
      </c>
      <c r="I2453" s="28" t="inlineStr">
        <is>
          <t>NÃO</t>
        </is>
      </c>
      <c r="J2453" s="29" t="n">
        <v>317.7</v>
      </c>
      <c r="K2453" s="14" t="str">
        <f>IF(J2453="","7. Acima de 2 km",IF(J2453&lt;=50,"1. Até 50 m",IF(J2453&lt;=100,"2. De 50 a 100 m",IF(J2453&lt;=200,"3. De 100 a 200 m",IF(J2453&lt;=300,"4. De 200 a 300 m",IF(J2453&lt;=500,"5. De 300 a 500 m","6. De 500 m a 2 km"))))))</f>
        <v>5. De 300 a 500 m</v>
      </c>
      <c r="L2453" s="26" t="n">
        <v>0</v>
      </c>
      <c r="M2453" s="26" t="n">
        <v>0</v>
      </c>
      <c r="N2453" s="26" t="n">
        <v>0</v>
      </c>
      <c r="O2453" s="26" t="n">
        <v>0</v>
      </c>
      <c r="P2453" s="30" t="n">
        <v>-12.4372728</v>
      </c>
      <c r="Q2453" s="30" t="n">
        <v>-39.2301864</v>
      </c>
      <c r="R2453" s="14" t="inlineStr">
        <is>
          <t>AV. GETÚLIO VARGAS, S/N, CENTRO, SANTO ESTÊVÃO/BA</t>
        </is>
      </c>
      <c r="S2453" s="26">
        <f>IF(A2453=A2452,0,1)</f>
        <v>0</v>
      </c>
      <c r="T2453" s="26">
        <f>IF(COUNTIF($B$4:B2453,B2453)=1,1,0)</f>
        <v>0</v>
      </c>
    </row>
    <row r="2454">
      <c r="A2454" s="14" t="inlineStr">
        <is>
          <t>SANTO ESTEVÃO</t>
        </is>
      </c>
      <c r="B2454" s="26" t="n">
        <v>143</v>
      </c>
      <c r="C2454" s="26" t="n">
        <v>1384</v>
      </c>
      <c r="D2454" s="14" t="inlineStr">
        <is>
          <t>ESCOLA MUNICIPAL PROFESSORA MARIELZA SILVA COSTA</t>
        </is>
      </c>
      <c r="E2454" s="14" t="inlineStr">
        <is>
          <t>CENTRO</t>
        </is>
      </c>
      <c r="F2454" s="14" t="inlineStr">
        <is>
          <t>RUA D LOTEAMENTO BOM VIVER- LAGOA DOURADA - ZONA URBANA</t>
        </is>
      </c>
      <c r="G2454" s="27" t="inlineStr">
        <is>
          <t>44190-000</t>
        </is>
      </c>
      <c r="H2454" s="15" t="n">
        <v>6</v>
      </c>
      <c r="I2454" s="28" t="inlineStr">
        <is>
          <t>NÃO</t>
        </is>
      </c>
      <c r="J2454" s="29" t="n">
        <v>475</v>
      </c>
      <c r="K2454" s="14" t="str">
        <f>IF(J2454="","7. Acima de 2 km",IF(J2454&lt;=50,"1. Até 50 m",IF(J2454&lt;=100,"2. De 50 a 100 m",IF(J2454&lt;=200,"3. De 100 a 200 m",IF(J2454&lt;=300,"4. De 200 a 300 m",IF(J2454&lt;=500,"5. De 300 a 500 m","6. De 500 m a 2 km"))))))</f>
        <v>5. De 300 a 500 m</v>
      </c>
      <c r="L2454" s="26" t="n">
        <v>0</v>
      </c>
      <c r="M2454" s="26" t="n">
        <v>0</v>
      </c>
      <c r="N2454" s="26" t="n">
        <v>0</v>
      </c>
      <c r="O2454" s="26" t="n">
        <v>0</v>
      </c>
      <c r="P2454" s="30" t="n">
        <v>-12.4336746</v>
      </c>
      <c r="Q2454" s="30" t="n">
        <v>-39.2446455</v>
      </c>
      <c r="R2454" s="14" t="inlineStr">
        <is>
          <t>AV. GETÚLIO VARGAS, S/N, CENTRO, SANTO ESTÊVÃO/BA</t>
        </is>
      </c>
      <c r="S2454" s="26">
        <f>IF(A2454=A2453,0,1)</f>
        <v>0</v>
      </c>
      <c r="T2454" s="26">
        <f>IF(COUNTIF($B$4:B2454,B2454)=1,1,0)</f>
        <v>0</v>
      </c>
    </row>
    <row r="2455">
      <c r="A2455" s="14" t="inlineStr">
        <is>
          <t>SANTO ESTEVÃO</t>
        </is>
      </c>
      <c r="B2455" s="26" t="n">
        <v>143</v>
      </c>
      <c r="C2455" s="26" t="n">
        <v>1392</v>
      </c>
      <c r="D2455" s="14" t="inlineStr">
        <is>
          <t>ESCOLA MUNICIPAL ÂNGELO MAGALHÃES</t>
        </is>
      </c>
      <c r="E2455" s="14" t="inlineStr">
        <is>
          <t>CENTRO</t>
        </is>
      </c>
      <c r="F2455" s="14" t="inlineStr">
        <is>
          <t>RUA D, S/N, CONJUNTO URBIS</t>
        </is>
      </c>
      <c r="G2455" s="27" t="inlineStr">
        <is>
          <t>44190-000</t>
        </is>
      </c>
      <c r="H2455" s="15" t="n">
        <v>1</v>
      </c>
      <c r="I2455" s="28" t="inlineStr">
        <is>
          <t>NÃO</t>
        </is>
      </c>
      <c r="J2455" s="29" t="n">
        <v>930.7</v>
      </c>
      <c r="K2455" s="14" t="str">
        <f>IF(J2455="","7. Acima de 2 km",IF(J2455&lt;=50,"1. Até 50 m",IF(J2455&lt;=100,"2. De 50 a 100 m",IF(J2455&lt;=200,"3. De 100 a 200 m",IF(J2455&lt;=300,"4. De 200 a 300 m",IF(J2455&lt;=500,"5. De 300 a 500 m","6. De 500 m a 2 km"))))))</f>
        <v>6. De 500 m a 2 km</v>
      </c>
      <c r="L2455" s="26" t="n">
        <v>0</v>
      </c>
      <c r="M2455" s="26" t="n">
        <v>0</v>
      </c>
      <c r="N2455" s="26" t="n">
        <v>0</v>
      </c>
      <c r="O2455" s="26" t="n">
        <v>0</v>
      </c>
      <c r="P2455" s="30" t="n">
        <v>-12.4412634</v>
      </c>
      <c r="Q2455" s="30" t="n">
        <v>-39.25229</v>
      </c>
      <c r="R2455" s="14" t="inlineStr">
        <is>
          <t>AV. GETÚLIO VARGAS, S/N, CENTRO, SANTO ESTÊVÃO/BA</t>
        </is>
      </c>
      <c r="S2455" s="26">
        <f>IF(A2455=A2454,0,1)</f>
        <v>0</v>
      </c>
      <c r="T2455" s="26">
        <f>IF(COUNTIF($B$4:B2455,B2455)=1,1,0)</f>
        <v>0</v>
      </c>
    </row>
    <row r="2456">
      <c r="A2456" s="14" t="inlineStr">
        <is>
          <t>SANTO ESTEVÃO</t>
        </is>
      </c>
      <c r="B2456" s="26" t="n">
        <v>143</v>
      </c>
      <c r="C2456" s="26" t="n">
        <v>1406</v>
      </c>
      <c r="D2456" s="14" t="inlineStr">
        <is>
          <t>ESCOLA MUNICIPAL FRANCELINO PEREIRA DE ASSIS</t>
        </is>
      </c>
      <c r="E2456" s="14" t="inlineStr">
        <is>
          <t>POVOADO CABOCLO</t>
        </is>
      </c>
      <c r="F2456" s="14" t="inlineStr">
        <is>
          <t>POVOADO CABOCLO - ZONA RURAL</t>
        </is>
      </c>
      <c r="G2456" s="27" t="inlineStr">
        <is>
          <t>44190-000</t>
        </is>
      </c>
      <c r="H2456" s="15" t="n">
        <v>1</v>
      </c>
      <c r="I2456" s="28" t="inlineStr">
        <is>
          <t>NÃO</t>
        </is>
      </c>
      <c r="J2456" s="29" t="n"/>
      <c r="K2456" s="14" t="str">
        <f>IF(J2456="","7. Acima de 2 km",IF(J2456&lt;=50,"1. Até 50 m",IF(J2456&lt;=100,"2. De 50 a 100 m",IF(J2456&lt;=200,"3. De 100 a 200 m",IF(J2456&lt;=300,"4. De 200 a 300 m",IF(J2456&lt;=500,"5. De 300 a 500 m","6. De 500 m a 2 km"))))))</f>
        <v>7. Acima de 2 km</v>
      </c>
      <c r="L2456" s="26" t="n">
        <v>0</v>
      </c>
      <c r="M2456" s="26" t="n">
        <v>0</v>
      </c>
      <c r="N2456" s="26" t="n">
        <v>0</v>
      </c>
      <c r="O2456" s="26" t="n">
        <v>0</v>
      </c>
      <c r="P2456" s="30" t="n">
        <v>-12.4959845</v>
      </c>
      <c r="Q2456" s="30" t="n">
        <v>-39.263525</v>
      </c>
      <c r="R2456" s="14" t="inlineStr">
        <is>
          <t>AV. GETÚLIO VARGAS, S/N, CENTRO, SANTO ESTÊVÃO/BA</t>
        </is>
      </c>
      <c r="S2456" s="26">
        <f>IF(A2456=A2455,0,1)</f>
        <v>0</v>
      </c>
      <c r="T2456" s="26">
        <f>IF(COUNTIF($B$4:B2456,B2456)=1,1,0)</f>
        <v>0</v>
      </c>
    </row>
    <row r="2457">
      <c r="A2457" s="14" t="inlineStr">
        <is>
          <t>SÃO FRANCISCO DO CONDE</t>
        </is>
      </c>
      <c r="B2457" s="26" t="n">
        <v>162</v>
      </c>
      <c r="C2457" s="26" t="n">
        <v>1015</v>
      </c>
      <c r="D2457" s="14" t="inlineStr">
        <is>
          <t>ESCOLA MARTINHO SALLES BRASIL</t>
        </is>
      </c>
      <c r="E2457" s="14" t="inlineStr">
        <is>
          <t>BAIXA FRIA</t>
        </is>
      </c>
      <c r="F2457" s="14" t="inlineStr">
        <is>
          <t>AVENIDA JUVENAL EUGÊNIO DE QUEIROZ</t>
        </is>
      </c>
      <c r="G2457" s="27" t="inlineStr">
        <is>
          <t>43900-000</t>
        </is>
      </c>
      <c r="H2457" s="15" t="n">
        <v>10</v>
      </c>
      <c r="I2457" s="28" t="inlineStr">
        <is>
          <t>NÃO</t>
        </is>
      </c>
      <c r="J2457" s="29" t="n">
        <v>323</v>
      </c>
      <c r="K2457" s="14" t="str">
        <f>IF(J2457="","7. Acima de 2 km",IF(J2457&lt;=50,"1. Até 50 m",IF(J2457&lt;=100,"2. De 50 a 100 m",IF(J2457&lt;=200,"3. De 100 a 200 m",IF(J2457&lt;=300,"4. De 200 a 300 m",IF(J2457&lt;=500,"5. De 300 a 500 m","6. De 500 m a 2 km"))))))</f>
        <v>5. De 300 a 500 m</v>
      </c>
      <c r="L2457" s="26" t="n">
        <v>0</v>
      </c>
      <c r="M2457" s="26" t="n">
        <v>0</v>
      </c>
      <c r="N2457" s="26" t="n">
        <v>0</v>
      </c>
      <c r="O2457" s="26" t="n">
        <v>0</v>
      </c>
      <c r="P2457" s="30" t="n">
        <v>-12.6155588</v>
      </c>
      <c r="Q2457" s="30" t="n">
        <v>-38.6608196</v>
      </c>
      <c r="R2457" s="14" t="inlineStr">
        <is>
          <t>R. DO ASFALTO, 9, CENTRO, SÃO FRANCISCO DO CONDE/BA</t>
        </is>
      </c>
      <c r="S2457" s="26">
        <f>IF(A2457=A2456,0,1)</f>
        <v>1</v>
      </c>
      <c r="T2457" s="26">
        <f>IF(COUNTIF($B$4:B2457,B2457)=1,1,0)</f>
        <v>0</v>
      </c>
    </row>
    <row r="2458">
      <c r="A2458" s="14" t="inlineStr">
        <is>
          <t>SÃO FRANCISCO DO CONDE</t>
        </is>
      </c>
      <c r="B2458" s="26" t="n">
        <v>162</v>
      </c>
      <c r="C2458" s="26" t="n">
        <v>1023</v>
      </c>
      <c r="D2458" s="14" t="inlineStr">
        <is>
          <t>GINÁSIO LUIS VIANA NETO</t>
        </is>
      </c>
      <c r="E2458" s="14" t="inlineStr">
        <is>
          <t>CENTRO</t>
        </is>
      </c>
      <c r="F2458" s="14" t="inlineStr">
        <is>
          <t>PRAÇA DA BANDEIRA - ZONA URBANA</t>
        </is>
      </c>
      <c r="G2458" s="27" t="inlineStr">
        <is>
          <t>43900-000</t>
        </is>
      </c>
      <c r="H2458" s="15" t="n">
        <v>12</v>
      </c>
      <c r="I2458" s="28" t="inlineStr">
        <is>
          <t>SIM</t>
        </is>
      </c>
      <c r="J2458" s="29" t="n">
        <v>61.1</v>
      </c>
      <c r="K2458" s="14" t="str">
        <f>IF(J2458="","7. Acima de 2 km",IF(J2458&lt;=50,"1. Até 50 m",IF(J2458&lt;=100,"2. De 50 a 100 m",IF(J2458&lt;=200,"3. De 100 a 200 m",IF(J2458&lt;=300,"4. De 200 a 300 m",IF(J2458&lt;=500,"5. De 300 a 500 m","6. De 500 m a 2 km"))))))</f>
        <v>2. De 50 a 100 m</v>
      </c>
      <c r="L2458" s="26" t="n">
        <v>0</v>
      </c>
      <c r="M2458" s="26" t="n">
        <v>1</v>
      </c>
      <c r="N2458" s="26" t="n">
        <v>2</v>
      </c>
      <c r="O2458" s="26" t="n">
        <v>5</v>
      </c>
      <c r="P2458" s="30" t="n">
        <v>-12.6287823</v>
      </c>
      <c r="Q2458" s="30" t="n">
        <v>-38.6762869</v>
      </c>
      <c r="R2458" s="14" t="inlineStr">
        <is>
          <t>R. DO ASFALTO, 9, CENTRO, SÃO FRANCISCO DO CONDE/BA</t>
        </is>
      </c>
      <c r="S2458" s="26">
        <f>IF(A2458=A2457,0,1)</f>
        <v>0</v>
      </c>
      <c r="T2458" s="26">
        <f>IF(COUNTIF($B$4:B2458,B2458)=1,1,0)</f>
        <v>0</v>
      </c>
    </row>
    <row r="2459">
      <c r="A2459" s="14" t="inlineStr">
        <is>
          <t>SÃO FRANCISCO DO CONDE</t>
        </is>
      </c>
      <c r="B2459" s="26" t="n">
        <v>162</v>
      </c>
      <c r="C2459" s="26" t="n">
        <v>1031</v>
      </c>
      <c r="D2459" s="14" t="inlineStr">
        <is>
          <t>ESCOLA JULIETA PORCIÚNCULA</t>
        </is>
      </c>
      <c r="E2459" s="14" t="inlineStr">
        <is>
          <t>CENTRO</t>
        </is>
      </c>
      <c r="F2459" s="14" t="inlineStr">
        <is>
          <t>RUA RAIMUNDO RIBEIRO, S/N - ZONA URBANA</t>
        </is>
      </c>
      <c r="G2459" s="27" t="inlineStr">
        <is>
          <t>43900-000</t>
        </is>
      </c>
      <c r="H2459" s="15" t="n">
        <v>3</v>
      </c>
      <c r="I2459" s="28" t="inlineStr">
        <is>
          <t>NÃO</t>
        </is>
      </c>
      <c r="J2459" s="29" t="n">
        <v>127.1</v>
      </c>
      <c r="K2459" s="14" t="str">
        <f>IF(J2459="","7. Acima de 2 km",IF(J2459&lt;=50,"1. Até 50 m",IF(J2459&lt;=100,"2. De 50 a 100 m",IF(J2459&lt;=200,"3. De 100 a 200 m",IF(J2459&lt;=300,"4. De 200 a 300 m",IF(J2459&lt;=500,"5. De 300 a 500 m","6. De 500 m a 2 km"))))))</f>
        <v>3. De 100 a 200 m</v>
      </c>
      <c r="L2459" s="26" t="n">
        <v>0</v>
      </c>
      <c r="M2459" s="26" t="n">
        <v>0</v>
      </c>
      <c r="N2459" s="26" t="n">
        <v>2</v>
      </c>
      <c r="O2459" s="26" t="n">
        <v>7</v>
      </c>
      <c r="P2459" s="30" t="n">
        <v>-12.6288507</v>
      </c>
      <c r="Q2459" s="30" t="n">
        <v>-38.6772471</v>
      </c>
      <c r="R2459" s="14" t="inlineStr">
        <is>
          <t>R. DO ASFALTO, 9, CENTRO, SÃO FRANCISCO DO CONDE/BA</t>
        </is>
      </c>
      <c r="S2459" s="26">
        <f>IF(A2459=A2458,0,1)</f>
        <v>0</v>
      </c>
      <c r="T2459" s="26">
        <f>IF(COUNTIF($B$4:B2459,B2459)=1,1,0)</f>
        <v>0</v>
      </c>
    </row>
    <row r="2460">
      <c r="A2460" s="14" t="inlineStr">
        <is>
          <t>SÃO FRANCISCO DO CONDE</t>
        </is>
      </c>
      <c r="B2460" s="26" t="n">
        <v>162</v>
      </c>
      <c r="C2460" s="26" t="n">
        <v>1040</v>
      </c>
      <c r="D2460" s="14" t="inlineStr">
        <is>
          <t>ESCOLA MUNICIPAL LÍCIA PINHO</t>
        </is>
      </c>
      <c r="E2460" s="14" t="inlineStr">
        <is>
          <t>CENTRO</t>
        </is>
      </c>
      <c r="F2460" s="14" t="inlineStr">
        <is>
          <t>RUA ESPÍRITO SANTO, S/N - ZONA URBANA</t>
        </is>
      </c>
      <c r="G2460" s="27" t="inlineStr">
        <is>
          <t>43900-000</t>
        </is>
      </c>
      <c r="H2460" s="15" t="n">
        <v>1</v>
      </c>
      <c r="I2460" s="28" t="inlineStr">
        <is>
          <t>SIM</t>
        </is>
      </c>
      <c r="J2460" s="29" t="n">
        <v>66</v>
      </c>
      <c r="K2460" s="14" t="str">
        <f>IF(J2460="","7. Acima de 2 km",IF(J2460&lt;=50,"1. Até 50 m",IF(J2460&lt;=100,"2. De 50 a 100 m",IF(J2460&lt;=200,"3. De 100 a 200 m",IF(J2460&lt;=300,"4. De 200 a 300 m",IF(J2460&lt;=500,"5. De 300 a 500 m","6. De 500 m a 2 km"))))))</f>
        <v>2. De 50 a 100 m</v>
      </c>
      <c r="L2460" s="26" t="n">
        <v>0</v>
      </c>
      <c r="M2460" s="26" t="n">
        <v>1</v>
      </c>
      <c r="N2460" s="26" t="n">
        <v>4</v>
      </c>
      <c r="O2460" s="26" t="n">
        <v>7</v>
      </c>
      <c r="P2460" s="30" t="n">
        <v>-12.6295889</v>
      </c>
      <c r="Q2460" s="30" t="n">
        <v>-38.6777194</v>
      </c>
      <c r="R2460" s="14" t="inlineStr">
        <is>
          <t>R. DO ASFALTO, 9, CENTRO, SÃO FRANCISCO DO CONDE/BA</t>
        </is>
      </c>
      <c r="S2460" s="26">
        <f>IF(A2460=A2459,0,1)</f>
        <v>0</v>
      </c>
      <c r="T2460" s="26">
        <f>IF(COUNTIF($B$4:B2460,B2460)=1,1,0)</f>
        <v>0</v>
      </c>
    </row>
    <row r="2461">
      <c r="A2461" s="14" t="inlineStr">
        <is>
          <t>SÃO FRANCISCO DO CONDE</t>
        </is>
      </c>
      <c r="B2461" s="26" t="n">
        <v>162</v>
      </c>
      <c r="C2461" s="26" t="n">
        <v>1058</v>
      </c>
      <c r="D2461" s="14" t="inlineStr">
        <is>
          <t>FREI ELISEU EISMANN</t>
        </is>
      </c>
      <c r="E2461" s="14" t="inlineStr">
        <is>
          <t>CENTRO</t>
        </is>
      </c>
      <c r="F2461" s="14" t="inlineStr">
        <is>
          <t>RUA FREI MIGUEL, S/N - ZONA URBANA</t>
        </is>
      </c>
      <c r="G2461" s="27" t="inlineStr">
        <is>
          <t>43900-000</t>
        </is>
      </c>
      <c r="H2461" s="15" t="n">
        <v>4</v>
      </c>
      <c r="I2461" s="28" t="inlineStr">
        <is>
          <t>SIM</t>
        </is>
      </c>
      <c r="J2461" s="29" t="n">
        <v>13.6</v>
      </c>
      <c r="K2461" s="14" t="str">
        <f>IF(J2461="","7. Acima de 2 km",IF(J2461&lt;=50,"1. Até 50 m",IF(J2461&lt;=100,"2. De 50 a 100 m",IF(J2461&lt;=200,"3. De 100 a 200 m",IF(J2461&lt;=300,"4. De 200 a 300 m",IF(J2461&lt;=500,"5. De 300 a 500 m","6. De 500 m a 2 km"))))))</f>
        <v>1. Até 50 m</v>
      </c>
      <c r="L2461" s="26" t="n">
        <v>2</v>
      </c>
      <c r="M2461" s="26" t="n">
        <v>3</v>
      </c>
      <c r="N2461" s="26" t="n">
        <v>5</v>
      </c>
      <c r="O2461" s="26" t="n">
        <v>7</v>
      </c>
      <c r="P2461" s="30" t="n">
        <v>-12.6255886</v>
      </c>
      <c r="Q2461" s="30" t="n">
        <v>-38.6784923</v>
      </c>
      <c r="R2461" s="14" t="inlineStr">
        <is>
          <t>R. DO ASFALTO, 9, CENTRO, SÃO FRANCISCO DO CONDE/BA</t>
        </is>
      </c>
      <c r="S2461" s="26">
        <f>IF(A2461=A2460,0,1)</f>
        <v>0</v>
      </c>
      <c r="T2461" s="26">
        <f>IF(COUNTIF($B$4:B2461,B2461)=1,1,0)</f>
        <v>0</v>
      </c>
    </row>
    <row r="2462">
      <c r="A2462" s="14" t="inlineStr">
        <is>
          <t>SÃO FRANCISCO DO CONDE</t>
        </is>
      </c>
      <c r="B2462" s="26" t="n">
        <v>162</v>
      </c>
      <c r="C2462" s="26" t="n">
        <v>1066</v>
      </c>
      <c r="D2462" s="14" t="inlineStr">
        <is>
          <t>ESCOLA NAVARRO DE BRITO</t>
        </is>
      </c>
      <c r="E2462" s="14" t="inlineStr">
        <is>
          <t>POVOADO SOCORRO</t>
        </is>
      </c>
      <c r="F2462" s="14" t="inlineStr">
        <is>
          <t>RUA DA IGREJA, S/N - ZONA RURAL</t>
        </is>
      </c>
      <c r="G2462" s="27" t="inlineStr">
        <is>
          <t>43900-000</t>
        </is>
      </c>
      <c r="H2462" s="15" t="n">
        <v>2</v>
      </c>
      <c r="I2462" s="28" t="inlineStr">
        <is>
          <t>NÃO</t>
        </is>
      </c>
      <c r="J2462" s="29" t="n">
        <v>1220.6</v>
      </c>
      <c r="K2462" s="14" t="str">
        <f>IF(J2462="","7. Acima de 2 km",IF(J2462&lt;=50,"1. Até 50 m",IF(J2462&lt;=100,"2. De 50 a 100 m",IF(J2462&lt;=200,"3. De 100 a 200 m",IF(J2462&lt;=300,"4. De 200 a 300 m",IF(J2462&lt;=500,"5. De 300 a 500 m","6. De 500 m a 2 km"))))))</f>
        <v>6. De 500 m a 2 km</v>
      </c>
      <c r="L2462" s="26" t="n">
        <v>0</v>
      </c>
      <c r="M2462" s="26" t="n">
        <v>0</v>
      </c>
      <c r="N2462" s="26" t="n">
        <v>0</v>
      </c>
      <c r="O2462" s="26" t="n">
        <v>0</v>
      </c>
      <c r="P2462" s="30" t="n">
        <v>-12.6816958</v>
      </c>
      <c r="Q2462" s="30" t="n">
        <v>-38.5833447</v>
      </c>
      <c r="R2462" s="14" t="inlineStr">
        <is>
          <t>R. DO ASFALTO, 9, CENTRO, SÃO FRANCISCO DO CONDE/BA</t>
        </is>
      </c>
      <c r="S2462" s="26">
        <f>IF(A2462=A2461,0,1)</f>
        <v>0</v>
      </c>
      <c r="T2462" s="26">
        <f>IF(COUNTIF($B$4:B2462,B2462)=1,1,0)</f>
        <v>0</v>
      </c>
    </row>
    <row r="2463">
      <c r="A2463" s="14" t="inlineStr">
        <is>
          <t>SÃO FRANCISCO DO CONDE</t>
        </is>
      </c>
      <c r="B2463" s="26" t="n">
        <v>162</v>
      </c>
      <c r="C2463" s="26" t="n">
        <v>1074</v>
      </c>
      <c r="D2463" s="14" t="inlineStr">
        <is>
          <t>ESCOLA ÁLVARO RODRIGUES VASCONCELOS</t>
        </is>
      </c>
      <c r="E2463" s="14" t="inlineStr">
        <is>
          <t>POVOADO JABEQUARA DA AREIA</t>
        </is>
      </c>
      <c r="F2463" s="14" t="inlineStr">
        <is>
          <t>RUA DO MEIO, S/N - ZONA RURAL</t>
        </is>
      </c>
      <c r="G2463" s="27" t="inlineStr">
        <is>
          <t>43900-000</t>
        </is>
      </c>
      <c r="H2463" s="15" t="n">
        <v>3</v>
      </c>
      <c r="I2463" s="28" t="inlineStr">
        <is>
          <t>NÃO</t>
        </is>
      </c>
      <c r="J2463" s="29" t="n">
        <v>1459.9</v>
      </c>
      <c r="K2463" s="14" t="str">
        <f>IF(J2463="","7. Acima de 2 km",IF(J2463&lt;=50,"1. Até 50 m",IF(J2463&lt;=100,"2. De 50 a 100 m",IF(J2463&lt;=200,"3. De 100 a 200 m",IF(J2463&lt;=300,"4. De 200 a 300 m",IF(J2463&lt;=500,"5. De 300 a 500 m","6. De 500 m a 2 km"))))))</f>
        <v>6. De 500 m a 2 km</v>
      </c>
      <c r="L2463" s="26" t="n">
        <v>0</v>
      </c>
      <c r="M2463" s="26" t="n">
        <v>0</v>
      </c>
      <c r="N2463" s="26" t="n">
        <v>0</v>
      </c>
      <c r="O2463" s="26" t="n">
        <v>0</v>
      </c>
      <c r="P2463" s="30" t="n">
        <v>-12.6350165</v>
      </c>
      <c r="Q2463" s="30" t="n">
        <v>-38.543842</v>
      </c>
      <c r="R2463" s="14" t="inlineStr">
        <is>
          <t>R. DO ASFALTO, 9, CENTRO, SÃO FRANCISCO DO CONDE/BA</t>
        </is>
      </c>
      <c r="S2463" s="26">
        <f>IF(A2463=A2462,0,1)</f>
        <v>0</v>
      </c>
      <c r="T2463" s="26">
        <f>IF(COUNTIF($B$4:B2463,B2463)=1,1,0)</f>
        <v>0</v>
      </c>
    </row>
    <row r="2464">
      <c r="A2464" s="14" t="inlineStr">
        <is>
          <t>SÃO FRANCISCO DO CONDE</t>
        </is>
      </c>
      <c r="B2464" s="26" t="n">
        <v>162</v>
      </c>
      <c r="C2464" s="26" t="n">
        <v>1082</v>
      </c>
      <c r="D2464" s="14" t="inlineStr">
        <is>
          <t>ESCOLA DUQUE DE CAXIAS</t>
        </is>
      </c>
      <c r="E2464" s="14" t="inlineStr">
        <is>
          <t>DISTRITO MONTE RECÔNCAVO</t>
        </is>
      </c>
      <c r="F2464" s="14" t="inlineStr">
        <is>
          <t>RUA DO CEMITÉRIO, S/N - ZONA RURAL</t>
        </is>
      </c>
      <c r="G2464" s="27" t="inlineStr">
        <is>
          <t>43900-000</t>
        </is>
      </c>
      <c r="H2464" s="15" t="n">
        <v>4</v>
      </c>
      <c r="I2464" s="28" t="inlineStr">
        <is>
          <t>NÃO</t>
        </is>
      </c>
      <c r="J2464" s="29" t="n">
        <v>504.9</v>
      </c>
      <c r="K2464" s="14" t="str">
        <f>IF(J2464="","7. Acima de 2 km",IF(J2464&lt;=50,"1. Até 50 m",IF(J2464&lt;=100,"2. De 50 a 100 m",IF(J2464&lt;=200,"3. De 100 a 200 m",IF(J2464&lt;=300,"4. De 200 a 300 m",IF(J2464&lt;=500,"5. De 300 a 500 m","6. De 500 m a 2 km"))))))</f>
        <v>6. De 500 m a 2 km</v>
      </c>
      <c r="L2464" s="26" t="n">
        <v>0</v>
      </c>
      <c r="M2464" s="26" t="n">
        <v>0</v>
      </c>
      <c r="N2464" s="26" t="n">
        <v>0</v>
      </c>
      <c r="O2464" s="26" t="n">
        <v>0</v>
      </c>
      <c r="P2464" s="30" t="n">
        <v>-12.6423917</v>
      </c>
      <c r="Q2464" s="30" t="n">
        <v>-38.6205528</v>
      </c>
      <c r="R2464" s="14" t="inlineStr">
        <is>
          <t>R. DO ASFALTO, 9, CENTRO, SÃO FRANCISCO DO CONDE/BA</t>
        </is>
      </c>
      <c r="S2464" s="26">
        <f>IF(A2464=A2463,0,1)</f>
        <v>0</v>
      </c>
      <c r="T2464" s="26">
        <f>IF(COUNTIF($B$4:B2464,B2464)=1,1,0)</f>
        <v>0</v>
      </c>
    </row>
    <row r="2465">
      <c r="A2465" s="14" t="inlineStr">
        <is>
          <t>SÃO FRANCISCO DO CONDE</t>
        </is>
      </c>
      <c r="B2465" s="26" t="n">
        <v>162</v>
      </c>
      <c r="C2465" s="26" t="n">
        <v>1090</v>
      </c>
      <c r="D2465" s="14" t="inlineStr">
        <is>
          <t>ESCOLA ALMIR PINTO</t>
        </is>
      </c>
      <c r="E2465" s="14" t="inlineStr">
        <is>
          <t>POVOADO CAMPINAS</t>
        </is>
      </c>
      <c r="F2465" s="14" t="inlineStr">
        <is>
          <t>RUA DA MANGUEIRA, S/N - ZONA RURAL</t>
        </is>
      </c>
      <c r="G2465" s="27" t="inlineStr">
        <is>
          <t>43900-000</t>
        </is>
      </c>
      <c r="H2465" s="15" t="n">
        <v>2</v>
      </c>
      <c r="I2465" s="28" t="inlineStr">
        <is>
          <t>NÃO</t>
        </is>
      </c>
      <c r="J2465" s="29" t="n"/>
      <c r="K2465" s="14" t="str">
        <f>IF(J2465="","7. Acima de 2 km",IF(J2465&lt;=50,"1. Até 50 m",IF(J2465&lt;=100,"2. De 50 a 100 m",IF(J2465&lt;=200,"3. De 100 a 200 m",IF(J2465&lt;=300,"4. De 200 a 300 m",IF(J2465&lt;=500,"5. De 300 a 500 m","6. De 500 m a 2 km"))))))</f>
        <v>7. Acima de 2 km</v>
      </c>
      <c r="L2465" s="26" t="n">
        <v>0</v>
      </c>
      <c r="M2465" s="26" t="n">
        <v>0</v>
      </c>
      <c r="N2465" s="26" t="n">
        <v>0</v>
      </c>
      <c r="O2465" s="26" t="n">
        <v>0</v>
      </c>
      <c r="P2465" s="30" t="n">
        <v>-12.6052366</v>
      </c>
      <c r="Q2465" s="30" t="n">
        <v>-38.6827157</v>
      </c>
      <c r="R2465" s="14" t="inlineStr">
        <is>
          <t>R. DO ASFALTO, 9, CENTRO, SÃO FRANCISCO DO CONDE/BA</t>
        </is>
      </c>
      <c r="S2465" s="26">
        <f>IF(A2465=A2464,0,1)</f>
        <v>0</v>
      </c>
      <c r="T2465" s="26">
        <f>IF(COUNTIF($B$4:B2465,B2465)=1,1,0)</f>
        <v>0</v>
      </c>
    </row>
    <row r="2466">
      <c r="A2466" s="14" t="inlineStr">
        <is>
          <t>SÃO FRANCISCO DO CONDE</t>
        </is>
      </c>
      <c r="B2466" s="26" t="n">
        <v>162</v>
      </c>
      <c r="C2466" s="26" t="n">
        <v>1104</v>
      </c>
      <c r="D2466" s="14" t="inlineStr">
        <is>
          <t>ESCOLA MUNICIPAL MARIA AMÉLIA</t>
        </is>
      </c>
      <c r="E2466" s="14" t="inlineStr">
        <is>
          <t>POVOADO SÃO BENTO DAS LAJES</t>
        </is>
      </c>
      <c r="F2466" s="14" t="inlineStr">
        <is>
          <t>AV. SANTA RITA, S/N - ZONA RURAL</t>
        </is>
      </c>
      <c r="G2466" s="27" t="inlineStr">
        <is>
          <t>43900-000</t>
        </is>
      </c>
      <c r="H2466" s="15" t="n">
        <v>4</v>
      </c>
      <c r="I2466" s="28" t="inlineStr">
        <is>
          <t>NÃO</t>
        </is>
      </c>
      <c r="J2466" s="29" t="n">
        <v>547.4</v>
      </c>
      <c r="K2466" s="14" t="str">
        <f>IF(J2466="","7. Acima de 2 km",IF(J2466&lt;=50,"1. Até 50 m",IF(J2466&lt;=100,"2. De 50 a 100 m",IF(J2466&lt;=200,"3. De 100 a 200 m",IF(J2466&lt;=300,"4. De 200 a 300 m",IF(J2466&lt;=500,"5. De 300 a 500 m","6. De 500 m a 2 km"))))))</f>
        <v>6. De 500 m a 2 km</v>
      </c>
      <c r="L2466" s="26" t="n">
        <v>0</v>
      </c>
      <c r="M2466" s="26" t="n">
        <v>0</v>
      </c>
      <c r="N2466" s="26" t="n">
        <v>0</v>
      </c>
      <c r="O2466" s="26" t="n">
        <v>0</v>
      </c>
      <c r="P2466" s="30" t="n">
        <v>-12.6197873</v>
      </c>
      <c r="Q2466" s="30" t="n">
        <v>-38.689482</v>
      </c>
      <c r="R2466" s="14" t="inlineStr">
        <is>
          <t>R. DO ASFALTO, 9, CENTRO, SÃO FRANCISCO DO CONDE/BA</t>
        </is>
      </c>
      <c r="S2466" s="26">
        <f>IF(A2466=A2465,0,1)</f>
        <v>0</v>
      </c>
      <c r="T2466" s="26">
        <f>IF(COUNTIF($B$4:B2466,B2466)=1,1,0)</f>
        <v>0</v>
      </c>
    </row>
    <row r="2467">
      <c r="A2467" s="14" t="inlineStr">
        <is>
          <t>SÃO FRANCISCO DO CONDE</t>
        </is>
      </c>
      <c r="B2467" s="26" t="n">
        <v>162</v>
      </c>
      <c r="C2467" s="26" t="n">
        <v>1112</v>
      </c>
      <c r="D2467" s="14" t="inlineStr">
        <is>
          <t>ESCOLA O SOLDADO DESCONHECIDO</t>
        </is>
      </c>
      <c r="E2467" s="14" t="inlineStr">
        <is>
          <t>DISTRITO DE SANTO ESTEVÃO</t>
        </is>
      </c>
      <c r="F2467" s="14" t="inlineStr">
        <is>
          <t>RUA DA MANGUEIRA, S/N  - ZONA RURAL</t>
        </is>
      </c>
      <c r="G2467" s="27" t="inlineStr">
        <is>
          <t>43900-000</t>
        </is>
      </c>
      <c r="H2467" s="15" t="n">
        <v>2</v>
      </c>
      <c r="I2467" s="28" t="inlineStr">
        <is>
          <t>NÃO</t>
        </is>
      </c>
      <c r="J2467" s="29" t="n">
        <v>1611.1</v>
      </c>
      <c r="K2467" s="14" t="str">
        <f>IF(J2467="","7. Acima de 2 km",IF(J2467&lt;=50,"1. Até 50 m",IF(J2467&lt;=100,"2. De 50 a 100 m",IF(J2467&lt;=200,"3. De 100 a 200 m",IF(J2467&lt;=300,"4. De 200 a 300 m",IF(J2467&lt;=500,"5. De 300 a 500 m","6. De 500 m a 2 km"))))))</f>
        <v>6. De 500 m a 2 km</v>
      </c>
      <c r="L2467" s="26" t="n">
        <v>0</v>
      </c>
      <c r="M2467" s="26" t="n">
        <v>0</v>
      </c>
      <c r="N2467" s="26" t="n">
        <v>0</v>
      </c>
      <c r="O2467" s="26" t="n">
        <v>0</v>
      </c>
      <c r="P2467" s="30" t="n">
        <v>-12.7225878</v>
      </c>
      <c r="Q2467" s="30" t="n">
        <v>-38.622985</v>
      </c>
      <c r="R2467" s="14" t="inlineStr">
        <is>
          <t>R. DO ASFALTO, 9, CENTRO, SÃO FRANCISCO DO CONDE/BA</t>
        </is>
      </c>
      <c r="S2467" s="26">
        <f>IF(A2467=A2466,0,1)</f>
        <v>0</v>
      </c>
      <c r="T2467" s="26">
        <f>IF(COUNTIF($B$4:B2467,B2467)=1,1,0)</f>
        <v>0</v>
      </c>
    </row>
    <row r="2468">
      <c r="A2468" s="14" t="inlineStr">
        <is>
          <t>SÃO FRANCISCO DO CONDE</t>
        </is>
      </c>
      <c r="B2468" s="26" t="n">
        <v>162</v>
      </c>
      <c r="C2468" s="26" t="n">
        <v>1139</v>
      </c>
      <c r="D2468" s="14" t="inlineStr">
        <is>
          <t>ESCOLA ESTADUAL ANA JUNQUEIRA AYRES TOURINHO</t>
        </is>
      </c>
      <c r="E2468" s="14" t="inlineStr">
        <is>
          <t>POVOADO CAÍPE</t>
        </is>
      </c>
      <c r="F2468" s="14" t="inlineStr">
        <is>
          <t>RUA DO ASFALTO, S/N - ZONA RURAL</t>
        </is>
      </c>
      <c r="G2468" s="27" t="inlineStr">
        <is>
          <t>43900-000</t>
        </is>
      </c>
      <c r="H2468" s="15" t="n">
        <v>9</v>
      </c>
      <c r="I2468" s="28" t="inlineStr">
        <is>
          <t>SIM</t>
        </is>
      </c>
      <c r="J2468" s="29" t="n">
        <v>47.9</v>
      </c>
      <c r="K2468" s="14" t="str">
        <f>IF(J2468="","7. Acima de 2 km",IF(J2468&lt;=50,"1. Até 50 m",IF(J2468&lt;=100,"2. De 50 a 100 m",IF(J2468&lt;=200,"3. De 100 a 200 m",IF(J2468&lt;=300,"4. De 200 a 300 m",IF(J2468&lt;=500,"5. De 300 a 500 m","6. De 500 m a 2 km"))))))</f>
        <v>1. Até 50 m</v>
      </c>
      <c r="L2468" s="26" t="n">
        <v>1</v>
      </c>
      <c r="M2468" s="26" t="n">
        <v>1</v>
      </c>
      <c r="N2468" s="26" t="n">
        <v>3</v>
      </c>
      <c r="O2468" s="26" t="n">
        <v>3</v>
      </c>
      <c r="P2468" s="30" t="n">
        <v>-12.7317931</v>
      </c>
      <c r="Q2468" s="30" t="n">
        <v>-38.597876</v>
      </c>
      <c r="R2468" s="14" t="inlineStr">
        <is>
          <t>R. DO ASFALTO, 9, CENTRO, SÃO FRANCISCO DO CONDE/BA</t>
        </is>
      </c>
      <c r="S2468" s="26">
        <f>IF(A2468=A2467,0,1)</f>
        <v>0</v>
      </c>
      <c r="T2468" s="26">
        <f>IF(COUNTIF($B$4:B2468,B2468)=1,1,0)</f>
        <v>0</v>
      </c>
    </row>
    <row r="2469">
      <c r="A2469" s="14" t="inlineStr">
        <is>
          <t>SÃO FRANCISCO DO CONDE</t>
        </is>
      </c>
      <c r="B2469" s="26" t="n">
        <v>162</v>
      </c>
      <c r="C2469" s="26" t="n">
        <v>1147</v>
      </c>
      <c r="D2469" s="14" t="inlineStr">
        <is>
          <t>ESCOLA ABDON ANTÔNIO CALDEIRA</t>
        </is>
      </c>
      <c r="E2469" s="14" t="inlineStr">
        <is>
          <t>POVOADO SOCORRO</t>
        </is>
      </c>
      <c r="F2469" s="14" t="inlineStr">
        <is>
          <t>PRAÇAA DO SOCORRO, S/N - ZONA RURAL</t>
        </is>
      </c>
      <c r="G2469" s="27" t="inlineStr">
        <is>
          <t>43900-000</t>
        </is>
      </c>
      <c r="H2469" s="15" t="n">
        <v>2</v>
      </c>
      <c r="I2469" s="28" t="inlineStr">
        <is>
          <t>NÃO</t>
        </is>
      </c>
      <c r="J2469" s="29" t="n"/>
      <c r="K2469" s="14" t="str">
        <f>IF(J2469="","7. Acima de 2 km",IF(J2469&lt;=50,"1. Até 50 m",IF(J2469&lt;=100,"2. De 50 a 100 m",IF(J2469&lt;=200,"3. De 100 a 200 m",IF(J2469&lt;=300,"4. De 200 a 300 m",IF(J2469&lt;=500,"5. De 300 a 500 m","6. De 500 m a 2 km"))))))</f>
        <v>7. Acima de 2 km</v>
      </c>
      <c r="L2469" s="26" t="n">
        <v>0</v>
      </c>
      <c r="M2469" s="26" t="n">
        <v>0</v>
      </c>
      <c r="N2469" s="26" t="n">
        <v>0</v>
      </c>
      <c r="O2469" s="26" t="n">
        <v>0</v>
      </c>
      <c r="P2469" s="30" t="n">
        <v>-12.6826337</v>
      </c>
      <c r="Q2469" s="30" t="n">
        <v>-38.58532</v>
      </c>
      <c r="R2469" s="14" t="inlineStr">
        <is>
          <t>R. DO ASFALTO, 9, CENTRO, SÃO FRANCISCO DO CONDE/BA</t>
        </is>
      </c>
      <c r="S2469" s="26">
        <f>IF(A2469=A2468,0,1)</f>
        <v>0</v>
      </c>
      <c r="T2469" s="26">
        <f>IF(COUNTIF($B$4:B2469,B2469)=1,1,0)</f>
        <v>0</v>
      </c>
    </row>
    <row r="2470">
      <c r="A2470" s="14" t="inlineStr">
        <is>
          <t>SÃO FRANCISCO DO CONDE</t>
        </is>
      </c>
      <c r="B2470" s="26" t="n">
        <v>162</v>
      </c>
      <c r="C2470" s="26" t="n">
        <v>1163</v>
      </c>
      <c r="D2470" s="14" t="inlineStr">
        <is>
          <t>ESCOLA RURAL</t>
        </is>
      </c>
      <c r="E2470" s="14" t="inlineStr">
        <is>
          <t>POVOADO PARAMIRIM</t>
        </is>
      </c>
      <c r="F2470" s="14" t="inlineStr">
        <is>
          <t>PRAÇA ALZIRA SANTANA CRUZ, S/N - ZONA RURAL</t>
        </is>
      </c>
      <c r="G2470" s="27" t="inlineStr">
        <is>
          <t>43900-000</t>
        </is>
      </c>
      <c r="H2470" s="15" t="n">
        <v>4</v>
      </c>
      <c r="I2470" s="28" t="inlineStr">
        <is>
          <t>SIM</t>
        </is>
      </c>
      <c r="J2470" s="29" t="n">
        <v>76.40000000000001</v>
      </c>
      <c r="K2470" s="14" t="str">
        <f>IF(J2470="","7. Acima de 2 km",IF(J2470&lt;=50,"1. Até 50 m",IF(J2470&lt;=100,"2. De 50 a 100 m",IF(J2470&lt;=200,"3. De 100 a 200 m",IF(J2470&lt;=300,"4. De 200 a 300 m",IF(J2470&lt;=500,"5. De 300 a 500 m","6. De 500 m a 2 km"))))))</f>
        <v>2. De 50 a 100 m</v>
      </c>
      <c r="L2470" s="26" t="n">
        <v>0</v>
      </c>
      <c r="M2470" s="26" t="n">
        <v>1</v>
      </c>
      <c r="N2470" s="26" t="n">
        <v>1</v>
      </c>
      <c r="O2470" s="26" t="n">
        <v>1</v>
      </c>
      <c r="P2470" s="30" t="n">
        <v>-12.6477672</v>
      </c>
      <c r="Q2470" s="30" t="n">
        <v>-38.596631</v>
      </c>
      <c r="R2470" s="14" t="inlineStr">
        <is>
          <t>R. DO ASFALTO, 9, CENTRO, SÃO FRANCISCO DO CONDE/BA</t>
        </is>
      </c>
      <c r="S2470" s="26">
        <f>IF(A2470=A2469,0,1)</f>
        <v>0</v>
      </c>
      <c r="T2470" s="26">
        <f>IF(COUNTIF($B$4:B2470,B2470)=1,1,0)</f>
        <v>0</v>
      </c>
    </row>
    <row r="2471">
      <c r="A2471" s="14" t="inlineStr">
        <is>
          <t>SÃO FRANCISCO DO CONDE</t>
        </is>
      </c>
      <c r="B2471" s="26" t="n">
        <v>162</v>
      </c>
      <c r="C2471" s="26" t="n">
        <v>1198</v>
      </c>
      <c r="D2471" s="14" t="inlineStr">
        <is>
          <t>ESCOLA JOÃO SEABRA VELOSO</t>
        </is>
      </c>
      <c r="E2471" s="14" t="inlineStr">
        <is>
          <t>POVOADO MURIBECA</t>
        </is>
      </c>
      <c r="F2471" s="14" t="inlineStr">
        <is>
          <t>RUA CAMPOMAR, S/N - ZONA RURAL</t>
        </is>
      </c>
      <c r="G2471" s="27" t="inlineStr">
        <is>
          <t>43970-000</t>
        </is>
      </c>
      <c r="H2471" s="15" t="n">
        <v>2</v>
      </c>
      <c r="I2471" s="28" t="inlineStr">
        <is>
          <t>NÃO</t>
        </is>
      </c>
      <c r="J2471" s="29" t="n"/>
      <c r="K2471" s="14" t="str">
        <f>IF(J2471="","7. Acima de 2 km",IF(J2471&lt;=50,"1. Até 50 m",IF(J2471&lt;=100,"2. De 50 a 100 m",IF(J2471&lt;=200,"3. De 100 a 200 m",IF(J2471&lt;=300,"4. De 200 a 300 m",IF(J2471&lt;=500,"5. De 300 a 500 m","6. De 500 m a 2 km"))))))</f>
        <v>7. Acima de 2 km</v>
      </c>
      <c r="L2471" s="26" t="n">
        <v>0</v>
      </c>
      <c r="M2471" s="26" t="n">
        <v>0</v>
      </c>
      <c r="N2471" s="26" t="n">
        <v>0</v>
      </c>
      <c r="O2471" s="26" t="n">
        <v>0</v>
      </c>
      <c r="P2471" s="30" t="n">
        <v>-12.6935629</v>
      </c>
      <c r="Q2471" s="30" t="n">
        <v>-38.6056341</v>
      </c>
      <c r="R2471" s="14" t="inlineStr">
        <is>
          <t>R. DO ASFALTO, 9, CENTRO, SÃO FRANCISCO DO CONDE/BA</t>
        </is>
      </c>
      <c r="S2471" s="26">
        <f>IF(A2471=A2470,0,1)</f>
        <v>0</v>
      </c>
      <c r="T2471" s="26">
        <f>IF(COUNTIF($B$4:B2471,B2471)=1,1,0)</f>
        <v>0</v>
      </c>
    </row>
    <row r="2472">
      <c r="A2472" s="14" t="inlineStr">
        <is>
          <t>SÃO FRANCISCO DO CONDE</t>
        </is>
      </c>
      <c r="B2472" s="26" t="n">
        <v>162</v>
      </c>
      <c r="C2472" s="26" t="n">
        <v>1201</v>
      </c>
      <c r="D2472" s="14" t="inlineStr">
        <is>
          <t>ESCOLA ANÍSIO TEIXEIRA</t>
        </is>
      </c>
      <c r="E2472" s="14" t="inlineStr">
        <is>
          <t>POVOADO ENGENHO DE BAIXO</t>
        </is>
      </c>
      <c r="F2472" s="14" t="inlineStr">
        <is>
          <t>RUA BEIRA MAR, S/N  - ZONA RURAL</t>
        </is>
      </c>
      <c r="G2472" s="27" t="inlineStr">
        <is>
          <t>43970-000</t>
        </is>
      </c>
      <c r="H2472" s="15" t="n">
        <v>2</v>
      </c>
      <c r="I2472" s="28" t="inlineStr">
        <is>
          <t>NÃO</t>
        </is>
      </c>
      <c r="J2472" s="29" t="n"/>
      <c r="K2472" s="14" t="str">
        <f>IF(J2472="","7. Acima de 2 km",IF(J2472&lt;=50,"1. Até 50 m",IF(J2472&lt;=100,"2. De 50 a 100 m",IF(J2472&lt;=200,"3. De 100 a 200 m",IF(J2472&lt;=300,"4. De 200 a 300 m",IF(J2472&lt;=500,"5. De 300 a 500 m","6. De 500 m a 2 km"))))))</f>
        <v>7. Acima de 2 km</v>
      </c>
      <c r="L2472" s="26" t="n">
        <v>0</v>
      </c>
      <c r="M2472" s="26" t="n">
        <v>0</v>
      </c>
      <c r="N2472" s="26" t="n">
        <v>0</v>
      </c>
      <c r="O2472" s="26" t="n">
        <v>0</v>
      </c>
      <c r="P2472" s="30" t="n">
        <v>-12.6836361</v>
      </c>
      <c r="Q2472" s="30" t="n">
        <v>-38.628817</v>
      </c>
      <c r="R2472" s="14" t="inlineStr">
        <is>
          <t>R. DO ASFALTO, 9, CENTRO, SÃO FRANCISCO DO CONDE/BA</t>
        </is>
      </c>
      <c r="S2472" s="26">
        <f>IF(A2472=A2471,0,1)</f>
        <v>0</v>
      </c>
      <c r="T2472" s="26">
        <f>IF(COUNTIF($B$4:B2472,B2472)=1,1,0)</f>
        <v>0</v>
      </c>
    </row>
    <row r="2473">
      <c r="A2473" s="14" t="inlineStr">
        <is>
          <t>SÃO FRANCISCO DO CONDE</t>
        </is>
      </c>
      <c r="B2473" s="26" t="n">
        <v>162</v>
      </c>
      <c r="C2473" s="26" t="n">
        <v>1210</v>
      </c>
      <c r="D2473" s="14" t="inlineStr">
        <is>
          <t>ESCOLA SÃO BENTO DAS LAJES</t>
        </is>
      </c>
      <c r="E2473" s="14" t="inlineStr">
        <is>
          <t>POVOADO SÃO BENTO DAS LAJES</t>
        </is>
      </c>
      <c r="F2473" s="14" t="inlineStr">
        <is>
          <t>AV. SANTA RITA, S/N - ZONA RURAL</t>
        </is>
      </c>
      <c r="G2473" s="27" t="inlineStr">
        <is>
          <t>43900-000</t>
        </is>
      </c>
      <c r="H2473" s="15" t="n">
        <v>4</v>
      </c>
      <c r="I2473" s="28" t="inlineStr">
        <is>
          <t>NÃO</t>
        </is>
      </c>
      <c r="J2473" s="29" t="n">
        <v>1113.6</v>
      </c>
      <c r="K2473" s="14" t="str">
        <f>IF(J2473="","7. Acima de 2 km",IF(J2473&lt;=50,"1. Até 50 m",IF(J2473&lt;=100,"2. De 50 a 100 m",IF(J2473&lt;=200,"3. De 100 a 200 m",IF(J2473&lt;=300,"4. De 200 a 300 m",IF(J2473&lt;=500,"5. De 300 a 500 m","6. De 500 m a 2 km"))))))</f>
        <v>6. De 500 m a 2 km</v>
      </c>
      <c r="L2473" s="26" t="n">
        <v>0</v>
      </c>
      <c r="M2473" s="26" t="n">
        <v>0</v>
      </c>
      <c r="N2473" s="26" t="n">
        <v>0</v>
      </c>
      <c r="O2473" s="26" t="n">
        <v>0</v>
      </c>
      <c r="P2473" s="30" t="n">
        <v>-12.6151909</v>
      </c>
      <c r="Q2473" s="30" t="n">
        <v>-38.6920588</v>
      </c>
      <c r="R2473" s="14" t="inlineStr">
        <is>
          <t>R. DO ASFALTO, 9, CENTRO, SÃO FRANCISCO DO CONDE/BA</t>
        </is>
      </c>
      <c r="S2473" s="26">
        <f>IF(A2473=A2472,0,1)</f>
        <v>0</v>
      </c>
      <c r="T2473" s="26">
        <f>IF(COUNTIF($B$4:B2473,B2473)=1,1,0)</f>
        <v>0</v>
      </c>
    </row>
    <row r="2474">
      <c r="A2474" s="14" t="inlineStr">
        <is>
          <t>SÃO FRANCISCO DO CONDE</t>
        </is>
      </c>
      <c r="B2474" s="26" t="n">
        <v>162</v>
      </c>
      <c r="C2474" s="26" t="n">
        <v>1236</v>
      </c>
      <c r="D2474" s="14" t="inlineStr">
        <is>
          <t>ESCOLA JUVENAL EUGÊNIO DE QUEIROZ</t>
        </is>
      </c>
      <c r="E2474" s="14" t="inlineStr">
        <is>
          <t>BAIXA FRIA</t>
        </is>
      </c>
      <c r="F2474" s="14" t="inlineStr">
        <is>
          <t>TRAVESSA JUVENAL EUGÊNIO DE QUEIROZ, S/N - ZONA URBANA</t>
        </is>
      </c>
      <c r="G2474" s="27" t="inlineStr">
        <is>
          <t>43900-000</t>
        </is>
      </c>
      <c r="H2474" s="15" t="n">
        <v>3</v>
      </c>
      <c r="I2474" s="28" t="inlineStr">
        <is>
          <t>NÃO</t>
        </is>
      </c>
      <c r="J2474" s="29" t="n">
        <v>306.7</v>
      </c>
      <c r="K2474" s="14" t="str">
        <f>IF(J2474="","7. Acima de 2 km",IF(J2474&lt;=50,"1. Até 50 m",IF(J2474&lt;=100,"2. De 50 a 100 m",IF(J2474&lt;=200,"3. De 100 a 200 m",IF(J2474&lt;=300,"4. De 200 a 300 m",IF(J2474&lt;=500,"5. De 300 a 500 m","6. De 500 m a 2 km"))))))</f>
        <v>5. De 300 a 500 m</v>
      </c>
      <c r="L2474" s="26" t="n">
        <v>0</v>
      </c>
      <c r="M2474" s="26" t="n">
        <v>0</v>
      </c>
      <c r="N2474" s="26" t="n">
        <v>0</v>
      </c>
      <c r="O2474" s="26" t="n">
        <v>0</v>
      </c>
      <c r="P2474" s="30" t="n">
        <v>-12.6161201</v>
      </c>
      <c r="Q2474" s="30" t="n">
        <v>-38.6665448</v>
      </c>
      <c r="R2474" s="14" t="inlineStr">
        <is>
          <t>R. DO ASFALTO, 9, CENTRO, SÃO FRANCISCO DO CONDE/BA</t>
        </is>
      </c>
      <c r="S2474" s="26">
        <f>IF(A2474=A2473,0,1)</f>
        <v>0</v>
      </c>
      <c r="T2474" s="26">
        <f>IF(COUNTIF($B$4:B2474,B2474)=1,1,0)</f>
        <v>0</v>
      </c>
    </row>
    <row r="2475">
      <c r="A2475" s="14" t="inlineStr">
        <is>
          <t>SÃO FRANCISCO DO CONDE</t>
        </is>
      </c>
      <c r="B2475" s="26" t="n">
        <v>162</v>
      </c>
      <c r="C2475" s="26" t="n">
        <v>1244</v>
      </c>
      <c r="D2475" s="14" t="inlineStr">
        <is>
          <t>COLÉGIO EDUCACIONAL JOAQUIM ALVES CRUZ RIOS</t>
        </is>
      </c>
      <c r="E2475" s="14" t="inlineStr">
        <is>
          <t>PITANGUEIRA</t>
        </is>
      </c>
      <c r="F2475" s="14" t="inlineStr">
        <is>
          <t>RUA MANOEL EZIQUIEL DO AMARAL, S/N - ZONA URBANA</t>
        </is>
      </c>
      <c r="G2475" s="27" t="inlineStr">
        <is>
          <t>43900-000</t>
        </is>
      </c>
      <c r="H2475" s="15" t="n">
        <v>5</v>
      </c>
      <c r="I2475" s="28" t="inlineStr">
        <is>
          <t>NÃO</t>
        </is>
      </c>
      <c r="J2475" s="29" t="n">
        <v>519.1</v>
      </c>
      <c r="K2475" s="14" t="str">
        <f>IF(J2475="","7. Acima de 2 km",IF(J2475&lt;=50,"1. Até 50 m",IF(J2475&lt;=100,"2. De 50 a 100 m",IF(J2475&lt;=200,"3. De 100 a 200 m",IF(J2475&lt;=300,"4. De 200 a 300 m",IF(J2475&lt;=500,"5. De 300 a 500 m","6. De 500 m a 2 km"))))))</f>
        <v>6. De 500 m a 2 km</v>
      </c>
      <c r="L2475" s="26" t="n">
        <v>0</v>
      </c>
      <c r="M2475" s="26" t="n">
        <v>0</v>
      </c>
      <c r="N2475" s="26" t="n">
        <v>0</v>
      </c>
      <c r="O2475" s="26" t="n">
        <v>0</v>
      </c>
      <c r="P2475" s="30" t="n">
        <v>-12.6186943</v>
      </c>
      <c r="Q2475" s="30" t="n">
        <v>-38.6774991</v>
      </c>
      <c r="R2475" s="14" t="inlineStr">
        <is>
          <t>R. DO ASFALTO, 9, CENTRO, SÃO FRANCISCO DO CONDE/BA</t>
        </is>
      </c>
      <c r="S2475" s="26">
        <f>IF(A2475=A2474,0,1)</f>
        <v>0</v>
      </c>
      <c r="T2475" s="26">
        <f>IF(COUNTIF($B$4:B2475,B2475)=1,1,0)</f>
        <v>0</v>
      </c>
    </row>
    <row r="2476">
      <c r="A2476" s="14" t="inlineStr">
        <is>
          <t>SÃO FRANCISCO DO CONDE</t>
        </is>
      </c>
      <c r="B2476" s="26" t="n">
        <v>162</v>
      </c>
      <c r="C2476" s="26" t="n">
        <v>1252</v>
      </c>
      <c r="D2476" s="14" t="inlineStr">
        <is>
          <t>CEJAL - COMPLEXO ESCOLAR JULIETA ARLETE E LICIA ALVES</t>
        </is>
      </c>
      <c r="E2476" s="14" t="inlineStr">
        <is>
          <t>CENTRO</t>
        </is>
      </c>
      <c r="F2476" s="14" t="inlineStr">
        <is>
          <t>ESTRADA DE CAMPINAS, S/N - ZONA URBANA</t>
        </is>
      </c>
      <c r="G2476" s="27" t="inlineStr">
        <is>
          <t>43900-000</t>
        </is>
      </c>
      <c r="H2476" s="15" t="n">
        <v>4</v>
      </c>
      <c r="I2476" s="28" t="inlineStr">
        <is>
          <t>NÃO</t>
        </is>
      </c>
      <c r="J2476" s="29" t="n">
        <v>223.8</v>
      </c>
      <c r="K2476" s="14" t="str">
        <f>IF(J2476="","7. Acima de 2 km",IF(J2476&lt;=50,"1. Até 50 m",IF(J2476&lt;=100,"2. De 50 a 100 m",IF(J2476&lt;=200,"3. De 100 a 200 m",IF(J2476&lt;=300,"4. De 200 a 300 m",IF(J2476&lt;=500,"5. De 300 a 500 m","6. De 500 m a 2 km"))))))</f>
        <v>4. De 200 a 300 m</v>
      </c>
      <c r="L2476" s="26" t="n">
        <v>0</v>
      </c>
      <c r="M2476" s="26" t="n">
        <v>0</v>
      </c>
      <c r="N2476" s="26" t="n">
        <v>0</v>
      </c>
      <c r="O2476" s="26" t="n">
        <v>1</v>
      </c>
      <c r="P2476" s="30" t="n">
        <v>-12.6214381</v>
      </c>
      <c r="Q2476" s="30" t="n">
        <v>-38.6742973</v>
      </c>
      <c r="R2476" s="14" t="inlineStr">
        <is>
          <t>R. DO ASFALTO, 9, CENTRO, SÃO FRANCISCO DO CONDE/BA</t>
        </is>
      </c>
      <c r="S2476" s="26">
        <f>IF(A2476=A2475,0,1)</f>
        <v>0</v>
      </c>
      <c r="T2476" s="26">
        <f>IF(COUNTIF($B$4:B2476,B2476)=1,1,0)</f>
        <v>0</v>
      </c>
    </row>
    <row r="2477">
      <c r="A2477" s="14" t="inlineStr">
        <is>
          <t>SÃO FRANCISCO DO CONDE</t>
        </is>
      </c>
      <c r="B2477" s="26" t="n">
        <v>162</v>
      </c>
      <c r="C2477" s="26" t="n">
        <v>1260</v>
      </c>
      <c r="D2477" s="14" t="inlineStr">
        <is>
          <t>ESCOLA SÃO ROQUE</t>
        </is>
      </c>
      <c r="E2477" s="14" t="inlineStr">
        <is>
          <t>POVOADO ILHA DO PATY</t>
        </is>
      </c>
      <c r="F2477" s="14" t="inlineStr">
        <is>
          <t>RUA DO COLÉGIO, S/N - ZONA RURAL</t>
        </is>
      </c>
      <c r="G2477" s="27" t="inlineStr">
        <is>
          <t>43900-000</t>
        </is>
      </c>
      <c r="H2477" s="15" t="n">
        <v>1</v>
      </c>
      <c r="I2477" s="28" t="inlineStr">
        <is>
          <t>NÃO</t>
        </is>
      </c>
      <c r="J2477" s="29" t="n"/>
      <c r="K2477" s="14" t="str">
        <f>IF(J2477="","7. Acima de 2 km",IF(J2477&lt;=50,"1. Até 50 m",IF(J2477&lt;=100,"2. De 50 a 100 m",IF(J2477&lt;=200,"3. De 100 a 200 m",IF(J2477&lt;=300,"4. De 200 a 300 m",IF(J2477&lt;=500,"5. De 300 a 500 m","6. De 500 m a 2 km"))))))</f>
        <v>7. Acima de 2 km</v>
      </c>
      <c r="L2477" s="26" t="n">
        <v>0</v>
      </c>
      <c r="M2477" s="26" t="n">
        <v>0</v>
      </c>
      <c r="N2477" s="26" t="n">
        <v>0</v>
      </c>
      <c r="O2477" s="26" t="n">
        <v>0</v>
      </c>
      <c r="P2477" s="30" t="n">
        <v>-12.7080403</v>
      </c>
      <c r="Q2477" s="30" t="n">
        <v>-38.6271914</v>
      </c>
      <c r="R2477" s="14" t="inlineStr">
        <is>
          <t>R. DO ASFALTO, 9, CENTRO, SÃO FRANCISCO DO CONDE/BA</t>
        </is>
      </c>
      <c r="S2477" s="26">
        <f>IF(A2477=A2476,0,1)</f>
        <v>0</v>
      </c>
      <c r="T2477" s="26">
        <f>IF(COUNTIF($B$4:B2477,B2477)=1,1,0)</f>
        <v>0</v>
      </c>
    </row>
    <row r="2478">
      <c r="A2478" s="14" t="inlineStr">
        <is>
          <t>SÃO FRANCISCO DO CONDE</t>
        </is>
      </c>
      <c r="B2478" s="26" t="n">
        <v>162</v>
      </c>
      <c r="C2478" s="26" t="n">
        <v>1279</v>
      </c>
      <c r="D2478" s="14" t="inlineStr">
        <is>
          <t>ESCOLA ANTÔNIO BALBINO</t>
        </is>
      </c>
      <c r="E2478" s="14" t="inlineStr">
        <is>
          <t>POVOADO ILHA DAS FONTES</t>
        </is>
      </c>
      <c r="F2478" s="14" t="inlineStr">
        <is>
          <t>RUA PONTA DE SÃO JOÃO, S/N - ZONA RURAL</t>
        </is>
      </c>
      <c r="G2478" s="27" t="inlineStr">
        <is>
          <t>43900-000</t>
        </is>
      </c>
      <c r="H2478" s="15" t="n">
        <v>1</v>
      </c>
      <c r="I2478" s="28" t="inlineStr">
        <is>
          <t>NÃO</t>
        </is>
      </c>
      <c r="J2478" s="29" t="n"/>
      <c r="K2478" s="14" t="str">
        <f>IF(J2478="","7. Acima de 2 km",IF(J2478&lt;=50,"1. Até 50 m",IF(J2478&lt;=100,"2. De 50 a 100 m",IF(J2478&lt;=200,"3. De 100 a 200 m",IF(J2478&lt;=300,"4. De 200 a 300 m",IF(J2478&lt;=500,"5. De 300 a 500 m","6. De 500 m a 2 km"))))))</f>
        <v>7. Acima de 2 km</v>
      </c>
      <c r="L2478" s="26" t="n">
        <v>0</v>
      </c>
      <c r="M2478" s="26" t="n">
        <v>0</v>
      </c>
      <c r="N2478" s="26" t="n">
        <v>0</v>
      </c>
      <c r="O2478" s="26" t="n">
        <v>0</v>
      </c>
      <c r="P2478" s="30" t="n">
        <v>-12.6881397</v>
      </c>
      <c r="Q2478" s="30" t="n">
        <v>-38.6423324</v>
      </c>
      <c r="R2478" s="14" t="inlineStr">
        <is>
          <t>R. DO ASFALTO, 9, CENTRO, SÃO FRANCISCO DO CONDE/BA</t>
        </is>
      </c>
      <c r="S2478" s="26">
        <f>IF(A2478=A2477,0,1)</f>
        <v>0</v>
      </c>
      <c r="T2478" s="26">
        <f>IF(COUNTIF($B$4:B2478,B2478)=1,1,0)</f>
        <v>0</v>
      </c>
    </row>
    <row r="2479">
      <c r="A2479" s="14" t="inlineStr">
        <is>
          <t>SÃO FRANCISCO DO CONDE</t>
        </is>
      </c>
      <c r="B2479" s="26" t="n">
        <v>162</v>
      </c>
      <c r="C2479" s="26" t="n">
        <v>1287</v>
      </c>
      <c r="D2479" s="14" t="inlineStr">
        <is>
          <t>ESCOLA MARIA LÚCIA ALVES</t>
        </is>
      </c>
      <c r="E2479" s="14" t="inlineStr">
        <is>
          <t>SANTO ESTEVÃO</t>
        </is>
      </c>
      <c r="F2479" s="14" t="inlineStr">
        <is>
          <t>ESTRADA DE SANTO ESTEVÃO, S/N - ZONA RURAL</t>
        </is>
      </c>
      <c r="G2479" s="27" t="inlineStr">
        <is>
          <t>43900-000</t>
        </is>
      </c>
      <c r="H2479" s="15" t="n">
        <v>2</v>
      </c>
      <c r="I2479" s="28" t="inlineStr">
        <is>
          <t>NÃO</t>
        </is>
      </c>
      <c r="J2479" s="29" t="n">
        <v>1479.4</v>
      </c>
      <c r="K2479" s="14" t="str">
        <f>IF(J2479="","7. Acima de 2 km",IF(J2479&lt;=50,"1. Até 50 m",IF(J2479&lt;=100,"2. De 50 a 100 m",IF(J2479&lt;=200,"3. De 100 a 200 m",IF(J2479&lt;=300,"4. De 200 a 300 m",IF(J2479&lt;=500,"5. De 300 a 500 m","6. De 500 m a 2 km"))))))</f>
        <v>6. De 500 m a 2 km</v>
      </c>
      <c r="L2479" s="26" t="n">
        <v>0</v>
      </c>
      <c r="M2479" s="26" t="n">
        <v>0</v>
      </c>
      <c r="N2479" s="26" t="n">
        <v>0</v>
      </c>
      <c r="O2479" s="26" t="n">
        <v>0</v>
      </c>
      <c r="P2479" s="30" t="n">
        <v>-12.7166512</v>
      </c>
      <c r="Q2479" s="30" t="n">
        <v>-38.605391</v>
      </c>
      <c r="R2479" s="14" t="inlineStr">
        <is>
          <t>R. DO ASFALTO, 9, CENTRO, SÃO FRANCISCO DO CONDE/BA</t>
        </is>
      </c>
      <c r="S2479" s="26">
        <f>IF(A2479=A2478,0,1)</f>
        <v>0</v>
      </c>
      <c r="T2479" s="26">
        <f>IF(COUNTIF($B$4:B2479,B2479)=1,1,0)</f>
        <v>0</v>
      </c>
    </row>
    <row r="2480">
      <c r="A2480" s="14" t="inlineStr">
        <is>
          <t>SÃO FRANCISCO DO CONDE</t>
        </is>
      </c>
      <c r="B2480" s="26" t="n">
        <v>162</v>
      </c>
      <c r="C2480" s="26" t="n">
        <v>1317</v>
      </c>
      <c r="D2480" s="14" t="inlineStr">
        <is>
          <t>ESCOLA JOAQUIM INÁCIO DE ARAGÃO BULCÃO</t>
        </is>
      </c>
      <c r="E2480" s="14" t="inlineStr">
        <is>
          <t>POVOADO COROADO</t>
        </is>
      </c>
      <c r="F2480" s="14" t="inlineStr">
        <is>
          <t>RUA DA IGREJA, S/N - ZONA RURAL</t>
        </is>
      </c>
      <c r="G2480" s="27" t="inlineStr">
        <is>
          <t>43900-000</t>
        </is>
      </c>
      <c r="H2480" s="15" t="n">
        <v>2</v>
      </c>
      <c r="I2480" s="28" t="inlineStr">
        <is>
          <t>NÃO</t>
        </is>
      </c>
      <c r="J2480" s="29" t="n">
        <v>555.1</v>
      </c>
      <c r="K2480" s="14" t="str">
        <f>IF(J2480="","7. Acima de 2 km",IF(J2480&lt;=50,"1. Até 50 m",IF(J2480&lt;=100,"2. De 50 a 100 m",IF(J2480&lt;=200,"3. De 100 a 200 m",IF(J2480&lt;=300,"4. De 200 a 300 m",IF(J2480&lt;=500,"5. De 300 a 500 m","6. De 500 m a 2 km"))))))</f>
        <v>6. De 500 m a 2 km</v>
      </c>
      <c r="L2480" s="26" t="n">
        <v>0</v>
      </c>
      <c r="M2480" s="26" t="n">
        <v>0</v>
      </c>
      <c r="N2480" s="26" t="n">
        <v>0</v>
      </c>
      <c r="O2480" s="26" t="n">
        <v>0</v>
      </c>
      <c r="P2480" s="30" t="n">
        <v>-12.6431766</v>
      </c>
      <c r="Q2480" s="30" t="n">
        <v>-38.6188593</v>
      </c>
      <c r="R2480" s="14" t="inlineStr">
        <is>
          <t>R. DO ASFALTO, 9, CENTRO, SÃO FRANCISCO DO CONDE/BA</t>
        </is>
      </c>
      <c r="S2480" s="26">
        <f>IF(A2480=A2479,0,1)</f>
        <v>0</v>
      </c>
      <c r="T2480" s="26">
        <f>IF(COUNTIF($B$4:B2480,B2480)=1,1,0)</f>
        <v>0</v>
      </c>
    </row>
    <row r="2481">
      <c r="A2481" s="14" t="inlineStr">
        <is>
          <t>SÃO FRANCISCO DO CONDE</t>
        </is>
      </c>
      <c r="B2481" s="26" t="n">
        <v>162</v>
      </c>
      <c r="C2481" s="26" t="n">
        <v>1325</v>
      </c>
      <c r="D2481" s="14" t="inlineStr">
        <is>
          <t>ESCOLA JOSÉ DE ARAGÃO BULCÃO</t>
        </is>
      </c>
      <c r="E2481" s="14" t="inlineStr">
        <is>
          <t>DISTRITO MONTE RECÔNCAVO</t>
        </is>
      </c>
      <c r="F2481" s="14" t="inlineStr">
        <is>
          <t>RUA DO PRÉDIO, S/N - ZONA RURAL</t>
        </is>
      </c>
      <c r="G2481" s="27" t="inlineStr">
        <is>
          <t>43900-000</t>
        </is>
      </c>
      <c r="H2481" s="15" t="n">
        <v>1</v>
      </c>
      <c r="I2481" s="28" t="inlineStr">
        <is>
          <t>NÃO</t>
        </is>
      </c>
      <c r="J2481" s="29" t="n">
        <v>573.9</v>
      </c>
      <c r="K2481" s="14" t="str">
        <f>IF(J2481="","7. Acima de 2 km",IF(J2481&lt;=50,"1. Até 50 m",IF(J2481&lt;=100,"2. De 50 a 100 m",IF(J2481&lt;=200,"3. De 100 a 200 m",IF(J2481&lt;=300,"4. De 200 a 300 m",IF(J2481&lt;=500,"5. De 300 a 500 m","6. De 500 m a 2 km"))))))</f>
        <v>6. De 500 m a 2 km</v>
      </c>
      <c r="L2481" s="26" t="n">
        <v>0</v>
      </c>
      <c r="M2481" s="26" t="n">
        <v>0</v>
      </c>
      <c r="N2481" s="26" t="n">
        <v>0</v>
      </c>
      <c r="O2481" s="26" t="n">
        <v>0</v>
      </c>
      <c r="P2481" s="30" t="n">
        <v>-12.6530015</v>
      </c>
      <c r="Q2481" s="30" t="n">
        <v>-38.598396</v>
      </c>
      <c r="R2481" s="14" t="inlineStr">
        <is>
          <t>R. DO ASFALTO, 9, CENTRO, SÃO FRANCISCO DO CONDE/BA</t>
        </is>
      </c>
      <c r="S2481" s="26">
        <f>IF(A2481=A2480,0,1)</f>
        <v>0</v>
      </c>
      <c r="T2481" s="26">
        <f>IF(COUNTIF($B$4:B2481,B2481)=1,1,0)</f>
        <v>0</v>
      </c>
    </row>
    <row r="2482">
      <c r="A2482" s="14" t="inlineStr">
        <is>
          <t>SÃO FRANCISCO DO CONDE</t>
        </is>
      </c>
      <c r="B2482" s="26" t="n">
        <v>162</v>
      </c>
      <c r="C2482" s="26" t="n">
        <v>1341</v>
      </c>
      <c r="D2482" s="14" t="inlineStr">
        <is>
          <t>ESCOLA OSÓRIO VILAS BOAS</t>
        </is>
      </c>
      <c r="E2482" s="14" t="inlineStr">
        <is>
          <t>POVOADO MURIBECA</t>
        </is>
      </c>
      <c r="F2482" s="14" t="inlineStr">
        <is>
          <t>RUA 3 DE OUTUBRO, S/N - ZONA RURAL</t>
        </is>
      </c>
      <c r="G2482" s="27" t="inlineStr">
        <is>
          <t>43900-000</t>
        </is>
      </c>
      <c r="H2482" s="15" t="n">
        <v>2</v>
      </c>
      <c r="I2482" s="28" t="inlineStr">
        <is>
          <t>NÃO</t>
        </is>
      </c>
      <c r="J2482" s="29" t="n"/>
      <c r="K2482" s="14" t="str">
        <f>IF(J2482="","7. Acima de 2 km",IF(J2482&lt;=50,"1. Até 50 m",IF(J2482&lt;=100,"2. De 50 a 100 m",IF(J2482&lt;=200,"3. De 100 a 200 m",IF(J2482&lt;=300,"4. De 200 a 300 m",IF(J2482&lt;=500,"5. De 300 a 500 m","6. De 500 m a 2 km"))))))</f>
        <v>7. Acima de 2 km</v>
      </c>
      <c r="L2482" s="26" t="n">
        <v>0</v>
      </c>
      <c r="M2482" s="26" t="n">
        <v>0</v>
      </c>
      <c r="N2482" s="26" t="n">
        <v>0</v>
      </c>
      <c r="O2482" s="26" t="n">
        <v>0</v>
      </c>
      <c r="P2482" s="30" t="n">
        <v>-12.7031018</v>
      </c>
      <c r="Q2482" s="30" t="n">
        <v>-38.6039146</v>
      </c>
      <c r="R2482" s="14" t="inlineStr">
        <is>
          <t>R. DO ASFALTO, 9, CENTRO, SÃO FRANCISCO DO CONDE/BA</t>
        </is>
      </c>
      <c r="S2482" s="26">
        <f>IF(A2482=A2481,0,1)</f>
        <v>0</v>
      </c>
      <c r="T2482" s="26">
        <f>IF(COUNTIF($B$4:B2482,B2482)=1,1,0)</f>
        <v>0</v>
      </c>
    </row>
    <row r="2483">
      <c r="A2483" s="14" t="inlineStr">
        <is>
          <t>SÃO FRANCISCO DO CONDE</t>
        </is>
      </c>
      <c r="B2483" s="26" t="n">
        <v>162</v>
      </c>
      <c r="C2483" s="26" t="n">
        <v>1350</v>
      </c>
      <c r="D2483" s="14" t="inlineStr">
        <is>
          <t>ESCOLA MUNICIPAL ANA TOURINHO JUNQUEIRA AYRES</t>
        </is>
      </c>
      <c r="E2483" s="14" t="inlineStr">
        <is>
          <t>POVOADO MACACO</t>
        </is>
      </c>
      <c r="F2483" s="14" t="inlineStr">
        <is>
          <t>RUA SÃO ROQUE, S/N - ZONA RURAL</t>
        </is>
      </c>
      <c r="G2483" s="27" t="inlineStr">
        <is>
          <t>43900-000</t>
        </is>
      </c>
      <c r="H2483" s="15" t="n">
        <v>1</v>
      </c>
      <c r="I2483" s="28" t="inlineStr">
        <is>
          <t>NÃO</t>
        </is>
      </c>
      <c r="J2483" s="29" t="n">
        <v>1335.4</v>
      </c>
      <c r="K2483" s="14" t="str">
        <f>IF(J2483="","7. Acima de 2 km",IF(J2483&lt;=50,"1. Até 50 m",IF(J2483&lt;=100,"2. De 50 a 100 m",IF(J2483&lt;=200,"3. De 100 a 200 m",IF(J2483&lt;=300,"4. De 200 a 300 m",IF(J2483&lt;=500,"5. De 300 a 500 m","6. De 500 m a 2 km"))))))</f>
        <v>6. De 500 m a 2 km</v>
      </c>
      <c r="L2483" s="26" t="n">
        <v>0</v>
      </c>
      <c r="M2483" s="26" t="n">
        <v>0</v>
      </c>
      <c r="N2483" s="26" t="n">
        <v>0</v>
      </c>
      <c r="O2483" s="26" t="n">
        <v>0</v>
      </c>
      <c r="P2483" s="30" t="n">
        <v>-12.6004503</v>
      </c>
      <c r="Q2483" s="30" t="n">
        <v>-38.6540034</v>
      </c>
      <c r="R2483" s="14" t="inlineStr">
        <is>
          <t>R. DO ASFALTO, 9, CENTRO, SÃO FRANCISCO DO CONDE/BA</t>
        </is>
      </c>
      <c r="S2483" s="26">
        <f>IF(A2483=A2482,0,1)</f>
        <v>0</v>
      </c>
      <c r="T2483" s="26">
        <f>IF(COUNTIF($B$4:B2483,B2483)=1,1,0)</f>
        <v>0</v>
      </c>
    </row>
    <row r="2484">
      <c r="A2484" s="14" t="inlineStr">
        <is>
          <t>SÃO FRANCISCO DO CONDE</t>
        </is>
      </c>
      <c r="B2484" s="26" t="n">
        <v>162</v>
      </c>
      <c r="C2484" s="26" t="n">
        <v>1368</v>
      </c>
      <c r="D2484" s="14" t="inlineStr">
        <is>
          <t>CEAS - CENTRO DE ESTUDOS E APERFEICOAMENTO DO SABER</t>
        </is>
      </c>
      <c r="E2484" s="14" t="inlineStr">
        <is>
          <t>CAÍPE DE CIMA</t>
        </is>
      </c>
      <c r="F2484" s="14" t="inlineStr">
        <is>
          <t>RUA ALTO DA BELA VISTA, S/N</t>
        </is>
      </c>
      <c r="G2484" s="27" t="inlineStr">
        <is>
          <t>43900-000</t>
        </is>
      </c>
      <c r="H2484" s="15" t="n">
        <v>5</v>
      </c>
      <c r="I2484" s="28" t="inlineStr">
        <is>
          <t>NÃO</t>
        </is>
      </c>
      <c r="J2484" s="29" t="n">
        <v>389.1</v>
      </c>
      <c r="K2484" s="14" t="str">
        <f>IF(J2484="","7. Acima de 2 km",IF(J2484&lt;=50,"1. Até 50 m",IF(J2484&lt;=100,"2. De 50 a 100 m",IF(J2484&lt;=200,"3. De 100 a 200 m",IF(J2484&lt;=300,"4. De 200 a 300 m",IF(J2484&lt;=500,"5. De 300 a 500 m","6. De 500 m a 2 km"))))))</f>
        <v>5. De 300 a 500 m</v>
      </c>
      <c r="L2484" s="26" t="n">
        <v>0</v>
      </c>
      <c r="M2484" s="26" t="n">
        <v>0</v>
      </c>
      <c r="N2484" s="26" t="n">
        <v>0</v>
      </c>
      <c r="O2484" s="26" t="n">
        <v>0</v>
      </c>
      <c r="P2484" s="30" t="n">
        <v>-12.721569</v>
      </c>
      <c r="Q2484" s="30" t="n">
        <v>-38.5968896</v>
      </c>
      <c r="R2484" s="14" t="inlineStr">
        <is>
          <t>R. DO ASFALTO, 9, CENTRO, SÃO FRANCISCO DO CONDE/BA</t>
        </is>
      </c>
      <c r="S2484" s="26">
        <f>IF(A2484=A2483,0,1)</f>
        <v>0</v>
      </c>
      <c r="T2484" s="26">
        <f>IF(COUNTIF($B$4:B2484,B2484)=1,1,0)</f>
        <v>0</v>
      </c>
    </row>
    <row r="2485">
      <c r="A2485" s="14" t="inlineStr">
        <is>
          <t>SÃO FRANCISCO DO CONDE</t>
        </is>
      </c>
      <c r="B2485" s="26" t="n">
        <v>162</v>
      </c>
      <c r="C2485" s="26" t="n">
        <v>1376</v>
      </c>
      <c r="D2485" s="14" t="inlineStr">
        <is>
          <t>COMPLEXO ESCOLAR RILZA VALENTIM</t>
        </is>
      </c>
      <c r="E2485" s="14" t="inlineStr">
        <is>
          <t>GURUGÉ</t>
        </is>
      </c>
      <c r="F2485" s="14" t="inlineStr">
        <is>
          <t>ESTRADA DE CAMPINAS, S/N</t>
        </is>
      </c>
      <c r="G2485" s="27" t="inlineStr">
        <is>
          <t>43900-000</t>
        </is>
      </c>
      <c r="H2485" s="15" t="n">
        <v>3</v>
      </c>
      <c r="I2485" s="28" t="inlineStr">
        <is>
          <t>NÃO</t>
        </is>
      </c>
      <c r="J2485" s="29" t="n">
        <v>1417.7</v>
      </c>
      <c r="K2485" s="14" t="str">
        <f>IF(J2485="","7. Acima de 2 km",IF(J2485&lt;=50,"1. Até 50 m",IF(J2485&lt;=100,"2. De 50 a 100 m",IF(J2485&lt;=200,"3. De 100 a 200 m",IF(J2485&lt;=300,"4. De 200 a 300 m",IF(J2485&lt;=500,"5. De 300 a 500 m","6. De 500 m a 2 km"))))))</f>
        <v>6. De 500 m a 2 km</v>
      </c>
      <c r="L2485" s="26" t="n">
        <v>0</v>
      </c>
      <c r="M2485" s="26" t="n">
        <v>0</v>
      </c>
      <c r="N2485" s="26" t="n">
        <v>0</v>
      </c>
      <c r="O2485" s="26" t="n">
        <v>0</v>
      </c>
      <c r="P2485" s="30" t="n">
        <v>-12.6107379</v>
      </c>
      <c r="Q2485" s="30" t="n">
        <v>-38.6823925</v>
      </c>
      <c r="R2485" s="14" t="inlineStr">
        <is>
          <t>R. DO ASFALTO, 9, CENTRO, SÃO FRANCISCO DO CONDE/BA</t>
        </is>
      </c>
      <c r="S2485" s="26">
        <f>IF(A2485=A2484,0,1)</f>
        <v>0</v>
      </c>
      <c r="T2485" s="26">
        <f>IF(COUNTIF($B$4:B2485,B2485)=1,1,0)</f>
        <v>0</v>
      </c>
    </row>
    <row r="2486">
      <c r="A2486" s="14" t="inlineStr">
        <is>
          <t>SÃO FRANCISCO DO CONDE</t>
        </is>
      </c>
      <c r="B2486" s="26" t="n">
        <v>162</v>
      </c>
      <c r="C2486" s="26" t="n">
        <v>1384</v>
      </c>
      <c r="D2486" s="14" t="inlineStr">
        <is>
          <t>ESCOLA CRECHE GIRASSOL</t>
        </is>
      </c>
      <c r="E2486" s="14" t="inlineStr">
        <is>
          <t>POVOADO ILHOTE</t>
        </is>
      </c>
      <c r="F2486" s="14" t="inlineStr">
        <is>
          <t>PRAÇA DO ILHOTE</t>
        </is>
      </c>
      <c r="G2486" s="27" t="inlineStr">
        <is>
          <t>43900-000</t>
        </is>
      </c>
      <c r="H2486" s="15" t="n">
        <v>2</v>
      </c>
      <c r="I2486" s="28" t="inlineStr">
        <is>
          <t>NÃO</t>
        </is>
      </c>
      <c r="J2486" s="29" t="n">
        <v>1236.1</v>
      </c>
      <c r="K2486" s="14" t="str">
        <f>IF(J2486="","7. Acima de 2 km",IF(J2486&lt;=50,"1. Até 50 m",IF(J2486&lt;=100,"2. De 50 a 100 m",IF(J2486&lt;=200,"3. De 100 a 200 m",IF(J2486&lt;=300,"4. De 200 a 300 m",IF(J2486&lt;=500,"5. De 300 a 500 m","6. De 500 m a 2 km"))))))</f>
        <v>6. De 500 m a 2 km</v>
      </c>
      <c r="L2486" s="26" t="n">
        <v>0</v>
      </c>
      <c r="M2486" s="26" t="n">
        <v>0</v>
      </c>
      <c r="N2486" s="26" t="n">
        <v>0</v>
      </c>
      <c r="O2486" s="26" t="n">
        <v>0</v>
      </c>
      <c r="P2486" s="30" t="n">
        <v>-12.724075</v>
      </c>
      <c r="Q2486" s="30" t="n">
        <v>-38.6191574</v>
      </c>
      <c r="R2486" s="14" t="inlineStr">
        <is>
          <t>R. DO ASFALTO, 9, CENTRO, SÃO FRANCISCO DO CONDE/BA</t>
        </is>
      </c>
      <c r="S2486" s="26">
        <f>IF(A2486=A2485,0,1)</f>
        <v>0</v>
      </c>
      <c r="T2486" s="26">
        <f>IF(COUNTIF($B$4:B2486,B2486)=1,1,0)</f>
        <v>0</v>
      </c>
    </row>
    <row r="2487">
      <c r="A2487" s="14" t="inlineStr">
        <is>
          <t>SÃO FRANCISCO DO CONDE</t>
        </is>
      </c>
      <c r="B2487" s="26" t="n">
        <v>162</v>
      </c>
      <c r="C2487" s="26" t="n">
        <v>1392</v>
      </c>
      <c r="D2487" s="14" t="inlineStr">
        <is>
          <t>ESCOLA MONTEIRO LOBATO</t>
        </is>
      </c>
      <c r="E2487" s="14" t="inlineStr">
        <is>
          <t>CENTRO</t>
        </is>
      </c>
      <c r="F2487" s="14" t="inlineStr">
        <is>
          <t>RUA ESPÍRITO SANTO</t>
        </is>
      </c>
      <c r="G2487" s="27" t="inlineStr">
        <is>
          <t>43900-000</t>
        </is>
      </c>
      <c r="H2487" s="15" t="n">
        <v>5</v>
      </c>
      <c r="I2487" s="28" t="inlineStr">
        <is>
          <t>NÃO</t>
        </is>
      </c>
      <c r="J2487" s="29" t="n">
        <v>104.6</v>
      </c>
      <c r="K2487" s="14" t="str">
        <f>IF(J2487="","7. Acima de 2 km",IF(J2487&lt;=50,"1. Até 50 m",IF(J2487&lt;=100,"2. De 50 a 100 m",IF(J2487&lt;=200,"3. De 100 a 200 m",IF(J2487&lt;=300,"4. De 200 a 300 m",IF(J2487&lt;=500,"5. De 300 a 500 m","6. De 500 m a 2 km"))))))</f>
        <v>3. De 100 a 200 m</v>
      </c>
      <c r="L2487" s="26" t="n">
        <v>0</v>
      </c>
      <c r="M2487" s="26" t="n">
        <v>0</v>
      </c>
      <c r="N2487" s="26" t="n">
        <v>3</v>
      </c>
      <c r="O2487" s="26" t="n">
        <v>7</v>
      </c>
      <c r="P2487" s="30" t="n">
        <v>-12.6290523</v>
      </c>
      <c r="Q2487" s="30" t="n">
        <v>-38.6772993</v>
      </c>
      <c r="R2487" s="14" t="inlineStr">
        <is>
          <t>R. DO ASFALTO, 9, CENTRO, SÃO FRANCISCO DO CONDE/BA</t>
        </is>
      </c>
      <c r="S2487" s="26">
        <f>IF(A2487=A2486,0,1)</f>
        <v>0</v>
      </c>
      <c r="T2487" s="26">
        <f>IF(COUNTIF($B$4:B2487,B2487)=1,1,0)</f>
        <v>0</v>
      </c>
    </row>
    <row r="2488">
      <c r="A2488" s="14" t="inlineStr">
        <is>
          <t>SÃO FRANCISCO DO CONDE</t>
        </is>
      </c>
      <c r="B2488" s="26" t="n">
        <v>162</v>
      </c>
      <c r="C2488" s="26" t="n">
        <v>1406</v>
      </c>
      <c r="D2488" s="14" t="inlineStr">
        <is>
          <t>LUZIENE AMÁLIA SANTOS ROCHA</t>
        </is>
      </c>
      <c r="E2488" s="14" t="inlineStr">
        <is>
          <t>estrada porto ferrolho</t>
        </is>
      </c>
      <c r="F2488" s="14" t="inlineStr">
        <is>
          <t>ESTRADA PORTO FERROLHO</t>
        </is>
      </c>
      <c r="G2488" s="27" t="inlineStr">
        <is>
          <t>43900-000</t>
        </is>
      </c>
      <c r="H2488" s="15" t="n">
        <v>3</v>
      </c>
      <c r="I2488" s="28" t="inlineStr">
        <is>
          <t>NÃO</t>
        </is>
      </c>
      <c r="J2488" s="29" t="n"/>
      <c r="K2488" s="14" t="str">
        <f>IF(J2488="","7. Acima de 2 km",IF(J2488&lt;=50,"1. Até 50 m",IF(J2488&lt;=100,"2. De 50 a 100 m",IF(J2488&lt;=200,"3. De 100 a 200 m",IF(J2488&lt;=300,"4. De 200 a 300 m",IF(J2488&lt;=500,"5. De 300 a 500 m","6. De 500 m a 2 km"))))))</f>
        <v>7. Acima de 2 km</v>
      </c>
      <c r="L2488" s="26" t="n">
        <v>0</v>
      </c>
      <c r="M2488" s="26" t="n">
        <v>0</v>
      </c>
      <c r="N2488" s="26" t="n">
        <v>0</v>
      </c>
      <c r="O2488" s="26" t="n">
        <v>0</v>
      </c>
      <c r="P2488" s="30" t="n">
        <v>-12.6922916</v>
      </c>
      <c r="Q2488" s="30" t="n">
        <v>-38.6072212</v>
      </c>
      <c r="R2488" s="14" t="inlineStr">
        <is>
          <t>R. DO ASFALTO, 9, CENTRO, SÃO FRANCISCO DO CONDE/BA</t>
        </is>
      </c>
      <c r="S2488" s="26">
        <f>IF(A2488=A2487,0,1)</f>
        <v>0</v>
      </c>
      <c r="T2488" s="26">
        <f>IF(COUNTIF($B$4:B2488,B2488)=1,1,0)</f>
        <v>0</v>
      </c>
    </row>
    <row r="2489">
      <c r="A2489" s="14" t="inlineStr">
        <is>
          <t>SÃO FRANCISCO DO CONDE</t>
        </is>
      </c>
      <c r="B2489" s="26" t="n">
        <v>162</v>
      </c>
      <c r="C2489" s="26" t="n">
        <v>1414</v>
      </c>
      <c r="D2489" s="14" t="inlineStr">
        <is>
          <t>ESCOLA MENINO JESUS</t>
        </is>
      </c>
      <c r="E2489" s="14" t="inlineStr">
        <is>
          <t>POVOADO JABEQUARA DA AREIA</t>
        </is>
      </c>
      <c r="F2489" s="14" t="inlineStr">
        <is>
          <t>RUA U</t>
        </is>
      </c>
      <c r="G2489" s="27" t="inlineStr">
        <is>
          <t>43900-000</t>
        </is>
      </c>
      <c r="H2489" s="15" t="n">
        <v>2</v>
      </c>
      <c r="I2489" s="28" t="inlineStr">
        <is>
          <t>NÃO</t>
        </is>
      </c>
      <c r="J2489" s="29" t="n">
        <v>1362.7</v>
      </c>
      <c r="K2489" s="14" t="str">
        <f>IF(J2489="","7. Acima de 2 km",IF(J2489&lt;=50,"1. Até 50 m",IF(J2489&lt;=100,"2. De 50 a 100 m",IF(J2489&lt;=200,"3. De 100 a 200 m",IF(J2489&lt;=300,"4. De 200 a 300 m",IF(J2489&lt;=500,"5. De 300 a 500 m","6. De 500 m a 2 km"))))))</f>
        <v>6. De 500 m a 2 km</v>
      </c>
      <c r="L2489" s="26" t="n">
        <v>0</v>
      </c>
      <c r="M2489" s="26" t="n">
        <v>0</v>
      </c>
      <c r="N2489" s="26" t="n">
        <v>0</v>
      </c>
      <c r="O2489" s="26" t="n">
        <v>0</v>
      </c>
      <c r="P2489" s="30" t="n">
        <v>-12.6361752</v>
      </c>
      <c r="Q2489" s="30" t="n">
        <v>-38.5438571</v>
      </c>
      <c r="R2489" s="14" t="inlineStr">
        <is>
          <t>R. DO ASFALTO, 9, CENTRO, SÃO FRANCISCO DO CONDE/BA</t>
        </is>
      </c>
      <c r="S2489" s="26">
        <f>IF(A2489=A2488,0,1)</f>
        <v>0</v>
      </c>
      <c r="T2489" s="26">
        <f>IF(COUNTIF($B$4:B2489,B2489)=1,1,0)</f>
        <v>0</v>
      </c>
    </row>
    <row r="2490">
      <c r="A2490" s="14" t="inlineStr">
        <is>
          <t>SÃO MIGUEL DAS MATAS</t>
        </is>
      </c>
      <c r="B2490" s="26" t="n">
        <v>36</v>
      </c>
      <c r="C2490" s="26" t="n">
        <v>1015</v>
      </c>
      <c r="D2490" s="14" t="inlineStr">
        <is>
          <t>COLÉGIO ESTADUAL ALDEMIRO VILAS BOAS</t>
        </is>
      </c>
      <c r="E2490" s="14" t="inlineStr">
        <is>
          <t>CENTRO</t>
        </is>
      </c>
      <c r="F2490" s="14" t="inlineStr">
        <is>
          <t>RUA RUI BARBOSA, S/N - ZONA URBANA</t>
        </is>
      </c>
      <c r="G2490" s="27" t="inlineStr">
        <is>
          <t>44580-000</t>
        </is>
      </c>
      <c r="H2490" s="15" t="n">
        <v>10</v>
      </c>
      <c r="I2490" s="28" t="inlineStr">
        <is>
          <t>SIM</t>
        </is>
      </c>
      <c r="J2490" s="29" t="n">
        <v>28</v>
      </c>
      <c r="K2490" s="14" t="str">
        <f>IF(J2490="","7. Acima de 2 km",IF(J2490&lt;=50,"1. Até 50 m",IF(J2490&lt;=100,"2. De 50 a 100 m",IF(J2490&lt;=200,"3. De 100 a 200 m",IF(J2490&lt;=300,"4. De 200 a 300 m",IF(J2490&lt;=500,"5. De 300 a 500 m","6. De 500 m a 2 km"))))))</f>
        <v>1. Até 50 m</v>
      </c>
      <c r="L2490" s="26" t="n">
        <v>1</v>
      </c>
      <c r="M2490" s="26" t="n">
        <v>1</v>
      </c>
      <c r="N2490" s="26" t="n">
        <v>1</v>
      </c>
      <c r="O2490" s="26" t="n">
        <v>1</v>
      </c>
      <c r="P2490" s="30" t="n">
        <v>-13.0507217</v>
      </c>
      <c r="Q2490" s="30" t="n">
        <v>-39.4584382</v>
      </c>
      <c r="R2490" s="14" t="inlineStr">
        <is>
          <t>PRAÇA JOSÉ VIANA SAMPAIO, Nº 417, CENTRO, AMARGOSA/BA</t>
        </is>
      </c>
      <c r="S2490" s="26">
        <f>IF(A2490=A2489,0,1)</f>
        <v>1</v>
      </c>
      <c r="T2490" s="26">
        <f>IF(COUNTIF($B$4:B2490,B2490)=1,1,0)</f>
        <v>0</v>
      </c>
    </row>
    <row r="2491">
      <c r="A2491" s="14" t="inlineStr">
        <is>
          <t>SÃO MIGUEL DAS MATAS</t>
        </is>
      </c>
      <c r="B2491" s="26" t="n">
        <v>36</v>
      </c>
      <c r="C2491" s="26" t="n">
        <v>1058</v>
      </c>
      <c r="D2491" s="14" t="inlineStr">
        <is>
          <t>COLÉGIO MUNICIPAL PROFESSORA MARINEIDE REGINA SANTOS SOUSA</t>
        </is>
      </c>
      <c r="E2491" s="14" t="inlineStr">
        <is>
          <t>CENTRO</t>
        </is>
      </c>
      <c r="F2491" s="14" t="inlineStr">
        <is>
          <t>RUA CÔNEGO POMPILIO, S/N - ZONA URBANA</t>
        </is>
      </c>
      <c r="G2491" s="27" t="inlineStr">
        <is>
          <t>44580-000</t>
        </is>
      </c>
      <c r="H2491" s="15" t="n">
        <v>7</v>
      </c>
      <c r="I2491" s="28" t="inlineStr">
        <is>
          <t>SIM</t>
        </is>
      </c>
      <c r="J2491" s="29" t="n">
        <v>10.7</v>
      </c>
      <c r="K2491" s="14" t="str">
        <f>IF(J2491="","7. Acima de 2 km",IF(J2491&lt;=50,"1. Até 50 m",IF(J2491&lt;=100,"2. De 50 a 100 m",IF(J2491&lt;=200,"3. De 100 a 200 m",IF(J2491&lt;=300,"4. De 200 a 300 m",IF(J2491&lt;=500,"5. De 300 a 500 m","6. De 500 m a 2 km"))))))</f>
        <v>1. Até 50 m</v>
      </c>
      <c r="L2491" s="26" t="n">
        <v>2</v>
      </c>
      <c r="M2491" s="26" t="n">
        <v>2</v>
      </c>
      <c r="N2491" s="26" t="n">
        <v>4</v>
      </c>
      <c r="O2491" s="26" t="n">
        <v>4</v>
      </c>
      <c r="P2491" s="30" t="n">
        <v>-13.0480719</v>
      </c>
      <c r="Q2491" s="30" t="n">
        <v>-39.4561344</v>
      </c>
      <c r="R2491" s="14" t="inlineStr">
        <is>
          <t>PRAÇA JOSÉ VIANA SAMPAIO, Nº 417, CENTRO, AMARGOSA/BA</t>
        </is>
      </c>
      <c r="S2491" s="26">
        <f>IF(A2491=A2490,0,1)</f>
        <v>0</v>
      </c>
      <c r="T2491" s="26">
        <f>IF(COUNTIF($B$4:B2491,B2491)=1,1,0)</f>
        <v>0</v>
      </c>
    </row>
    <row r="2492">
      <c r="A2492" s="14" t="inlineStr">
        <is>
          <t>SÃO MIGUEL DAS MATAS</t>
        </is>
      </c>
      <c r="B2492" s="26" t="n">
        <v>36</v>
      </c>
      <c r="C2492" s="26" t="n">
        <v>1066</v>
      </c>
      <c r="D2492" s="14" t="inlineStr">
        <is>
          <t>ESCOLA MUNICIPAL LOMANTO JÚNIOR</t>
        </is>
      </c>
      <c r="E2492" s="14" t="inlineStr">
        <is>
          <t>CENTRO</t>
        </is>
      </c>
      <c r="F2492" s="14" t="inlineStr">
        <is>
          <t>RUA RUI BARBOSA, S/N - ZONA URBANA</t>
        </is>
      </c>
      <c r="G2492" s="27" t="inlineStr">
        <is>
          <t>44580-000</t>
        </is>
      </c>
      <c r="H2492" s="15" t="n">
        <v>4</v>
      </c>
      <c r="I2492" s="28" t="inlineStr">
        <is>
          <t>SIM</t>
        </is>
      </c>
      <c r="J2492" s="29" t="n">
        <v>34.5</v>
      </c>
      <c r="K2492" s="14" t="str">
        <f>IF(J2492="","7. Acima de 2 km",IF(J2492&lt;=50,"1. Até 50 m",IF(J2492&lt;=100,"2. De 50 a 100 m",IF(J2492&lt;=200,"3. De 100 a 200 m",IF(J2492&lt;=300,"4. De 200 a 300 m",IF(J2492&lt;=500,"5. De 300 a 500 m","6. De 500 m a 2 km"))))))</f>
        <v>1. Até 50 m</v>
      </c>
      <c r="L2492" s="26" t="n">
        <v>1</v>
      </c>
      <c r="M2492" s="26" t="n">
        <v>1</v>
      </c>
      <c r="N2492" s="26" t="n">
        <v>1</v>
      </c>
      <c r="O2492" s="26" t="n">
        <v>1</v>
      </c>
      <c r="P2492" s="30" t="n">
        <v>-13.0505837</v>
      </c>
      <c r="Q2492" s="30" t="n">
        <v>-39.4589572</v>
      </c>
      <c r="R2492" s="14" t="inlineStr">
        <is>
          <t>PRAÇA JOSÉ VIANA SAMPAIO, Nº 417, CENTRO, AMARGOSA/BA</t>
        </is>
      </c>
      <c r="S2492" s="26">
        <f>IF(A2492=A2491,0,1)</f>
        <v>0</v>
      </c>
      <c r="T2492" s="26">
        <f>IF(COUNTIF($B$4:B2492,B2492)=1,1,0)</f>
        <v>0</v>
      </c>
    </row>
    <row r="2493">
      <c r="A2493" s="14" t="inlineStr">
        <is>
          <t>SÃO MIGUEL DAS MATAS</t>
        </is>
      </c>
      <c r="B2493" s="26" t="n">
        <v>36</v>
      </c>
      <c r="C2493" s="26" t="n">
        <v>1074</v>
      </c>
      <c r="D2493" s="14" t="inlineStr">
        <is>
          <t>ESCOLA MUNICIPAL JONIVAL LUCAS</t>
        </is>
      </c>
      <c r="E2493" s="14" t="inlineStr">
        <is>
          <t>CENTRO</t>
        </is>
      </c>
      <c r="F2493" s="14" t="inlineStr">
        <is>
          <t>RUA SÃO ROQUE, S/N - ZONA URBANA</t>
        </is>
      </c>
      <c r="G2493" s="27" t="inlineStr">
        <is>
          <t>44580-000</t>
        </is>
      </c>
      <c r="H2493" s="15" t="n">
        <v>2</v>
      </c>
      <c r="I2493" s="28" t="inlineStr">
        <is>
          <t>NÃO</t>
        </is>
      </c>
      <c r="J2493" s="29" t="n">
        <v>113.7</v>
      </c>
      <c r="K2493" s="14" t="str">
        <f>IF(J2493="","7. Acima de 2 km",IF(J2493&lt;=50,"1. Até 50 m",IF(J2493&lt;=100,"2. De 50 a 100 m",IF(J2493&lt;=200,"3. De 100 a 200 m",IF(J2493&lt;=300,"4. De 200 a 300 m",IF(J2493&lt;=500,"5. De 300 a 500 m","6. De 500 m a 2 km"))))))</f>
        <v>3. De 100 a 200 m</v>
      </c>
      <c r="L2493" s="26" t="n">
        <v>0</v>
      </c>
      <c r="M2493" s="26" t="n">
        <v>0</v>
      </c>
      <c r="N2493" s="26" t="n">
        <v>1</v>
      </c>
      <c r="O2493" s="26" t="n">
        <v>1</v>
      </c>
      <c r="P2493" s="30" t="n">
        <v>-13.0470964</v>
      </c>
      <c r="Q2493" s="30" t="n">
        <v>-39.4607513</v>
      </c>
      <c r="R2493" s="14" t="inlineStr">
        <is>
          <t>PRAÇA JOSÉ VIANA SAMPAIO, Nº 417, CENTRO, AMARGOSA/BA</t>
        </is>
      </c>
      <c r="S2493" s="26">
        <f>IF(A2493=A2492,0,1)</f>
        <v>0</v>
      </c>
      <c r="T2493" s="26">
        <f>IF(COUNTIF($B$4:B2493,B2493)=1,1,0)</f>
        <v>0</v>
      </c>
    </row>
    <row r="2494">
      <c r="A2494" s="14" t="inlineStr">
        <is>
          <t>SÃO MIGUEL DAS MATAS</t>
        </is>
      </c>
      <c r="B2494" s="26" t="n">
        <v>36</v>
      </c>
      <c r="C2494" s="26" t="n">
        <v>1082</v>
      </c>
      <c r="D2494" s="14" t="inlineStr">
        <is>
          <t>ESCOLA MUNICIPAL MANOEL HONORATO FONSECA</t>
        </is>
      </c>
      <c r="E2494" s="14" t="inlineStr">
        <is>
          <t>POVOADO NOSSA SENHORA DE FÁTIMA</t>
        </is>
      </c>
      <c r="F2494" s="14" t="inlineStr">
        <is>
          <t>POVOADO NOSSA SENHORA DE FÁTIMA, S/N - ZONA RURAL</t>
        </is>
      </c>
      <c r="G2494" s="27" t="inlineStr">
        <is>
          <t>44580-000</t>
        </is>
      </c>
      <c r="H2494" s="15" t="n">
        <v>2</v>
      </c>
      <c r="I2494" s="28" t="inlineStr">
        <is>
          <t>NÃO</t>
        </is>
      </c>
      <c r="J2494" s="29" t="n"/>
      <c r="K2494" s="14" t="str">
        <f>IF(J2494="","7. Acima de 2 km",IF(J2494&lt;=50,"1. Até 50 m",IF(J2494&lt;=100,"2. De 50 a 100 m",IF(J2494&lt;=200,"3. De 100 a 200 m",IF(J2494&lt;=300,"4. De 200 a 300 m",IF(J2494&lt;=500,"5. De 300 a 500 m","6. De 500 m a 2 km"))))))</f>
        <v>7. Acima de 2 km</v>
      </c>
      <c r="L2494" s="26" t="n">
        <v>0</v>
      </c>
      <c r="M2494" s="26" t="n">
        <v>0</v>
      </c>
      <c r="N2494" s="26" t="n">
        <v>0</v>
      </c>
      <c r="O2494" s="26" t="n">
        <v>0</v>
      </c>
      <c r="P2494" s="30" t="n">
        <v>-13.0694392</v>
      </c>
      <c r="Q2494" s="30" t="n">
        <v>-39.2930255</v>
      </c>
      <c r="R2494" s="14" t="inlineStr">
        <is>
          <t>PRAÇA JOSÉ VIANA SAMPAIO, Nº 417, CENTRO, AMARGOSA/BA</t>
        </is>
      </c>
      <c r="S2494" s="26">
        <f>IF(A2494=A2493,0,1)</f>
        <v>0</v>
      </c>
      <c r="T2494" s="26">
        <f>IF(COUNTIF($B$4:B2494,B2494)=1,1,0)</f>
        <v>0</v>
      </c>
    </row>
    <row r="2495">
      <c r="A2495" s="14" t="inlineStr">
        <is>
          <t>SÃO MIGUEL DAS MATAS</t>
        </is>
      </c>
      <c r="B2495" s="26" t="n">
        <v>36</v>
      </c>
      <c r="C2495" s="26" t="n">
        <v>1104</v>
      </c>
      <c r="D2495" s="14" t="inlineStr">
        <is>
          <t>ESCOLA MUNICIPAL MONSENHOR GILBERTO VAZ SAMPAIO</t>
        </is>
      </c>
      <c r="E2495" s="14" t="inlineStr">
        <is>
          <t>POVOADO CABEÇA DO BOI</t>
        </is>
      </c>
      <c r="F2495" s="14" t="inlineStr">
        <is>
          <t>POVOADO CABEÇA DE BOI - ZONA RURAL</t>
        </is>
      </c>
      <c r="G2495" s="27" t="inlineStr">
        <is>
          <t>44580-000</t>
        </is>
      </c>
      <c r="H2495" s="15" t="n">
        <v>2</v>
      </c>
      <c r="I2495" s="28" t="inlineStr">
        <is>
          <t>NÃO</t>
        </is>
      </c>
      <c r="J2495" s="29" t="n"/>
      <c r="K2495" s="14" t="str">
        <f>IF(J2495="","7. Acima de 2 km",IF(J2495&lt;=50,"1. Até 50 m",IF(J2495&lt;=100,"2. De 50 a 100 m",IF(J2495&lt;=200,"3. De 100 a 200 m",IF(J2495&lt;=300,"4. De 200 a 300 m",IF(J2495&lt;=500,"5. De 300 a 500 m","6. De 500 m a 2 km"))))))</f>
        <v>7. Acima de 2 km</v>
      </c>
      <c r="L2495" s="26" t="n">
        <v>0</v>
      </c>
      <c r="M2495" s="26" t="n">
        <v>0</v>
      </c>
      <c r="N2495" s="26" t="n">
        <v>0</v>
      </c>
      <c r="O2495" s="26" t="n">
        <v>0</v>
      </c>
      <c r="P2495" s="30" t="n">
        <v>-13.0362878</v>
      </c>
      <c r="Q2495" s="30" t="n">
        <v>-39.5094975</v>
      </c>
      <c r="R2495" s="14" t="inlineStr">
        <is>
          <t>PRAÇA JOSÉ VIANA SAMPAIO, Nº 417, CENTRO, AMARGOSA/BA</t>
        </is>
      </c>
      <c r="S2495" s="26">
        <f>IF(A2495=A2494,0,1)</f>
        <v>0</v>
      </c>
      <c r="T2495" s="26">
        <f>IF(COUNTIF($B$4:B2495,B2495)=1,1,0)</f>
        <v>0</v>
      </c>
    </row>
    <row r="2496">
      <c r="A2496" s="14" t="inlineStr">
        <is>
          <t>SÃO MIGUEL DAS MATAS</t>
        </is>
      </c>
      <c r="B2496" s="26" t="n">
        <v>36</v>
      </c>
      <c r="C2496" s="26" t="n">
        <v>1112</v>
      </c>
      <c r="D2496" s="14" t="inlineStr">
        <is>
          <t>ESCOLA MUNICIPAL PROFESSORA ELZA PEREIRA MALAQUIAS</t>
        </is>
      </c>
      <c r="E2496" s="14" t="inlineStr">
        <is>
          <t>POVOADO SUCUPIRA</t>
        </is>
      </c>
      <c r="F2496" s="14" t="inlineStr">
        <is>
          <t>POVOADO SUCUPIRA, S/N - ZONA RURAL</t>
        </is>
      </c>
      <c r="G2496" s="27" t="inlineStr">
        <is>
          <t>44580-000</t>
        </is>
      </c>
      <c r="H2496" s="15" t="n">
        <v>2</v>
      </c>
      <c r="I2496" s="28" t="inlineStr">
        <is>
          <t>NÃO</t>
        </is>
      </c>
      <c r="J2496" s="29" t="n"/>
      <c r="K2496" s="14" t="str">
        <f>IF(J2496="","7. Acima de 2 km",IF(J2496&lt;=50,"1. Até 50 m",IF(J2496&lt;=100,"2. De 50 a 100 m",IF(J2496&lt;=200,"3. De 100 a 200 m",IF(J2496&lt;=300,"4. De 200 a 300 m",IF(J2496&lt;=500,"5. De 300 a 500 m","6. De 500 m a 2 km"))))))</f>
        <v>7. Acima de 2 km</v>
      </c>
      <c r="L2496" s="26" t="n">
        <v>0</v>
      </c>
      <c r="M2496" s="26" t="n">
        <v>0</v>
      </c>
      <c r="N2496" s="26" t="n">
        <v>0</v>
      </c>
      <c r="O2496" s="26" t="n">
        <v>0</v>
      </c>
      <c r="P2496" s="30" t="n">
        <v>-12.9977246</v>
      </c>
      <c r="Q2496" s="30" t="n">
        <v>-39.43145</v>
      </c>
      <c r="R2496" s="14" t="inlineStr">
        <is>
          <t>PRAÇA JOSÉ VIANA SAMPAIO, Nº 417, CENTRO, AMARGOSA/BA</t>
        </is>
      </c>
      <c r="S2496" s="26">
        <f>IF(A2496=A2495,0,1)</f>
        <v>0</v>
      </c>
      <c r="T2496" s="26">
        <f>IF(COUNTIF($B$4:B2496,B2496)=1,1,0)</f>
        <v>0</v>
      </c>
    </row>
    <row r="2497">
      <c r="A2497" s="14" t="inlineStr">
        <is>
          <t>SÃO MIGUEL DAS MATAS</t>
        </is>
      </c>
      <c r="B2497" s="26" t="n">
        <v>36</v>
      </c>
      <c r="C2497" s="26" t="n">
        <v>1120</v>
      </c>
      <c r="D2497" s="14" t="inlineStr">
        <is>
          <t>ESCOLA MUNICIPAL ANTONIO SOUZA ANDRADE</t>
        </is>
      </c>
      <c r="E2497" s="14" t="inlineStr">
        <is>
          <t>POVOADO ARCO VERDE</t>
        </is>
      </c>
      <c r="F2497" s="14" t="inlineStr">
        <is>
          <t>POVOADO ARCO VERDE - ZONA RURAL</t>
        </is>
      </c>
      <c r="G2497" s="27" t="inlineStr">
        <is>
          <t>44580-000</t>
        </is>
      </c>
      <c r="H2497" s="15" t="n">
        <v>3</v>
      </c>
      <c r="I2497" s="28" t="inlineStr">
        <is>
          <t>NÃO</t>
        </is>
      </c>
      <c r="J2497" s="29" t="n"/>
      <c r="K2497" s="14" t="str">
        <f>IF(J2497="","7. Acima de 2 km",IF(J2497&lt;=50,"1. Até 50 m",IF(J2497&lt;=100,"2. De 50 a 100 m",IF(J2497&lt;=200,"3. De 100 a 200 m",IF(J2497&lt;=300,"4. De 200 a 300 m",IF(J2497&lt;=500,"5. De 300 a 500 m","6. De 500 m a 2 km"))))))</f>
        <v>7. Acima de 2 km</v>
      </c>
      <c r="L2497" s="26" t="n">
        <v>0</v>
      </c>
      <c r="M2497" s="26" t="n">
        <v>0</v>
      </c>
      <c r="N2497" s="26" t="n">
        <v>0</v>
      </c>
      <c r="O2497" s="26" t="n">
        <v>0</v>
      </c>
      <c r="P2497" s="30" t="n">
        <v>-13.0557934</v>
      </c>
      <c r="Q2497" s="30" t="n">
        <v>-39.399639</v>
      </c>
      <c r="R2497" s="14" t="inlineStr">
        <is>
          <t>PRAÇA JOSÉ VIANA SAMPAIO, Nº 417, CENTRO, AMARGOSA/BA</t>
        </is>
      </c>
      <c r="S2497" s="26">
        <f>IF(A2497=A2496,0,1)</f>
        <v>0</v>
      </c>
      <c r="T2497" s="26">
        <f>IF(COUNTIF($B$4:B2497,B2497)=1,1,0)</f>
        <v>0</v>
      </c>
    </row>
    <row r="2498">
      <c r="A2498" s="14" t="inlineStr">
        <is>
          <t>SÃO MIGUEL DAS MATAS</t>
        </is>
      </c>
      <c r="B2498" s="26" t="n">
        <v>36</v>
      </c>
      <c r="C2498" s="26" t="n">
        <v>1147</v>
      </c>
      <c r="D2498" s="14" t="inlineStr">
        <is>
          <t>ESCOLA MUNICIPAL JOSÉ MARCELINO</t>
        </is>
      </c>
      <c r="E2498" s="14" t="inlineStr">
        <is>
          <t>CENTRO</t>
        </is>
      </c>
      <c r="F2498" s="14" t="inlineStr">
        <is>
          <t>RUA DUQUE DE CAXIAS, S/N - ZONA URBANA</t>
        </is>
      </c>
      <c r="G2498" s="27" t="inlineStr">
        <is>
          <t>44580-000</t>
        </is>
      </c>
      <c r="H2498" s="15" t="n">
        <v>5</v>
      </c>
      <c r="I2498" s="28" t="inlineStr">
        <is>
          <t>NÃO</t>
        </is>
      </c>
      <c r="J2498" s="29" t="n">
        <v>362.7</v>
      </c>
      <c r="K2498" s="14" t="str">
        <f>IF(J2498="","7. Acima de 2 km",IF(J2498&lt;=50,"1. Até 50 m",IF(J2498&lt;=100,"2. De 50 a 100 m",IF(J2498&lt;=200,"3. De 100 a 200 m",IF(J2498&lt;=300,"4. De 200 a 300 m",IF(J2498&lt;=500,"5. De 300 a 500 m","6. De 500 m a 2 km"))))))</f>
        <v>5. De 300 a 500 m</v>
      </c>
      <c r="L2498" s="26" t="n">
        <v>0</v>
      </c>
      <c r="M2498" s="26" t="n">
        <v>0</v>
      </c>
      <c r="N2498" s="26" t="n">
        <v>0</v>
      </c>
      <c r="O2498" s="26" t="n">
        <v>0</v>
      </c>
      <c r="P2498" s="30" t="n">
        <v>-13.0460768</v>
      </c>
      <c r="Q2498" s="30" t="n">
        <v>-39.4522789</v>
      </c>
      <c r="R2498" s="14" t="inlineStr">
        <is>
          <t>PRAÇA JOSÉ VIANA SAMPAIO, Nº 417, CENTRO, AMARGOSA/BA</t>
        </is>
      </c>
      <c r="S2498" s="26">
        <f>IF(A2498=A2497,0,1)</f>
        <v>0</v>
      </c>
      <c r="T2498" s="26">
        <f>IF(COUNTIF($B$4:B2498,B2498)=1,1,0)</f>
        <v>0</v>
      </c>
    </row>
    <row r="2499">
      <c r="A2499" s="14" t="inlineStr">
        <is>
          <t>SÃO MIGUEL DAS MATAS</t>
        </is>
      </c>
      <c r="B2499" s="26" t="n">
        <v>36</v>
      </c>
      <c r="C2499" s="26" t="n">
        <v>1171</v>
      </c>
      <c r="D2499" s="14" t="inlineStr">
        <is>
          <t>ESCOLA MUNICIPAL HUMBERTO CASTELO BRANCO</t>
        </is>
      </c>
      <c r="E2499" s="14" t="inlineStr">
        <is>
          <t>POVOADO MOENDA SECA</t>
        </is>
      </c>
      <c r="F2499" s="14" t="inlineStr">
        <is>
          <t>POVOADO MOENDA SECA - ZONA RURAL</t>
        </is>
      </c>
      <c r="G2499" s="27" t="inlineStr">
        <is>
          <t>44580-000</t>
        </is>
      </c>
      <c r="H2499" s="15" t="n">
        <v>1</v>
      </c>
      <c r="I2499" s="28" t="inlineStr">
        <is>
          <t>NÃO</t>
        </is>
      </c>
      <c r="J2499" s="29" t="n"/>
      <c r="K2499" s="14" t="str">
        <f>IF(J2499="","7. Acima de 2 km",IF(J2499&lt;=50,"1. Até 50 m",IF(J2499&lt;=100,"2. De 50 a 100 m",IF(J2499&lt;=200,"3. De 100 a 200 m",IF(J2499&lt;=300,"4. De 200 a 300 m",IF(J2499&lt;=500,"5. De 300 a 500 m","6. De 500 m a 2 km"))))))</f>
        <v>7. Acima de 2 km</v>
      </c>
      <c r="L2499" s="26" t="n">
        <v>0</v>
      </c>
      <c r="M2499" s="26" t="n">
        <v>0</v>
      </c>
      <c r="N2499" s="26" t="n">
        <v>0</v>
      </c>
      <c r="O2499" s="26" t="n">
        <v>0</v>
      </c>
      <c r="P2499" s="30" t="n">
        <v>-13.0160442</v>
      </c>
      <c r="Q2499" s="30" t="n">
        <v>-39.4787747</v>
      </c>
      <c r="R2499" s="14" t="inlineStr">
        <is>
          <t>PRAÇA JOSÉ VIANA SAMPAIO, Nº 417, CENTRO, AMARGOSA/BA</t>
        </is>
      </c>
      <c r="S2499" s="26">
        <f>IF(A2499=A2498,0,1)</f>
        <v>0</v>
      </c>
      <c r="T2499" s="26">
        <f>IF(COUNTIF($B$4:B2499,B2499)=1,1,0)</f>
        <v>0</v>
      </c>
    </row>
    <row r="2500">
      <c r="A2500" s="14" t="inlineStr">
        <is>
          <t>SÃO MIGUEL DAS MATAS</t>
        </is>
      </c>
      <c r="B2500" s="26" t="n">
        <v>36</v>
      </c>
      <c r="C2500" s="26" t="n">
        <v>1236</v>
      </c>
      <c r="D2500" s="14" t="inlineStr">
        <is>
          <t>ESCOLA MUNICIPAL PROFESSORA MARLENE SANTOS</t>
        </is>
      </c>
      <c r="E2500" s="14" t="inlineStr">
        <is>
          <t>POVOADO MUQUIBA</t>
        </is>
      </c>
      <c r="F2500" s="14" t="inlineStr">
        <is>
          <t>POVOADO DA MUQUIBA - ZONA RURAL</t>
        </is>
      </c>
      <c r="G2500" s="27" t="inlineStr">
        <is>
          <t>44580-000</t>
        </is>
      </c>
      <c r="H2500" s="15" t="n">
        <v>2</v>
      </c>
      <c r="I2500" s="28" t="inlineStr">
        <is>
          <t>NÃO</t>
        </is>
      </c>
      <c r="J2500" s="29" t="n"/>
      <c r="K2500" s="14" t="str">
        <f>IF(J2500="","7. Acima de 2 km",IF(J2500&lt;=50,"1. Até 50 m",IF(J2500&lt;=100,"2. De 50 a 100 m",IF(J2500&lt;=200,"3. De 100 a 200 m",IF(J2500&lt;=300,"4. De 200 a 300 m",IF(J2500&lt;=500,"5. De 300 a 500 m","6. De 500 m a 2 km"))))))</f>
        <v>7. Acima de 2 km</v>
      </c>
      <c r="L2500" s="26" t="n">
        <v>0</v>
      </c>
      <c r="M2500" s="26" t="n">
        <v>0</v>
      </c>
      <c r="N2500" s="26" t="n">
        <v>0</v>
      </c>
      <c r="O2500" s="26" t="n">
        <v>0</v>
      </c>
      <c r="P2500" s="30" t="n">
        <v>-13.0884704</v>
      </c>
      <c r="Q2500" s="30" t="n">
        <v>-39.3436154</v>
      </c>
      <c r="R2500" s="14" t="inlineStr">
        <is>
          <t>PRAÇA JOSÉ VIANA SAMPAIO, Nº 417, CENTRO, AMARGOSA/BA</t>
        </is>
      </c>
      <c r="S2500" s="26">
        <f>IF(A2500=A2499,0,1)</f>
        <v>0</v>
      </c>
      <c r="T2500" s="26">
        <f>IF(COUNTIF($B$4:B2500,B2500)=1,1,0)</f>
        <v>0</v>
      </c>
    </row>
    <row r="2501">
      <c r="A2501" s="14" t="inlineStr">
        <is>
          <t>SÃO SEBASTIÃO DO PASSÉ</t>
        </is>
      </c>
      <c r="B2501" s="26" t="n">
        <v>128</v>
      </c>
      <c r="C2501" s="26" t="n">
        <v>1015</v>
      </c>
      <c r="D2501" s="14" t="inlineStr">
        <is>
          <t>ESCOLA MUNICIPAL DR JOÃO PAIM</t>
        </is>
      </c>
      <c r="E2501" s="14" t="inlineStr">
        <is>
          <t>CENTRO</t>
        </is>
      </c>
      <c r="F2501" s="14" t="inlineStr">
        <is>
          <t>RUA EUTIQUIO DE LIMA, 155 - SAO ROQUE - ZONA URBANA</t>
        </is>
      </c>
      <c r="G2501" s="27" t="inlineStr">
        <is>
          <t>43850-000</t>
        </is>
      </c>
      <c r="H2501" s="15" t="n">
        <v>13</v>
      </c>
      <c r="I2501" s="28" t="inlineStr">
        <is>
          <t>SIM</t>
        </is>
      </c>
      <c r="J2501" s="29" t="n">
        <v>20.7</v>
      </c>
      <c r="K2501" s="14" t="str">
        <f>IF(J2501="","7. Acima de 2 km",IF(J2501&lt;=50,"1. Até 50 m",IF(J2501&lt;=100,"2. De 50 a 100 m",IF(J2501&lt;=200,"3. De 100 a 200 m",IF(J2501&lt;=300,"4. De 200 a 300 m",IF(J2501&lt;=500,"5. De 300 a 500 m","6. De 500 m a 2 km"))))))</f>
        <v>1. Até 50 m</v>
      </c>
      <c r="L2501" s="26" t="n">
        <v>1</v>
      </c>
      <c r="M2501" s="26" t="n">
        <v>1</v>
      </c>
      <c r="N2501" s="26" t="n">
        <v>1</v>
      </c>
      <c r="O2501" s="26" t="n">
        <v>4</v>
      </c>
      <c r="P2501" s="30" t="n">
        <v>-12.5098017</v>
      </c>
      <c r="Q2501" s="30" t="n">
        <v>-38.49245</v>
      </c>
      <c r="R2501" s="14" t="inlineStr">
        <is>
          <t>RUA ANTONIO COUTO, Nº 22, SÃO ROQUE, SÃO SEBASTIÃO DO PASSÉ/BA</t>
        </is>
      </c>
      <c r="S2501" s="26">
        <f>IF(A2501=A2500,0,1)</f>
        <v>1</v>
      </c>
      <c r="T2501" s="26">
        <f>IF(COUNTIF($B$4:B2501,B2501)=1,1,0)</f>
        <v>1</v>
      </c>
    </row>
    <row r="2502">
      <c r="A2502" s="14" t="inlineStr">
        <is>
          <t>SÃO SEBASTIÃO DO PASSÉ</t>
        </is>
      </c>
      <c r="B2502" s="26" t="n">
        <v>128</v>
      </c>
      <c r="C2502" s="26" t="n">
        <v>1023</v>
      </c>
      <c r="D2502" s="14" t="inlineStr">
        <is>
          <t>COLÉGIO ESTADUAL DE TEMPO INTEGRAL MONSENHOR LUIZ FERREIRA DE BRITO</t>
        </is>
      </c>
      <c r="E2502" s="14" t="inlineStr">
        <is>
          <t>SÃO ROQUE</t>
        </is>
      </c>
      <c r="F2502" s="14" t="inlineStr">
        <is>
          <t>RUA EUTÍQUIO DE LIMA, N 155, SÃO ROQUE - ZONA URBANA</t>
        </is>
      </c>
      <c r="G2502" s="27" t="inlineStr">
        <is>
          <t>43850-000</t>
        </is>
      </c>
      <c r="H2502" s="15" t="n">
        <v>17</v>
      </c>
      <c r="I2502" s="28" t="inlineStr">
        <is>
          <t>NÃO</t>
        </is>
      </c>
      <c r="J2502" s="29" t="n">
        <v>352.8</v>
      </c>
      <c r="K2502" s="14" t="str">
        <f>IF(J2502="","7. Acima de 2 km",IF(J2502&lt;=50,"1. Até 50 m",IF(J2502&lt;=100,"2. De 50 a 100 m",IF(J2502&lt;=200,"3. De 100 a 200 m",IF(J2502&lt;=300,"4. De 200 a 300 m",IF(J2502&lt;=500,"5. De 300 a 500 m","6. De 500 m a 2 km"))))))</f>
        <v>5. De 300 a 500 m</v>
      </c>
      <c r="L2502" s="26" t="n">
        <v>0</v>
      </c>
      <c r="M2502" s="26" t="n">
        <v>0</v>
      </c>
      <c r="N2502" s="26" t="n">
        <v>0</v>
      </c>
      <c r="O2502" s="26" t="n">
        <v>0</v>
      </c>
      <c r="P2502" s="30" t="n">
        <v>-12.5087747</v>
      </c>
      <c r="Q2502" s="30" t="n">
        <v>-38.4895646</v>
      </c>
      <c r="R2502" s="14" t="inlineStr">
        <is>
          <t>RUA ANTONIO COUTO, Nº 22, SÃO ROQUE, SÃO SEBASTIÃO DO PASSÉ/BA</t>
        </is>
      </c>
      <c r="S2502" s="26">
        <f>IF(A2502=A2501,0,1)</f>
        <v>0</v>
      </c>
      <c r="T2502" s="26">
        <f>IF(COUNTIF($B$4:B2502,B2502)=1,1,0)</f>
        <v>0</v>
      </c>
    </row>
    <row r="2503">
      <c r="A2503" s="14" t="inlineStr">
        <is>
          <t>SÃO SEBASTIÃO DO PASSÉ</t>
        </is>
      </c>
      <c r="B2503" s="26" t="n">
        <v>128</v>
      </c>
      <c r="C2503" s="26" t="n">
        <v>1058</v>
      </c>
      <c r="D2503" s="14" t="inlineStr">
        <is>
          <t>ESCOLA MUNICIPAL MINISTRO LUIZ VIANA FILHO</t>
        </is>
      </c>
      <c r="E2503" s="14" t="inlineStr">
        <is>
          <t>SÃO ROQUE</t>
        </is>
      </c>
      <c r="F2503" s="14" t="inlineStr">
        <is>
          <t>PRACA JONH KENNEDY, N°20, SAO ROQUE - ZONA URBANA</t>
        </is>
      </c>
      <c r="G2503" s="27" t="inlineStr">
        <is>
          <t>43850-000</t>
        </is>
      </c>
      <c r="H2503" s="15" t="n">
        <v>7</v>
      </c>
      <c r="I2503" s="28" t="inlineStr">
        <is>
          <t>NÃO</t>
        </is>
      </c>
      <c r="J2503" s="29" t="n">
        <v>190.1</v>
      </c>
      <c r="K2503" s="14" t="str">
        <f>IF(J2503="","7. Acima de 2 km",IF(J2503&lt;=50,"1. Até 50 m",IF(J2503&lt;=100,"2. De 50 a 100 m",IF(J2503&lt;=200,"3. De 100 a 200 m",IF(J2503&lt;=300,"4. De 200 a 300 m",IF(J2503&lt;=500,"5. De 300 a 500 m","6. De 500 m a 2 km"))))))</f>
        <v>3. De 100 a 200 m</v>
      </c>
      <c r="L2503" s="26" t="n">
        <v>0</v>
      </c>
      <c r="M2503" s="26" t="n">
        <v>0</v>
      </c>
      <c r="N2503" s="26" t="n">
        <v>1</v>
      </c>
      <c r="O2503" s="26" t="n">
        <v>4</v>
      </c>
      <c r="P2503" s="30" t="n">
        <v>-12.5126347</v>
      </c>
      <c r="Q2503" s="30" t="n">
        <v>-38.4926671</v>
      </c>
      <c r="R2503" s="14" t="inlineStr">
        <is>
          <t>RUA ANTONIO COUTO, Nº 22, SÃO ROQUE, SÃO SEBASTIÃO DO PASSÉ/BA</t>
        </is>
      </c>
      <c r="S2503" s="26">
        <f>IF(A2503=A2502,0,1)</f>
        <v>0</v>
      </c>
      <c r="T2503" s="26">
        <f>IF(COUNTIF($B$4:B2503,B2503)=1,1,0)</f>
        <v>0</v>
      </c>
    </row>
    <row r="2504">
      <c r="A2504" s="14" t="inlineStr">
        <is>
          <t>SÃO SEBASTIÃO DO PASSÉ</t>
        </is>
      </c>
      <c r="B2504" s="26" t="n">
        <v>128</v>
      </c>
      <c r="C2504" s="26" t="n">
        <v>1066</v>
      </c>
      <c r="D2504" s="14" t="inlineStr">
        <is>
          <t>ESCOLA MUNICIPAL EZEQUIEL PORTUGAL</t>
        </is>
      </c>
      <c r="E2504" s="14" t="inlineStr">
        <is>
          <t>SÃO ROQUE</t>
        </is>
      </c>
      <c r="F2504" s="14" t="inlineStr">
        <is>
          <t>RUA JOSÉ FERREIRA LISBOA, SN, SAO ROQUE - ZONA URBANA</t>
        </is>
      </c>
      <c r="G2504" s="27" t="inlineStr">
        <is>
          <t>43850-000</t>
        </is>
      </c>
      <c r="H2504" s="15" t="n">
        <v>5</v>
      </c>
      <c r="I2504" s="28" t="inlineStr">
        <is>
          <t>NÃO</t>
        </is>
      </c>
      <c r="J2504" s="29" t="n">
        <v>264.1</v>
      </c>
      <c r="K2504" s="14" t="str">
        <f>IF(J2504="","7. Acima de 2 km",IF(J2504&lt;=50,"1. Até 50 m",IF(J2504&lt;=100,"2. De 50 a 100 m",IF(J2504&lt;=200,"3. De 100 a 200 m",IF(J2504&lt;=300,"4. De 200 a 300 m",IF(J2504&lt;=500,"5. De 300 a 500 m","6. De 500 m a 2 km"))))))</f>
        <v>4. De 200 a 300 m</v>
      </c>
      <c r="L2504" s="26" t="n">
        <v>0</v>
      </c>
      <c r="M2504" s="26" t="n">
        <v>0</v>
      </c>
      <c r="N2504" s="26" t="n">
        <v>0</v>
      </c>
      <c r="O2504" s="26" t="n">
        <v>2</v>
      </c>
      <c r="P2504" s="30" t="n">
        <v>-12.5133018</v>
      </c>
      <c r="Q2504" s="30" t="n">
        <v>-38.4917677</v>
      </c>
      <c r="R2504" s="14" t="inlineStr">
        <is>
          <t>RUA ANTONIO COUTO, Nº 22, SÃO ROQUE, SÃO SEBASTIÃO DO PASSÉ/BA</t>
        </is>
      </c>
      <c r="S2504" s="26">
        <f>IF(A2504=A2503,0,1)</f>
        <v>0</v>
      </c>
      <c r="T2504" s="26">
        <f>IF(COUNTIF($B$4:B2504,B2504)=1,1,0)</f>
        <v>0</v>
      </c>
    </row>
    <row r="2505">
      <c r="A2505" s="14" t="inlineStr">
        <is>
          <t>SÃO SEBASTIÃO DO PASSÉ</t>
        </is>
      </c>
      <c r="B2505" s="26" t="n">
        <v>128</v>
      </c>
      <c r="C2505" s="26" t="n">
        <v>1090</v>
      </c>
      <c r="D2505" s="14" t="inlineStr">
        <is>
          <t>ESCOLA CECILIA AUREA DA CRUZ RIBEIRO</t>
        </is>
      </c>
      <c r="E2505" s="14" t="inlineStr">
        <is>
          <t>AGOSTINHO AMARAL</t>
        </is>
      </c>
      <c r="F2505" s="14" t="inlineStr">
        <is>
          <t>RUA DANIEL FERREIRA GOMES DA SILVA, SN, AGOSTINHO AMARL - ZONA URBANA</t>
        </is>
      </c>
      <c r="G2505" s="27" t="inlineStr">
        <is>
          <t>43850-000</t>
        </is>
      </c>
      <c r="H2505" s="15" t="n">
        <v>7</v>
      </c>
      <c r="I2505" s="28" t="inlineStr">
        <is>
          <t>NÃO</t>
        </is>
      </c>
      <c r="J2505" s="29" t="n">
        <v>382.5</v>
      </c>
      <c r="K2505" s="14" t="str">
        <f>IF(J2505="","7. Acima de 2 km",IF(J2505&lt;=50,"1. Até 50 m",IF(J2505&lt;=100,"2. De 50 a 100 m",IF(J2505&lt;=200,"3. De 100 a 200 m",IF(J2505&lt;=300,"4. De 200 a 300 m",IF(J2505&lt;=500,"5. De 300 a 500 m","6. De 500 m a 2 km"))))))</f>
        <v>5. De 300 a 500 m</v>
      </c>
      <c r="L2505" s="26" t="n">
        <v>0</v>
      </c>
      <c r="M2505" s="26" t="n">
        <v>0</v>
      </c>
      <c r="N2505" s="26" t="n">
        <v>0</v>
      </c>
      <c r="O2505" s="26" t="n">
        <v>0</v>
      </c>
      <c r="P2505" s="30" t="n">
        <v>-12.5155871</v>
      </c>
      <c r="Q2505" s="30" t="n">
        <v>-38.4898944</v>
      </c>
      <c r="R2505" s="14" t="inlineStr">
        <is>
          <t>RUA ANTONIO COUTO, Nº 22, SÃO ROQUE, SÃO SEBASTIÃO DO PASSÉ/BA</t>
        </is>
      </c>
      <c r="S2505" s="26">
        <f>IF(A2505=A2504,0,1)</f>
        <v>0</v>
      </c>
      <c r="T2505" s="26">
        <f>IF(COUNTIF($B$4:B2505,B2505)=1,1,0)</f>
        <v>0</v>
      </c>
    </row>
    <row r="2506">
      <c r="A2506" s="14" t="inlineStr">
        <is>
          <t>SÃO SEBASTIÃO DO PASSÉ</t>
        </is>
      </c>
      <c r="B2506" s="26" t="n">
        <v>128</v>
      </c>
      <c r="C2506" s="26" t="n">
        <v>1104</v>
      </c>
      <c r="D2506" s="14" t="inlineStr">
        <is>
          <t>ESCOLA MUNICIPAL RÔMULO GALVÃO</t>
        </is>
      </c>
      <c r="E2506" s="14" t="inlineStr">
        <is>
          <t>PENÃO</t>
        </is>
      </c>
      <c r="F2506" s="14" t="inlineStr">
        <is>
          <t>AV. ERNANE DE OLIVEIRA ROCHA, SN, PENAO - ZONA URBANA</t>
        </is>
      </c>
      <c r="G2506" s="27" t="inlineStr">
        <is>
          <t>43850-000</t>
        </is>
      </c>
      <c r="H2506" s="15" t="n">
        <v>4</v>
      </c>
      <c r="I2506" s="28" t="inlineStr">
        <is>
          <t>SIM</t>
        </is>
      </c>
      <c r="J2506" s="29" t="n">
        <v>37</v>
      </c>
      <c r="K2506" s="14" t="str">
        <f>IF(J2506="","7. Acima de 2 km",IF(J2506&lt;=50,"1. Até 50 m",IF(J2506&lt;=100,"2. De 50 a 100 m",IF(J2506&lt;=200,"3. De 100 a 200 m",IF(J2506&lt;=300,"4. De 200 a 300 m",IF(J2506&lt;=500,"5. De 300 a 500 m","6. De 500 m a 2 km"))))))</f>
        <v>1. Até 50 m</v>
      </c>
      <c r="L2506" s="26" t="n">
        <v>3</v>
      </c>
      <c r="M2506" s="26" t="n">
        <v>3</v>
      </c>
      <c r="N2506" s="26" t="n">
        <v>3</v>
      </c>
      <c r="O2506" s="26" t="n">
        <v>4</v>
      </c>
      <c r="P2506" s="30" t="n">
        <v>-12.518581</v>
      </c>
      <c r="Q2506" s="30" t="n">
        <v>-38.4972333</v>
      </c>
      <c r="R2506" s="14" t="inlineStr">
        <is>
          <t>RUA ANTONIO COUTO, Nº 22, SÃO ROQUE, SÃO SEBASTIÃO DO PASSÉ/BA</t>
        </is>
      </c>
      <c r="S2506" s="26">
        <f>IF(A2506=A2505,0,1)</f>
        <v>0</v>
      </c>
      <c r="T2506" s="26">
        <f>IF(COUNTIF($B$4:B2506,B2506)=1,1,0)</f>
        <v>0</v>
      </c>
    </row>
    <row r="2507">
      <c r="A2507" s="14" t="inlineStr">
        <is>
          <t>SÃO SEBASTIÃO DO PASSÉ</t>
        </is>
      </c>
      <c r="B2507" s="26" t="n">
        <v>128</v>
      </c>
      <c r="C2507" s="26" t="n">
        <v>1112</v>
      </c>
      <c r="D2507" s="14" t="inlineStr">
        <is>
          <t>ESCOLA MUNICIPAL REUNIDAS CONDESSA DE BARRAL</t>
        </is>
      </c>
      <c r="E2507" s="14" t="inlineStr">
        <is>
          <t>DISTRITO NAZARÉ DE JACUÍPE</t>
        </is>
      </c>
      <c r="F2507" s="14" t="inlineStr">
        <is>
          <t>AVENIDA LAURO DE FREITAS, SN, JACUÍPE - ZONA RURAL</t>
        </is>
      </c>
      <c r="G2507" s="27" t="inlineStr">
        <is>
          <t>43850-000</t>
        </is>
      </c>
      <c r="H2507" s="15" t="n">
        <v>3</v>
      </c>
      <c r="I2507" s="28" t="inlineStr">
        <is>
          <t>NÃO</t>
        </is>
      </c>
      <c r="J2507" s="29" t="n"/>
      <c r="K2507" s="14" t="str">
        <f>IF(J2507="","7. Acima de 2 km",IF(J2507&lt;=50,"1. Até 50 m",IF(J2507&lt;=100,"2. De 50 a 100 m",IF(J2507&lt;=200,"3. De 100 a 200 m",IF(J2507&lt;=300,"4. De 200 a 300 m",IF(J2507&lt;=500,"5. De 300 a 500 m","6. De 500 m a 2 km"))))))</f>
        <v>7. Acima de 2 km</v>
      </c>
      <c r="L2507" s="26" t="n">
        <v>0</v>
      </c>
      <c r="M2507" s="26" t="n">
        <v>0</v>
      </c>
      <c r="N2507" s="26" t="n">
        <v>0</v>
      </c>
      <c r="O2507" s="26" t="n">
        <v>0</v>
      </c>
      <c r="P2507" s="30" t="n">
        <v>-12.488517</v>
      </c>
      <c r="Q2507" s="30" t="n">
        <v>-38.6281497</v>
      </c>
      <c r="R2507" s="14" t="inlineStr">
        <is>
          <t>RUA ANTONIO COUTO, Nº 22, SÃO ROQUE, SÃO SEBASTIÃO DO PASSÉ/BA</t>
        </is>
      </c>
      <c r="S2507" s="26">
        <f>IF(A2507=A2506,0,1)</f>
        <v>0</v>
      </c>
      <c r="T2507" s="26">
        <f>IF(COUNTIF($B$4:B2507,B2507)=1,1,0)</f>
        <v>0</v>
      </c>
    </row>
    <row r="2508">
      <c r="A2508" s="14" t="inlineStr">
        <is>
          <t>SÃO SEBASTIÃO DO PASSÉ</t>
        </is>
      </c>
      <c r="B2508" s="26" t="n">
        <v>128</v>
      </c>
      <c r="C2508" s="26" t="n">
        <v>1120</v>
      </c>
      <c r="D2508" s="14" t="inlineStr">
        <is>
          <t>COLÉGIO MUNICIPAL DR ANTÔNIO CARLOS MAGALHÃES</t>
        </is>
      </c>
      <c r="E2508" s="14" t="inlineStr">
        <is>
          <t>DISTRITO NAZARÉ DE JACUÍPE</t>
        </is>
      </c>
      <c r="F2508" s="14" t="inlineStr">
        <is>
          <t>RUA DA LINHA, SN, JACUIPE - ZONA RURAL</t>
        </is>
      </c>
      <c r="G2508" s="27" t="inlineStr">
        <is>
          <t>43850-000</t>
        </is>
      </c>
      <c r="H2508" s="15" t="n">
        <v>4</v>
      </c>
      <c r="I2508" s="28" t="inlineStr">
        <is>
          <t>NÃO</t>
        </is>
      </c>
      <c r="J2508" s="29" t="n"/>
      <c r="K2508" s="14" t="str">
        <f>IF(J2508="","7. Acima de 2 km",IF(J2508&lt;=50,"1. Até 50 m",IF(J2508&lt;=100,"2. De 50 a 100 m",IF(J2508&lt;=200,"3. De 100 a 200 m",IF(J2508&lt;=300,"4. De 200 a 300 m",IF(J2508&lt;=500,"5. De 300 a 500 m","6. De 500 m a 2 km"))))))</f>
        <v>7. Acima de 2 km</v>
      </c>
      <c r="L2508" s="26" t="n">
        <v>0</v>
      </c>
      <c r="M2508" s="26" t="n">
        <v>0</v>
      </c>
      <c r="N2508" s="26" t="n">
        <v>0</v>
      </c>
      <c r="O2508" s="26" t="n">
        <v>0</v>
      </c>
      <c r="P2508" s="30" t="n">
        <v>-12.4898942</v>
      </c>
      <c r="Q2508" s="30" t="n">
        <v>-38.6264778</v>
      </c>
      <c r="R2508" s="14" t="inlineStr">
        <is>
          <t>RUA ANTONIO COUTO, Nº 22, SÃO ROQUE, SÃO SEBASTIÃO DO PASSÉ/BA</t>
        </is>
      </c>
      <c r="S2508" s="26">
        <f>IF(A2508=A2507,0,1)</f>
        <v>0</v>
      </c>
      <c r="T2508" s="26">
        <f>IF(COUNTIF($B$4:B2508,B2508)=1,1,0)</f>
        <v>0</v>
      </c>
    </row>
    <row r="2509">
      <c r="A2509" s="14" t="inlineStr">
        <is>
          <t>SÃO SEBASTIÃO DO PASSÉ</t>
        </is>
      </c>
      <c r="B2509" s="26" t="n">
        <v>128</v>
      </c>
      <c r="C2509" s="26" t="n">
        <v>1147</v>
      </c>
      <c r="D2509" s="14" t="inlineStr">
        <is>
          <t>COLÉGIO MUNICIPAL EDGAR SANTOS</t>
        </is>
      </c>
      <c r="E2509" s="14" t="inlineStr">
        <is>
          <t>DISTRITO MARACANGALHA</t>
        </is>
      </c>
      <c r="F2509" s="14" t="inlineStr">
        <is>
          <t>PRACA DO CRUZEIRO, SN, MARACANGALHA - ZONA RURAL</t>
        </is>
      </c>
      <c r="G2509" s="27" t="inlineStr">
        <is>
          <t>43850-000</t>
        </is>
      </c>
      <c r="H2509" s="15" t="n">
        <v>4</v>
      </c>
      <c r="I2509" s="28" t="inlineStr">
        <is>
          <t>NÃO</t>
        </is>
      </c>
      <c r="J2509" s="29" t="n"/>
      <c r="K2509" s="14" t="str">
        <f>IF(J2509="","7. Acima de 2 km",IF(J2509&lt;=50,"1. Até 50 m",IF(J2509&lt;=100,"2. De 50 a 100 m",IF(J2509&lt;=200,"3. De 100 a 200 m",IF(J2509&lt;=300,"4. De 200 a 300 m",IF(J2509&lt;=500,"5. De 300 a 500 m","6. De 500 m a 2 km"))))))</f>
        <v>7. Acima de 2 km</v>
      </c>
      <c r="L2509" s="26" t="n">
        <v>0</v>
      </c>
      <c r="M2509" s="26" t="n">
        <v>0</v>
      </c>
      <c r="N2509" s="26" t="n">
        <v>0</v>
      </c>
      <c r="O2509" s="26" t="n">
        <v>0</v>
      </c>
      <c r="P2509" s="30" t="n">
        <v>-12.5889109</v>
      </c>
      <c r="Q2509" s="30" t="n">
        <v>-38.5414902</v>
      </c>
      <c r="R2509" s="14" t="inlineStr">
        <is>
          <t>RUA ANTONIO COUTO, Nº 22, SÃO ROQUE, SÃO SEBASTIÃO DO PASSÉ/BA</t>
        </is>
      </c>
      <c r="S2509" s="26">
        <f>IF(A2509=A2508,0,1)</f>
        <v>0</v>
      </c>
      <c r="T2509" s="26">
        <f>IF(COUNTIF($B$4:B2509,B2509)=1,1,0)</f>
        <v>0</v>
      </c>
    </row>
    <row r="2510">
      <c r="A2510" s="14" t="inlineStr">
        <is>
          <t>SÃO SEBASTIÃO DO PASSÉ</t>
        </is>
      </c>
      <c r="B2510" s="26" t="n">
        <v>128</v>
      </c>
      <c r="C2510" s="26" t="n">
        <v>1155</v>
      </c>
      <c r="D2510" s="14" t="inlineStr">
        <is>
          <t>ESCOLA MUNICIPAL JANUÁRIO RIBEIRO</t>
        </is>
      </c>
      <c r="E2510" s="14" t="inlineStr">
        <is>
          <t>DISTRITO BANCO DE AREIA</t>
        </is>
      </c>
      <c r="F2510" s="14" t="inlineStr">
        <is>
          <t>PRACA BANCO DE AREIA, SN, BANCO DE AREIA - ZONA RURAL</t>
        </is>
      </c>
      <c r="G2510" s="27" t="inlineStr">
        <is>
          <t>43850-000</t>
        </is>
      </c>
      <c r="H2510" s="15" t="n">
        <v>2</v>
      </c>
      <c r="I2510" s="28" t="inlineStr">
        <is>
          <t>NÃO</t>
        </is>
      </c>
      <c r="J2510" s="29" t="n"/>
      <c r="K2510" s="14" t="str">
        <f>IF(J2510="","7. Acima de 2 km",IF(J2510&lt;=50,"1. Até 50 m",IF(J2510&lt;=100,"2. De 50 a 100 m",IF(J2510&lt;=200,"3. De 100 a 200 m",IF(J2510&lt;=300,"4. De 200 a 300 m",IF(J2510&lt;=500,"5. De 300 a 500 m","6. De 500 m a 2 km"))))))</f>
        <v>7. Acima de 2 km</v>
      </c>
      <c r="L2510" s="26" t="n">
        <v>0</v>
      </c>
      <c r="M2510" s="26" t="n">
        <v>0</v>
      </c>
      <c r="N2510" s="26" t="n">
        <v>0</v>
      </c>
      <c r="O2510" s="26" t="n">
        <v>0</v>
      </c>
      <c r="P2510" s="30" t="n">
        <v>-12.4184442</v>
      </c>
      <c r="Q2510" s="30" t="n">
        <v>-38.477213</v>
      </c>
      <c r="R2510" s="14" t="inlineStr">
        <is>
          <t>RUA ANTONIO COUTO, Nº 22, SÃO ROQUE, SÃO SEBASTIÃO DO PASSÉ/BA</t>
        </is>
      </c>
      <c r="S2510" s="26">
        <f>IF(A2510=A2509,0,1)</f>
        <v>0</v>
      </c>
      <c r="T2510" s="26">
        <f>IF(COUNTIF($B$4:B2510,B2510)=1,1,0)</f>
        <v>0</v>
      </c>
    </row>
    <row r="2511">
      <c r="A2511" s="14" t="inlineStr">
        <is>
          <t>SÃO SEBASTIÃO DO PASSÉ</t>
        </is>
      </c>
      <c r="B2511" s="26" t="n">
        <v>128</v>
      </c>
      <c r="C2511" s="26" t="n">
        <v>1163</v>
      </c>
      <c r="D2511" s="14" t="inlineStr">
        <is>
          <t>ESCOLA MUNICIPAL AUGUSTA MENEZES DE SANTANA</t>
        </is>
      </c>
      <c r="E2511" s="14" t="inlineStr">
        <is>
          <t>DISTRITO BANCO DE AREIA</t>
        </is>
      </c>
      <c r="F2511" s="14" t="inlineStr">
        <is>
          <t>RUA ANTONIO BONFIM LAGO, SN, BANCO DE AREIA - ZONA RURAL</t>
        </is>
      </c>
      <c r="G2511" s="27" t="inlineStr">
        <is>
          <t>43850-000</t>
        </is>
      </c>
      <c r="H2511" s="15" t="n">
        <v>2</v>
      </c>
      <c r="I2511" s="28" t="inlineStr">
        <is>
          <t>NÃO</t>
        </is>
      </c>
      <c r="J2511" s="29" t="n"/>
      <c r="K2511" s="14" t="str">
        <f>IF(J2511="","7. Acima de 2 km",IF(J2511&lt;=50,"1. Até 50 m",IF(J2511&lt;=100,"2. De 50 a 100 m",IF(J2511&lt;=200,"3. De 100 a 200 m",IF(J2511&lt;=300,"4. De 200 a 300 m",IF(J2511&lt;=500,"5. De 300 a 500 m","6. De 500 m a 2 km"))))))</f>
        <v>7. Acima de 2 km</v>
      </c>
      <c r="L2511" s="26" t="n">
        <v>0</v>
      </c>
      <c r="M2511" s="26" t="n">
        <v>0</v>
      </c>
      <c r="N2511" s="26" t="n">
        <v>0</v>
      </c>
      <c r="O2511" s="26" t="n">
        <v>0</v>
      </c>
      <c r="P2511" s="30" t="n">
        <v>-12.4276326</v>
      </c>
      <c r="Q2511" s="30" t="n">
        <v>-38.4723259</v>
      </c>
      <c r="R2511" s="14" t="inlineStr">
        <is>
          <t>RUA ANTONIO COUTO, Nº 22, SÃO ROQUE, SÃO SEBASTIÃO DO PASSÉ/BA</t>
        </is>
      </c>
      <c r="S2511" s="26">
        <f>IF(A2511=A2510,0,1)</f>
        <v>0</v>
      </c>
      <c r="T2511" s="26">
        <f>IF(COUNTIF($B$4:B2511,B2511)=1,1,0)</f>
        <v>0</v>
      </c>
    </row>
    <row r="2512">
      <c r="A2512" s="14" t="inlineStr">
        <is>
          <t>SÃO SEBASTIÃO DO PASSÉ</t>
        </is>
      </c>
      <c r="B2512" s="26" t="n">
        <v>128</v>
      </c>
      <c r="C2512" s="26" t="n">
        <v>1171</v>
      </c>
      <c r="D2512" s="14" t="inlineStr">
        <is>
          <t>ESCOLA JOSEANE SANTOS</t>
        </is>
      </c>
      <c r="E2512" s="14" t="inlineStr">
        <is>
          <t>DISTRITO LAMARÃO DO PASSÉ</t>
        </is>
      </c>
      <c r="F2512" s="14" t="inlineStr">
        <is>
          <t>RUA JOANA ANGELICA, SN, LAMARAO - ZONA RURAL</t>
        </is>
      </c>
      <c r="G2512" s="27" t="inlineStr">
        <is>
          <t>43850-000</t>
        </is>
      </c>
      <c r="H2512" s="15" t="n">
        <v>4</v>
      </c>
      <c r="I2512" s="28" t="inlineStr">
        <is>
          <t>NÃO</t>
        </is>
      </c>
      <c r="J2512" s="29" t="n"/>
      <c r="K2512" s="14" t="str">
        <f>IF(J2512="","7. Acima de 2 km",IF(J2512&lt;=50,"1. Até 50 m",IF(J2512&lt;=100,"2. De 50 a 100 m",IF(J2512&lt;=200,"3. De 100 a 200 m",IF(J2512&lt;=300,"4. De 200 a 300 m",IF(J2512&lt;=500,"5. De 300 a 500 m","6. De 500 m a 2 km"))))))</f>
        <v>7. Acima de 2 km</v>
      </c>
      <c r="L2512" s="26" t="n">
        <v>0</v>
      </c>
      <c r="M2512" s="26" t="n">
        <v>0</v>
      </c>
      <c r="N2512" s="26" t="n">
        <v>0</v>
      </c>
      <c r="O2512" s="26" t="n">
        <v>0</v>
      </c>
      <c r="P2512" s="30" t="n">
        <v>-12.5487589</v>
      </c>
      <c r="Q2512" s="30" t="n">
        <v>-38.4652084</v>
      </c>
      <c r="R2512" s="14" t="inlineStr">
        <is>
          <t>RUA ANTONIO COUTO, Nº 22, SÃO ROQUE, SÃO SEBASTIÃO DO PASSÉ/BA</t>
        </is>
      </c>
      <c r="S2512" s="26">
        <f>IF(A2512=A2511,0,1)</f>
        <v>0</v>
      </c>
      <c r="T2512" s="26">
        <f>IF(COUNTIF($B$4:B2512,B2512)=1,1,0)</f>
        <v>0</v>
      </c>
    </row>
    <row r="2513">
      <c r="A2513" s="14" t="inlineStr">
        <is>
          <t>SÃO SEBASTIÃO DO PASSÉ</t>
        </is>
      </c>
      <c r="B2513" s="26" t="n">
        <v>128</v>
      </c>
      <c r="C2513" s="26" t="n">
        <v>1201</v>
      </c>
      <c r="D2513" s="14" t="inlineStr">
        <is>
          <t>ESCOLA MUNICIPAL GRACILIANO RAMOS</t>
        </is>
      </c>
      <c r="E2513" s="14" t="inlineStr">
        <is>
          <t>URBIS II</t>
        </is>
      </c>
      <c r="F2513" s="14" t="inlineStr">
        <is>
          <t>AV. ERNANE DE OLIVEIRA ROCHA, SN, URBIS I - ZONA URBANA</t>
        </is>
      </c>
      <c r="G2513" s="27" t="inlineStr">
        <is>
          <t>43850-000</t>
        </is>
      </c>
      <c r="H2513" s="15" t="n">
        <v>5</v>
      </c>
      <c r="I2513" s="28" t="inlineStr">
        <is>
          <t>NÃO</t>
        </is>
      </c>
      <c r="J2513" s="29" t="n">
        <v>382.5</v>
      </c>
      <c r="K2513" s="14" t="str">
        <f>IF(J2513="","7. Acima de 2 km",IF(J2513&lt;=50,"1. Até 50 m",IF(J2513&lt;=100,"2. De 50 a 100 m",IF(J2513&lt;=200,"3. De 100 a 200 m",IF(J2513&lt;=300,"4. De 200 a 300 m",IF(J2513&lt;=500,"5. De 300 a 500 m","6. De 500 m a 2 km"))))))</f>
        <v>5. De 300 a 500 m</v>
      </c>
      <c r="L2513" s="26" t="n">
        <v>0</v>
      </c>
      <c r="M2513" s="26" t="n">
        <v>0</v>
      </c>
      <c r="N2513" s="26" t="n">
        <v>0</v>
      </c>
      <c r="O2513" s="26" t="n">
        <v>0</v>
      </c>
      <c r="P2513" s="30" t="n">
        <v>-12.5155871</v>
      </c>
      <c r="Q2513" s="30" t="n">
        <v>-38.4898944</v>
      </c>
      <c r="R2513" s="14" t="inlineStr">
        <is>
          <t>RUA ANTONIO COUTO, Nº 22, SÃO ROQUE, SÃO SEBASTIÃO DO PASSÉ/BA</t>
        </is>
      </c>
      <c r="S2513" s="26">
        <f>IF(A2513=A2512,0,1)</f>
        <v>0</v>
      </c>
      <c r="T2513" s="26">
        <f>IF(COUNTIF($B$4:B2513,B2513)=1,1,0)</f>
        <v>0</v>
      </c>
    </row>
    <row r="2514">
      <c r="A2514" s="14" t="inlineStr">
        <is>
          <t>SÃO SEBASTIÃO DO PASSÉ</t>
        </is>
      </c>
      <c r="B2514" s="26" t="n">
        <v>128</v>
      </c>
      <c r="C2514" s="26" t="n">
        <v>1210</v>
      </c>
      <c r="D2514" s="14" t="inlineStr">
        <is>
          <t>ESCOLA MUNICIPAL NOVA BRASILIA</t>
        </is>
      </c>
      <c r="E2514" s="14" t="inlineStr">
        <is>
          <t>BRASÍLIA</t>
        </is>
      </c>
      <c r="F2514" s="14" t="inlineStr">
        <is>
          <t>RUA RAIMUNDO NONATO GOMES, SN, BRASÍLIA - ZONA URBANA</t>
        </is>
      </c>
      <c r="G2514" s="27" t="inlineStr">
        <is>
          <t>43850-000</t>
        </is>
      </c>
      <c r="H2514" s="15" t="n">
        <v>3</v>
      </c>
      <c r="I2514" s="28" t="inlineStr">
        <is>
          <t>NÃO</t>
        </is>
      </c>
      <c r="J2514" s="29" t="n"/>
      <c r="K2514" s="14" t="str">
        <f>IF(J2514="","7. Acima de 2 km",IF(J2514&lt;=50,"1. Até 50 m",IF(J2514&lt;=100,"2. De 50 a 100 m",IF(J2514&lt;=200,"3. De 100 a 200 m",IF(J2514&lt;=300,"4. De 200 a 300 m",IF(J2514&lt;=500,"5. De 300 a 500 m","6. De 500 m a 2 km"))))))</f>
        <v>7. Acima de 2 km</v>
      </c>
      <c r="L2514" s="26" t="n">
        <v>0</v>
      </c>
      <c r="M2514" s="26" t="n">
        <v>0</v>
      </c>
      <c r="N2514" s="26" t="n">
        <v>0</v>
      </c>
      <c r="O2514" s="26" t="n">
        <v>0</v>
      </c>
      <c r="P2514" s="30" t="n">
        <v>-12.4184442</v>
      </c>
      <c r="Q2514" s="30" t="n">
        <v>-38.477213</v>
      </c>
      <c r="R2514" s="14" t="inlineStr">
        <is>
          <t>RUA ANTONIO COUTO, Nº 22, SÃO ROQUE, SÃO SEBASTIÃO DO PASSÉ/BA</t>
        </is>
      </c>
      <c r="S2514" s="26">
        <f>IF(A2514=A2513,0,1)</f>
        <v>0</v>
      </c>
      <c r="T2514" s="26">
        <f>IF(COUNTIF($B$4:B2514,B2514)=1,1,0)</f>
        <v>0</v>
      </c>
    </row>
    <row r="2515">
      <c r="A2515" s="14" t="inlineStr">
        <is>
          <t>SÃO SEBASTIÃO DO PASSÉ</t>
        </is>
      </c>
      <c r="B2515" s="26" t="n">
        <v>128</v>
      </c>
      <c r="C2515" s="26" t="n">
        <v>1228</v>
      </c>
      <c r="D2515" s="14" t="inlineStr">
        <is>
          <t>ESCOLA NOVA GEARY - SAO JUDAS TADEU</t>
        </is>
      </c>
      <c r="E2515" s="14" t="inlineStr">
        <is>
          <t>POVOADO GEARY</t>
        </is>
      </c>
      <c r="F2515" s="14" t="inlineStr">
        <is>
          <t>RUA NOVA GEARY, GEARY, - ZONA RURAL</t>
        </is>
      </c>
      <c r="G2515" s="27" t="inlineStr">
        <is>
          <t>43850-000</t>
        </is>
      </c>
      <c r="H2515" s="15" t="n">
        <v>2</v>
      </c>
      <c r="I2515" s="28" t="inlineStr">
        <is>
          <t>NÃO</t>
        </is>
      </c>
      <c r="J2515" s="29" t="n"/>
      <c r="K2515" s="14" t="str">
        <f>IF(J2515="","7. Acima de 2 km",IF(J2515&lt;=50,"1. Até 50 m",IF(J2515&lt;=100,"2. De 50 a 100 m",IF(J2515&lt;=200,"3. De 100 a 200 m",IF(J2515&lt;=300,"4. De 200 a 300 m",IF(J2515&lt;=500,"5. De 300 a 500 m","6. De 500 m a 2 km"))))))</f>
        <v>7. Acima de 2 km</v>
      </c>
      <c r="L2515" s="26" t="n">
        <v>0</v>
      </c>
      <c r="M2515" s="26" t="n">
        <v>0</v>
      </c>
      <c r="N2515" s="26" t="n">
        <v>0</v>
      </c>
      <c r="O2515" s="26" t="n">
        <v>0</v>
      </c>
      <c r="P2515" s="30" t="n">
        <v>-12.5889109</v>
      </c>
      <c r="Q2515" s="30" t="n">
        <v>-38.5414902</v>
      </c>
      <c r="R2515" s="14" t="inlineStr">
        <is>
          <t>RUA ANTONIO COUTO, Nº 22, SÃO ROQUE, SÃO SEBASTIÃO DO PASSÉ/BA</t>
        </is>
      </c>
      <c r="S2515" s="26">
        <f>IF(A2515=A2514,0,1)</f>
        <v>0</v>
      </c>
      <c r="T2515" s="26">
        <f>IF(COUNTIF($B$4:B2515,B2515)=1,1,0)</f>
        <v>0</v>
      </c>
    </row>
    <row r="2516">
      <c r="A2516" s="14" t="inlineStr">
        <is>
          <t>SÃO SEBASTIÃO DO PASSÉ</t>
        </is>
      </c>
      <c r="B2516" s="26" t="n">
        <v>128</v>
      </c>
      <c r="C2516" s="26" t="n">
        <v>1236</v>
      </c>
      <c r="D2516" s="14" t="inlineStr">
        <is>
          <t>ESCOLA ESTADUAL DEPUTADO LUIS EDUARDO MAGALHÃES</t>
        </is>
      </c>
      <c r="E2516" s="14" t="inlineStr">
        <is>
          <t>HUMILDES</t>
        </is>
      </c>
      <c r="F2516" s="14" t="inlineStr">
        <is>
          <t>RUA ISIDÓRIO MENEZES, N° 16, HUMILDES - ZONA URBANA</t>
        </is>
      </c>
      <c r="G2516" s="27" t="inlineStr">
        <is>
          <t>43850-000</t>
        </is>
      </c>
      <c r="H2516" s="15" t="n">
        <v>12</v>
      </c>
      <c r="I2516" s="28" t="inlineStr">
        <is>
          <t>NÃO</t>
        </is>
      </c>
      <c r="J2516" s="29" t="n"/>
      <c r="K2516" s="14" t="str">
        <f>IF(J2516="","7. Acima de 2 km",IF(J2516&lt;=50,"1. Até 50 m",IF(J2516&lt;=100,"2. De 50 a 100 m",IF(J2516&lt;=200,"3. De 100 a 200 m",IF(J2516&lt;=300,"4. De 200 a 300 m",IF(J2516&lt;=500,"5. De 300 a 500 m","6. De 500 m a 2 km"))))))</f>
        <v>7. Acima de 2 km</v>
      </c>
      <c r="L2516" s="26" t="n">
        <v>0</v>
      </c>
      <c r="M2516" s="26" t="n">
        <v>0</v>
      </c>
      <c r="N2516" s="26" t="n">
        <v>0</v>
      </c>
      <c r="O2516" s="26" t="n">
        <v>0</v>
      </c>
      <c r="P2516" s="30" t="n">
        <v>-12.4184442</v>
      </c>
      <c r="Q2516" s="30" t="n">
        <v>-38.477213</v>
      </c>
      <c r="R2516" s="14" t="inlineStr">
        <is>
          <t>RUA ANTONIO COUTO, Nº 22, SÃO ROQUE, SÃO SEBASTIÃO DO PASSÉ/BA</t>
        </is>
      </c>
      <c r="S2516" s="26">
        <f>IF(A2516=A2515,0,1)</f>
        <v>0</v>
      </c>
      <c r="T2516" s="26">
        <f>IF(COUNTIF($B$4:B2516,B2516)=1,1,0)</f>
        <v>0</v>
      </c>
    </row>
    <row r="2517">
      <c r="A2517" s="14" t="inlineStr">
        <is>
          <t>SÃO SEBASTIÃO DO PASSÉ</t>
        </is>
      </c>
      <c r="B2517" s="26" t="n">
        <v>128</v>
      </c>
      <c r="C2517" s="26" t="n">
        <v>1244</v>
      </c>
      <c r="D2517" s="14" t="inlineStr">
        <is>
          <t>ESCOLA PROFESSORA LINDAURA MONTEIRO CÂMARA</t>
        </is>
      </c>
      <c r="E2517" s="14" t="inlineStr">
        <is>
          <t>CENTRO</t>
        </is>
      </c>
      <c r="F2517" s="14" t="inlineStr">
        <is>
          <t>RUA JOSÉ GONÇALVES, N 20 - ZONA URBANA</t>
        </is>
      </c>
      <c r="G2517" s="27" t="inlineStr">
        <is>
          <t>43850-000</t>
        </is>
      </c>
      <c r="H2517" s="15" t="n">
        <v>10</v>
      </c>
      <c r="I2517" s="28" t="inlineStr">
        <is>
          <t>SIM</t>
        </is>
      </c>
      <c r="J2517" s="29" t="n">
        <v>88.7</v>
      </c>
      <c r="K2517" s="14" t="str">
        <f>IF(J2517="","7. Acima de 2 km",IF(J2517&lt;=50,"1. Até 50 m",IF(J2517&lt;=100,"2. De 50 a 100 m",IF(J2517&lt;=200,"3. De 100 a 200 m",IF(J2517&lt;=300,"4. De 200 a 300 m",IF(J2517&lt;=500,"5. De 300 a 500 m","6. De 500 m a 2 km"))))))</f>
        <v>2. De 50 a 100 m</v>
      </c>
      <c r="L2517" s="26" t="n">
        <v>0</v>
      </c>
      <c r="M2517" s="26" t="n">
        <v>1</v>
      </c>
      <c r="N2517" s="26" t="n">
        <v>4</v>
      </c>
      <c r="O2517" s="26" t="n">
        <v>7</v>
      </c>
      <c r="P2517" s="30" t="n">
        <v>-12.5097557</v>
      </c>
      <c r="Q2517" s="30" t="n">
        <v>-38.4940266</v>
      </c>
      <c r="R2517" s="14" t="inlineStr">
        <is>
          <t>RUA ANTONIO COUTO, Nº 22, SÃO ROQUE, SÃO SEBASTIÃO DO PASSÉ/BA</t>
        </is>
      </c>
      <c r="S2517" s="26">
        <f>IF(A2517=A2516,0,1)</f>
        <v>0</v>
      </c>
      <c r="T2517" s="26">
        <f>IF(COUNTIF($B$4:B2517,B2517)=1,1,0)</f>
        <v>0</v>
      </c>
    </row>
    <row r="2518">
      <c r="A2518" s="14" t="inlineStr">
        <is>
          <t>SAUBARA</t>
        </is>
      </c>
      <c r="B2518" s="26" t="n">
        <v>178</v>
      </c>
      <c r="C2518" s="26" t="n">
        <v>1023</v>
      </c>
      <c r="D2518" s="14" t="inlineStr">
        <is>
          <t>CENTRO EDUCACIONAL MARCO ANTÔNIO DO CARMO</t>
        </is>
      </c>
      <c r="E2518" s="14" t="inlineStr">
        <is>
          <t>CENTRO</t>
        </is>
      </c>
      <c r="F2518" s="14" t="inlineStr">
        <is>
          <t>RUA ANANIAS REQUIÃO, N. 59  - ZONA URBANA</t>
        </is>
      </c>
      <c r="G2518" s="27" t="inlineStr">
        <is>
          <t>44220-000</t>
        </is>
      </c>
      <c r="H2518" s="15" t="n">
        <v>8</v>
      </c>
      <c r="I2518" s="28" t="inlineStr">
        <is>
          <t>NÃO</t>
        </is>
      </c>
      <c r="J2518" s="29" t="n">
        <v>323</v>
      </c>
      <c r="K2518" s="14" t="str">
        <f>IF(J2518="","7. Acima de 2 km",IF(J2518&lt;=50,"1. Até 50 m",IF(J2518&lt;=100,"2. De 50 a 100 m",IF(J2518&lt;=200,"3. De 100 a 200 m",IF(J2518&lt;=300,"4. De 200 a 300 m",IF(J2518&lt;=500,"5. De 300 a 500 m","6. De 500 m a 2 km"))))))</f>
        <v>5. De 300 a 500 m</v>
      </c>
      <c r="L2518" s="26" t="n">
        <v>0</v>
      </c>
      <c r="M2518" s="26" t="n">
        <v>0</v>
      </c>
      <c r="N2518" s="26" t="n">
        <v>0</v>
      </c>
      <c r="O2518" s="26" t="n">
        <v>0</v>
      </c>
      <c r="P2518" s="30" t="n">
        <v>-12.7383347</v>
      </c>
      <c r="Q2518" s="30" t="n">
        <v>-38.7658126</v>
      </c>
      <c r="R2518" s="14" t="inlineStr">
        <is>
          <t>SALÃO DE JÚRI DO FÓRUM ODILON SANTOS, AVENIDA PRESIDENTE VARGAS,148, CENTRO, SANTO AMARO/BA</t>
        </is>
      </c>
      <c r="S2518" s="26">
        <f>IF(A2518=A2517,0,1)</f>
        <v>1</v>
      </c>
      <c r="T2518" s="26">
        <f>IF(COUNTIF($B$4:B2518,B2518)=1,1,0)</f>
        <v>0</v>
      </c>
    </row>
    <row r="2519">
      <c r="A2519" s="14" t="inlineStr">
        <is>
          <t>SAUBARA</t>
        </is>
      </c>
      <c r="B2519" s="26" t="n">
        <v>178</v>
      </c>
      <c r="C2519" s="26" t="n">
        <v>1031</v>
      </c>
      <c r="D2519" s="14" t="inlineStr">
        <is>
          <t>ESCOLA MUNICIPAL PROFª  ZILMAR GARCIA FERREIRA</t>
        </is>
      </c>
      <c r="E2519" s="14" t="inlineStr">
        <is>
          <t>DISTRITO BOM JESUS DOS POBRES</t>
        </is>
      </c>
      <c r="F2519" s="14" t="inlineStr">
        <is>
          <t>RUA SÃO JOSÉ, S/N  - ZONA RURAL</t>
        </is>
      </c>
      <c r="G2519" s="27" t="inlineStr">
        <is>
          <t>44220-000</t>
        </is>
      </c>
      <c r="H2519" s="15" t="n">
        <v>3</v>
      </c>
      <c r="I2519" s="28" t="inlineStr">
        <is>
          <t>NÃO</t>
        </is>
      </c>
      <c r="J2519" s="29" t="n">
        <v>154.3</v>
      </c>
      <c r="K2519" s="14" t="str">
        <f>IF(J2519="","7. Acima de 2 km",IF(J2519&lt;=50,"1. Até 50 m",IF(J2519&lt;=100,"2. De 50 a 100 m",IF(J2519&lt;=200,"3. De 100 a 200 m",IF(J2519&lt;=300,"4. De 200 a 300 m",IF(J2519&lt;=500,"5. De 300 a 500 m","6. De 500 m a 2 km"))))))</f>
        <v>3. De 100 a 200 m</v>
      </c>
      <c r="L2519" s="26" t="n">
        <v>0</v>
      </c>
      <c r="M2519" s="26" t="n">
        <v>0</v>
      </c>
      <c r="N2519" s="26" t="n">
        <v>2</v>
      </c>
      <c r="O2519" s="26" t="n">
        <v>2</v>
      </c>
      <c r="P2519" s="30" t="n">
        <v>-12.8139341</v>
      </c>
      <c r="Q2519" s="30" t="n">
        <v>-38.7801703</v>
      </c>
      <c r="R2519" s="14" t="inlineStr">
        <is>
          <t>SALÃO DE JÚRI DO FÓRUM ODILON SANTOS, AVENIDA PRESIDENTE VARGAS,148, CENTRO, SANTO AMARO/BA</t>
        </is>
      </c>
      <c r="S2519" s="26">
        <f>IF(A2519=A2518,0,1)</f>
        <v>0</v>
      </c>
      <c r="T2519" s="26">
        <f>IF(COUNTIF($B$4:B2519,B2519)=1,1,0)</f>
        <v>0</v>
      </c>
    </row>
    <row r="2520">
      <c r="A2520" s="14" t="inlineStr">
        <is>
          <t>SAUBARA</t>
        </is>
      </c>
      <c r="B2520" s="26" t="n">
        <v>178</v>
      </c>
      <c r="C2520" s="26" t="n">
        <v>1040</v>
      </c>
      <c r="D2520" s="14" t="inlineStr">
        <is>
          <t>ESCOLA MUNICIPAL LUIS VIANA FILHO</t>
        </is>
      </c>
      <c r="E2520" s="14" t="inlineStr">
        <is>
          <t>DISTRITO CABUÇU</t>
        </is>
      </c>
      <c r="F2520" s="14" t="inlineStr">
        <is>
          <t>RUA DO PRÉDIO, S/N - ZONA RURAL</t>
        </is>
      </c>
      <c r="G2520" s="27" t="inlineStr">
        <is>
          <t>44220-000</t>
        </is>
      </c>
      <c r="H2520" s="15" t="n">
        <v>3</v>
      </c>
      <c r="I2520" s="28" t="inlineStr">
        <is>
          <t>NÃO</t>
        </is>
      </c>
      <c r="J2520" s="29" t="n">
        <v>1147.1</v>
      </c>
      <c r="K2520" s="14" t="str">
        <f>IF(J2520="","7. Acima de 2 km",IF(J2520&lt;=50,"1. Até 50 m",IF(J2520&lt;=100,"2. De 50 a 100 m",IF(J2520&lt;=200,"3. De 100 a 200 m",IF(J2520&lt;=300,"4. De 200 a 300 m",IF(J2520&lt;=500,"5. De 300 a 500 m","6. De 500 m a 2 km"))))))</f>
        <v>6. De 500 m a 2 km</v>
      </c>
      <c r="L2520" s="26" t="n">
        <v>0</v>
      </c>
      <c r="M2520" s="26" t="n">
        <v>0</v>
      </c>
      <c r="N2520" s="26" t="n">
        <v>0</v>
      </c>
      <c r="O2520" s="26" t="n">
        <v>0</v>
      </c>
      <c r="P2520" s="30" t="n">
        <v>-12.7800545</v>
      </c>
      <c r="Q2520" s="30" t="n">
        <v>-38.7729192</v>
      </c>
      <c r="R2520" s="14" t="inlineStr">
        <is>
          <t>SALÃO DE JÚRI DO FÓRUM ODILON SANTOS, AVENIDA PRESIDENTE VARGAS,148, CENTRO, SANTO AMARO/BA</t>
        </is>
      </c>
      <c r="S2520" s="26">
        <f>IF(A2520=A2519,0,1)</f>
        <v>0</v>
      </c>
      <c r="T2520" s="26">
        <f>IF(COUNTIF($B$4:B2520,B2520)=1,1,0)</f>
        <v>0</v>
      </c>
    </row>
    <row r="2521">
      <c r="A2521" s="14" t="inlineStr">
        <is>
          <t>SAUBARA</t>
        </is>
      </c>
      <c r="B2521" s="26" t="n">
        <v>178</v>
      </c>
      <c r="C2521" s="26" t="n">
        <v>1058</v>
      </c>
      <c r="D2521" s="14" t="inlineStr">
        <is>
          <t>CENTRO EDUCACIONAL  MANOEL CASTRO</t>
        </is>
      </c>
      <c r="E2521" s="14" t="inlineStr">
        <is>
          <t>CENTRO</t>
        </is>
      </c>
      <c r="F2521" s="14" t="inlineStr">
        <is>
          <t>RUA ANANIAS REQUIÃO, S/N - ZONA URBANA</t>
        </is>
      </c>
      <c r="G2521" s="27" t="inlineStr">
        <is>
          <t>44220-000</t>
        </is>
      </c>
      <c r="H2521" s="15" t="n">
        <v>6</v>
      </c>
      <c r="I2521" s="28" t="inlineStr">
        <is>
          <t>NÃO</t>
        </is>
      </c>
      <c r="J2521" s="29" t="n">
        <v>393.2</v>
      </c>
      <c r="K2521" s="14" t="str">
        <f>IF(J2521="","7. Acima de 2 km",IF(J2521&lt;=50,"1. Até 50 m",IF(J2521&lt;=100,"2. De 50 a 100 m",IF(J2521&lt;=200,"3. De 100 a 200 m",IF(J2521&lt;=300,"4. De 200 a 300 m",IF(J2521&lt;=500,"5. De 300 a 500 m","6. De 500 m a 2 km"))))))</f>
        <v>5. De 300 a 500 m</v>
      </c>
      <c r="L2521" s="26" t="n">
        <v>0</v>
      </c>
      <c r="M2521" s="26" t="n">
        <v>0</v>
      </c>
      <c r="N2521" s="26" t="n">
        <v>0</v>
      </c>
      <c r="O2521" s="26" t="n">
        <v>0</v>
      </c>
      <c r="P2521" s="30" t="n">
        <v>-12.7380276</v>
      </c>
      <c r="Q2521" s="30" t="n">
        <v>-38.7645339</v>
      </c>
      <c r="R2521" s="14" t="inlineStr">
        <is>
          <t>SALÃO DE JÚRI DO FÓRUM ODILON SANTOS, AVENIDA PRESIDENTE VARGAS,148, CENTRO, SANTO AMARO/BA</t>
        </is>
      </c>
      <c r="S2521" s="26">
        <f>IF(A2521=A2520,0,1)</f>
        <v>0</v>
      </c>
      <c r="T2521" s="26">
        <f>IF(COUNTIF($B$4:B2521,B2521)=1,1,0)</f>
        <v>0</v>
      </c>
    </row>
    <row r="2522">
      <c r="A2522" s="14" t="inlineStr">
        <is>
          <t>SAUBARA</t>
        </is>
      </c>
      <c r="B2522" s="26" t="n">
        <v>178</v>
      </c>
      <c r="C2522" s="26" t="n">
        <v>1090</v>
      </c>
      <c r="D2522" s="14" t="inlineStr">
        <is>
          <t>ESCOLA MUNICIPAL ISAURA BARROSO</t>
        </is>
      </c>
      <c r="E2522" s="14" t="inlineStr">
        <is>
          <t>DISTRITO BOM JESUS DOS POBRES</t>
        </is>
      </c>
      <c r="F2522" s="14" t="inlineStr">
        <is>
          <t>RUA DA IGREJA, S/N - ZONA RURAL</t>
        </is>
      </c>
      <c r="G2522" s="27" t="inlineStr">
        <is>
          <t>44220-000</t>
        </is>
      </c>
      <c r="H2522" s="15" t="n">
        <v>4</v>
      </c>
      <c r="I2522" s="28" t="inlineStr">
        <is>
          <t>NÃO</t>
        </is>
      </c>
      <c r="J2522" s="29" t="n">
        <v>311.8</v>
      </c>
      <c r="K2522" s="14" t="str">
        <f>IF(J2522="","7. Acima de 2 km",IF(J2522&lt;=50,"1. Até 50 m",IF(J2522&lt;=100,"2. De 50 a 100 m",IF(J2522&lt;=200,"3. De 100 a 200 m",IF(J2522&lt;=300,"4. De 200 a 300 m",IF(J2522&lt;=500,"5. De 300 a 500 m","6. De 500 m a 2 km"))))))</f>
        <v>5. De 300 a 500 m</v>
      </c>
      <c r="L2522" s="26" t="n">
        <v>0</v>
      </c>
      <c r="M2522" s="26" t="n">
        <v>0</v>
      </c>
      <c r="N2522" s="26" t="n">
        <v>0</v>
      </c>
      <c r="O2522" s="26" t="n">
        <v>0</v>
      </c>
      <c r="P2522" s="30" t="n">
        <v>-12.8103119</v>
      </c>
      <c r="Q2522" s="30" t="n">
        <v>-38.7779758</v>
      </c>
      <c r="R2522" s="14" t="inlineStr">
        <is>
          <t>SALÃO DE JÚRI DO FÓRUM ODILON SANTOS, AVENIDA PRESIDENTE VARGAS,148, CENTRO, SANTO AMARO/BA</t>
        </is>
      </c>
      <c r="S2522" s="26">
        <f>IF(A2522=A2521,0,1)</f>
        <v>0</v>
      </c>
      <c r="T2522" s="26">
        <f>IF(COUNTIF($B$4:B2522,B2522)=1,1,0)</f>
        <v>0</v>
      </c>
    </row>
    <row r="2523">
      <c r="A2523" s="14" t="inlineStr">
        <is>
          <t>SAUBARA</t>
        </is>
      </c>
      <c r="B2523" s="26" t="n">
        <v>178</v>
      </c>
      <c r="C2523" s="26" t="n">
        <v>1104</v>
      </c>
      <c r="D2523" s="14" t="inlineStr">
        <is>
          <t>ESCOLA MUNICIPAL PROF. CAIO MOURA</t>
        </is>
      </c>
      <c r="E2523" s="14" t="inlineStr">
        <is>
          <t>CENTRO</t>
        </is>
      </c>
      <c r="F2523" s="14" t="inlineStr">
        <is>
          <t>RUA ANANIAS REQUIÃO, N. 52 - ZONA URBANA</t>
        </is>
      </c>
      <c r="G2523" s="27" t="inlineStr">
        <is>
          <t>44220-000</t>
        </is>
      </c>
      <c r="H2523" s="15" t="n">
        <v>4</v>
      </c>
      <c r="I2523" s="28" t="inlineStr">
        <is>
          <t>NÃO</t>
        </is>
      </c>
      <c r="J2523" s="29" t="n">
        <v>348.1</v>
      </c>
      <c r="K2523" s="14" t="str">
        <f>IF(J2523="","7. Acima de 2 km",IF(J2523&lt;=50,"1. Até 50 m",IF(J2523&lt;=100,"2. De 50 a 100 m",IF(J2523&lt;=200,"3. De 100 a 200 m",IF(J2523&lt;=300,"4. De 200 a 300 m",IF(J2523&lt;=500,"5. De 300 a 500 m","6. De 500 m a 2 km"))))))</f>
        <v>5. De 300 a 500 m</v>
      </c>
      <c r="L2523" s="26" t="n">
        <v>0</v>
      </c>
      <c r="M2523" s="26" t="n">
        <v>0</v>
      </c>
      <c r="N2523" s="26" t="n">
        <v>0</v>
      </c>
      <c r="O2523" s="26" t="n">
        <v>0</v>
      </c>
      <c r="P2523" s="30" t="n">
        <v>-12.7390202</v>
      </c>
      <c r="Q2523" s="30" t="n">
        <v>-38.7673611</v>
      </c>
      <c r="R2523" s="14" t="inlineStr">
        <is>
          <t>SALÃO DE JÚRI DO FÓRUM ODILON SANTOS, AVENIDA PRESIDENTE VARGAS,148, CENTRO, SANTO AMARO/BA</t>
        </is>
      </c>
      <c r="S2523" s="26">
        <f>IF(A2523=A2522,0,1)</f>
        <v>0</v>
      </c>
      <c r="T2523" s="26">
        <f>IF(COUNTIF($B$4:B2523,B2523)=1,1,0)</f>
        <v>0</v>
      </c>
    </row>
    <row r="2524">
      <c r="A2524" s="14" t="inlineStr">
        <is>
          <t>SAUBARA</t>
        </is>
      </c>
      <c r="B2524" s="26" t="n">
        <v>178</v>
      </c>
      <c r="C2524" s="26" t="n">
        <v>1112</v>
      </c>
      <c r="D2524" s="14" t="inlineStr">
        <is>
          <t>ESCOLA MUNICIPAL  IVONE ALMERINDA DA CRUZ</t>
        </is>
      </c>
      <c r="E2524" s="14" t="inlineStr">
        <is>
          <t>DISTRITO CABUÇU</t>
        </is>
      </c>
      <c r="F2524" s="14" t="inlineStr">
        <is>
          <t>LOTEAMENTO RIO DE CABUÇU, S/N - ZONA RURAL</t>
        </is>
      </c>
      <c r="G2524" s="27" t="inlineStr">
        <is>
          <t>44220-000</t>
        </is>
      </c>
      <c r="H2524" s="15" t="n">
        <v>3</v>
      </c>
      <c r="I2524" s="28" t="inlineStr">
        <is>
          <t>NÃO</t>
        </is>
      </c>
      <c r="J2524" s="29" t="n">
        <v>922.2</v>
      </c>
      <c r="K2524" s="14" t="str">
        <f>IF(J2524="","7. Acima de 2 km",IF(J2524&lt;=50,"1. Até 50 m",IF(J2524&lt;=100,"2. De 50 a 100 m",IF(J2524&lt;=200,"3. De 100 a 200 m",IF(J2524&lt;=300,"4. De 200 a 300 m",IF(J2524&lt;=500,"5. De 300 a 500 m","6. De 500 m a 2 km"))))))</f>
        <v>6. De 500 m a 2 km</v>
      </c>
      <c r="L2524" s="26" t="n">
        <v>0</v>
      </c>
      <c r="M2524" s="26" t="n">
        <v>0</v>
      </c>
      <c r="N2524" s="26" t="n">
        <v>0</v>
      </c>
      <c r="O2524" s="26" t="n">
        <v>0</v>
      </c>
      <c r="P2524" s="30" t="n">
        <v>-12.7778748</v>
      </c>
      <c r="Q2524" s="30" t="n">
        <v>-38.772214</v>
      </c>
      <c r="R2524" s="14" t="inlineStr">
        <is>
          <t>SALÃO DE JÚRI DO FÓRUM ODILON SANTOS, AVENIDA PRESIDENTE VARGAS,148, CENTRO, SANTO AMARO/BA</t>
        </is>
      </c>
      <c r="S2524" s="26">
        <f>IF(A2524=A2523,0,1)</f>
        <v>0</v>
      </c>
      <c r="T2524" s="26">
        <f>IF(COUNTIF($B$4:B2524,B2524)=1,1,0)</f>
        <v>0</v>
      </c>
    </row>
    <row r="2525">
      <c r="A2525" s="14" t="inlineStr">
        <is>
          <t>SAUBARA</t>
        </is>
      </c>
      <c r="B2525" s="26" t="n">
        <v>178</v>
      </c>
      <c r="C2525" s="26" t="n">
        <v>1139</v>
      </c>
      <c r="D2525" s="14" t="inlineStr">
        <is>
          <t>COLÉGIO ESTADUAL DE TEMPO INTEGRAL RICARDO CAMARA DA SILVA</t>
        </is>
      </c>
      <c r="E2525" s="14" t="inlineStr">
        <is>
          <t>CENTRO</t>
        </is>
      </c>
      <c r="F2525" s="14" t="inlineStr">
        <is>
          <t>RUA DA VALA,S/N - ZONA URBANA</t>
        </is>
      </c>
      <c r="G2525" s="27" t="inlineStr">
        <is>
          <t>44220-000</t>
        </is>
      </c>
      <c r="H2525" s="15" t="n">
        <v>7</v>
      </c>
      <c r="I2525" s="28" t="inlineStr">
        <is>
          <t>NÃO</t>
        </is>
      </c>
      <c r="J2525" s="29" t="n">
        <v>118.1</v>
      </c>
      <c r="K2525" s="14" t="str">
        <f>IF(J2525="","7. Acima de 2 km",IF(J2525&lt;=50,"1. Até 50 m",IF(J2525&lt;=100,"2. De 50 a 100 m",IF(J2525&lt;=200,"3. De 100 a 200 m",IF(J2525&lt;=300,"4. De 200 a 300 m",IF(J2525&lt;=500,"5. De 300 a 500 m","6. De 500 m a 2 km"))))))</f>
        <v>3. De 100 a 200 m</v>
      </c>
      <c r="L2525" s="26" t="n">
        <v>0</v>
      </c>
      <c r="M2525" s="26" t="n">
        <v>0</v>
      </c>
      <c r="N2525" s="26" t="n">
        <v>2</v>
      </c>
      <c r="O2525" s="26" t="n">
        <v>2</v>
      </c>
      <c r="P2525" s="30" t="n">
        <v>-12.7331007</v>
      </c>
      <c r="Q2525" s="30" t="n">
        <v>-38.7668357</v>
      </c>
      <c r="R2525" s="14" t="inlineStr">
        <is>
          <t>SALÃO DE JÚRI DO FÓRUM ODILON SANTOS, AVENIDA PRESIDENTE VARGAS,148, CENTRO, SANTO AMARO/BA</t>
        </is>
      </c>
      <c r="S2525" s="26">
        <f>IF(A2525=A2524,0,1)</f>
        <v>0</v>
      </c>
      <c r="T2525" s="26">
        <f>IF(COUNTIF($B$4:B2525,B2525)=1,1,0)</f>
        <v>0</v>
      </c>
    </row>
    <row r="2526">
      <c r="A2526" s="14" t="inlineStr">
        <is>
          <t>SEABRA</t>
        </is>
      </c>
      <c r="B2526" s="26" t="n">
        <v>88</v>
      </c>
      <c r="C2526" s="26" t="n">
        <v>1015</v>
      </c>
      <c r="D2526" s="14" t="inlineStr">
        <is>
          <t>COLÉGIO ESTADUAL DE SEABRA TEMPO INTEGRAL</t>
        </is>
      </c>
      <c r="E2526" s="14" t="inlineStr">
        <is>
          <t>CENTRO</t>
        </is>
      </c>
      <c r="F2526" s="14" t="inlineStr">
        <is>
          <t>RUA FRANKLIN DE QUEIROZ , 595 - ZONA URBANA</t>
        </is>
      </c>
      <c r="G2526" s="27" t="inlineStr">
        <is>
          <t>46900-970</t>
        </is>
      </c>
      <c r="H2526" s="15" t="n">
        <v>14</v>
      </c>
      <c r="I2526" s="28" t="inlineStr">
        <is>
          <t>NÃO</t>
        </is>
      </c>
      <c r="J2526" s="29" t="n">
        <v>444.7</v>
      </c>
      <c r="K2526" s="14" t="str">
        <f>IF(J2526="","7. Acima de 2 km",IF(J2526&lt;=50,"1. Até 50 m",IF(J2526&lt;=100,"2. De 50 a 100 m",IF(J2526&lt;=200,"3. De 100 a 200 m",IF(J2526&lt;=300,"4. De 200 a 300 m",IF(J2526&lt;=500,"5. De 300 a 500 m","6. De 500 m a 2 km"))))))</f>
        <v>5. De 300 a 500 m</v>
      </c>
      <c r="L2526" s="26" t="n">
        <v>0</v>
      </c>
      <c r="M2526" s="26" t="n">
        <v>0</v>
      </c>
      <c r="N2526" s="26" t="n">
        <v>0</v>
      </c>
      <c r="O2526" s="26" t="n">
        <v>0</v>
      </c>
      <c r="P2526" s="30" t="n">
        <v>-12.4149531</v>
      </c>
      <c r="Q2526" s="30" t="n">
        <v>-41.7697339</v>
      </c>
      <c r="R2526" s="14" t="inlineStr">
        <is>
          <t>RUA 22 DE ABRIL, 481, SANTA LÚZIA, SEABRA/BA</t>
        </is>
      </c>
      <c r="S2526" s="26">
        <f>IF(A2526=A2525,0,1)</f>
        <v>1</v>
      </c>
      <c r="T2526" s="26">
        <f>IF(COUNTIF($B$4:B2526,B2526)=1,1,0)</f>
        <v>1</v>
      </c>
    </row>
    <row r="2527">
      <c r="A2527" s="14" t="inlineStr">
        <is>
          <t>SEABRA</t>
        </is>
      </c>
      <c r="B2527" s="26" t="n">
        <v>88</v>
      </c>
      <c r="C2527" s="26" t="n">
        <v>1023</v>
      </c>
      <c r="D2527" s="14" t="inlineStr">
        <is>
          <t>GRUPO ESCOLAR ALVINA ROCHA</t>
        </is>
      </c>
      <c r="E2527" s="14" t="inlineStr">
        <is>
          <t>CENTRO</t>
        </is>
      </c>
      <c r="F2527" s="14" t="inlineStr">
        <is>
          <t>RUA JACOB GUANAES , 261 - ZONA URBANA</t>
        </is>
      </c>
      <c r="G2527" s="27" t="inlineStr">
        <is>
          <t>46900-970</t>
        </is>
      </c>
      <c r="H2527" s="15" t="n">
        <v>2</v>
      </c>
      <c r="I2527" s="28" t="inlineStr">
        <is>
          <t>NÃO</t>
        </is>
      </c>
      <c r="J2527" s="29" t="n">
        <v>174.2</v>
      </c>
      <c r="K2527" s="14" t="str">
        <f>IF(J2527="","7. Acima de 2 km",IF(J2527&lt;=50,"1. Até 50 m",IF(J2527&lt;=100,"2. De 50 a 100 m",IF(J2527&lt;=200,"3. De 100 a 200 m",IF(J2527&lt;=300,"4. De 200 a 300 m",IF(J2527&lt;=500,"5. De 300 a 500 m","6. De 500 m a 2 km"))))))</f>
        <v>3. De 100 a 200 m</v>
      </c>
      <c r="L2527" s="26" t="n">
        <v>0</v>
      </c>
      <c r="M2527" s="26" t="n">
        <v>0</v>
      </c>
      <c r="N2527" s="26" t="n">
        <v>2</v>
      </c>
      <c r="O2527" s="26" t="n">
        <v>2</v>
      </c>
      <c r="P2527" s="30" t="n">
        <v>-12.4174581</v>
      </c>
      <c r="Q2527" s="30" t="n">
        <v>-41.7697357</v>
      </c>
      <c r="R2527" s="14" t="inlineStr">
        <is>
          <t>RUA 22 DE ABRIL, 481, SANTA LÚZIA, SEABRA/BA</t>
        </is>
      </c>
      <c r="S2527" s="26">
        <f>IF(A2527=A2526,0,1)</f>
        <v>0</v>
      </c>
      <c r="T2527" s="26">
        <f>IF(COUNTIF($B$4:B2527,B2527)=1,1,0)</f>
        <v>0</v>
      </c>
    </row>
    <row r="2528">
      <c r="A2528" s="14" t="inlineStr">
        <is>
          <t>SEABRA</t>
        </is>
      </c>
      <c r="B2528" s="26" t="n">
        <v>88</v>
      </c>
      <c r="C2528" s="26" t="n">
        <v>1031</v>
      </c>
      <c r="D2528" s="14" t="inlineStr">
        <is>
          <t>GRUPO ESCOLAR FELINTO JUSTINIANO BASTOS</t>
        </is>
      </c>
      <c r="E2528" s="14" t="inlineStr">
        <is>
          <t>CENTRO</t>
        </is>
      </c>
      <c r="F2528" s="14" t="inlineStr">
        <is>
          <t>RUA JACOB GUANAES, 260 - ZONA URBANA</t>
        </is>
      </c>
      <c r="G2528" s="27" t="inlineStr">
        <is>
          <t>46900-970</t>
        </is>
      </c>
      <c r="H2528" s="15" t="n">
        <v>4</v>
      </c>
      <c r="I2528" s="28" t="inlineStr">
        <is>
          <t>NÃO</t>
        </is>
      </c>
      <c r="J2528" s="29" t="n">
        <v>185.4</v>
      </c>
      <c r="K2528" s="14" t="str">
        <f>IF(J2528="","7. Acima de 2 km",IF(J2528&lt;=50,"1. Até 50 m",IF(J2528&lt;=100,"2. De 50 a 100 m",IF(J2528&lt;=200,"3. De 100 a 200 m",IF(J2528&lt;=300,"4. De 200 a 300 m",IF(J2528&lt;=500,"5. De 300 a 500 m","6. De 500 m a 2 km"))))))</f>
        <v>3. De 100 a 200 m</v>
      </c>
      <c r="L2528" s="26" t="n">
        <v>0</v>
      </c>
      <c r="M2528" s="26" t="n">
        <v>0</v>
      </c>
      <c r="N2528" s="26" t="n">
        <v>1</v>
      </c>
      <c r="O2528" s="26" t="n">
        <v>2</v>
      </c>
      <c r="P2528" s="30" t="n">
        <v>-12.41731562</v>
      </c>
      <c r="Q2528" s="30" t="n">
        <v>-41.76963452</v>
      </c>
      <c r="R2528" s="14" t="inlineStr">
        <is>
          <t>RUA 22 DE ABRIL, 481, SANTA LÚZIA, SEABRA/BA</t>
        </is>
      </c>
      <c r="S2528" s="26">
        <f>IF(A2528=A2527,0,1)</f>
        <v>0</v>
      </c>
      <c r="T2528" s="26">
        <f>IF(COUNTIF($B$4:B2528,B2528)=1,1,0)</f>
        <v>0</v>
      </c>
    </row>
    <row r="2529">
      <c r="A2529" s="14" t="inlineStr">
        <is>
          <t>SEABRA</t>
        </is>
      </c>
      <c r="B2529" s="26" t="n">
        <v>88</v>
      </c>
      <c r="C2529" s="26" t="n">
        <v>1040</v>
      </c>
      <c r="D2529" s="14" t="inlineStr">
        <is>
          <t>COLÉGIO MUNICIPAL PROFESSORA IVANDA MIRANDA DE SOUZA</t>
        </is>
      </c>
      <c r="E2529" s="14" t="inlineStr">
        <is>
          <t>MERCADÃO</t>
        </is>
      </c>
      <c r="F2529" s="14" t="inlineStr">
        <is>
          <t>RUA HORACIO DE MATOS, 521 - ZONA URBANA</t>
        </is>
      </c>
      <c r="G2529" s="27" t="inlineStr">
        <is>
          <t>46900-000</t>
        </is>
      </c>
      <c r="H2529" s="15" t="n">
        <v>6</v>
      </c>
      <c r="I2529" s="28" t="inlineStr">
        <is>
          <t>NÃO</t>
        </is>
      </c>
      <c r="J2529" s="29" t="n">
        <v>114.1</v>
      </c>
      <c r="K2529" s="14" t="str">
        <f>IF(J2529="","7. Acima de 2 km",IF(J2529&lt;=50,"1. Até 50 m",IF(J2529&lt;=100,"2. De 50 a 100 m",IF(J2529&lt;=200,"3. De 100 a 200 m",IF(J2529&lt;=300,"4. De 200 a 300 m",IF(J2529&lt;=500,"5. De 300 a 500 m","6. De 500 m a 2 km"))))))</f>
        <v>3. De 100 a 200 m</v>
      </c>
      <c r="L2529" s="26" t="n">
        <v>0</v>
      </c>
      <c r="M2529" s="26" t="n">
        <v>0</v>
      </c>
      <c r="N2529" s="26" t="n">
        <v>2</v>
      </c>
      <c r="O2529" s="26" t="n">
        <v>2</v>
      </c>
      <c r="P2529" s="30" t="n">
        <v>-12.4178881</v>
      </c>
      <c r="Q2529" s="30" t="n">
        <v>-41.7692403</v>
      </c>
      <c r="R2529" s="14" t="inlineStr">
        <is>
          <t>RUA 22 DE ABRIL, 481, SANTA LÚZIA, SEABRA/BA</t>
        </is>
      </c>
      <c r="S2529" s="26">
        <f>IF(A2529=A2528,0,1)</f>
        <v>0</v>
      </c>
      <c r="T2529" s="26">
        <f>IF(COUNTIF($B$4:B2529,B2529)=1,1,0)</f>
        <v>0</v>
      </c>
    </row>
    <row r="2530">
      <c r="A2530" s="14" t="inlineStr">
        <is>
          <t>SEABRA</t>
        </is>
      </c>
      <c r="B2530" s="26" t="n">
        <v>88</v>
      </c>
      <c r="C2530" s="26" t="n">
        <v>1058</v>
      </c>
      <c r="D2530" s="14" t="inlineStr">
        <is>
          <t>COLÉGIO MUNICIPAL AMILAR EVANGELISTA</t>
        </is>
      </c>
      <c r="E2530" s="14" t="inlineStr">
        <is>
          <t>VASCO FILHO</t>
        </is>
      </c>
      <c r="F2530" s="14" t="inlineStr">
        <is>
          <t>RUA OSCAR DE SOUZA LOBO - ZONA URBANA</t>
        </is>
      </c>
      <c r="G2530" s="27" t="inlineStr">
        <is>
          <t>46900-970</t>
        </is>
      </c>
      <c r="H2530" s="15" t="n">
        <v>6</v>
      </c>
      <c r="I2530" s="28" t="inlineStr">
        <is>
          <t>NÃO</t>
        </is>
      </c>
      <c r="J2530" s="29" t="n">
        <v>231.4</v>
      </c>
      <c r="K2530" s="14" t="str">
        <f>IF(J2530="","7. Acima de 2 km",IF(J2530&lt;=50,"1. Até 50 m",IF(J2530&lt;=100,"2. De 50 a 100 m",IF(J2530&lt;=200,"3. De 100 a 200 m",IF(J2530&lt;=300,"4. De 200 a 300 m",IF(J2530&lt;=500,"5. De 300 a 500 m","6. De 500 m a 2 km"))))))</f>
        <v>4. De 200 a 300 m</v>
      </c>
      <c r="L2530" s="26" t="n">
        <v>0</v>
      </c>
      <c r="M2530" s="26" t="n">
        <v>0</v>
      </c>
      <c r="N2530" s="26" t="n">
        <v>0</v>
      </c>
      <c r="O2530" s="26" t="n">
        <v>1</v>
      </c>
      <c r="P2530" s="30" t="n">
        <v>-12.4231343</v>
      </c>
      <c r="Q2530" s="30" t="n">
        <v>-41.7697387</v>
      </c>
      <c r="R2530" s="14" t="inlineStr">
        <is>
          <t>RUA 22 DE ABRIL, 481, SANTA LÚZIA, SEABRA/BA</t>
        </is>
      </c>
      <c r="S2530" s="26">
        <f>IF(A2530=A2529,0,1)</f>
        <v>0</v>
      </c>
      <c r="T2530" s="26">
        <f>IF(COUNTIF($B$4:B2530,B2530)=1,1,0)</f>
        <v>0</v>
      </c>
    </row>
    <row r="2531">
      <c r="A2531" s="14" t="inlineStr">
        <is>
          <t>SEABRA</t>
        </is>
      </c>
      <c r="B2531" s="26" t="n">
        <v>88</v>
      </c>
      <c r="C2531" s="26" t="n">
        <v>1066</v>
      </c>
      <c r="D2531" s="14" t="inlineStr">
        <is>
          <t>ESCOLA LETICE SILVA OLIVEIRA</t>
        </is>
      </c>
      <c r="E2531" s="14" t="inlineStr">
        <is>
          <t>BOA VISTA</t>
        </is>
      </c>
      <c r="F2531" s="14" t="inlineStr">
        <is>
          <t>TRAVESSA TEIXEIRA DE FREITAS, S/N - ZONA URBANA</t>
        </is>
      </c>
      <c r="G2531" s="27" t="inlineStr">
        <is>
          <t>46900-970</t>
        </is>
      </c>
      <c r="H2531" s="15" t="n">
        <v>8</v>
      </c>
      <c r="I2531" s="28" t="inlineStr">
        <is>
          <t>NÃO</t>
        </is>
      </c>
      <c r="J2531" s="29" t="n">
        <v>701.7</v>
      </c>
      <c r="K2531" s="14" t="str">
        <f>IF(J2531="","7. Acima de 2 km",IF(J2531&lt;=50,"1. Até 50 m",IF(J2531&lt;=100,"2. De 50 a 100 m",IF(J2531&lt;=200,"3. De 100 a 200 m",IF(J2531&lt;=300,"4. De 200 a 300 m",IF(J2531&lt;=500,"5. De 300 a 500 m","6. De 500 m a 2 km"))))))</f>
        <v>6. De 500 m a 2 km</v>
      </c>
      <c r="L2531" s="26" t="n">
        <v>0</v>
      </c>
      <c r="M2531" s="26" t="n">
        <v>0</v>
      </c>
      <c r="N2531" s="26" t="n">
        <v>0</v>
      </c>
      <c r="O2531" s="26" t="n">
        <v>0</v>
      </c>
      <c r="P2531" s="30" t="n">
        <v>-12.4178483</v>
      </c>
      <c r="Q2531" s="30" t="n">
        <v>-41.7624367</v>
      </c>
      <c r="R2531" s="14" t="inlineStr">
        <is>
          <t>RUA 22 DE ABRIL, 481, SANTA LÚZIA, SEABRA/BA</t>
        </is>
      </c>
      <c r="S2531" s="26">
        <f>IF(A2531=A2530,0,1)</f>
        <v>0</v>
      </c>
      <c r="T2531" s="26">
        <f>IF(COUNTIF($B$4:B2531,B2531)=1,1,0)</f>
        <v>0</v>
      </c>
    </row>
    <row r="2532">
      <c r="A2532" s="14" t="inlineStr">
        <is>
          <t>SEABRA</t>
        </is>
      </c>
      <c r="B2532" s="26" t="n">
        <v>88</v>
      </c>
      <c r="C2532" s="26" t="n">
        <v>1074</v>
      </c>
      <c r="D2532" s="14" t="inlineStr">
        <is>
          <t>ESCOLA MUNICIPAL CORAÇÃO DE JESUS</t>
        </is>
      </c>
      <c r="E2532" s="14" t="inlineStr">
        <is>
          <t>POVOADO MOCAMBO DA LARANJEIRA</t>
        </is>
      </c>
      <c r="F2532" s="14" t="inlineStr">
        <is>
          <t>POVOADO MOCAMBO DA LARANJEIRA - ZONA RURAL</t>
        </is>
      </c>
      <c r="G2532" s="27" t="inlineStr">
        <is>
          <t>46900-000</t>
        </is>
      </c>
      <c r="H2532" s="15" t="n">
        <v>2</v>
      </c>
      <c r="I2532" s="28" t="inlineStr">
        <is>
          <t>NÃO</t>
        </is>
      </c>
      <c r="J2532" s="29" t="n"/>
      <c r="K2532" s="14" t="str">
        <f>IF(J2532="","7. Acima de 2 km",IF(J2532&lt;=50,"1. Até 50 m",IF(J2532&lt;=100,"2. De 50 a 100 m",IF(J2532&lt;=200,"3. De 100 a 200 m",IF(J2532&lt;=300,"4. De 200 a 300 m",IF(J2532&lt;=500,"5. De 300 a 500 m","6. De 500 m a 2 km"))))))</f>
        <v>7. Acima de 2 km</v>
      </c>
      <c r="L2532" s="26" t="n">
        <v>0</v>
      </c>
      <c r="M2532" s="26" t="n">
        <v>0</v>
      </c>
      <c r="N2532" s="26" t="n">
        <v>0</v>
      </c>
      <c r="O2532" s="26" t="n">
        <v>0</v>
      </c>
      <c r="P2532" s="30" t="n">
        <v>-12.4150983</v>
      </c>
      <c r="Q2532" s="30" t="n">
        <v>-41.85648</v>
      </c>
      <c r="R2532" s="14" t="inlineStr">
        <is>
          <t>RUA 22 DE ABRIL, 481, SANTA LÚZIA, SEABRA/BA</t>
        </is>
      </c>
      <c r="S2532" s="26">
        <f>IF(A2532=A2531,0,1)</f>
        <v>0</v>
      </c>
      <c r="T2532" s="26">
        <f>IF(COUNTIF($B$4:B2532,B2532)=1,1,0)</f>
        <v>0</v>
      </c>
    </row>
    <row r="2533">
      <c r="A2533" s="14" t="inlineStr">
        <is>
          <t>SEABRA</t>
        </is>
      </c>
      <c r="B2533" s="26" t="n">
        <v>88</v>
      </c>
      <c r="C2533" s="26" t="n">
        <v>1082</v>
      </c>
      <c r="D2533" s="14" t="inlineStr">
        <is>
          <t>ASSOCIAÇÃO COMUNITÁRIA DE PALMEIRINHA</t>
        </is>
      </c>
      <c r="E2533" s="14" t="inlineStr">
        <is>
          <t>POVOADO PALMEIRINHA</t>
        </is>
      </c>
      <c r="F2533" s="14" t="inlineStr">
        <is>
          <t>POVOADO PALMEIRINHA - ZONA RURAL</t>
        </is>
      </c>
      <c r="G2533" s="27" t="inlineStr">
        <is>
          <t>46900-970</t>
        </is>
      </c>
      <c r="H2533" s="15" t="n">
        <v>1</v>
      </c>
      <c r="I2533" s="28" t="inlineStr">
        <is>
          <t>NÃO</t>
        </is>
      </c>
      <c r="J2533" s="29" t="n"/>
      <c r="K2533" s="14" t="str">
        <f>IF(J2533="","7. Acima de 2 km",IF(J2533&lt;=50,"1. Até 50 m",IF(J2533&lt;=100,"2. De 50 a 100 m",IF(J2533&lt;=200,"3. De 100 a 200 m",IF(J2533&lt;=300,"4. De 200 a 300 m",IF(J2533&lt;=500,"5. De 300 a 500 m","6. De 500 m a 2 km"))))))</f>
        <v>7. Acima de 2 km</v>
      </c>
      <c r="L2533" s="26" t="n">
        <v>0</v>
      </c>
      <c r="M2533" s="26" t="n">
        <v>0</v>
      </c>
      <c r="N2533" s="26" t="n">
        <v>0</v>
      </c>
      <c r="O2533" s="26" t="n">
        <v>0</v>
      </c>
      <c r="P2533" s="30" t="n">
        <v>-12.4419683</v>
      </c>
      <c r="Q2533" s="30" t="n">
        <v>-41.8630267</v>
      </c>
      <c r="R2533" s="14" t="inlineStr">
        <is>
          <t>RUA 22 DE ABRIL, 481, SANTA LÚZIA, SEABRA/BA</t>
        </is>
      </c>
      <c r="S2533" s="26">
        <f>IF(A2533=A2532,0,1)</f>
        <v>0</v>
      </c>
      <c r="T2533" s="26">
        <f>IF(COUNTIF($B$4:B2533,B2533)=1,1,0)</f>
        <v>0</v>
      </c>
    </row>
    <row r="2534">
      <c r="A2534" s="14" t="inlineStr">
        <is>
          <t>SEABRA</t>
        </is>
      </c>
      <c r="B2534" s="26" t="n">
        <v>88</v>
      </c>
      <c r="C2534" s="26" t="n">
        <v>1090</v>
      </c>
      <c r="D2534" s="14" t="inlineStr">
        <is>
          <t>PRÉDIO ÁRTUR ALVES DE SOUZA</t>
        </is>
      </c>
      <c r="E2534" s="14" t="inlineStr">
        <is>
          <t>POVOADO PALMEIRA DOS MENDES</t>
        </is>
      </c>
      <c r="F2534" s="14" t="inlineStr">
        <is>
          <t>POVOADO PALMEIRA DOS MENDES - ZONA RURAL</t>
        </is>
      </c>
      <c r="G2534" s="27" t="inlineStr">
        <is>
          <t>46900-970</t>
        </is>
      </c>
      <c r="H2534" s="15" t="n">
        <v>2</v>
      </c>
      <c r="I2534" s="28" t="inlineStr">
        <is>
          <t>NÃO</t>
        </is>
      </c>
      <c r="J2534" s="29" t="n"/>
      <c r="K2534" s="14" t="str">
        <f>IF(J2534="","7. Acima de 2 km",IF(J2534&lt;=50,"1. Até 50 m",IF(J2534&lt;=100,"2. De 50 a 100 m",IF(J2534&lt;=200,"3. De 100 a 200 m",IF(J2534&lt;=300,"4. De 200 a 300 m",IF(J2534&lt;=500,"5. De 300 a 500 m","6. De 500 m a 2 km"))))))</f>
        <v>7. Acima de 2 km</v>
      </c>
      <c r="L2534" s="26" t="n">
        <v>0</v>
      </c>
      <c r="M2534" s="26" t="n">
        <v>0</v>
      </c>
      <c r="N2534" s="26" t="n">
        <v>0</v>
      </c>
      <c r="O2534" s="26" t="n">
        <v>0</v>
      </c>
      <c r="P2534" s="30" t="n">
        <v>-12.4073818</v>
      </c>
      <c r="Q2534" s="30" t="n">
        <v>-42.0039939</v>
      </c>
      <c r="R2534" s="14" t="inlineStr">
        <is>
          <t>RUA 22 DE ABRIL, 481, SANTA LÚZIA, SEABRA/BA</t>
        </is>
      </c>
      <c r="S2534" s="26">
        <f>IF(A2534=A2533,0,1)</f>
        <v>0</v>
      </c>
      <c r="T2534" s="26">
        <f>IF(COUNTIF($B$4:B2534,B2534)=1,1,0)</f>
        <v>0</v>
      </c>
    </row>
    <row r="2535">
      <c r="A2535" s="14" t="inlineStr">
        <is>
          <t>SEABRA</t>
        </is>
      </c>
      <c r="B2535" s="26" t="n">
        <v>88</v>
      </c>
      <c r="C2535" s="26" t="n">
        <v>1104</v>
      </c>
      <c r="D2535" s="14" t="inlineStr">
        <is>
          <t>ESCOLA MUNICIPAL JOAQUIM FELIPE DE SOUZA</t>
        </is>
      </c>
      <c r="E2535" s="14" t="inlineStr">
        <is>
          <t>POVOADO DE ALAGADIÇO</t>
        </is>
      </c>
      <c r="F2535" s="14" t="inlineStr">
        <is>
          <t>POVOADO DE ALAGADIÇO - ZONA RURAL</t>
        </is>
      </c>
      <c r="G2535" s="27" t="inlineStr">
        <is>
          <t>46900-970</t>
        </is>
      </c>
      <c r="H2535" s="15" t="n">
        <v>1</v>
      </c>
      <c r="I2535" s="28" t="inlineStr">
        <is>
          <t>NÃO</t>
        </is>
      </c>
      <c r="J2535" s="29" t="n"/>
      <c r="K2535" s="14" t="str">
        <f>IF(J2535="","7. Acima de 2 km",IF(J2535&lt;=50,"1. Até 50 m",IF(J2535&lt;=100,"2. De 50 a 100 m",IF(J2535&lt;=200,"3. De 100 a 200 m",IF(J2535&lt;=300,"4. De 200 a 300 m",IF(J2535&lt;=500,"5. De 300 a 500 m","6. De 500 m a 2 km"))))))</f>
        <v>7. Acima de 2 km</v>
      </c>
      <c r="L2535" s="26" t="n">
        <v>0</v>
      </c>
      <c r="M2535" s="26" t="n">
        <v>0</v>
      </c>
      <c r="N2535" s="26" t="n">
        <v>0</v>
      </c>
      <c r="O2535" s="26" t="n">
        <v>0</v>
      </c>
      <c r="P2535" s="30" t="n">
        <v>-12.4923014</v>
      </c>
      <c r="Q2535" s="30" t="n">
        <v>-41.8894488</v>
      </c>
      <c r="R2535" s="14" t="inlineStr">
        <is>
          <t>RUA 22 DE ABRIL, 481, SANTA LÚZIA, SEABRA/BA</t>
        </is>
      </c>
      <c r="S2535" s="26">
        <f>IF(A2535=A2534,0,1)</f>
        <v>0</v>
      </c>
      <c r="T2535" s="26">
        <f>IF(COUNTIF($B$4:B2535,B2535)=1,1,0)</f>
        <v>0</v>
      </c>
    </row>
    <row r="2536">
      <c r="A2536" s="14" t="inlineStr">
        <is>
          <t>SEABRA</t>
        </is>
      </c>
      <c r="B2536" s="26" t="n">
        <v>88</v>
      </c>
      <c r="C2536" s="26" t="n">
        <v>1112</v>
      </c>
      <c r="D2536" s="14" t="inlineStr">
        <is>
          <t>ESCOLA MUNICIPAL JOSÉ ARAÚJO NETO</t>
        </is>
      </c>
      <c r="E2536" s="14" t="inlineStr">
        <is>
          <t>POVOADO OLHOS D'ÁGUA DE ANTÔNIO FRANCISCO</t>
        </is>
      </c>
      <c r="F2536" s="14" t="inlineStr">
        <is>
          <t>POVOADO OLHOS D'ÁGUA DE ANTÔNIO FRANCISCO - ZONA RURAL</t>
        </is>
      </c>
      <c r="G2536" s="27" t="inlineStr">
        <is>
          <t>46900-970</t>
        </is>
      </c>
      <c r="H2536" s="15" t="n">
        <v>1</v>
      </c>
      <c r="I2536" s="28" t="inlineStr">
        <is>
          <t>NÃO</t>
        </is>
      </c>
      <c r="J2536" s="29" t="n"/>
      <c r="K2536" s="14" t="str">
        <f>IF(J2536="","7. Acima de 2 km",IF(J2536&lt;=50,"1. Até 50 m",IF(J2536&lt;=100,"2. De 50 a 100 m",IF(J2536&lt;=200,"3. De 100 a 200 m",IF(J2536&lt;=300,"4. De 200 a 300 m",IF(J2536&lt;=500,"5. De 300 a 500 m","6. De 500 m a 2 km"))))))</f>
        <v>7. Acima de 2 km</v>
      </c>
      <c r="L2536" s="26" t="n">
        <v>0</v>
      </c>
      <c r="M2536" s="26" t="n">
        <v>0</v>
      </c>
      <c r="N2536" s="26" t="n">
        <v>0</v>
      </c>
      <c r="O2536" s="26" t="n">
        <v>0</v>
      </c>
      <c r="P2536" s="30" t="n">
        <v>-12.3075139</v>
      </c>
      <c r="Q2536" s="30" t="n">
        <v>-42.0899559</v>
      </c>
      <c r="R2536" s="14" t="inlineStr">
        <is>
          <t>RUA 22 DE ABRIL, 481, SANTA LÚZIA, SEABRA/BA</t>
        </is>
      </c>
      <c r="S2536" s="26">
        <f>IF(A2536=A2535,0,1)</f>
        <v>0</v>
      </c>
      <c r="T2536" s="26">
        <f>IF(COUNTIF($B$4:B2536,B2536)=1,1,0)</f>
        <v>0</v>
      </c>
    </row>
    <row r="2537">
      <c r="A2537" s="14" t="inlineStr">
        <is>
          <t>SEABRA</t>
        </is>
      </c>
      <c r="B2537" s="26" t="n">
        <v>88</v>
      </c>
      <c r="C2537" s="26" t="n">
        <v>1120</v>
      </c>
      <c r="D2537" s="14" t="inlineStr">
        <is>
          <t>PREDIO PROF. SA TELES</t>
        </is>
      </c>
      <c r="E2537" s="14" t="inlineStr">
        <is>
          <t>POVOADO MORRO REDONDO</t>
        </is>
      </c>
      <c r="F2537" s="14" t="inlineStr">
        <is>
          <t>POVOADO MORRO REDONDO - ZONA RURAL</t>
        </is>
      </c>
      <c r="G2537" s="27" t="inlineStr">
        <is>
          <t>46900-970</t>
        </is>
      </c>
      <c r="H2537" s="15" t="n">
        <v>1</v>
      </c>
      <c r="I2537" s="28" t="inlineStr">
        <is>
          <t>NÃO</t>
        </is>
      </c>
      <c r="J2537" s="29" t="n"/>
      <c r="K2537" s="14" t="str">
        <f>IF(J2537="","7. Acima de 2 km",IF(J2537&lt;=50,"1. Até 50 m",IF(J2537&lt;=100,"2. De 50 a 100 m",IF(J2537&lt;=200,"3. De 100 a 200 m",IF(J2537&lt;=300,"4. De 200 a 300 m",IF(J2537&lt;=500,"5. De 300 a 500 m","6. De 500 m a 2 km"))))))</f>
        <v>7. Acima de 2 km</v>
      </c>
      <c r="L2537" s="26" t="n">
        <v>0</v>
      </c>
      <c r="M2537" s="26" t="n">
        <v>0</v>
      </c>
      <c r="N2537" s="26" t="n">
        <v>0</v>
      </c>
      <c r="O2537" s="26" t="n">
        <v>0</v>
      </c>
      <c r="P2537" s="30" t="n">
        <v>-12.52454</v>
      </c>
      <c r="Q2537" s="30" t="n">
        <v>-42.00115</v>
      </c>
      <c r="R2537" s="14" t="inlineStr">
        <is>
          <t>RUA 22 DE ABRIL, 481, SANTA LÚZIA, SEABRA/BA</t>
        </is>
      </c>
      <c r="S2537" s="26">
        <f>IF(A2537=A2536,0,1)</f>
        <v>0</v>
      </c>
      <c r="T2537" s="26">
        <f>IF(COUNTIF($B$4:B2537,B2537)=1,1,0)</f>
        <v>0</v>
      </c>
    </row>
    <row r="2538">
      <c r="A2538" s="14" t="inlineStr">
        <is>
          <t>SEABRA</t>
        </is>
      </c>
      <c r="B2538" s="26" t="n">
        <v>88</v>
      </c>
      <c r="C2538" s="26" t="n">
        <v>1139</v>
      </c>
      <c r="D2538" s="14" t="inlineStr">
        <is>
          <t>ESCOLA MUNICIPAL DOMINGOS PLINIO</t>
        </is>
      </c>
      <c r="E2538" s="14" t="inlineStr">
        <is>
          <t>POVOADO SÃO LOURENÇO</t>
        </is>
      </c>
      <c r="F2538" s="14" t="inlineStr">
        <is>
          <t>POVOADO SAO LOURENCO - ZONA RURAL</t>
        </is>
      </c>
      <c r="G2538" s="27" t="inlineStr">
        <is>
          <t>46900-970</t>
        </is>
      </c>
      <c r="H2538" s="15" t="n">
        <v>2</v>
      </c>
      <c r="I2538" s="28" t="inlineStr">
        <is>
          <t>NÃO</t>
        </is>
      </c>
      <c r="J2538" s="29" t="n"/>
      <c r="K2538" s="14" t="str">
        <f>IF(J2538="","7. Acima de 2 km",IF(J2538&lt;=50,"1. Até 50 m",IF(J2538&lt;=100,"2. De 50 a 100 m",IF(J2538&lt;=200,"3. De 100 a 200 m",IF(J2538&lt;=300,"4. De 200 a 300 m",IF(J2538&lt;=500,"5. De 300 a 500 m","6. De 500 m a 2 km"))))))</f>
        <v>7. Acima de 2 km</v>
      </c>
      <c r="L2538" s="26" t="n">
        <v>0</v>
      </c>
      <c r="M2538" s="26" t="n">
        <v>0</v>
      </c>
      <c r="N2538" s="26" t="n">
        <v>0</v>
      </c>
      <c r="O2538" s="26" t="n">
        <v>0</v>
      </c>
      <c r="P2538" s="30" t="n">
        <v>-12.3652967</v>
      </c>
      <c r="Q2538" s="30" t="n">
        <v>-42.22326</v>
      </c>
      <c r="R2538" s="14" t="inlineStr">
        <is>
          <t>RUA 22 DE ABRIL, 481, SANTA LÚZIA, SEABRA/BA</t>
        </is>
      </c>
      <c r="S2538" s="26">
        <f>IF(A2538=A2537,0,1)</f>
        <v>0</v>
      </c>
      <c r="T2538" s="26">
        <f>IF(COUNTIF($B$4:B2538,B2538)=1,1,0)</f>
        <v>0</v>
      </c>
    </row>
    <row r="2539">
      <c r="A2539" s="14" t="inlineStr">
        <is>
          <t>SEABRA</t>
        </is>
      </c>
      <c r="B2539" s="26" t="n">
        <v>88</v>
      </c>
      <c r="C2539" s="26" t="n">
        <v>1147</v>
      </c>
      <c r="D2539" s="14" t="inlineStr">
        <is>
          <t>PREDIO SANTA LUZIA</t>
        </is>
      </c>
      <c r="E2539" s="14" t="inlineStr">
        <is>
          <t>POVOADO CASCUDO</t>
        </is>
      </c>
      <c r="F2539" s="14" t="inlineStr">
        <is>
          <t>POVOADO CASCUDO - ZONA RURAL</t>
        </is>
      </c>
      <c r="G2539" s="27" t="inlineStr">
        <is>
          <t>46900-970</t>
        </is>
      </c>
      <c r="H2539" s="15" t="n">
        <v>2</v>
      </c>
      <c r="I2539" s="28" t="inlineStr">
        <is>
          <t>NÃO</t>
        </is>
      </c>
      <c r="J2539" s="29" t="n"/>
      <c r="K2539" s="14" t="str">
        <f>IF(J2539="","7. Acima de 2 km",IF(J2539&lt;=50,"1. Até 50 m",IF(J2539&lt;=100,"2. De 50 a 100 m",IF(J2539&lt;=200,"3. De 100 a 200 m",IF(J2539&lt;=300,"4. De 200 a 300 m",IF(J2539&lt;=500,"5. De 300 a 500 m","6. De 500 m a 2 km"))))))</f>
        <v>7. Acima de 2 km</v>
      </c>
      <c r="L2539" s="26" t="n">
        <v>0</v>
      </c>
      <c r="M2539" s="26" t="n">
        <v>0</v>
      </c>
      <c r="N2539" s="26" t="n">
        <v>0</v>
      </c>
      <c r="O2539" s="26" t="n">
        <v>0</v>
      </c>
      <c r="P2539" s="30" t="n">
        <v>-12.5184531</v>
      </c>
      <c r="Q2539" s="30" t="n">
        <v>-41.7938545</v>
      </c>
      <c r="R2539" s="14" t="inlineStr">
        <is>
          <t>RUA 22 DE ABRIL, 481, SANTA LÚZIA, SEABRA/BA</t>
        </is>
      </c>
      <c r="S2539" s="26">
        <f>IF(A2539=A2538,0,1)</f>
        <v>0</v>
      </c>
      <c r="T2539" s="26">
        <f>IF(COUNTIF($B$4:B2539,B2539)=1,1,0)</f>
        <v>0</v>
      </c>
    </row>
    <row r="2540">
      <c r="A2540" s="14" t="inlineStr">
        <is>
          <t>SEABRA</t>
        </is>
      </c>
      <c r="B2540" s="26" t="n">
        <v>88</v>
      </c>
      <c r="C2540" s="26" t="n">
        <v>1155</v>
      </c>
      <c r="D2540" s="14" t="inlineStr">
        <is>
          <t>EXTENSÃO COLÉGIO EDUCACIONAL DE SEABRA CES</t>
        </is>
      </c>
      <c r="E2540" s="14" t="inlineStr">
        <is>
          <t>POVOADO ANGICAL</t>
        </is>
      </c>
      <c r="F2540" s="14" t="inlineStr">
        <is>
          <t>POVOADO ANGICAL - ZONA RURAL</t>
        </is>
      </c>
      <c r="G2540" s="27" t="inlineStr">
        <is>
          <t>46900-970</t>
        </is>
      </c>
      <c r="H2540" s="15" t="n">
        <v>1</v>
      </c>
      <c r="I2540" s="28" t="inlineStr">
        <is>
          <t>NÃO</t>
        </is>
      </c>
      <c r="J2540" s="29" t="n"/>
      <c r="K2540" s="14" t="str">
        <f>IF(J2540="","7. Acima de 2 km",IF(J2540&lt;=50,"1. Até 50 m",IF(J2540&lt;=100,"2. De 50 a 100 m",IF(J2540&lt;=200,"3. De 100 a 200 m",IF(J2540&lt;=300,"4. De 200 a 300 m",IF(J2540&lt;=500,"5. De 300 a 500 m","6. De 500 m a 2 km"))))))</f>
        <v>7. Acima de 2 km</v>
      </c>
      <c r="L2540" s="26" t="n">
        <v>0</v>
      </c>
      <c r="M2540" s="26" t="n">
        <v>0</v>
      </c>
      <c r="N2540" s="26" t="n">
        <v>0</v>
      </c>
      <c r="O2540" s="26" t="n">
        <v>0</v>
      </c>
      <c r="P2540" s="30" t="n">
        <v>-12.5447684</v>
      </c>
      <c r="Q2540" s="30" t="n">
        <v>-41.815203</v>
      </c>
      <c r="R2540" s="14" t="inlineStr">
        <is>
          <t>RUA 22 DE ABRIL, 481, SANTA LÚZIA, SEABRA/BA</t>
        </is>
      </c>
      <c r="S2540" s="26">
        <f>IF(A2540=A2539,0,1)</f>
        <v>0</v>
      </c>
      <c r="T2540" s="26">
        <f>IF(COUNTIF($B$4:B2540,B2540)=1,1,0)</f>
        <v>0</v>
      </c>
    </row>
    <row r="2541">
      <c r="A2541" s="14" t="inlineStr">
        <is>
          <t>SEABRA</t>
        </is>
      </c>
      <c r="B2541" s="26" t="n">
        <v>88</v>
      </c>
      <c r="C2541" s="26" t="n">
        <v>1163</v>
      </c>
      <c r="D2541" s="14" t="inlineStr">
        <is>
          <t>ESCOLA MUNICIPAL AFONSO GONÇALVES DE SOUZA</t>
        </is>
      </c>
      <c r="E2541" s="14" t="inlineStr">
        <is>
          <t>POVOADO VELAME</t>
        </is>
      </c>
      <c r="F2541" s="14" t="inlineStr">
        <is>
          <t>POVOADO DE VELAME - ZONA RURAL</t>
        </is>
      </c>
      <c r="G2541" s="27" t="inlineStr">
        <is>
          <t>46900-000</t>
        </is>
      </c>
      <c r="H2541" s="15" t="n">
        <v>4</v>
      </c>
      <c r="I2541" s="28" t="inlineStr">
        <is>
          <t>NÃO</t>
        </is>
      </c>
      <c r="J2541" s="29" t="n"/>
      <c r="K2541" s="14" t="str">
        <f>IF(J2541="","7. Acima de 2 km",IF(J2541&lt;=50,"1. Até 50 m",IF(J2541&lt;=100,"2. De 50 a 100 m",IF(J2541&lt;=200,"3. De 100 a 200 m",IF(J2541&lt;=300,"4. De 200 a 300 m",IF(J2541&lt;=500,"5. De 300 a 500 m","6. De 500 m a 2 km"))))))</f>
        <v>7. Acima de 2 km</v>
      </c>
      <c r="L2541" s="26" t="n">
        <v>0</v>
      </c>
      <c r="M2541" s="26" t="n">
        <v>0</v>
      </c>
      <c r="N2541" s="26" t="n">
        <v>0</v>
      </c>
      <c r="O2541" s="26" t="n">
        <v>0</v>
      </c>
      <c r="P2541" s="30" t="n">
        <v>-12.5680433</v>
      </c>
      <c r="Q2541" s="30" t="n">
        <v>-41.8188267</v>
      </c>
      <c r="R2541" s="14" t="inlineStr">
        <is>
          <t>RUA 22 DE ABRIL, 481, SANTA LÚZIA, SEABRA/BA</t>
        </is>
      </c>
      <c r="S2541" s="26">
        <f>IF(A2541=A2540,0,1)</f>
        <v>0</v>
      </c>
      <c r="T2541" s="26">
        <f>IF(COUNTIF($B$4:B2541,B2541)=1,1,0)</f>
        <v>0</v>
      </c>
    </row>
    <row r="2542">
      <c r="A2542" s="14" t="inlineStr">
        <is>
          <t>SEABRA</t>
        </is>
      </c>
      <c r="B2542" s="26" t="n">
        <v>88</v>
      </c>
      <c r="C2542" s="26" t="n">
        <v>1180</v>
      </c>
      <c r="D2542" s="14" t="inlineStr">
        <is>
          <t>PREDIO LILA SILVA OLIVEIRA</t>
        </is>
      </c>
      <c r="E2542" s="14" t="inlineStr">
        <is>
          <t>DISTRITO BARAÚNAS - jatobá</t>
        </is>
      </c>
      <c r="F2542" s="14" t="inlineStr">
        <is>
          <t>DISTRITO BARAUNAS - ZONA RURAL</t>
        </is>
      </c>
      <c r="G2542" s="27" t="inlineStr">
        <is>
          <t>46900-970</t>
        </is>
      </c>
      <c r="H2542" s="15" t="n">
        <v>2</v>
      </c>
      <c r="I2542" s="28" t="inlineStr">
        <is>
          <t>NÃO</t>
        </is>
      </c>
      <c r="J2542" s="29" t="n"/>
      <c r="K2542" s="14" t="str">
        <f>IF(J2542="","7. Acima de 2 km",IF(J2542&lt;=50,"1. Até 50 m",IF(J2542&lt;=100,"2. De 50 a 100 m",IF(J2542&lt;=200,"3. De 100 a 200 m",IF(J2542&lt;=300,"4. De 200 a 300 m",IF(J2542&lt;=500,"5. De 300 a 500 m","6. De 500 m a 2 km"))))))</f>
        <v>7. Acima de 2 km</v>
      </c>
      <c r="L2542" s="26" t="n">
        <v>0</v>
      </c>
      <c r="M2542" s="26" t="n">
        <v>0</v>
      </c>
      <c r="N2542" s="26" t="n">
        <v>0</v>
      </c>
      <c r="O2542" s="26" t="n">
        <v>0</v>
      </c>
      <c r="P2542" s="30" t="n">
        <v>-12.6400183</v>
      </c>
      <c r="Q2542" s="30" t="n">
        <v>-41.8031383</v>
      </c>
      <c r="R2542" s="14" t="inlineStr">
        <is>
          <t>RUA 22 DE ABRIL, 481, SANTA LÚZIA, SEABRA/BA</t>
        </is>
      </c>
      <c r="S2542" s="26">
        <f>IF(A2542=A2541,0,1)</f>
        <v>0</v>
      </c>
      <c r="T2542" s="26">
        <f>IF(COUNTIF($B$4:B2542,B2542)=1,1,0)</f>
        <v>0</v>
      </c>
    </row>
    <row r="2543">
      <c r="A2543" s="14" t="inlineStr">
        <is>
          <t>SEABRA</t>
        </is>
      </c>
      <c r="B2543" s="26" t="n">
        <v>88</v>
      </c>
      <c r="C2543" s="26" t="n">
        <v>1201</v>
      </c>
      <c r="D2543" s="14" t="inlineStr">
        <is>
          <t>PREDIO BENTO ROCHA</t>
        </is>
      </c>
      <c r="E2543" s="14" t="inlineStr">
        <is>
          <t>POVOADO SONHÉN</t>
        </is>
      </c>
      <c r="F2543" s="14" t="inlineStr">
        <is>
          <t>POVOADO SONHEM - ZONA RURAL</t>
        </is>
      </c>
      <c r="G2543" s="27" t="inlineStr">
        <is>
          <t>46900-970</t>
        </is>
      </c>
      <c r="H2543" s="15" t="n">
        <v>1</v>
      </c>
      <c r="I2543" s="28" t="inlineStr">
        <is>
          <t>NÃO</t>
        </is>
      </c>
      <c r="J2543" s="29" t="n"/>
      <c r="K2543" s="14" t="str">
        <f>IF(J2543="","7. Acima de 2 km",IF(J2543&lt;=50,"1. Até 50 m",IF(J2543&lt;=100,"2. De 50 a 100 m",IF(J2543&lt;=200,"3. De 100 a 200 m",IF(J2543&lt;=300,"4. De 200 a 300 m",IF(J2543&lt;=500,"5. De 300 a 500 m","6. De 500 m a 2 km"))))))</f>
        <v>7. Acima de 2 km</v>
      </c>
      <c r="L2543" s="26" t="n">
        <v>0</v>
      </c>
      <c r="M2543" s="26" t="n">
        <v>0</v>
      </c>
      <c r="N2543" s="26" t="n">
        <v>0</v>
      </c>
      <c r="O2543" s="26" t="n">
        <v>0</v>
      </c>
      <c r="P2543" s="30" t="n">
        <v>-12.6735583</v>
      </c>
      <c r="Q2543" s="30" t="n">
        <v>-41.8829267</v>
      </c>
      <c r="R2543" s="14" t="inlineStr">
        <is>
          <t>RUA 22 DE ABRIL, 481, SANTA LÚZIA, SEABRA/BA</t>
        </is>
      </c>
      <c r="S2543" s="26">
        <f>IF(A2543=A2542,0,1)</f>
        <v>0</v>
      </c>
      <c r="T2543" s="26">
        <f>IF(COUNTIF($B$4:B2543,B2543)=1,1,0)</f>
        <v>0</v>
      </c>
    </row>
    <row r="2544">
      <c r="A2544" s="14" t="inlineStr">
        <is>
          <t>SEABRA</t>
        </is>
      </c>
      <c r="B2544" s="26" t="n">
        <v>88</v>
      </c>
      <c r="C2544" s="26" t="n">
        <v>1210</v>
      </c>
      <c r="D2544" s="14" t="inlineStr">
        <is>
          <t>PREDIO MARGARIDA SOUZA</t>
        </is>
      </c>
      <c r="E2544" s="14" t="inlineStr">
        <is>
          <t>POVOADO BEBEDOURO</t>
        </is>
      </c>
      <c r="F2544" s="14" t="inlineStr">
        <is>
          <t>POVOADO BEBEDOURO - ZONA RURAL</t>
        </is>
      </c>
      <c r="G2544" s="27" t="inlineStr">
        <is>
          <t>46900-970</t>
        </is>
      </c>
      <c r="H2544" s="15" t="n">
        <v>3</v>
      </c>
      <c r="I2544" s="28" t="inlineStr">
        <is>
          <t>NÃO</t>
        </is>
      </c>
      <c r="J2544" s="29" t="n"/>
      <c r="K2544" s="14" t="str">
        <f>IF(J2544="","7. Acima de 2 km",IF(J2544&lt;=50,"1. Até 50 m",IF(J2544&lt;=100,"2. De 50 a 100 m",IF(J2544&lt;=200,"3. De 100 a 200 m",IF(J2544&lt;=300,"4. De 200 a 300 m",IF(J2544&lt;=500,"5. De 300 a 500 m","6. De 500 m a 2 km"))))))</f>
        <v>7. Acima de 2 km</v>
      </c>
      <c r="L2544" s="26" t="n">
        <v>0</v>
      </c>
      <c r="M2544" s="26" t="n">
        <v>0</v>
      </c>
      <c r="N2544" s="26" t="n">
        <v>0</v>
      </c>
      <c r="O2544" s="26" t="n">
        <v>0</v>
      </c>
      <c r="P2544" s="30" t="n">
        <v>-12.4999556</v>
      </c>
      <c r="Q2544" s="30" t="n">
        <v>-41.7372212</v>
      </c>
      <c r="R2544" s="14" t="inlineStr">
        <is>
          <t>RUA 22 DE ABRIL, 481, SANTA LÚZIA, SEABRA/BA</t>
        </is>
      </c>
      <c r="S2544" s="26">
        <f>IF(A2544=A2543,0,1)</f>
        <v>0</v>
      </c>
      <c r="T2544" s="26">
        <f>IF(COUNTIF($B$4:B2544,B2544)=1,1,0)</f>
        <v>0</v>
      </c>
    </row>
    <row r="2545">
      <c r="A2545" s="14" t="inlineStr">
        <is>
          <t>SEABRA</t>
        </is>
      </c>
      <c r="B2545" s="26" t="n">
        <v>88</v>
      </c>
      <c r="C2545" s="26" t="n">
        <v>1228</v>
      </c>
      <c r="D2545" s="14" t="inlineStr">
        <is>
          <t>PREDIO ALOISIO ROCHA</t>
        </is>
      </c>
      <c r="E2545" s="14" t="inlineStr">
        <is>
          <t>POVOADO BECO</t>
        </is>
      </c>
      <c r="F2545" s="14" t="inlineStr">
        <is>
          <t>POVOADO BECO - ZONA RURAL</t>
        </is>
      </c>
      <c r="G2545" s="27" t="inlineStr">
        <is>
          <t>46900-970</t>
        </is>
      </c>
      <c r="H2545" s="15" t="n">
        <v>2</v>
      </c>
      <c r="I2545" s="28" t="inlineStr">
        <is>
          <t>NÃO</t>
        </is>
      </c>
      <c r="J2545" s="29" t="n"/>
      <c r="K2545" s="14" t="str">
        <f>IF(J2545="","7. Acima de 2 km",IF(J2545&lt;=50,"1. Até 50 m",IF(J2545&lt;=100,"2. De 50 a 100 m",IF(J2545&lt;=200,"3. De 100 a 200 m",IF(J2545&lt;=300,"4. De 200 a 300 m",IF(J2545&lt;=500,"5. De 300 a 500 m","6. De 500 m a 2 km"))))))</f>
        <v>7. Acima de 2 km</v>
      </c>
      <c r="L2545" s="26" t="n">
        <v>0</v>
      </c>
      <c r="M2545" s="26" t="n">
        <v>0</v>
      </c>
      <c r="N2545" s="26" t="n">
        <v>0</v>
      </c>
      <c r="O2545" s="26" t="n">
        <v>0</v>
      </c>
      <c r="P2545" s="30" t="n">
        <v>-12.4521238</v>
      </c>
      <c r="Q2545" s="30" t="n">
        <v>-41.6510086</v>
      </c>
      <c r="R2545" s="14" t="inlineStr">
        <is>
          <t>RUA 22 DE ABRIL, 481, SANTA LÚZIA, SEABRA/BA</t>
        </is>
      </c>
      <c r="S2545" s="26">
        <f>IF(A2545=A2544,0,1)</f>
        <v>0</v>
      </c>
      <c r="T2545" s="26">
        <f>IF(COUNTIF($B$4:B2545,B2545)=1,1,0)</f>
        <v>0</v>
      </c>
    </row>
    <row r="2546">
      <c r="A2546" s="14" t="inlineStr">
        <is>
          <t>SEABRA</t>
        </is>
      </c>
      <c r="B2546" s="26" t="n">
        <v>88</v>
      </c>
      <c r="C2546" s="26" t="n">
        <v>1236</v>
      </c>
      <c r="D2546" s="14" t="inlineStr">
        <is>
          <t>PREDIO HELIODORO DE PAULA RIBEIRO</t>
        </is>
      </c>
      <c r="E2546" s="14" t="inlineStr">
        <is>
          <t>POVOADO COCHÓ DO MALHEIRO</t>
        </is>
      </c>
      <c r="F2546" s="14" t="inlineStr">
        <is>
          <t>POVOADO COCHO DO MALHEIRO - ZONA RURAL</t>
        </is>
      </c>
      <c r="G2546" s="27" t="inlineStr">
        <is>
          <t>46900-970</t>
        </is>
      </c>
      <c r="H2546" s="15" t="n">
        <v>1</v>
      </c>
      <c r="I2546" s="28" t="inlineStr">
        <is>
          <t>NÃO</t>
        </is>
      </c>
      <c r="J2546" s="29" t="n"/>
      <c r="K2546" s="14" t="str">
        <f>IF(J2546="","7. Acima de 2 km",IF(J2546&lt;=50,"1. Até 50 m",IF(J2546&lt;=100,"2. De 50 a 100 m",IF(J2546&lt;=200,"3. De 100 a 200 m",IF(J2546&lt;=300,"4. De 200 a 300 m",IF(J2546&lt;=500,"5. De 300 a 500 m","6. De 500 m a 2 km"))))))</f>
        <v>7. Acima de 2 km</v>
      </c>
      <c r="L2546" s="26" t="n">
        <v>0</v>
      </c>
      <c r="M2546" s="26" t="n">
        <v>0</v>
      </c>
      <c r="N2546" s="26" t="n">
        <v>0</v>
      </c>
      <c r="O2546" s="26" t="n">
        <v>0</v>
      </c>
      <c r="P2546" s="30" t="n">
        <v>-12.4407177</v>
      </c>
      <c r="Q2546" s="30" t="n">
        <v>-41.6409644</v>
      </c>
      <c r="R2546" s="14" t="inlineStr">
        <is>
          <t>RUA 22 DE ABRIL, 481, SANTA LÚZIA, SEABRA/BA</t>
        </is>
      </c>
      <c r="S2546" s="26">
        <f>IF(A2546=A2545,0,1)</f>
        <v>0</v>
      </c>
      <c r="T2546" s="26">
        <f>IF(COUNTIF($B$4:B2546,B2546)=1,1,0)</f>
        <v>0</v>
      </c>
    </row>
    <row r="2547">
      <c r="A2547" s="14" t="inlineStr">
        <is>
          <t>SEABRA</t>
        </is>
      </c>
      <c r="B2547" s="26" t="n">
        <v>88</v>
      </c>
      <c r="C2547" s="26" t="n">
        <v>1244</v>
      </c>
      <c r="D2547" s="14" t="inlineStr">
        <is>
          <t>ESCOLA FABRICIO D OLIVEIRA</t>
        </is>
      </c>
      <c r="E2547" s="14" t="inlineStr">
        <is>
          <t>POVOADO BREJO DE JOÃO ALVES</t>
        </is>
      </c>
      <c r="F2547" s="14" t="inlineStr">
        <is>
          <t>POVOADO BREJO DE JOAO ALVES - ZONA RURAL</t>
        </is>
      </c>
      <c r="G2547" s="27" t="inlineStr">
        <is>
          <t>46900-970</t>
        </is>
      </c>
      <c r="H2547" s="15" t="n">
        <v>1</v>
      </c>
      <c r="I2547" s="28" t="inlineStr">
        <is>
          <t>NÃO</t>
        </is>
      </c>
      <c r="J2547" s="29" t="n"/>
      <c r="K2547" s="14" t="str">
        <f>IF(J2547="","7. Acima de 2 km",IF(J2547&lt;=50,"1. Até 50 m",IF(J2547&lt;=100,"2. De 50 a 100 m",IF(J2547&lt;=200,"3. De 100 a 200 m",IF(J2547&lt;=300,"4. De 200 a 300 m",IF(J2547&lt;=500,"5. De 300 a 500 m","6. De 500 m a 2 km"))))))</f>
        <v>7. Acima de 2 km</v>
      </c>
      <c r="L2547" s="26" t="n">
        <v>0</v>
      </c>
      <c r="M2547" s="26" t="n">
        <v>0</v>
      </c>
      <c r="N2547" s="26" t="n">
        <v>0</v>
      </c>
      <c r="O2547" s="26" t="n">
        <v>0</v>
      </c>
      <c r="P2547" s="30" t="n">
        <v>-12.4207039</v>
      </c>
      <c r="Q2547" s="30" t="n">
        <v>-41.6742107</v>
      </c>
      <c r="R2547" s="14" t="inlineStr">
        <is>
          <t>RUA 22 DE ABRIL, 481, SANTA LÚZIA, SEABRA/BA</t>
        </is>
      </c>
      <c r="S2547" s="26">
        <f>IF(A2547=A2546,0,1)</f>
        <v>0</v>
      </c>
      <c r="T2547" s="26">
        <f>IF(COUNTIF($B$4:B2547,B2547)=1,1,0)</f>
        <v>0</v>
      </c>
    </row>
    <row r="2548">
      <c r="A2548" s="14" t="inlineStr">
        <is>
          <t>SEABRA</t>
        </is>
      </c>
      <c r="B2548" s="26" t="n">
        <v>88</v>
      </c>
      <c r="C2548" s="26" t="n">
        <v>1252</v>
      </c>
      <c r="D2548" s="14" t="inlineStr">
        <is>
          <t>ASSOCIAÇÃO COMUNITÁRIA DA CHURÉ</t>
        </is>
      </c>
      <c r="E2548" s="14" t="inlineStr">
        <is>
          <t>POVOADO CHURÉ</t>
        </is>
      </c>
      <c r="F2548" s="14" t="inlineStr">
        <is>
          <t>POVOADO CHURE - ZONA RURAL</t>
        </is>
      </c>
      <c r="G2548" s="27" t="inlineStr">
        <is>
          <t>46900-970</t>
        </is>
      </c>
      <c r="H2548" s="15" t="n">
        <v>2</v>
      </c>
      <c r="I2548" s="28" t="inlineStr">
        <is>
          <t>NÃO</t>
        </is>
      </c>
      <c r="J2548" s="29" t="n"/>
      <c r="K2548" s="14" t="str">
        <f>IF(J2548="","7. Acima de 2 km",IF(J2548&lt;=50,"1. Até 50 m",IF(J2548&lt;=100,"2. De 50 a 100 m",IF(J2548&lt;=200,"3. De 100 a 200 m",IF(J2548&lt;=300,"4. De 200 a 300 m",IF(J2548&lt;=500,"5. De 300 a 500 m","6. De 500 m a 2 km"))))))</f>
        <v>7. Acima de 2 km</v>
      </c>
      <c r="L2548" s="26" t="n">
        <v>0</v>
      </c>
      <c r="M2548" s="26" t="n">
        <v>0</v>
      </c>
      <c r="N2548" s="26" t="n">
        <v>0</v>
      </c>
      <c r="O2548" s="26" t="n">
        <v>0</v>
      </c>
      <c r="P2548" s="30" t="n">
        <v>-12.308505</v>
      </c>
      <c r="Q2548" s="30" t="n">
        <v>-41.7629183</v>
      </c>
      <c r="R2548" s="14" t="inlineStr">
        <is>
          <t>RUA 22 DE ABRIL, 481, SANTA LÚZIA, SEABRA/BA</t>
        </is>
      </c>
      <c r="S2548" s="26">
        <f>IF(A2548=A2547,0,1)</f>
        <v>0</v>
      </c>
      <c r="T2548" s="26">
        <f>IF(COUNTIF($B$4:B2548,B2548)=1,1,0)</f>
        <v>0</v>
      </c>
    </row>
    <row r="2549">
      <c r="A2549" s="14" t="inlineStr">
        <is>
          <t>SEABRA</t>
        </is>
      </c>
      <c r="B2549" s="26" t="n">
        <v>88</v>
      </c>
      <c r="C2549" s="26" t="n">
        <v>1260</v>
      </c>
      <c r="D2549" s="14" t="inlineStr">
        <is>
          <t>ESCOLA MUNICIPAL DE PRIMEIRO GRAU LAGOA DA BOA VISTA</t>
        </is>
      </c>
      <c r="E2549" s="14" t="inlineStr">
        <is>
          <t>POVOADO LAGOA DA BOA VISTA</t>
        </is>
      </c>
      <c r="F2549" s="14" t="inlineStr">
        <is>
          <t>POVOADO LAGOA DA BOA VISTA - ZONA RURAL</t>
        </is>
      </c>
      <c r="G2549" s="27" t="inlineStr">
        <is>
          <t>46900-970</t>
        </is>
      </c>
      <c r="H2549" s="15" t="n">
        <v>4</v>
      </c>
      <c r="I2549" s="28" t="inlineStr">
        <is>
          <t>NÃO</t>
        </is>
      </c>
      <c r="J2549" s="29" t="n"/>
      <c r="K2549" s="14" t="str">
        <f>IF(J2549="","7. Acima de 2 km",IF(J2549&lt;=50,"1. Até 50 m",IF(J2549&lt;=100,"2. De 50 a 100 m",IF(J2549&lt;=200,"3. De 100 a 200 m",IF(J2549&lt;=300,"4. De 200 a 300 m",IF(J2549&lt;=500,"5. De 300 a 500 m","6. De 500 m a 2 km"))))))</f>
        <v>7. Acima de 2 km</v>
      </c>
      <c r="L2549" s="26" t="n">
        <v>0</v>
      </c>
      <c r="M2549" s="26" t="n">
        <v>0</v>
      </c>
      <c r="N2549" s="26" t="n">
        <v>0</v>
      </c>
      <c r="O2549" s="26" t="n">
        <v>0</v>
      </c>
      <c r="P2549" s="30" t="n">
        <v>-12.2790395</v>
      </c>
      <c r="Q2549" s="30" t="n">
        <v>-41.7950723</v>
      </c>
      <c r="R2549" s="14" t="inlineStr">
        <is>
          <t>RUA 22 DE ABRIL, 481, SANTA LÚZIA, SEABRA/BA</t>
        </is>
      </c>
      <c r="S2549" s="26">
        <f>IF(A2549=A2548,0,1)</f>
        <v>0</v>
      </c>
      <c r="T2549" s="26">
        <f>IF(COUNTIF($B$4:B2549,B2549)=1,1,0)</f>
        <v>0</v>
      </c>
    </row>
    <row r="2550">
      <c r="A2550" s="14" t="inlineStr">
        <is>
          <t>SEABRA</t>
        </is>
      </c>
      <c r="B2550" s="26" t="n">
        <v>88</v>
      </c>
      <c r="C2550" s="26" t="n">
        <v>1287</v>
      </c>
      <c r="D2550" s="14" t="inlineStr">
        <is>
          <t>PREDIO MANOEL BENTO TEIXEIRA FILHO</t>
        </is>
      </c>
      <c r="E2550" s="14" t="inlineStr">
        <is>
          <t>POVOADO VALE DO PARAISO</t>
        </is>
      </c>
      <c r="F2550" s="14" t="inlineStr">
        <is>
          <t>POVOADO VALE DO PARAISO - ZONA RURAL</t>
        </is>
      </c>
      <c r="G2550" s="27" t="inlineStr">
        <is>
          <t>46900-970</t>
        </is>
      </c>
      <c r="H2550" s="15" t="n">
        <v>2</v>
      </c>
      <c r="I2550" s="28" t="inlineStr">
        <is>
          <t>NÃO</t>
        </is>
      </c>
      <c r="J2550" s="29" t="n"/>
      <c r="K2550" s="14" t="str">
        <f>IF(J2550="","7. Acima de 2 km",IF(J2550&lt;=50,"1. Até 50 m",IF(J2550&lt;=100,"2. De 50 a 100 m",IF(J2550&lt;=200,"3. De 100 a 200 m",IF(J2550&lt;=300,"4. De 200 a 300 m",IF(J2550&lt;=500,"5. De 300 a 500 m","6. De 500 m a 2 km"))))))</f>
        <v>7. Acima de 2 km</v>
      </c>
      <c r="L2550" s="26" t="n">
        <v>0</v>
      </c>
      <c r="M2550" s="26" t="n">
        <v>0</v>
      </c>
      <c r="N2550" s="26" t="n">
        <v>0</v>
      </c>
      <c r="O2550" s="26" t="n">
        <v>0</v>
      </c>
      <c r="P2550" s="30" t="n">
        <v>-12.2877125</v>
      </c>
      <c r="Q2550" s="30" t="n">
        <v>-41.8539199</v>
      </c>
      <c r="R2550" s="14" t="inlineStr">
        <is>
          <t>RUA 22 DE ABRIL, 481, SANTA LÚZIA, SEABRA/BA</t>
        </is>
      </c>
      <c r="S2550" s="26">
        <f>IF(A2550=A2549,0,1)</f>
        <v>0</v>
      </c>
      <c r="T2550" s="26">
        <f>IF(COUNTIF($B$4:B2550,B2550)=1,1,0)</f>
        <v>0</v>
      </c>
    </row>
    <row r="2551">
      <c r="A2551" s="14" t="inlineStr">
        <is>
          <t>SEABRA</t>
        </is>
      </c>
      <c r="B2551" s="26" t="n">
        <v>88</v>
      </c>
      <c r="C2551" s="26" t="n">
        <v>1295</v>
      </c>
      <c r="D2551" s="14" t="inlineStr">
        <is>
          <t xml:space="preserve">ASSOCIAÇÃO CONUNITÁRIA DE CAMPESTRE </t>
        </is>
      </c>
      <c r="E2551" s="14" t="inlineStr">
        <is>
          <t>POVOADO CAMPESTRE</t>
        </is>
      </c>
      <c r="F2551" s="14" t="inlineStr">
        <is>
          <t>POVOADO CAMPESTRE - ZONA RURAL</t>
        </is>
      </c>
      <c r="G2551" s="27" t="inlineStr">
        <is>
          <t>46900-970</t>
        </is>
      </c>
      <c r="H2551" s="15" t="n">
        <v>1</v>
      </c>
      <c r="I2551" s="28" t="inlineStr">
        <is>
          <t>NÃO</t>
        </is>
      </c>
      <c r="J2551" s="29" t="n"/>
      <c r="K2551" s="14" t="str">
        <f>IF(J2551="","7. Acima de 2 km",IF(J2551&lt;=50,"1. Até 50 m",IF(J2551&lt;=100,"2. De 50 a 100 m",IF(J2551&lt;=200,"3. De 100 a 200 m",IF(J2551&lt;=300,"4. De 200 a 300 m",IF(J2551&lt;=500,"5. De 300 a 500 m","6. De 500 m a 2 km"))))))</f>
        <v>7. Acima de 2 km</v>
      </c>
      <c r="L2551" s="26" t="n">
        <v>0</v>
      </c>
      <c r="M2551" s="26" t="n">
        <v>0</v>
      </c>
      <c r="N2551" s="26" t="n">
        <v>0</v>
      </c>
      <c r="O2551" s="26" t="n">
        <v>0</v>
      </c>
      <c r="P2551" s="30" t="n">
        <v>-12.3499433</v>
      </c>
      <c r="Q2551" s="30" t="n">
        <v>-41.8088233</v>
      </c>
      <c r="R2551" s="14" t="inlineStr">
        <is>
          <t>RUA 22 DE ABRIL, 481, SANTA LÚZIA, SEABRA/BA</t>
        </is>
      </c>
      <c r="S2551" s="26">
        <f>IF(A2551=A2550,0,1)</f>
        <v>0</v>
      </c>
      <c r="T2551" s="26">
        <f>IF(COUNTIF($B$4:B2551,B2551)=1,1,0)</f>
        <v>0</v>
      </c>
    </row>
    <row r="2552">
      <c r="A2552" s="14" t="inlineStr">
        <is>
          <t>SEABRA</t>
        </is>
      </c>
      <c r="B2552" s="26" t="n">
        <v>88</v>
      </c>
      <c r="C2552" s="26" t="n">
        <v>1309</v>
      </c>
      <c r="D2552" s="14" t="inlineStr">
        <is>
          <t>COLÉGIO ALOISIO ROCHA</t>
        </is>
      </c>
      <c r="E2552" s="14" t="inlineStr">
        <is>
          <t>POVOADO BOA VISTA DE CANANÉIA</t>
        </is>
      </c>
      <c r="F2552" s="14" t="inlineStr">
        <is>
          <t>POVOADO BOA VISTA DE CANANÉIA - ZONA RURAL</t>
        </is>
      </c>
      <c r="G2552" s="27" t="inlineStr">
        <is>
          <t>46900-970</t>
        </is>
      </c>
      <c r="H2552" s="15" t="n">
        <v>2</v>
      </c>
      <c r="I2552" s="28" t="inlineStr">
        <is>
          <t>NÃO</t>
        </is>
      </c>
      <c r="J2552" s="29" t="n"/>
      <c r="K2552" s="14" t="str">
        <f>IF(J2552="","7. Acima de 2 km",IF(J2552&lt;=50,"1. Até 50 m",IF(J2552&lt;=100,"2. De 50 a 100 m",IF(J2552&lt;=200,"3. De 100 a 200 m",IF(J2552&lt;=300,"4. De 200 a 300 m",IF(J2552&lt;=500,"5. De 300 a 500 m","6. De 500 m a 2 km"))))))</f>
        <v>7. Acima de 2 km</v>
      </c>
      <c r="L2552" s="26" t="n">
        <v>0</v>
      </c>
      <c r="M2552" s="26" t="n">
        <v>0</v>
      </c>
      <c r="N2552" s="26" t="n">
        <v>0</v>
      </c>
      <c r="O2552" s="26" t="n">
        <v>0</v>
      </c>
      <c r="P2552" s="30" t="n">
        <v>-12.4858061</v>
      </c>
      <c r="Q2552" s="30" t="n">
        <v>-41.7225829</v>
      </c>
      <c r="R2552" s="14" t="inlineStr">
        <is>
          <t>RUA 22 DE ABRIL, 481, SANTA LÚZIA, SEABRA/BA</t>
        </is>
      </c>
      <c r="S2552" s="26">
        <f>IF(A2552=A2551,0,1)</f>
        <v>0</v>
      </c>
      <c r="T2552" s="26">
        <f>IF(COUNTIF($B$4:B2552,B2552)=1,1,0)</f>
        <v>0</v>
      </c>
    </row>
    <row r="2553">
      <c r="A2553" s="14" t="inlineStr">
        <is>
          <t>SEABRA</t>
        </is>
      </c>
      <c r="B2553" s="26" t="n">
        <v>88</v>
      </c>
      <c r="C2553" s="26" t="n">
        <v>1317</v>
      </c>
      <c r="D2553" s="14" t="inlineStr">
        <is>
          <t>ESCOLA MUNICIPAL BALBINO ANTÔNIO DOS SANTOS</t>
        </is>
      </c>
      <c r="E2553" s="14" t="inlineStr">
        <is>
          <t>POVOADO LAGOA DO BAIXÃO</t>
        </is>
      </c>
      <c r="F2553" s="14" t="inlineStr">
        <is>
          <t>POVOADO LAGOA DO BAIXAO - ZONA RURAL</t>
        </is>
      </c>
      <c r="G2553" s="27" t="inlineStr">
        <is>
          <t>46900-970</t>
        </is>
      </c>
      <c r="H2553" s="15" t="n">
        <v>1</v>
      </c>
      <c r="I2553" s="28" t="inlineStr">
        <is>
          <t>NÃO</t>
        </is>
      </c>
      <c r="J2553" s="29" t="n"/>
      <c r="K2553" s="14" t="str">
        <f>IF(J2553="","7. Acima de 2 km",IF(J2553&lt;=50,"1. Até 50 m",IF(J2553&lt;=100,"2. De 50 a 100 m",IF(J2553&lt;=200,"3. De 100 a 200 m",IF(J2553&lt;=300,"4. De 200 a 300 m",IF(J2553&lt;=500,"5. De 300 a 500 m","6. De 500 m a 2 km"))))))</f>
        <v>7. Acima de 2 km</v>
      </c>
      <c r="L2553" s="26" t="n">
        <v>0</v>
      </c>
      <c r="M2553" s="26" t="n">
        <v>0</v>
      </c>
      <c r="N2553" s="26" t="n">
        <v>0</v>
      </c>
      <c r="O2553" s="26" t="n">
        <v>0</v>
      </c>
      <c r="P2553" s="30" t="n">
        <v>-12.636175</v>
      </c>
      <c r="Q2553" s="30" t="n">
        <v>-41.8728</v>
      </c>
      <c r="R2553" s="14" t="inlineStr">
        <is>
          <t>RUA 22 DE ABRIL, 481, SANTA LÚZIA, SEABRA/BA</t>
        </is>
      </c>
      <c r="S2553" s="26">
        <f>IF(A2553=A2552,0,1)</f>
        <v>0</v>
      </c>
      <c r="T2553" s="26">
        <f>IF(COUNTIF($B$4:B2553,B2553)=1,1,0)</f>
        <v>0</v>
      </c>
    </row>
    <row r="2554">
      <c r="A2554" s="14" t="inlineStr">
        <is>
          <t>SEABRA</t>
        </is>
      </c>
      <c r="B2554" s="26" t="n">
        <v>88</v>
      </c>
      <c r="C2554" s="26" t="n">
        <v>1325</v>
      </c>
      <c r="D2554" s="14" t="inlineStr">
        <is>
          <t>ESCOLA MUNICIPAL PROFETA JOÃO VICENTE</t>
        </is>
      </c>
      <c r="E2554" s="14" t="inlineStr">
        <is>
          <t>POVOADO BAIXÃO VELHO</t>
        </is>
      </c>
      <c r="F2554" s="14" t="inlineStr">
        <is>
          <t>POVOADO BAIXÃO VELHO - ZONA RURAL</t>
        </is>
      </c>
      <c r="G2554" s="27" t="inlineStr">
        <is>
          <t>46900-970</t>
        </is>
      </c>
      <c r="H2554" s="15" t="n">
        <v>1</v>
      </c>
      <c r="I2554" s="28" t="inlineStr">
        <is>
          <t>NÃO</t>
        </is>
      </c>
      <c r="J2554" s="29" t="n"/>
      <c r="K2554" s="14" t="str">
        <f>IF(J2554="","7. Acima de 2 km",IF(J2554&lt;=50,"1. Até 50 m",IF(J2554&lt;=100,"2. De 50 a 100 m",IF(J2554&lt;=200,"3. De 100 a 200 m",IF(J2554&lt;=300,"4. De 200 a 300 m",IF(J2554&lt;=500,"5. De 300 a 500 m","6. De 500 m a 2 km"))))))</f>
        <v>7. Acima de 2 km</v>
      </c>
      <c r="L2554" s="26" t="n">
        <v>0</v>
      </c>
      <c r="M2554" s="26" t="n">
        <v>0</v>
      </c>
      <c r="N2554" s="26" t="n">
        <v>0</v>
      </c>
      <c r="O2554" s="26" t="n">
        <v>0</v>
      </c>
      <c r="P2554" s="30" t="n">
        <v>-12.5541416</v>
      </c>
      <c r="Q2554" s="30" t="n">
        <v>-41.9081392</v>
      </c>
      <c r="R2554" s="14" t="inlineStr">
        <is>
          <t>RUA 22 DE ABRIL, 481, SANTA LÚZIA, SEABRA/BA</t>
        </is>
      </c>
      <c r="S2554" s="26">
        <f>IF(A2554=A2553,0,1)</f>
        <v>0</v>
      </c>
      <c r="T2554" s="26">
        <f>IF(COUNTIF($B$4:B2554,B2554)=1,1,0)</f>
        <v>0</v>
      </c>
    </row>
    <row r="2555">
      <c r="A2555" s="14" t="inlineStr">
        <is>
          <t>SEABRA</t>
        </is>
      </c>
      <c r="B2555" s="26" t="n">
        <v>88</v>
      </c>
      <c r="C2555" s="26" t="n">
        <v>1333</v>
      </c>
      <c r="D2555" s="14" t="inlineStr">
        <is>
          <t>PREDIO ESCOLAR JOAQUIM HERMELINO MENDES</t>
        </is>
      </c>
      <c r="E2555" s="14" t="inlineStr">
        <is>
          <t>POVOADO LAGOINHA DOS MENDES</t>
        </is>
      </c>
      <c r="F2555" s="14" t="inlineStr">
        <is>
          <t>POVOADO LAGOINHA - ZONA RURAL</t>
        </is>
      </c>
      <c r="G2555" s="27" t="inlineStr">
        <is>
          <t>46900-970</t>
        </is>
      </c>
      <c r="H2555" s="15" t="n">
        <v>1</v>
      </c>
      <c r="I2555" s="28" t="inlineStr">
        <is>
          <t>NÃO</t>
        </is>
      </c>
      <c r="J2555" s="29" t="n"/>
      <c r="K2555" s="14" t="str">
        <f>IF(J2555="","7. Acima de 2 km",IF(J2555&lt;=50,"1. Até 50 m",IF(J2555&lt;=100,"2. De 50 a 100 m",IF(J2555&lt;=200,"3. De 100 a 200 m",IF(J2555&lt;=300,"4. De 200 a 300 m",IF(J2555&lt;=500,"5. De 300 a 500 m","6. De 500 m a 2 km"))))))</f>
        <v>7. Acima de 2 km</v>
      </c>
      <c r="L2555" s="26" t="n">
        <v>0</v>
      </c>
      <c r="M2555" s="26" t="n">
        <v>0</v>
      </c>
      <c r="N2555" s="26" t="n">
        <v>0</v>
      </c>
      <c r="O2555" s="26" t="n">
        <v>0</v>
      </c>
      <c r="P2555" s="30" t="n">
        <v>-12.337035</v>
      </c>
      <c r="Q2555" s="30" t="n">
        <v>-42.07728</v>
      </c>
      <c r="R2555" s="14" t="inlineStr">
        <is>
          <t>RUA 22 DE ABRIL, 481, SANTA LÚZIA, SEABRA/BA</t>
        </is>
      </c>
      <c r="S2555" s="26">
        <f>IF(A2555=A2554,0,1)</f>
        <v>0</v>
      </c>
      <c r="T2555" s="26">
        <f>IF(COUNTIF($B$4:B2555,B2555)=1,1,0)</f>
        <v>0</v>
      </c>
    </row>
    <row r="2556">
      <c r="A2556" s="14" t="inlineStr">
        <is>
          <t>SEABRA</t>
        </is>
      </c>
      <c r="B2556" s="26" t="n">
        <v>88</v>
      </c>
      <c r="C2556" s="26" t="n">
        <v>1341</v>
      </c>
      <c r="D2556" s="14" t="inlineStr">
        <is>
          <t>PREDIO ESCOLAR NOSSA SENHORA DA CONCEICAO</t>
        </is>
      </c>
      <c r="E2556" s="14" t="inlineStr">
        <is>
          <t>POVOADO MANDUZINHO</t>
        </is>
      </c>
      <c r="F2556" s="14" t="inlineStr">
        <is>
          <t>POVOADO MANDUZINHO - ZONA RURAL</t>
        </is>
      </c>
      <c r="G2556" s="27" t="inlineStr">
        <is>
          <t>46900-970</t>
        </is>
      </c>
      <c r="H2556" s="15" t="n">
        <v>1</v>
      </c>
      <c r="I2556" s="28" t="inlineStr">
        <is>
          <t>NÃO</t>
        </is>
      </c>
      <c r="J2556" s="29" t="n"/>
      <c r="K2556" s="14" t="str">
        <f>IF(J2556="","7. Acima de 2 km",IF(J2556&lt;=50,"1. Até 50 m",IF(J2556&lt;=100,"2. De 50 a 100 m",IF(J2556&lt;=200,"3. De 100 a 200 m",IF(J2556&lt;=300,"4. De 200 a 300 m",IF(J2556&lt;=500,"5. De 300 a 500 m","6. De 500 m a 2 km"))))))</f>
        <v>7. Acima de 2 km</v>
      </c>
      <c r="L2556" s="26" t="n">
        <v>0</v>
      </c>
      <c r="M2556" s="26" t="n">
        <v>0</v>
      </c>
      <c r="N2556" s="26" t="n">
        <v>0</v>
      </c>
      <c r="O2556" s="26" t="n">
        <v>0</v>
      </c>
      <c r="P2556" s="30" t="n">
        <v>-12.5780975</v>
      </c>
      <c r="Q2556" s="30" t="n">
        <v>-41.6682712</v>
      </c>
      <c r="R2556" s="14" t="inlineStr">
        <is>
          <t>RUA 22 DE ABRIL, 481, SANTA LÚZIA, SEABRA/BA</t>
        </is>
      </c>
      <c r="S2556" s="26">
        <f>IF(A2556=A2555,0,1)</f>
        <v>0</v>
      </c>
      <c r="T2556" s="26">
        <f>IF(COUNTIF($B$4:B2556,B2556)=1,1,0)</f>
        <v>0</v>
      </c>
    </row>
    <row r="2557">
      <c r="A2557" s="14" t="inlineStr">
        <is>
          <t>SEABRA</t>
        </is>
      </c>
      <c r="B2557" s="26" t="n">
        <v>88</v>
      </c>
      <c r="C2557" s="26" t="n">
        <v>1350</v>
      </c>
      <c r="D2557" s="14" t="inlineStr">
        <is>
          <t>ESCOLA MUNICIPAL FEBRÔNIO PEREIRA ROCHA DOS SANTOS</t>
        </is>
      </c>
      <c r="E2557" s="14" t="inlineStr">
        <is>
          <t>POVOADO BAIXÃOZINHO</t>
        </is>
      </c>
      <c r="F2557" s="14" t="inlineStr">
        <is>
          <t>POVOADO BAIXÃOZINHO - ZONA RURAL</t>
        </is>
      </c>
      <c r="G2557" s="27" t="inlineStr">
        <is>
          <t>46900-970</t>
        </is>
      </c>
      <c r="H2557" s="15" t="n">
        <v>1</v>
      </c>
      <c r="I2557" s="28" t="inlineStr">
        <is>
          <t>NÃO</t>
        </is>
      </c>
      <c r="J2557" s="29" t="n"/>
      <c r="K2557" s="14" t="str">
        <f>IF(J2557="","7. Acima de 2 km",IF(J2557&lt;=50,"1. Até 50 m",IF(J2557&lt;=100,"2. De 50 a 100 m",IF(J2557&lt;=200,"3. De 100 a 200 m",IF(J2557&lt;=300,"4. De 200 a 300 m",IF(J2557&lt;=500,"5. De 300 a 500 m","6. De 500 m a 2 km"))))))</f>
        <v>7. Acima de 2 km</v>
      </c>
      <c r="L2557" s="26" t="n">
        <v>0</v>
      </c>
      <c r="M2557" s="26" t="n">
        <v>0</v>
      </c>
      <c r="N2557" s="26" t="n">
        <v>0</v>
      </c>
      <c r="O2557" s="26" t="n">
        <v>0</v>
      </c>
      <c r="P2557" s="30" t="n">
        <v>-12.6431683</v>
      </c>
      <c r="Q2557" s="30" t="n">
        <v>-41.8670932</v>
      </c>
      <c r="R2557" s="14" t="inlineStr">
        <is>
          <t>RUA 22 DE ABRIL, 481, SANTA LÚZIA, SEABRA/BA</t>
        </is>
      </c>
      <c r="S2557" s="26">
        <f>IF(A2557=A2556,0,1)</f>
        <v>0</v>
      </c>
      <c r="T2557" s="26">
        <f>IF(COUNTIF($B$4:B2557,B2557)=1,1,0)</f>
        <v>0</v>
      </c>
    </row>
    <row r="2558">
      <c r="A2558" s="14" t="inlineStr">
        <is>
          <t>SEABRA</t>
        </is>
      </c>
      <c r="B2558" s="26" t="n">
        <v>88</v>
      </c>
      <c r="C2558" s="26" t="n">
        <v>1368</v>
      </c>
      <c r="D2558" s="14" t="inlineStr">
        <is>
          <t>PREDIO ESCOLAR LUIZ GONZAGA</t>
        </is>
      </c>
      <c r="E2558" s="14" t="inlineStr">
        <is>
          <t>POVOADO LAGOA DA PORTA</t>
        </is>
      </c>
      <c r="F2558" s="14" t="inlineStr">
        <is>
          <t>POVOADO LAGOA DA PORTA - ZONA RURAL</t>
        </is>
      </c>
      <c r="G2558" s="27" t="inlineStr">
        <is>
          <t>46900-970</t>
        </is>
      </c>
      <c r="H2558" s="15" t="n">
        <v>2</v>
      </c>
      <c r="I2558" s="28" t="inlineStr">
        <is>
          <t>NÃO</t>
        </is>
      </c>
      <c r="J2558" s="29" t="n"/>
      <c r="K2558" s="14" t="str">
        <f>IF(J2558="","7. Acima de 2 km",IF(J2558&lt;=50,"1. Até 50 m",IF(J2558&lt;=100,"2. De 50 a 100 m",IF(J2558&lt;=200,"3. De 100 a 200 m",IF(J2558&lt;=300,"4. De 200 a 300 m",IF(J2558&lt;=500,"5. De 300 a 500 m","6. De 500 m a 2 km"))))))</f>
        <v>7. Acima de 2 km</v>
      </c>
      <c r="L2558" s="26" t="n">
        <v>0</v>
      </c>
      <c r="M2558" s="26" t="n">
        <v>0</v>
      </c>
      <c r="N2558" s="26" t="n">
        <v>0</v>
      </c>
      <c r="O2558" s="26" t="n">
        <v>0</v>
      </c>
      <c r="P2558" s="30" t="n">
        <v>-12.4070087</v>
      </c>
      <c r="Q2558" s="30" t="n">
        <v>-41.5941287</v>
      </c>
      <c r="R2558" s="14" t="inlineStr">
        <is>
          <t>RUA 22 DE ABRIL, 481, SANTA LÚZIA, SEABRA/BA</t>
        </is>
      </c>
      <c r="S2558" s="26">
        <f>IF(A2558=A2557,0,1)</f>
        <v>0</v>
      </c>
      <c r="T2558" s="26">
        <f>IF(COUNTIF($B$4:B2558,B2558)=1,1,0)</f>
        <v>0</v>
      </c>
    </row>
    <row r="2559">
      <c r="A2559" s="14" t="inlineStr">
        <is>
          <t>SEABRA</t>
        </is>
      </c>
      <c r="B2559" s="26" t="n">
        <v>88</v>
      </c>
      <c r="C2559" s="26" t="n">
        <v>1376</v>
      </c>
      <c r="D2559" s="14" t="inlineStr">
        <is>
          <t>ESCOLA MUNICIPAL JOSÉ ANTÔNIO DA SILVA</t>
        </is>
      </c>
      <c r="E2559" s="14" t="inlineStr">
        <is>
          <t>POVOADO SANTANA</t>
        </is>
      </c>
      <c r="F2559" s="14" t="inlineStr">
        <is>
          <t>POVOADO SANTANA - ZONA RURAL</t>
        </is>
      </c>
      <c r="G2559" s="27" t="inlineStr">
        <is>
          <t>46900-970</t>
        </is>
      </c>
      <c r="H2559" s="15" t="n">
        <v>2</v>
      </c>
      <c r="I2559" s="28" t="inlineStr">
        <is>
          <t>NÃO</t>
        </is>
      </c>
      <c r="J2559" s="29" t="n"/>
      <c r="K2559" s="14" t="str">
        <f>IF(J2559="","7. Acima de 2 km",IF(J2559&lt;=50,"1. Até 50 m",IF(J2559&lt;=100,"2. De 50 a 100 m",IF(J2559&lt;=200,"3. De 100 a 200 m",IF(J2559&lt;=300,"4. De 200 a 300 m",IF(J2559&lt;=500,"5. De 300 a 500 m","6. De 500 m a 2 km"))))))</f>
        <v>7. Acima de 2 km</v>
      </c>
      <c r="L2559" s="26" t="n">
        <v>0</v>
      </c>
      <c r="M2559" s="26" t="n">
        <v>0</v>
      </c>
      <c r="N2559" s="26" t="n">
        <v>0</v>
      </c>
      <c r="O2559" s="26" t="n">
        <v>0</v>
      </c>
      <c r="P2559" s="30" t="n">
        <v>-12.4863833</v>
      </c>
      <c r="Q2559" s="30" t="n">
        <v>-41.790825</v>
      </c>
      <c r="R2559" s="14" t="inlineStr">
        <is>
          <t>RUA 22 DE ABRIL, 481, SANTA LÚZIA, SEABRA/BA</t>
        </is>
      </c>
      <c r="S2559" s="26">
        <f>IF(A2559=A2558,0,1)</f>
        <v>0</v>
      </c>
      <c r="T2559" s="26">
        <f>IF(COUNTIF($B$4:B2559,B2559)=1,1,0)</f>
        <v>0</v>
      </c>
    </row>
    <row r="2560">
      <c r="A2560" s="14" t="inlineStr">
        <is>
          <t>SEABRA</t>
        </is>
      </c>
      <c r="B2560" s="26" t="n">
        <v>88</v>
      </c>
      <c r="C2560" s="26" t="n">
        <v>1384</v>
      </c>
      <c r="D2560" s="14" t="inlineStr">
        <is>
          <t>ASSOCIAÇÃO COMUNITÁRIA DO BAIXIO E SERRINHA</t>
        </is>
      </c>
      <c r="E2560" s="14" t="inlineStr">
        <is>
          <t>POVOADO SERRINHA</t>
        </is>
      </c>
      <c r="F2560" s="14" t="inlineStr">
        <is>
          <t>POVOADO SERRINHA - ZONA RURAL</t>
        </is>
      </c>
      <c r="G2560" s="27" t="inlineStr">
        <is>
          <t>46900-970</t>
        </is>
      </c>
      <c r="H2560" s="15" t="n">
        <v>1</v>
      </c>
      <c r="I2560" s="28" t="inlineStr">
        <is>
          <t>NÃO</t>
        </is>
      </c>
      <c r="J2560" s="29" t="n"/>
      <c r="K2560" s="14" t="str">
        <f>IF(J2560="","7. Acima de 2 km",IF(J2560&lt;=50,"1. Até 50 m",IF(J2560&lt;=100,"2. De 50 a 100 m",IF(J2560&lt;=200,"3. De 100 a 200 m",IF(J2560&lt;=300,"4. De 200 a 300 m",IF(J2560&lt;=500,"5. De 300 a 500 m","6. De 500 m a 2 km"))))))</f>
        <v>7. Acima de 2 km</v>
      </c>
      <c r="L2560" s="26" t="n">
        <v>0</v>
      </c>
      <c r="M2560" s="26" t="n">
        <v>0</v>
      </c>
      <c r="N2560" s="26" t="n">
        <v>0</v>
      </c>
      <c r="O2560" s="26" t="n">
        <v>0</v>
      </c>
      <c r="P2560" s="30" t="n">
        <v>-12.2374183</v>
      </c>
      <c r="Q2560" s="30" t="n">
        <v>-42.0476367</v>
      </c>
      <c r="R2560" s="14" t="inlineStr">
        <is>
          <t>RUA 22 DE ABRIL, 481, SANTA LÚZIA, SEABRA/BA</t>
        </is>
      </c>
      <c r="S2560" s="26">
        <f>IF(A2560=A2559,0,1)</f>
        <v>0</v>
      </c>
      <c r="T2560" s="26">
        <f>IF(COUNTIF($B$4:B2560,B2560)=1,1,0)</f>
        <v>0</v>
      </c>
    </row>
    <row r="2561">
      <c r="A2561" s="14" t="inlineStr">
        <is>
          <t>SEABRA</t>
        </is>
      </c>
      <c r="B2561" s="26" t="n">
        <v>88</v>
      </c>
      <c r="C2561" s="26" t="n">
        <v>1392</v>
      </c>
      <c r="D2561" s="14" t="inlineStr">
        <is>
          <t>ESCOLA MUNICIPAL JOÃO MARTINS DOS ANJOS</t>
        </is>
      </c>
      <c r="E2561" s="14" t="inlineStr">
        <is>
          <t>POVOADO OLHOS D'ÁGUA DO BASILIO</t>
        </is>
      </c>
      <c r="F2561" s="14" t="inlineStr">
        <is>
          <t>POVOADO OLHOS D'ÁGUA DO BASILIO - ZONA RURAL</t>
        </is>
      </c>
      <c r="G2561" s="27" t="inlineStr">
        <is>
          <t>46900-970</t>
        </is>
      </c>
      <c r="H2561" s="15" t="n">
        <v>1</v>
      </c>
      <c r="I2561" s="28" t="inlineStr">
        <is>
          <t>NÃO</t>
        </is>
      </c>
      <c r="J2561" s="29" t="n"/>
      <c r="K2561" s="14" t="str">
        <f>IF(J2561="","7. Acima de 2 km",IF(J2561&lt;=50,"1. Até 50 m",IF(J2561&lt;=100,"2. De 50 a 100 m",IF(J2561&lt;=200,"3. De 100 a 200 m",IF(J2561&lt;=300,"4. De 200 a 300 m",IF(J2561&lt;=500,"5. De 300 a 500 m","6. De 500 m a 2 km"))))))</f>
        <v>7. Acima de 2 km</v>
      </c>
      <c r="L2561" s="26" t="n">
        <v>0</v>
      </c>
      <c r="M2561" s="26" t="n">
        <v>0</v>
      </c>
      <c r="N2561" s="26" t="n">
        <v>0</v>
      </c>
      <c r="O2561" s="26" t="n">
        <v>0</v>
      </c>
      <c r="P2561" s="30" t="n">
        <v>-12.6122233</v>
      </c>
      <c r="Q2561" s="30" t="n">
        <v>-41.92018</v>
      </c>
      <c r="R2561" s="14" t="inlineStr">
        <is>
          <t>RUA 22 DE ABRIL, 481, SANTA LÚZIA, SEABRA/BA</t>
        </is>
      </c>
      <c r="S2561" s="26">
        <f>IF(A2561=A2560,0,1)</f>
        <v>0</v>
      </c>
      <c r="T2561" s="26">
        <f>IF(COUNTIF($B$4:B2561,B2561)=1,1,0)</f>
        <v>0</v>
      </c>
    </row>
    <row r="2562">
      <c r="A2562" s="14" t="inlineStr">
        <is>
          <t>SEABRA</t>
        </is>
      </c>
      <c r="B2562" s="26" t="n">
        <v>88</v>
      </c>
      <c r="C2562" s="26" t="n">
        <v>1406</v>
      </c>
      <c r="D2562" s="14" t="inlineStr">
        <is>
          <t>PREDIO ESCOLAR ANDRE ALVES</t>
        </is>
      </c>
      <c r="E2562" s="14" t="inlineStr">
        <is>
          <t>POVOADO DE ANDRÉ ALVES</t>
        </is>
      </c>
      <c r="F2562" s="14" t="inlineStr">
        <is>
          <t>POVOADO ANDRE ALVES - ZONA RURAL</t>
        </is>
      </c>
      <c r="G2562" s="27" t="inlineStr">
        <is>
          <t>46900-970</t>
        </is>
      </c>
      <c r="H2562" s="15" t="n">
        <v>1</v>
      </c>
      <c r="I2562" s="28" t="inlineStr">
        <is>
          <t>NÃO</t>
        </is>
      </c>
      <c r="J2562" s="29" t="n"/>
      <c r="K2562" s="14" t="str">
        <f>IF(J2562="","7. Acima de 2 km",IF(J2562&lt;=50,"1. Até 50 m",IF(J2562&lt;=100,"2. De 50 a 100 m",IF(J2562&lt;=200,"3. De 100 a 200 m",IF(J2562&lt;=300,"4. De 200 a 300 m",IF(J2562&lt;=500,"5. De 300 a 500 m","6. De 500 m a 2 km"))))))</f>
        <v>7. Acima de 2 km</v>
      </c>
      <c r="L2562" s="26" t="n">
        <v>0</v>
      </c>
      <c r="M2562" s="26" t="n">
        <v>0</v>
      </c>
      <c r="N2562" s="26" t="n">
        <v>0</v>
      </c>
      <c r="O2562" s="26" t="n">
        <v>0</v>
      </c>
      <c r="P2562" s="30" t="n">
        <v>-12.3065276</v>
      </c>
      <c r="Q2562" s="30" t="n">
        <v>-41.7244301</v>
      </c>
      <c r="R2562" s="14" t="inlineStr">
        <is>
          <t>RUA 22 DE ABRIL, 481, SANTA LÚZIA, SEABRA/BA</t>
        </is>
      </c>
      <c r="S2562" s="26">
        <f>IF(A2562=A2561,0,1)</f>
        <v>0</v>
      </c>
      <c r="T2562" s="26">
        <f>IF(COUNTIF($B$4:B2562,B2562)=1,1,0)</f>
        <v>0</v>
      </c>
    </row>
    <row r="2563">
      <c r="A2563" s="14" t="inlineStr">
        <is>
          <t>SEABRA</t>
        </is>
      </c>
      <c r="B2563" s="26" t="n">
        <v>88</v>
      </c>
      <c r="C2563" s="26" t="n">
        <v>1414</v>
      </c>
      <c r="D2563" s="14" t="inlineStr">
        <is>
          <t>ESCOLA MUNICIPAL ESTEVÃO DE OLIVEIRA</t>
        </is>
      </c>
      <c r="E2563" s="14" t="inlineStr">
        <is>
          <t>POVOADO OURICURI</t>
        </is>
      </c>
      <c r="F2563" s="14" t="inlineStr">
        <is>
          <t>POVOADO OURICURI - ZONA RURAL</t>
        </is>
      </c>
      <c r="G2563" s="27" t="inlineStr">
        <is>
          <t>46900-970</t>
        </is>
      </c>
      <c r="H2563" s="15" t="n">
        <v>1</v>
      </c>
      <c r="I2563" s="28" t="inlineStr">
        <is>
          <t>NÃO</t>
        </is>
      </c>
      <c r="J2563" s="29" t="n"/>
      <c r="K2563" s="14" t="str">
        <f>IF(J2563="","7. Acima de 2 km",IF(J2563&lt;=50,"1. Até 50 m",IF(J2563&lt;=100,"2. De 50 a 100 m",IF(J2563&lt;=200,"3. De 100 a 200 m",IF(J2563&lt;=300,"4. De 200 a 300 m",IF(J2563&lt;=500,"5. De 300 a 500 m","6. De 500 m a 2 km"))))))</f>
        <v>7. Acima de 2 km</v>
      </c>
      <c r="L2563" s="26" t="n">
        <v>0</v>
      </c>
      <c r="M2563" s="26" t="n">
        <v>0</v>
      </c>
      <c r="N2563" s="26" t="n">
        <v>0</v>
      </c>
      <c r="O2563" s="26" t="n">
        <v>0</v>
      </c>
      <c r="P2563" s="30" t="n">
        <v>-12.3554617</v>
      </c>
      <c r="Q2563" s="30" t="n">
        <v>-42.1022967</v>
      </c>
      <c r="R2563" s="14" t="inlineStr">
        <is>
          <t>RUA 22 DE ABRIL, 481, SANTA LÚZIA, SEABRA/BA</t>
        </is>
      </c>
      <c r="S2563" s="26">
        <f>IF(A2563=A2562,0,1)</f>
        <v>0</v>
      </c>
      <c r="T2563" s="26">
        <f>IF(COUNTIF($B$4:B2563,B2563)=1,1,0)</f>
        <v>0</v>
      </c>
    </row>
    <row r="2564">
      <c r="A2564" s="14" t="inlineStr">
        <is>
          <t>SEABRA</t>
        </is>
      </c>
      <c r="B2564" s="26" t="n">
        <v>88</v>
      </c>
      <c r="C2564" s="26" t="n">
        <v>1422</v>
      </c>
      <c r="D2564" s="14" t="inlineStr">
        <is>
          <t>ESCOLA BOM JESUS</t>
        </is>
      </c>
      <c r="E2564" s="14" t="inlineStr">
        <is>
          <t>POVOADO CACHOEIRA</t>
        </is>
      </c>
      <c r="F2564" s="14" t="inlineStr">
        <is>
          <t>POVOADO CACHOEIRA - ZONA RURAL</t>
        </is>
      </c>
      <c r="G2564" s="27" t="inlineStr">
        <is>
          <t>46900-970</t>
        </is>
      </c>
      <c r="H2564" s="15" t="n">
        <v>1</v>
      </c>
      <c r="I2564" s="28" t="inlineStr">
        <is>
          <t>NÃO</t>
        </is>
      </c>
      <c r="J2564" s="29" t="n"/>
      <c r="K2564" s="14" t="str">
        <f>IF(J2564="","7. Acima de 2 km",IF(J2564&lt;=50,"1. Até 50 m",IF(J2564&lt;=100,"2. De 50 a 100 m",IF(J2564&lt;=200,"3. De 100 a 200 m",IF(J2564&lt;=300,"4. De 200 a 300 m",IF(J2564&lt;=500,"5. De 300 a 500 m","6. De 500 m a 2 km"))))))</f>
        <v>7. Acima de 2 km</v>
      </c>
      <c r="L2564" s="26" t="n">
        <v>0</v>
      </c>
      <c r="M2564" s="26" t="n">
        <v>0</v>
      </c>
      <c r="N2564" s="26" t="n">
        <v>0</v>
      </c>
      <c r="O2564" s="26" t="n">
        <v>0</v>
      </c>
      <c r="P2564" s="30" t="n">
        <v>-12.576365</v>
      </c>
      <c r="Q2564" s="30" t="n">
        <v>-41.71453</v>
      </c>
      <c r="R2564" s="14" t="inlineStr">
        <is>
          <t>RUA 22 DE ABRIL, 481, SANTA LÚZIA, SEABRA/BA</t>
        </is>
      </c>
      <c r="S2564" s="26">
        <f>IF(A2564=A2563,0,1)</f>
        <v>0</v>
      </c>
      <c r="T2564" s="26">
        <f>IF(COUNTIF($B$4:B2564,B2564)=1,1,0)</f>
        <v>0</v>
      </c>
    </row>
    <row r="2565">
      <c r="A2565" s="14" t="inlineStr">
        <is>
          <t>SEABRA</t>
        </is>
      </c>
      <c r="B2565" s="26" t="n">
        <v>88</v>
      </c>
      <c r="C2565" s="26" t="n">
        <v>1430</v>
      </c>
      <c r="D2565" s="14" t="inlineStr">
        <is>
          <t>ESCOLA MUNICIPAL DE ANGICO</t>
        </is>
      </c>
      <c r="E2565" s="14" t="inlineStr">
        <is>
          <t>POVOADO ANGICO</t>
        </is>
      </c>
      <c r="F2565" s="14" t="inlineStr">
        <is>
          <t>POVOADO ANGICO - ZONA RURAL</t>
        </is>
      </c>
      <c r="G2565" s="27" t="inlineStr">
        <is>
          <t>46900-970</t>
        </is>
      </c>
      <c r="H2565" s="15" t="n">
        <v>1</v>
      </c>
      <c r="I2565" s="28" t="inlineStr">
        <is>
          <t>NÃO</t>
        </is>
      </c>
      <c r="J2565" s="29" t="n"/>
      <c r="K2565" s="14" t="str">
        <f>IF(J2565="","7. Acima de 2 km",IF(J2565&lt;=50,"1. Até 50 m",IF(J2565&lt;=100,"2. De 50 a 100 m",IF(J2565&lt;=200,"3. De 100 a 200 m",IF(J2565&lt;=300,"4. De 200 a 300 m",IF(J2565&lt;=500,"5. De 300 a 500 m","6. De 500 m a 2 km"))))))</f>
        <v>7. Acima de 2 km</v>
      </c>
      <c r="L2565" s="26" t="n">
        <v>0</v>
      </c>
      <c r="M2565" s="26" t="n">
        <v>0</v>
      </c>
      <c r="N2565" s="26" t="n">
        <v>0</v>
      </c>
      <c r="O2565" s="26" t="n">
        <v>0</v>
      </c>
      <c r="P2565" s="30" t="n">
        <v>-12.5153417</v>
      </c>
      <c r="Q2565" s="30" t="n">
        <v>-41.9499583</v>
      </c>
      <c r="R2565" s="14" t="inlineStr">
        <is>
          <t>RUA 22 DE ABRIL, 481, SANTA LÚZIA, SEABRA/BA</t>
        </is>
      </c>
      <c r="S2565" s="26">
        <f>IF(A2565=A2564,0,1)</f>
        <v>0</v>
      </c>
      <c r="T2565" s="26">
        <f>IF(COUNTIF($B$4:B2565,B2565)=1,1,0)</f>
        <v>0</v>
      </c>
    </row>
    <row r="2566">
      <c r="A2566" s="14" t="inlineStr">
        <is>
          <t>SEABRA</t>
        </is>
      </c>
      <c r="B2566" s="26" t="n">
        <v>88</v>
      </c>
      <c r="C2566" s="26" t="n">
        <v>1449</v>
      </c>
      <c r="D2566" s="14" t="inlineStr">
        <is>
          <t>PREDIO ESCOLAR ANTONIO JOSE DOS SANTOS</t>
        </is>
      </c>
      <c r="E2566" s="14" t="inlineStr">
        <is>
          <t>POVOADO BAIXIO DA AGUADA</t>
        </is>
      </c>
      <c r="F2566" s="14" t="inlineStr">
        <is>
          <t>POVOADO BAXIO DA AGUADA - ZONA RURAL</t>
        </is>
      </c>
      <c r="G2566" s="27" t="inlineStr">
        <is>
          <t>46900-970</t>
        </is>
      </c>
      <c r="H2566" s="15" t="n">
        <v>2</v>
      </c>
      <c r="I2566" s="28" t="inlineStr">
        <is>
          <t>NÃO</t>
        </is>
      </c>
      <c r="J2566" s="29" t="n"/>
      <c r="K2566" s="14" t="str">
        <f>IF(J2566="","7. Acima de 2 km",IF(J2566&lt;=50,"1. Até 50 m",IF(J2566&lt;=100,"2. De 50 a 100 m",IF(J2566&lt;=200,"3. De 100 a 200 m",IF(J2566&lt;=300,"4. De 200 a 300 m",IF(J2566&lt;=500,"5. De 300 a 500 m","6. De 500 m a 2 km"))))))</f>
        <v>7. Acima de 2 km</v>
      </c>
      <c r="L2566" s="26" t="n">
        <v>0</v>
      </c>
      <c r="M2566" s="26" t="n">
        <v>0</v>
      </c>
      <c r="N2566" s="26" t="n">
        <v>0</v>
      </c>
      <c r="O2566" s="26" t="n">
        <v>0</v>
      </c>
      <c r="P2566" s="30" t="n">
        <v>-12.2825367</v>
      </c>
      <c r="Q2566" s="30" t="n">
        <v>-42.003075</v>
      </c>
      <c r="R2566" s="14" t="inlineStr">
        <is>
          <t>RUA 22 DE ABRIL, 481, SANTA LÚZIA, SEABRA/BA</t>
        </is>
      </c>
      <c r="S2566" s="26">
        <f>IF(A2566=A2565,0,1)</f>
        <v>0</v>
      </c>
      <c r="T2566" s="26">
        <f>IF(COUNTIF($B$4:B2566,B2566)=1,1,0)</f>
        <v>0</v>
      </c>
    </row>
    <row r="2567">
      <c r="A2567" s="14" t="inlineStr">
        <is>
          <t>SEABRA</t>
        </is>
      </c>
      <c r="B2567" s="26" t="n">
        <v>88</v>
      </c>
      <c r="C2567" s="26" t="n">
        <v>1457</v>
      </c>
      <c r="D2567" s="14" t="inlineStr">
        <is>
          <t>ESCOLA MUNICIPAL JOANA ANGELICA</t>
        </is>
      </c>
      <c r="E2567" s="14" t="inlineStr">
        <is>
          <t>POVOADO PRATA DE CIMA</t>
        </is>
      </c>
      <c r="F2567" s="14" t="inlineStr">
        <is>
          <t>POVOADO PRATA DE CIMA - ZONA RURAL</t>
        </is>
      </c>
      <c r="G2567" s="27" t="inlineStr">
        <is>
          <t>46900-970</t>
        </is>
      </c>
      <c r="H2567" s="15" t="n">
        <v>1</v>
      </c>
      <c r="I2567" s="28" t="inlineStr">
        <is>
          <t>NÃO</t>
        </is>
      </c>
      <c r="J2567" s="29" t="n"/>
      <c r="K2567" s="14" t="str">
        <f>IF(J2567="","7. Acima de 2 km",IF(J2567&lt;=50,"1. Até 50 m",IF(J2567&lt;=100,"2. De 50 a 100 m",IF(J2567&lt;=200,"3. De 100 a 200 m",IF(J2567&lt;=300,"4. De 200 a 300 m",IF(J2567&lt;=500,"5. De 300 a 500 m","6. De 500 m a 2 km"))))))</f>
        <v>7. Acima de 2 km</v>
      </c>
      <c r="L2567" s="26" t="n">
        <v>0</v>
      </c>
      <c r="M2567" s="26" t="n">
        <v>0</v>
      </c>
      <c r="N2567" s="26" t="n">
        <v>0</v>
      </c>
      <c r="O2567" s="26" t="n">
        <v>0</v>
      </c>
      <c r="P2567" s="30" t="n">
        <v>-12.374795</v>
      </c>
      <c r="Q2567" s="30" t="n">
        <v>-41.7449467</v>
      </c>
      <c r="R2567" s="14" t="inlineStr">
        <is>
          <t>RUA 22 DE ABRIL, 481, SANTA LÚZIA, SEABRA/BA</t>
        </is>
      </c>
      <c r="S2567" s="26">
        <f>IF(A2567=A2566,0,1)</f>
        <v>0</v>
      </c>
      <c r="T2567" s="26">
        <f>IF(COUNTIF($B$4:B2567,B2567)=1,1,0)</f>
        <v>0</v>
      </c>
    </row>
    <row r="2568">
      <c r="A2568" s="14" t="inlineStr">
        <is>
          <t>SEABRA</t>
        </is>
      </c>
      <c r="B2568" s="26" t="n">
        <v>88</v>
      </c>
      <c r="C2568" s="26" t="n">
        <v>1465</v>
      </c>
      <c r="D2568" s="14" t="inlineStr">
        <is>
          <t>EDUCANDARIO SAO FRANCISCO DE ASSIS</t>
        </is>
      </c>
      <c r="E2568" s="14" t="inlineStr">
        <is>
          <t>CENTRO</t>
        </is>
      </c>
      <c r="F2568" s="14" t="inlineStr">
        <is>
          <t>1A TRAVESSA MANOEL TEIXEIRA LEITE - ZONA URBANA</t>
        </is>
      </c>
      <c r="G2568" s="27" t="inlineStr">
        <is>
          <t>46900-970</t>
        </is>
      </c>
      <c r="H2568" s="15" t="n">
        <v>2</v>
      </c>
      <c r="I2568" s="28" t="inlineStr">
        <is>
          <t>NÃO</t>
        </is>
      </c>
      <c r="J2568" s="29" t="n">
        <v>420.6</v>
      </c>
      <c r="K2568" s="14" t="str">
        <f>IF(J2568="","7. Acima de 2 km",IF(J2568&lt;=50,"1. Até 50 m",IF(J2568&lt;=100,"2. De 50 a 100 m",IF(J2568&lt;=200,"3. De 100 a 200 m",IF(J2568&lt;=300,"4. De 200 a 300 m",IF(J2568&lt;=500,"5. De 300 a 500 m","6. De 500 m a 2 km"))))))</f>
        <v>5. De 300 a 500 m</v>
      </c>
      <c r="L2568" s="26" t="n">
        <v>0</v>
      </c>
      <c r="M2568" s="26" t="n">
        <v>0</v>
      </c>
      <c r="N2568" s="26" t="n">
        <v>0</v>
      </c>
      <c r="O2568" s="26" t="n">
        <v>0</v>
      </c>
      <c r="P2568" s="30" t="n">
        <v>-12.4152531</v>
      </c>
      <c r="Q2568" s="30" t="n">
        <v>-41.7681303</v>
      </c>
      <c r="R2568" s="14" t="inlineStr">
        <is>
          <t>RUA 22 DE ABRIL, 481, SANTA LÚZIA, SEABRA/BA</t>
        </is>
      </c>
      <c r="S2568" s="26">
        <f>IF(A2568=A2567,0,1)</f>
        <v>0</v>
      </c>
      <c r="T2568" s="26">
        <f>IF(COUNTIF($B$4:B2568,B2568)=1,1,0)</f>
        <v>0</v>
      </c>
    </row>
    <row r="2569">
      <c r="A2569" s="14" t="inlineStr">
        <is>
          <t>SEABRA</t>
        </is>
      </c>
      <c r="B2569" s="26" t="n">
        <v>88</v>
      </c>
      <c r="C2569" s="26" t="n">
        <v>1473</v>
      </c>
      <c r="D2569" s="14" t="inlineStr">
        <is>
          <t>ESCOLA MUNICIPAL DO AGRESTE</t>
        </is>
      </c>
      <c r="E2569" s="14" t="inlineStr">
        <is>
          <t>POVOADO AGRESTE I</t>
        </is>
      </c>
      <c r="F2569" s="14" t="inlineStr">
        <is>
          <t>POVOADO DO AGRESTE - ZONA RURAL</t>
        </is>
      </c>
      <c r="G2569" s="27" t="inlineStr">
        <is>
          <t>46900-970</t>
        </is>
      </c>
      <c r="H2569" s="15" t="n">
        <v>1</v>
      </c>
      <c r="I2569" s="28" t="inlineStr">
        <is>
          <t>NÃO</t>
        </is>
      </c>
      <c r="J2569" s="29" t="n"/>
      <c r="K2569" s="14" t="str">
        <f>IF(J2569="","7. Acima de 2 km",IF(J2569&lt;=50,"1. Até 50 m",IF(J2569&lt;=100,"2. De 50 a 100 m",IF(J2569&lt;=200,"3. De 100 a 200 m",IF(J2569&lt;=300,"4. De 200 a 300 m",IF(J2569&lt;=500,"5. De 300 a 500 m","6. De 500 m a 2 km"))))))</f>
        <v>7. Acima de 2 km</v>
      </c>
      <c r="L2569" s="26" t="n">
        <v>0</v>
      </c>
      <c r="M2569" s="26" t="n">
        <v>0</v>
      </c>
      <c r="N2569" s="26" t="n">
        <v>0</v>
      </c>
      <c r="O2569" s="26" t="n">
        <v>0</v>
      </c>
      <c r="P2569" s="30" t="n">
        <v>-12.5343536</v>
      </c>
      <c r="Q2569" s="30" t="n">
        <v>-41.875529</v>
      </c>
      <c r="R2569" s="14" t="inlineStr">
        <is>
          <t>RUA 22 DE ABRIL, 481, SANTA LÚZIA, SEABRA/BA</t>
        </is>
      </c>
      <c r="S2569" s="26">
        <f>IF(A2569=A2568,0,1)</f>
        <v>0</v>
      </c>
      <c r="T2569" s="26">
        <f>IF(COUNTIF($B$4:B2569,B2569)=1,1,0)</f>
        <v>0</v>
      </c>
    </row>
    <row r="2570">
      <c r="A2570" s="14" t="inlineStr">
        <is>
          <t>SEABRA</t>
        </is>
      </c>
      <c r="B2570" s="26" t="n">
        <v>88</v>
      </c>
      <c r="C2570" s="26" t="n">
        <v>1481</v>
      </c>
      <c r="D2570" s="14" t="inlineStr">
        <is>
          <t>ESCOLA MUNICIPAL VALDOMIRO GASPAR DE SOUZA</t>
        </is>
      </c>
      <c r="E2570" s="14" t="inlineStr">
        <is>
          <t>POVOADO VÃO DAS PALMEIRAS</t>
        </is>
      </c>
      <c r="F2570" s="14" t="inlineStr">
        <is>
          <t>POVOADO VÃO DAS PALMEIRAS - ZONA RURAL</t>
        </is>
      </c>
      <c r="G2570" s="27" t="inlineStr">
        <is>
          <t>46900-970</t>
        </is>
      </c>
      <c r="H2570" s="15" t="n">
        <v>1</v>
      </c>
      <c r="I2570" s="28" t="inlineStr">
        <is>
          <t>NÃO</t>
        </is>
      </c>
      <c r="J2570" s="29" t="n"/>
      <c r="K2570" s="14" t="str">
        <f>IF(J2570="","7. Acima de 2 km",IF(J2570&lt;=50,"1. Até 50 m",IF(J2570&lt;=100,"2. De 50 a 100 m",IF(J2570&lt;=200,"3. De 100 a 200 m",IF(J2570&lt;=300,"4. De 200 a 300 m",IF(J2570&lt;=500,"5. De 300 a 500 m","6. De 500 m a 2 km"))))))</f>
        <v>7. Acima de 2 km</v>
      </c>
      <c r="L2570" s="26" t="n">
        <v>0</v>
      </c>
      <c r="M2570" s="26" t="n">
        <v>0</v>
      </c>
      <c r="N2570" s="26" t="n">
        <v>0</v>
      </c>
      <c r="O2570" s="26" t="n">
        <v>0</v>
      </c>
      <c r="P2570" s="30" t="n">
        <v>-12.55659344</v>
      </c>
      <c r="Q2570" s="30" t="n">
        <v>-41.84185901</v>
      </c>
      <c r="R2570" s="14" t="inlineStr">
        <is>
          <t>RUA 22 DE ABRIL, 481, SANTA LÚZIA, SEABRA/BA</t>
        </is>
      </c>
      <c r="S2570" s="26">
        <f>IF(A2570=A2569,0,1)</f>
        <v>0</v>
      </c>
      <c r="T2570" s="26">
        <f>IF(COUNTIF($B$4:B2570,B2570)=1,1,0)</f>
        <v>0</v>
      </c>
    </row>
    <row r="2571">
      <c r="A2571" s="14" t="inlineStr">
        <is>
          <t>SEABRA</t>
        </is>
      </c>
      <c r="B2571" s="26" t="n">
        <v>88</v>
      </c>
      <c r="C2571" s="26" t="n">
        <v>1490</v>
      </c>
      <c r="D2571" s="14" t="inlineStr">
        <is>
          <t>ASSOCIAÇÃO QUILOMBOLA DE SERRA DO QUEIMADÃO</t>
        </is>
      </c>
      <c r="E2571" s="14" t="inlineStr">
        <is>
          <t>POVOADO SERRA DO QUEIMADÃO</t>
        </is>
      </c>
      <c r="F2571" s="14" t="inlineStr">
        <is>
          <t>POVOADO SERRA DO QUEIMADAO - ZONA RURAL</t>
        </is>
      </c>
      <c r="G2571" s="27" t="inlineStr">
        <is>
          <t>46900-970</t>
        </is>
      </c>
      <c r="H2571" s="15" t="n">
        <v>1</v>
      </c>
      <c r="I2571" s="28" t="inlineStr">
        <is>
          <t>NÃO</t>
        </is>
      </c>
      <c r="J2571" s="29" t="n"/>
      <c r="K2571" s="14" t="str">
        <f>IF(J2571="","7. Acima de 2 km",IF(J2571&lt;=50,"1. Até 50 m",IF(J2571&lt;=100,"2. De 50 a 100 m",IF(J2571&lt;=200,"3. De 100 a 200 m",IF(J2571&lt;=300,"4. De 200 a 300 m",IF(J2571&lt;=500,"5. De 300 a 500 m","6. De 500 m a 2 km"))))))</f>
        <v>7. Acima de 2 km</v>
      </c>
      <c r="L2571" s="26" t="n">
        <v>0</v>
      </c>
      <c r="M2571" s="26" t="n">
        <v>0</v>
      </c>
      <c r="N2571" s="26" t="n">
        <v>0</v>
      </c>
      <c r="O2571" s="26" t="n">
        <v>0</v>
      </c>
      <c r="P2571" s="30" t="n">
        <v>-12.589575</v>
      </c>
      <c r="Q2571" s="30" t="n">
        <v>-41.86427</v>
      </c>
      <c r="R2571" s="14" t="inlineStr">
        <is>
          <t>RUA 22 DE ABRIL, 481, SANTA LÚZIA, SEABRA/BA</t>
        </is>
      </c>
      <c r="S2571" s="26">
        <f>IF(A2571=A2570,0,1)</f>
        <v>0</v>
      </c>
      <c r="T2571" s="26">
        <f>IF(COUNTIF($B$4:B2571,B2571)=1,1,0)</f>
        <v>0</v>
      </c>
    </row>
    <row r="2572">
      <c r="A2572" s="14" t="inlineStr">
        <is>
          <t>SEABRA</t>
        </is>
      </c>
      <c r="B2572" s="26" t="n">
        <v>88</v>
      </c>
      <c r="C2572" s="26" t="n">
        <v>1503</v>
      </c>
      <c r="D2572" s="14" t="inlineStr">
        <is>
          <t>PREDIO ESCOLAR SANTO ANTONIO</t>
        </is>
      </c>
      <c r="E2572" s="14" t="inlineStr">
        <is>
          <t>POVOADO BARAÚNAS DO COCHÓ DO MALHEIRO</t>
        </is>
      </c>
      <c r="F2572" s="14" t="inlineStr">
        <is>
          <t>POVOADO BARAUNAS DO COCHO DO MALHEIRO - ZONA RURAL</t>
        </is>
      </c>
      <c r="G2572" s="27" t="inlineStr">
        <is>
          <t>46900-970</t>
        </is>
      </c>
      <c r="H2572" s="15" t="n">
        <v>1</v>
      </c>
      <c r="I2572" s="28" t="inlineStr">
        <is>
          <t>NÃO</t>
        </is>
      </c>
      <c r="J2572" s="29" t="n"/>
      <c r="K2572" s="14" t="str">
        <f>IF(J2572="","7. Acima de 2 km",IF(J2572&lt;=50,"1. Até 50 m",IF(J2572&lt;=100,"2. De 50 a 100 m",IF(J2572&lt;=200,"3. De 100 a 200 m",IF(J2572&lt;=300,"4. De 200 a 300 m",IF(J2572&lt;=500,"5. De 300 a 500 m","6. De 500 m a 2 km"))))))</f>
        <v>7. Acima de 2 km</v>
      </c>
      <c r="L2572" s="26" t="n">
        <v>0</v>
      </c>
      <c r="M2572" s="26" t="n">
        <v>0</v>
      </c>
      <c r="N2572" s="26" t="n">
        <v>0</v>
      </c>
      <c r="O2572" s="26" t="n">
        <v>0</v>
      </c>
      <c r="P2572" s="30" t="n">
        <v>-12.4362882</v>
      </c>
      <c r="Q2572" s="30" t="n">
        <v>-41.631902</v>
      </c>
      <c r="R2572" s="14" t="inlineStr">
        <is>
          <t>RUA 22 DE ABRIL, 481, SANTA LÚZIA, SEABRA/BA</t>
        </is>
      </c>
      <c r="S2572" s="26">
        <f>IF(A2572=A2571,0,1)</f>
        <v>0</v>
      </c>
      <c r="T2572" s="26">
        <f>IF(COUNTIF($B$4:B2572,B2572)=1,1,0)</f>
        <v>0</v>
      </c>
    </row>
    <row r="2573">
      <c r="A2573" s="14" t="inlineStr">
        <is>
          <t>SEABRA</t>
        </is>
      </c>
      <c r="B2573" s="26" t="n">
        <v>88</v>
      </c>
      <c r="C2573" s="26" t="n">
        <v>1511</v>
      </c>
      <c r="D2573" s="14" t="inlineStr">
        <is>
          <t>PREDIO ESCOLAR DO RIACHO</t>
        </is>
      </c>
      <c r="E2573" s="14" t="inlineStr">
        <is>
          <t>POVOADO RIACHO</t>
        </is>
      </c>
      <c r="F2573" s="14" t="inlineStr">
        <is>
          <t>POVOADO RIACHO - ZONA RURAL</t>
        </is>
      </c>
      <c r="G2573" s="27" t="inlineStr">
        <is>
          <t>46900-970</t>
        </is>
      </c>
      <c r="H2573" s="15" t="n">
        <v>1</v>
      </c>
      <c r="I2573" s="28" t="inlineStr">
        <is>
          <t>NÃO</t>
        </is>
      </c>
      <c r="J2573" s="29" t="n"/>
      <c r="K2573" s="14" t="str">
        <f>IF(J2573="","7. Acima de 2 km",IF(J2573&lt;=50,"1. Até 50 m",IF(J2573&lt;=100,"2. De 50 a 100 m",IF(J2573&lt;=200,"3. De 100 a 200 m",IF(J2573&lt;=300,"4. De 200 a 300 m",IF(J2573&lt;=500,"5. De 300 a 500 m","6. De 500 m a 2 km"))))))</f>
        <v>7. Acima de 2 km</v>
      </c>
      <c r="L2573" s="26" t="n">
        <v>0</v>
      </c>
      <c r="M2573" s="26" t="n">
        <v>0</v>
      </c>
      <c r="N2573" s="26" t="n">
        <v>0</v>
      </c>
      <c r="O2573" s="26" t="n">
        <v>0</v>
      </c>
      <c r="P2573" s="30" t="n">
        <v>-12.4938234</v>
      </c>
      <c r="Q2573" s="30" t="n">
        <v>-41.8484784</v>
      </c>
      <c r="R2573" s="14" t="inlineStr">
        <is>
          <t>RUA 22 DE ABRIL, 481, SANTA LÚZIA, SEABRA/BA</t>
        </is>
      </c>
      <c r="S2573" s="26">
        <f>IF(A2573=A2572,0,1)</f>
        <v>0</v>
      </c>
      <c r="T2573" s="26">
        <f>IF(COUNTIF($B$4:B2573,B2573)=1,1,0)</f>
        <v>0</v>
      </c>
    </row>
    <row r="2574">
      <c r="A2574" s="14" t="inlineStr">
        <is>
          <t>SEABRA</t>
        </is>
      </c>
      <c r="B2574" s="26" t="n">
        <v>88</v>
      </c>
      <c r="C2574" s="26" t="n">
        <v>1520</v>
      </c>
      <c r="D2574" s="14" t="inlineStr">
        <is>
          <t>PREDIO ESCOLAR ANTONIO FRANCISCO MENDES</t>
        </is>
      </c>
      <c r="E2574" s="14" t="inlineStr">
        <is>
          <t>POVOADO MATA DOS MENDES</t>
        </is>
      </c>
      <c r="F2574" s="14" t="inlineStr">
        <is>
          <t>POVOADO MATA DOS MENDES - ZONA RURAL</t>
        </is>
      </c>
      <c r="G2574" s="27" t="inlineStr">
        <is>
          <t>46900-970</t>
        </is>
      </c>
      <c r="H2574" s="15" t="n">
        <v>1</v>
      </c>
      <c r="I2574" s="28" t="inlineStr">
        <is>
          <t>NÃO</t>
        </is>
      </c>
      <c r="J2574" s="29" t="n"/>
      <c r="K2574" s="14" t="str">
        <f>IF(J2574="","7. Acima de 2 km",IF(J2574&lt;=50,"1. Até 50 m",IF(J2574&lt;=100,"2. De 50 a 100 m",IF(J2574&lt;=200,"3. De 100 a 200 m",IF(J2574&lt;=300,"4. De 200 a 300 m",IF(J2574&lt;=500,"5. De 300 a 500 m","6. De 500 m a 2 km"))))))</f>
        <v>7. Acima de 2 km</v>
      </c>
      <c r="L2574" s="26" t="n">
        <v>0</v>
      </c>
      <c r="M2574" s="26" t="n">
        <v>0</v>
      </c>
      <c r="N2574" s="26" t="n">
        <v>0</v>
      </c>
      <c r="O2574" s="26" t="n">
        <v>0</v>
      </c>
      <c r="P2574" s="30" t="n">
        <v>-12.42393</v>
      </c>
      <c r="Q2574" s="30" t="n">
        <v>-41.9939383</v>
      </c>
      <c r="R2574" s="14" t="inlineStr">
        <is>
          <t>RUA 22 DE ABRIL, 481, SANTA LÚZIA, SEABRA/BA</t>
        </is>
      </c>
      <c r="S2574" s="26">
        <f>IF(A2574=A2573,0,1)</f>
        <v>0</v>
      </c>
      <c r="T2574" s="26">
        <f>IF(COUNTIF($B$4:B2574,B2574)=1,1,0)</f>
        <v>0</v>
      </c>
    </row>
    <row r="2575">
      <c r="A2575" s="14" t="inlineStr">
        <is>
          <t>SEABRA</t>
        </is>
      </c>
      <c r="B2575" s="26" t="n">
        <v>88</v>
      </c>
      <c r="C2575" s="26" t="n">
        <v>1538</v>
      </c>
      <c r="D2575" s="14" t="inlineStr">
        <is>
          <t>ASSOCIAÇÃO COMUNITÁRIA DOS MORADORES DE POÇO GRANDE</t>
        </is>
      </c>
      <c r="E2575" s="14" t="inlineStr">
        <is>
          <t>POVOADO DE POÇO GRANDE</t>
        </is>
      </c>
      <c r="F2575" s="14" t="inlineStr">
        <is>
          <t>POVOADO DO POÇO GRANDE, S/N - ZONA RURAL</t>
        </is>
      </c>
      <c r="G2575" s="27" t="inlineStr">
        <is>
          <t>46900-000</t>
        </is>
      </c>
      <c r="H2575" s="15" t="n">
        <v>2</v>
      </c>
      <c r="I2575" s="28" t="inlineStr">
        <is>
          <t>NÃO</t>
        </is>
      </c>
      <c r="J2575" s="29" t="n"/>
      <c r="K2575" s="14" t="str">
        <f>IF(J2575="","7. Acima de 2 km",IF(J2575&lt;=50,"1. Até 50 m",IF(J2575&lt;=100,"2. De 50 a 100 m",IF(J2575&lt;=200,"3. De 100 a 200 m",IF(J2575&lt;=300,"4. De 200 a 300 m",IF(J2575&lt;=500,"5. De 300 a 500 m","6. De 500 m a 2 km"))))))</f>
        <v>7. Acima de 2 km</v>
      </c>
      <c r="L2575" s="26" t="n">
        <v>0</v>
      </c>
      <c r="M2575" s="26" t="n">
        <v>0</v>
      </c>
      <c r="N2575" s="26" t="n">
        <v>0</v>
      </c>
      <c r="O2575" s="26" t="n">
        <v>0</v>
      </c>
      <c r="P2575" s="30" t="n">
        <v>-12.4491471</v>
      </c>
      <c r="Q2575" s="30" t="n">
        <v>-41.7796913</v>
      </c>
      <c r="R2575" s="14" t="inlineStr">
        <is>
          <t>RUA 22 DE ABRIL, 481, SANTA LÚZIA, SEABRA/BA</t>
        </is>
      </c>
      <c r="S2575" s="26">
        <f>IF(A2575=A2574,0,1)</f>
        <v>0</v>
      </c>
      <c r="T2575" s="26">
        <f>IF(COUNTIF($B$4:B2575,B2575)=1,1,0)</f>
        <v>0</v>
      </c>
    </row>
    <row r="2576">
      <c r="A2576" s="14" t="inlineStr">
        <is>
          <t>SEABRA</t>
        </is>
      </c>
      <c r="B2576" s="26" t="n">
        <v>88</v>
      </c>
      <c r="C2576" s="26" t="n">
        <v>1546</v>
      </c>
      <c r="D2576" s="14" t="inlineStr">
        <is>
          <t>ESCOLA MUNICIPAL NOSSA SENHORA DE FATIMA</t>
        </is>
      </c>
      <c r="E2576" s="14" t="inlineStr">
        <is>
          <t>POVOADO CAPÃO DAS GAMELAS</t>
        </is>
      </c>
      <c r="F2576" s="14" t="inlineStr">
        <is>
          <t>POVOADO CAPAO DAS GAMELAS - ZONA RURAL</t>
        </is>
      </c>
      <c r="G2576" s="27" t="inlineStr">
        <is>
          <t>46900-970</t>
        </is>
      </c>
      <c r="H2576" s="15" t="n">
        <v>1</v>
      </c>
      <c r="I2576" s="28" t="inlineStr">
        <is>
          <t>NÃO</t>
        </is>
      </c>
      <c r="J2576" s="29" t="n"/>
      <c r="K2576" s="14" t="str">
        <f>IF(J2576="","7. Acima de 2 km",IF(J2576&lt;=50,"1. Até 50 m",IF(J2576&lt;=100,"2. De 50 a 100 m",IF(J2576&lt;=200,"3. De 100 a 200 m",IF(J2576&lt;=300,"4. De 200 a 300 m",IF(J2576&lt;=500,"5. De 300 a 500 m","6. De 500 m a 2 km"))))))</f>
        <v>7. Acima de 2 km</v>
      </c>
      <c r="L2576" s="26" t="n">
        <v>0</v>
      </c>
      <c r="M2576" s="26" t="n">
        <v>0</v>
      </c>
      <c r="N2576" s="26" t="n">
        <v>0</v>
      </c>
      <c r="O2576" s="26" t="n">
        <v>0</v>
      </c>
      <c r="P2576" s="30" t="n">
        <v>-12.57851</v>
      </c>
      <c r="Q2576" s="30" t="n">
        <v>-41.8502733</v>
      </c>
      <c r="R2576" s="14" t="inlineStr">
        <is>
          <t>RUA 22 DE ABRIL, 481, SANTA LÚZIA, SEABRA/BA</t>
        </is>
      </c>
      <c r="S2576" s="26">
        <f>IF(A2576=A2575,0,1)</f>
        <v>0</v>
      </c>
      <c r="T2576" s="26">
        <f>IF(COUNTIF($B$4:B2576,B2576)=1,1,0)</f>
        <v>0</v>
      </c>
    </row>
    <row r="2577">
      <c r="A2577" s="14" t="inlineStr">
        <is>
          <t>SEABRA</t>
        </is>
      </c>
      <c r="B2577" s="26" t="n">
        <v>88</v>
      </c>
      <c r="C2577" s="26" t="n">
        <v>1554</v>
      </c>
      <c r="D2577" s="14" t="inlineStr">
        <is>
          <t>ESCOLA MUNICIPAL DO POVOADO DE VEREDINHA</t>
        </is>
      </c>
      <c r="E2577" s="14" t="inlineStr">
        <is>
          <t>POVOADO VEREDINHA</t>
        </is>
      </c>
      <c r="F2577" s="14" t="inlineStr">
        <is>
          <t>POVOADO VEREDINHA - ZONA RURAL</t>
        </is>
      </c>
      <c r="G2577" s="27" t="inlineStr">
        <is>
          <t>46900-970</t>
        </is>
      </c>
      <c r="H2577" s="15" t="n">
        <v>1</v>
      </c>
      <c r="I2577" s="28" t="inlineStr">
        <is>
          <t>NÃO</t>
        </is>
      </c>
      <c r="J2577" s="29" t="n"/>
      <c r="K2577" s="14" t="str">
        <f>IF(J2577="","7. Acima de 2 km",IF(J2577&lt;=50,"1. Até 50 m",IF(J2577&lt;=100,"2. De 50 a 100 m",IF(J2577&lt;=200,"3. De 100 a 200 m",IF(J2577&lt;=300,"4. De 200 a 300 m",IF(J2577&lt;=500,"5. De 300 a 500 m","6. De 500 m a 2 km"))))))</f>
        <v>7. Acima de 2 km</v>
      </c>
      <c r="L2577" s="26" t="n">
        <v>0</v>
      </c>
      <c r="M2577" s="26" t="n">
        <v>0</v>
      </c>
      <c r="N2577" s="26" t="n">
        <v>0</v>
      </c>
      <c r="O2577" s="26" t="n">
        <v>0</v>
      </c>
      <c r="P2577" s="30" t="n">
        <v>-12.3951233</v>
      </c>
      <c r="Q2577" s="30" t="n">
        <v>-41.8813517</v>
      </c>
      <c r="R2577" s="14" t="inlineStr">
        <is>
          <t>RUA 22 DE ABRIL, 481, SANTA LÚZIA, SEABRA/BA</t>
        </is>
      </c>
      <c r="S2577" s="26">
        <f>IF(A2577=A2576,0,1)</f>
        <v>0</v>
      </c>
      <c r="T2577" s="26">
        <f>IF(COUNTIF($B$4:B2577,B2577)=1,1,0)</f>
        <v>0</v>
      </c>
    </row>
    <row r="2578">
      <c r="A2578" s="14" t="inlineStr">
        <is>
          <t>SEABRA</t>
        </is>
      </c>
      <c r="B2578" s="26" t="n">
        <v>88</v>
      </c>
      <c r="C2578" s="26" t="n">
        <v>1562</v>
      </c>
      <c r="D2578" s="14" t="inlineStr">
        <is>
          <t>PREDIO ESCOLAR MUNICIPAL LEONARDO PEREIRA DE SOUZA</t>
        </is>
      </c>
      <c r="E2578" s="14" t="inlineStr">
        <is>
          <t>POVOADO RIACHO DAS PALMEIRAS</t>
        </is>
      </c>
      <c r="F2578" s="14" t="inlineStr">
        <is>
          <t>POVOADO RIACHO DAS PALMEIRAS - ZONA RURAL</t>
        </is>
      </c>
      <c r="G2578" s="27" t="inlineStr">
        <is>
          <t>46900-970</t>
        </is>
      </c>
      <c r="H2578" s="15" t="n">
        <v>1</v>
      </c>
      <c r="I2578" s="28" t="inlineStr">
        <is>
          <t>NÃO</t>
        </is>
      </c>
      <c r="J2578" s="29" t="n"/>
      <c r="K2578" s="14" t="str">
        <f>IF(J2578="","7. Acima de 2 km",IF(J2578&lt;=50,"1. Até 50 m",IF(J2578&lt;=100,"2. De 50 a 100 m",IF(J2578&lt;=200,"3. De 100 a 200 m",IF(J2578&lt;=300,"4. De 200 a 300 m",IF(J2578&lt;=500,"5. De 300 a 500 m","6. De 500 m a 2 km"))))))</f>
        <v>7. Acima de 2 km</v>
      </c>
      <c r="L2578" s="26" t="n">
        <v>0</v>
      </c>
      <c r="M2578" s="26" t="n">
        <v>0</v>
      </c>
      <c r="N2578" s="26" t="n">
        <v>0</v>
      </c>
      <c r="O2578" s="26" t="n">
        <v>0</v>
      </c>
      <c r="P2578" s="30" t="n">
        <v>-12.3452718</v>
      </c>
      <c r="Q2578" s="30" t="n">
        <v>-41.864743</v>
      </c>
      <c r="R2578" s="14" t="inlineStr">
        <is>
          <t>RUA 22 DE ABRIL, 481, SANTA LÚZIA, SEABRA/BA</t>
        </is>
      </c>
      <c r="S2578" s="26">
        <f>IF(A2578=A2577,0,1)</f>
        <v>0</v>
      </c>
      <c r="T2578" s="26">
        <f>IF(COUNTIF($B$4:B2578,B2578)=1,1,0)</f>
        <v>0</v>
      </c>
    </row>
    <row r="2579">
      <c r="A2579" s="14" t="inlineStr">
        <is>
          <t>SEABRA</t>
        </is>
      </c>
      <c r="B2579" s="26" t="n">
        <v>88</v>
      </c>
      <c r="C2579" s="26" t="n">
        <v>1570</v>
      </c>
      <c r="D2579" s="14" t="inlineStr">
        <is>
          <t>ESCOLA MUNICIPAL DO BAIRRO UNIAO</t>
        </is>
      </c>
      <c r="E2579" s="14" t="inlineStr">
        <is>
          <t>UNIÃO</t>
        </is>
      </c>
      <c r="F2579" s="14" t="inlineStr">
        <is>
          <t>RUA SANTA LUZIA,S/N - ZONA URBANA</t>
        </is>
      </c>
      <c r="G2579" s="27" t="inlineStr">
        <is>
          <t>46900-970</t>
        </is>
      </c>
      <c r="H2579" s="15" t="n">
        <v>2</v>
      </c>
      <c r="I2579" s="28" t="inlineStr">
        <is>
          <t>NÃO</t>
        </is>
      </c>
      <c r="J2579" s="29" t="n">
        <v>214.8</v>
      </c>
      <c r="K2579" s="14" t="str">
        <f>IF(J2579="","7. Acima de 2 km",IF(J2579&lt;=50,"1. Até 50 m",IF(J2579&lt;=100,"2. De 50 a 100 m",IF(J2579&lt;=200,"3. De 100 a 200 m",IF(J2579&lt;=300,"4. De 200 a 300 m",IF(J2579&lt;=500,"5. De 300 a 500 m","6. De 500 m a 2 km"))))))</f>
        <v>4. De 200 a 300 m</v>
      </c>
      <c r="L2579" s="26" t="n">
        <v>0</v>
      </c>
      <c r="M2579" s="26" t="n">
        <v>0</v>
      </c>
      <c r="N2579" s="26" t="n">
        <v>0</v>
      </c>
      <c r="O2579" s="26" t="n">
        <v>1</v>
      </c>
      <c r="P2579" s="30" t="n">
        <v>-12.4320115</v>
      </c>
      <c r="Q2579" s="30" t="n">
        <v>-41.7717391</v>
      </c>
      <c r="R2579" s="14" t="inlineStr">
        <is>
          <t>RUA 22 DE ABRIL, 481, SANTA LÚZIA, SEABRA/BA</t>
        </is>
      </c>
      <c r="S2579" s="26">
        <f>IF(A2579=A2578,0,1)</f>
        <v>0</v>
      </c>
      <c r="T2579" s="26">
        <f>IF(COUNTIF($B$4:B2579,B2579)=1,1,0)</f>
        <v>0</v>
      </c>
    </row>
    <row r="2580">
      <c r="A2580" s="14" t="inlineStr">
        <is>
          <t>SEABRA</t>
        </is>
      </c>
      <c r="B2580" s="26" t="n">
        <v>88</v>
      </c>
      <c r="C2580" s="26" t="n">
        <v>1589</v>
      </c>
      <c r="D2580" s="14" t="inlineStr">
        <is>
          <t>PREDIO ESCOLAR DE PASSAGEM FUNDA</t>
        </is>
      </c>
      <c r="E2580" s="14" t="inlineStr">
        <is>
          <t>POVOADO DE PASSAGEM FUNDA</t>
        </is>
      </c>
      <c r="F2580" s="14" t="inlineStr">
        <is>
          <t>POVOADO DE PASSAGEM FUNDA - ZONA RURAL</t>
        </is>
      </c>
      <c r="G2580" s="27" t="inlineStr">
        <is>
          <t>46900-970</t>
        </is>
      </c>
      <c r="H2580" s="15" t="n">
        <v>2</v>
      </c>
      <c r="I2580" s="28" t="inlineStr">
        <is>
          <t>NÃO</t>
        </is>
      </c>
      <c r="J2580" s="29" t="n"/>
      <c r="K2580" s="14" t="str">
        <f>IF(J2580="","7. Acima de 2 km",IF(J2580&lt;=50,"1. Até 50 m",IF(J2580&lt;=100,"2. De 50 a 100 m",IF(J2580&lt;=200,"3. De 100 a 200 m",IF(J2580&lt;=300,"4. De 200 a 300 m",IF(J2580&lt;=500,"5. De 300 a 500 m","6. De 500 m a 2 km"))))))</f>
        <v>7. Acima de 2 km</v>
      </c>
      <c r="L2580" s="26" t="n">
        <v>0</v>
      </c>
      <c r="M2580" s="26" t="n">
        <v>0</v>
      </c>
      <c r="N2580" s="26" t="n">
        <v>0</v>
      </c>
      <c r="O2580" s="26" t="n">
        <v>0</v>
      </c>
      <c r="P2580" s="30" t="n">
        <v>-12.5276848</v>
      </c>
      <c r="Q2580" s="30" t="n">
        <v>-41.7986856</v>
      </c>
      <c r="R2580" s="14" t="inlineStr">
        <is>
          <t>RUA 22 DE ABRIL, 481, SANTA LÚZIA, SEABRA/BA</t>
        </is>
      </c>
      <c r="S2580" s="26">
        <f>IF(A2580=A2579,0,1)</f>
        <v>0</v>
      </c>
      <c r="T2580" s="26">
        <f>IF(COUNTIF($B$4:B2580,B2580)=1,1,0)</f>
        <v>0</v>
      </c>
    </row>
    <row r="2581">
      <c r="A2581" s="14" t="inlineStr">
        <is>
          <t>SEABRA</t>
        </is>
      </c>
      <c r="B2581" s="26" t="n">
        <v>88</v>
      </c>
      <c r="C2581" s="26" t="n">
        <v>1597</v>
      </c>
      <c r="D2581" s="14" t="inlineStr">
        <is>
          <t>ASSOCIAÇÃO COMUNITÁRIA DO MOLHA GIBÃO</t>
        </is>
      </c>
      <c r="E2581" s="14" t="inlineStr">
        <is>
          <t>POVOADO MOLHA GIBÃO</t>
        </is>
      </c>
      <c r="F2581" s="14" t="inlineStr">
        <is>
          <t>POVOADO MOLHA GIBAO - ZONA RURAL</t>
        </is>
      </c>
      <c r="G2581" s="27" t="inlineStr">
        <is>
          <t>46900-970</t>
        </is>
      </c>
      <c r="H2581" s="15" t="n">
        <v>2</v>
      </c>
      <c r="I2581" s="28" t="inlineStr">
        <is>
          <t>NÃO</t>
        </is>
      </c>
      <c r="J2581" s="29" t="n"/>
      <c r="K2581" s="14" t="str">
        <f>IF(J2581="","7. Acima de 2 km",IF(J2581&lt;=50,"1. Até 50 m",IF(J2581&lt;=100,"2. De 50 a 100 m",IF(J2581&lt;=200,"3. De 100 a 200 m",IF(J2581&lt;=300,"4. De 200 a 300 m",IF(J2581&lt;=500,"5. De 300 a 500 m","6. De 500 m a 2 km"))))))</f>
        <v>7. Acima de 2 km</v>
      </c>
      <c r="L2581" s="26" t="n">
        <v>0</v>
      </c>
      <c r="M2581" s="26" t="n">
        <v>0</v>
      </c>
      <c r="N2581" s="26" t="n">
        <v>0</v>
      </c>
      <c r="O2581" s="26" t="n">
        <v>0</v>
      </c>
      <c r="P2581" s="30" t="n">
        <v>-12.5168722</v>
      </c>
      <c r="Q2581" s="30" t="n">
        <v>-41.7142703</v>
      </c>
      <c r="R2581" s="14" t="inlineStr">
        <is>
          <t>RUA 22 DE ABRIL, 481, SANTA LÚZIA, SEABRA/BA</t>
        </is>
      </c>
      <c r="S2581" s="26">
        <f>IF(A2581=A2580,0,1)</f>
        <v>0</v>
      </c>
      <c r="T2581" s="26">
        <f>IF(COUNTIF($B$4:B2581,B2581)=1,1,0)</f>
        <v>0</v>
      </c>
    </row>
    <row r="2582">
      <c r="A2582" s="14" t="inlineStr">
        <is>
          <t>SEABRA</t>
        </is>
      </c>
      <c r="B2582" s="26" t="n">
        <v>88</v>
      </c>
      <c r="C2582" s="26" t="n">
        <v>1600</v>
      </c>
      <c r="D2582" s="14" t="inlineStr">
        <is>
          <t>ESCOLA MUNICIPAL FRANCISCO DE CALDAS</t>
        </is>
      </c>
      <c r="E2582" s="14" t="inlineStr">
        <is>
          <t>DISTRITO VÁRZEA DO CALDAS</t>
        </is>
      </c>
      <c r="F2582" s="14" t="inlineStr">
        <is>
          <t>DISTRITO VÁRZEA DO CALDAS - ZONA RURAL</t>
        </is>
      </c>
      <c r="G2582" s="27" t="inlineStr">
        <is>
          <t>46900-970</t>
        </is>
      </c>
      <c r="H2582" s="15" t="n">
        <v>1</v>
      </c>
      <c r="I2582" s="28" t="inlineStr">
        <is>
          <t>NÃO</t>
        </is>
      </c>
      <c r="J2582" s="29" t="n"/>
      <c r="K2582" s="14" t="str">
        <f>IF(J2582="","7. Acima de 2 km",IF(J2582&lt;=50,"1. Até 50 m",IF(J2582&lt;=100,"2. De 50 a 100 m",IF(J2582&lt;=200,"3. De 100 a 200 m",IF(J2582&lt;=300,"4. De 200 a 300 m",IF(J2582&lt;=500,"5. De 300 a 500 m","6. De 500 m a 2 km"))))))</f>
        <v>7. Acima de 2 km</v>
      </c>
      <c r="L2582" s="26" t="n">
        <v>0</v>
      </c>
      <c r="M2582" s="26" t="n">
        <v>0</v>
      </c>
      <c r="N2582" s="26" t="n">
        <v>0</v>
      </c>
      <c r="O2582" s="26" t="n">
        <v>0</v>
      </c>
      <c r="P2582" s="30" t="n">
        <v>-12.5265898</v>
      </c>
      <c r="Q2582" s="30" t="n">
        <v>-41.7311402</v>
      </c>
      <c r="R2582" s="14" t="inlineStr">
        <is>
          <t>RUA 22 DE ABRIL, 481, SANTA LÚZIA, SEABRA/BA</t>
        </is>
      </c>
      <c r="S2582" s="26">
        <f>IF(A2582=A2581,0,1)</f>
        <v>0</v>
      </c>
      <c r="T2582" s="26">
        <f>IF(COUNTIF($B$4:B2582,B2582)=1,1,0)</f>
        <v>0</v>
      </c>
    </row>
    <row r="2583">
      <c r="A2583" s="14" t="inlineStr">
        <is>
          <t>SEABRA</t>
        </is>
      </c>
      <c r="B2583" s="26" t="n">
        <v>88</v>
      </c>
      <c r="C2583" s="26" t="n">
        <v>1619</v>
      </c>
      <c r="D2583" s="14" t="inlineStr">
        <is>
          <t>ESCOLA MUNICIPAL JOAQUIM PASSOS DE ALCÂNTARA</t>
        </is>
      </c>
      <c r="E2583" s="14" t="inlineStr">
        <is>
          <t>POVOADO BAIXIO DO ANGICAL</t>
        </is>
      </c>
      <c r="F2583" s="14" t="inlineStr">
        <is>
          <t>POVOADO BAIXIO DO ANGICAL - ZONA RURAL</t>
        </is>
      </c>
      <c r="G2583" s="27" t="inlineStr">
        <is>
          <t>46900-970</t>
        </is>
      </c>
      <c r="H2583" s="15" t="n">
        <v>1</v>
      </c>
      <c r="I2583" s="28" t="inlineStr">
        <is>
          <t>NÃO</t>
        </is>
      </c>
      <c r="J2583" s="29" t="n"/>
      <c r="K2583" s="14" t="str">
        <f>IF(J2583="","7. Acima de 2 km",IF(J2583&lt;=50,"1. Até 50 m",IF(J2583&lt;=100,"2. De 50 a 100 m",IF(J2583&lt;=200,"3. De 100 a 200 m",IF(J2583&lt;=300,"4. De 200 a 300 m",IF(J2583&lt;=500,"5. De 300 a 500 m","6. De 500 m a 2 km"))))))</f>
        <v>7. Acima de 2 km</v>
      </c>
      <c r="L2583" s="26" t="n">
        <v>0</v>
      </c>
      <c r="M2583" s="26" t="n">
        <v>0</v>
      </c>
      <c r="N2583" s="26" t="n">
        <v>0</v>
      </c>
      <c r="O2583" s="26" t="n">
        <v>0</v>
      </c>
      <c r="P2583" s="30" t="n">
        <v>-12.3305483</v>
      </c>
      <c r="Q2583" s="30" t="n">
        <v>-41.9688533</v>
      </c>
      <c r="R2583" s="14" t="inlineStr">
        <is>
          <t>RUA 22 DE ABRIL, 481, SANTA LÚZIA, SEABRA/BA</t>
        </is>
      </c>
      <c r="S2583" s="26">
        <f>IF(A2583=A2582,0,1)</f>
        <v>0</v>
      </c>
      <c r="T2583" s="26">
        <f>IF(COUNTIF($B$4:B2583,B2583)=1,1,0)</f>
        <v>0</v>
      </c>
    </row>
    <row r="2584">
      <c r="A2584" s="14" t="inlineStr">
        <is>
          <t>SEABRA</t>
        </is>
      </c>
      <c r="B2584" s="26" t="n">
        <v>88</v>
      </c>
      <c r="C2584" s="26" t="n">
        <v>1627</v>
      </c>
      <c r="D2584" s="14" t="inlineStr">
        <is>
          <t>ESCOLA MUNICIPAL ERNESTO SANTOS</t>
        </is>
      </c>
      <c r="E2584" s="14" t="inlineStr">
        <is>
          <t>POVOADO SALGADA</t>
        </is>
      </c>
      <c r="F2584" s="14" t="inlineStr">
        <is>
          <t>POVOADO SALGADA - ZONA RURAL</t>
        </is>
      </c>
      <c r="G2584" s="27" t="inlineStr">
        <is>
          <t>46900-970</t>
        </is>
      </c>
      <c r="H2584" s="15" t="n">
        <v>1</v>
      </c>
      <c r="I2584" s="28" t="inlineStr">
        <is>
          <t>NÃO</t>
        </is>
      </c>
      <c r="J2584" s="29" t="n"/>
      <c r="K2584" s="14" t="str">
        <f>IF(J2584="","7. Acima de 2 km",IF(J2584&lt;=50,"1. Até 50 m",IF(J2584&lt;=100,"2. De 50 a 100 m",IF(J2584&lt;=200,"3. De 100 a 200 m",IF(J2584&lt;=300,"4. De 200 a 300 m",IF(J2584&lt;=500,"5. De 300 a 500 m","6. De 500 m a 2 km"))))))</f>
        <v>7. Acima de 2 km</v>
      </c>
      <c r="L2584" s="26" t="n">
        <v>0</v>
      </c>
      <c r="M2584" s="26" t="n">
        <v>0</v>
      </c>
      <c r="N2584" s="26" t="n">
        <v>0</v>
      </c>
      <c r="O2584" s="26" t="n">
        <v>0</v>
      </c>
      <c r="P2584" s="30" t="n">
        <v>-12.6178752</v>
      </c>
      <c r="Q2584" s="30" t="n">
        <v>-41.6887848</v>
      </c>
      <c r="R2584" s="14" t="inlineStr">
        <is>
          <t>RUA 22 DE ABRIL, 481, SANTA LÚZIA, SEABRA/BA</t>
        </is>
      </c>
      <c r="S2584" s="26">
        <f>IF(A2584=A2583,0,1)</f>
        <v>0</v>
      </c>
      <c r="T2584" s="26">
        <f>IF(COUNTIF($B$4:B2584,B2584)=1,1,0)</f>
        <v>0</v>
      </c>
    </row>
    <row r="2585">
      <c r="A2585" s="14" t="inlineStr">
        <is>
          <t>SEABRA</t>
        </is>
      </c>
      <c r="B2585" s="26" t="n">
        <v>88</v>
      </c>
      <c r="C2585" s="26" t="n">
        <v>1635</v>
      </c>
      <c r="D2585" s="14" t="inlineStr">
        <is>
          <t xml:space="preserve">ASSOCIAÇÃO COMUNITARIA DA FORMOSA </t>
        </is>
      </c>
      <c r="E2585" s="14" t="inlineStr">
        <is>
          <t>POVOADO FORMOSA</t>
        </is>
      </c>
      <c r="F2585" s="14" t="inlineStr">
        <is>
          <t>POVOADO FORMOSA - ZONA RURAL</t>
        </is>
      </c>
      <c r="G2585" s="27" t="inlineStr">
        <is>
          <t>46900-970</t>
        </is>
      </c>
      <c r="H2585" s="15" t="n">
        <v>1</v>
      </c>
      <c r="I2585" s="28" t="inlineStr">
        <is>
          <t>NÃO</t>
        </is>
      </c>
      <c r="J2585" s="29" t="n"/>
      <c r="K2585" s="14" t="str">
        <f>IF(J2585="","7. Acima de 2 km",IF(J2585&lt;=50,"1. Até 50 m",IF(J2585&lt;=100,"2. De 50 a 100 m",IF(J2585&lt;=200,"3. De 100 a 200 m",IF(J2585&lt;=300,"4. De 200 a 300 m",IF(J2585&lt;=500,"5. De 300 a 500 m","6. De 500 m a 2 km"))))))</f>
        <v>7. Acima de 2 km</v>
      </c>
      <c r="L2585" s="26" t="n">
        <v>0</v>
      </c>
      <c r="M2585" s="26" t="n">
        <v>0</v>
      </c>
      <c r="N2585" s="26" t="n">
        <v>0</v>
      </c>
      <c r="O2585" s="26" t="n">
        <v>0</v>
      </c>
      <c r="P2585" s="30" t="n">
        <v>-12.4608433</v>
      </c>
      <c r="Q2585" s="30" t="n">
        <v>-41.9784917</v>
      </c>
      <c r="R2585" s="14" t="inlineStr">
        <is>
          <t>RUA 22 DE ABRIL, 481, SANTA LÚZIA, SEABRA/BA</t>
        </is>
      </c>
      <c r="S2585" s="26">
        <f>IF(A2585=A2584,0,1)</f>
        <v>0</v>
      </c>
      <c r="T2585" s="26">
        <f>IF(COUNTIF($B$4:B2585,B2585)=1,1,0)</f>
        <v>0</v>
      </c>
    </row>
    <row r="2586">
      <c r="A2586" s="14" t="inlineStr">
        <is>
          <t>SEABRA</t>
        </is>
      </c>
      <c r="B2586" s="26" t="n">
        <v>88</v>
      </c>
      <c r="C2586" s="26" t="n">
        <v>1643</v>
      </c>
      <c r="D2586" s="14" t="inlineStr">
        <is>
          <t>ESCOLA MUNICIPAL JULIO AURELIANO DE SOUZA</t>
        </is>
      </c>
      <c r="E2586" s="14" t="inlineStr">
        <is>
          <t>POVOADO MOCAMBO DA CACHOEIRA</t>
        </is>
      </c>
      <c r="F2586" s="14" t="inlineStr">
        <is>
          <t>POVOADO MOCAMBO DA CACHOEIRA - ZONA RURAL</t>
        </is>
      </c>
      <c r="G2586" s="27" t="inlineStr">
        <is>
          <t>46900-970</t>
        </is>
      </c>
      <c r="H2586" s="15" t="n">
        <v>1</v>
      </c>
      <c r="I2586" s="28" t="inlineStr">
        <is>
          <t>NÃO</t>
        </is>
      </c>
      <c r="J2586" s="29" t="n"/>
      <c r="K2586" s="14" t="str">
        <f>IF(J2586="","7. Acima de 2 km",IF(J2586&lt;=50,"1. Até 50 m",IF(J2586&lt;=100,"2. De 50 a 100 m",IF(J2586&lt;=200,"3. De 100 a 200 m",IF(J2586&lt;=300,"4. De 200 a 300 m",IF(J2586&lt;=500,"5. De 300 a 500 m","6. De 500 m a 2 km"))))))</f>
        <v>7. Acima de 2 km</v>
      </c>
      <c r="L2586" s="26" t="n">
        <v>0</v>
      </c>
      <c r="M2586" s="26" t="n">
        <v>0</v>
      </c>
      <c r="N2586" s="26" t="n">
        <v>0</v>
      </c>
      <c r="O2586" s="26" t="n">
        <v>0</v>
      </c>
      <c r="P2586" s="30" t="n">
        <v>-12.5582383</v>
      </c>
      <c r="Q2586" s="30" t="n">
        <v>-41.72164</v>
      </c>
      <c r="R2586" s="14" t="inlineStr">
        <is>
          <t>RUA 22 DE ABRIL, 481, SANTA LÚZIA, SEABRA/BA</t>
        </is>
      </c>
      <c r="S2586" s="26">
        <f>IF(A2586=A2585,0,1)</f>
        <v>0</v>
      </c>
      <c r="T2586" s="26">
        <f>IF(COUNTIF($B$4:B2586,B2586)=1,1,0)</f>
        <v>0</v>
      </c>
    </row>
    <row r="2587">
      <c r="A2587" s="14" t="inlineStr">
        <is>
          <t>SEABRA</t>
        </is>
      </c>
      <c r="B2587" s="26" t="n">
        <v>88</v>
      </c>
      <c r="C2587" s="26" t="n">
        <v>1678</v>
      </c>
      <c r="D2587" s="14" t="inlineStr">
        <is>
          <t>ESCOLA MUNICIPAL JOAQUIM ALVES DE SOUZA</t>
        </is>
      </c>
      <c r="E2587" s="14" t="inlineStr">
        <is>
          <t>POVOADO TAPERA</t>
        </is>
      </c>
      <c r="F2587" s="14" t="inlineStr">
        <is>
          <t>POVOADO TAPERA - ZONA RURAL</t>
        </is>
      </c>
      <c r="G2587" s="27" t="inlineStr">
        <is>
          <t>46900-000</t>
        </is>
      </c>
      <c r="H2587" s="15" t="n">
        <v>1</v>
      </c>
      <c r="I2587" s="28" t="inlineStr">
        <is>
          <t>NÃO</t>
        </is>
      </c>
      <c r="J2587" s="29" t="n"/>
      <c r="K2587" s="14" t="str">
        <f>IF(J2587="","7. Acima de 2 km",IF(J2587&lt;=50,"1. Até 50 m",IF(J2587&lt;=100,"2. De 50 a 100 m",IF(J2587&lt;=200,"3. De 100 a 200 m",IF(J2587&lt;=300,"4. De 200 a 300 m",IF(J2587&lt;=500,"5. De 300 a 500 m","6. De 500 m a 2 km"))))))</f>
        <v>7. Acima de 2 km</v>
      </c>
      <c r="L2587" s="26" t="n">
        <v>0</v>
      </c>
      <c r="M2587" s="26" t="n">
        <v>0</v>
      </c>
      <c r="N2587" s="26" t="n">
        <v>0</v>
      </c>
      <c r="O2587" s="26" t="n">
        <v>0</v>
      </c>
      <c r="P2587" s="30" t="n">
        <v>-12.2859383</v>
      </c>
      <c r="Q2587" s="30" t="n">
        <v>-41.8675683</v>
      </c>
      <c r="R2587" s="14" t="inlineStr">
        <is>
          <t>RUA 22 DE ABRIL, 481, SANTA LÚZIA, SEABRA/BA</t>
        </is>
      </c>
      <c r="S2587" s="26">
        <f>IF(A2587=A2586,0,1)</f>
        <v>0</v>
      </c>
      <c r="T2587" s="26">
        <f>IF(COUNTIF($B$4:B2587,B2587)=1,1,0)</f>
        <v>0</v>
      </c>
    </row>
    <row r="2588">
      <c r="A2588" s="14" t="inlineStr">
        <is>
          <t>SEABRA</t>
        </is>
      </c>
      <c r="B2588" s="26" t="n">
        <v>88</v>
      </c>
      <c r="C2588" s="26" t="n">
        <v>1686</v>
      </c>
      <c r="D2588" s="14" t="inlineStr">
        <is>
          <t xml:space="preserve">ANEXO ESCOLA MUNICIPAL VALDOMIRO GASPAR </t>
        </is>
      </c>
      <c r="E2588" s="14" t="inlineStr">
        <is>
          <t>POVOADO VÃO DAS PALMEIRAS</t>
        </is>
      </c>
      <c r="F2588" s="14" t="inlineStr">
        <is>
          <t xml:space="preserve">POVOADO VÃO DAS PALMEIRAS </t>
        </is>
      </c>
      <c r="G2588" s="27" t="inlineStr">
        <is>
          <t>46900-000</t>
        </is>
      </c>
      <c r="H2588" s="15" t="n">
        <v>1</v>
      </c>
      <c r="I2588" s="28" t="inlineStr">
        <is>
          <t>NÃO</t>
        </is>
      </c>
      <c r="J2588" s="29" t="n"/>
      <c r="K2588" s="14" t="str">
        <f>IF(J2588="","7. Acima de 2 km",IF(J2588&lt;=50,"1. Até 50 m",IF(J2588&lt;=100,"2. De 50 a 100 m",IF(J2588&lt;=200,"3. De 100 a 200 m",IF(J2588&lt;=300,"4. De 200 a 300 m",IF(J2588&lt;=500,"5. De 300 a 500 m","6. De 500 m a 2 km"))))))</f>
        <v>7. Acima de 2 km</v>
      </c>
      <c r="L2588" s="26" t="n">
        <v>0</v>
      </c>
      <c r="M2588" s="26" t="n">
        <v>0</v>
      </c>
      <c r="N2588" s="26" t="n">
        <v>0</v>
      </c>
      <c r="O2588" s="26" t="n">
        <v>0</v>
      </c>
      <c r="P2588" s="30" t="n">
        <v>-12.5529833</v>
      </c>
      <c r="Q2588" s="30" t="n">
        <v>-41.8420567</v>
      </c>
      <c r="R2588" s="14" t="inlineStr">
        <is>
          <t>RUA 22 DE ABRIL, 481, SANTA LÚZIA, SEABRA/BA</t>
        </is>
      </c>
      <c r="S2588" s="26">
        <f>IF(A2588=A2587,0,1)</f>
        <v>0</v>
      </c>
      <c r="T2588" s="26">
        <f>IF(COUNTIF($B$4:B2588,B2588)=1,1,0)</f>
        <v>0</v>
      </c>
    </row>
    <row r="2589">
      <c r="A2589" s="14" t="inlineStr">
        <is>
          <t>SEABRA</t>
        </is>
      </c>
      <c r="B2589" s="26" t="n">
        <v>88</v>
      </c>
      <c r="C2589" s="26" t="n">
        <v>1694</v>
      </c>
      <c r="D2589" s="14" t="inlineStr">
        <is>
          <t>ESCOLA PEDRO JOAQUIM DE CARVALHO</t>
        </is>
      </c>
      <c r="E2589" s="14" t="inlineStr">
        <is>
          <t>POVOADO DA PRATA DE BAIXO</t>
        </is>
      </c>
      <c r="F2589" s="14" t="inlineStr">
        <is>
          <t>POVOADO DA PRATA DE BAIXO - ZONA RURAL</t>
        </is>
      </c>
      <c r="G2589" s="27" t="inlineStr">
        <is>
          <t>46900-000</t>
        </is>
      </c>
      <c r="H2589" s="15" t="n">
        <v>1</v>
      </c>
      <c r="I2589" s="28" t="inlineStr">
        <is>
          <t>NÃO</t>
        </is>
      </c>
      <c r="J2589" s="29" t="n"/>
      <c r="K2589" s="14" t="str">
        <f>IF(J2589="","7. Acima de 2 km",IF(J2589&lt;=50,"1. Até 50 m",IF(J2589&lt;=100,"2. De 50 a 100 m",IF(J2589&lt;=200,"3. De 100 a 200 m",IF(J2589&lt;=300,"4. De 200 a 300 m",IF(J2589&lt;=500,"5. De 300 a 500 m","6. De 500 m a 2 km"))))))</f>
        <v>7. Acima de 2 km</v>
      </c>
      <c r="L2589" s="26" t="n">
        <v>0</v>
      </c>
      <c r="M2589" s="26" t="n">
        <v>0</v>
      </c>
      <c r="N2589" s="26" t="n">
        <v>0</v>
      </c>
      <c r="O2589" s="26" t="n">
        <v>0</v>
      </c>
      <c r="P2589" s="30" t="n">
        <v>-12.4091519</v>
      </c>
      <c r="Q2589" s="30" t="n">
        <v>-41.7435779</v>
      </c>
      <c r="R2589" s="14" t="inlineStr">
        <is>
          <t>RUA 22 DE ABRIL, 481, SANTA LÚZIA, SEABRA/BA</t>
        </is>
      </c>
      <c r="S2589" s="26">
        <f>IF(A2589=A2588,0,1)</f>
        <v>0</v>
      </c>
      <c r="T2589" s="26">
        <f>IF(COUNTIF($B$4:B2589,B2589)=1,1,0)</f>
        <v>0</v>
      </c>
    </row>
    <row r="2590">
      <c r="A2590" s="14" t="inlineStr">
        <is>
          <t>SEABRA</t>
        </is>
      </c>
      <c r="B2590" s="26" t="n">
        <v>88</v>
      </c>
      <c r="C2590" s="26" t="n">
        <v>1708</v>
      </c>
      <c r="D2590" s="14" t="inlineStr">
        <is>
          <t>ESCOLA MUNICIPAL DE EDUCAÇÃO INFANTIL KIMIMO</t>
        </is>
      </c>
      <c r="E2590" s="14" t="inlineStr">
        <is>
          <t>NOSSA SENHORA DAS GRAÇAS</t>
        </is>
      </c>
      <c r="F2590" s="14" t="inlineStr">
        <is>
          <t>RUA JOSÉ LOURENÇO PINTO, 686, NOSSA SRA DAS GRAÇAS  ZONA URBANA</t>
        </is>
      </c>
      <c r="G2590" s="27" t="inlineStr">
        <is>
          <t>46900-000</t>
        </is>
      </c>
      <c r="H2590" s="15" t="n">
        <v>1</v>
      </c>
      <c r="I2590" s="28" t="inlineStr">
        <is>
          <t>NÃO</t>
        </is>
      </c>
      <c r="J2590" s="29" t="n">
        <v>962.7</v>
      </c>
      <c r="K2590" s="14" t="str">
        <f>IF(J2590="","7. Acima de 2 km",IF(J2590&lt;=50,"1. Até 50 m",IF(J2590&lt;=100,"2. De 50 a 100 m",IF(J2590&lt;=200,"3. De 100 a 200 m",IF(J2590&lt;=300,"4. De 200 a 300 m",IF(J2590&lt;=500,"5. De 300 a 500 m","6. De 500 m a 2 km"))))))</f>
        <v>6. De 500 m a 2 km</v>
      </c>
      <c r="L2590" s="26" t="n">
        <v>0</v>
      </c>
      <c r="M2590" s="26" t="n">
        <v>0</v>
      </c>
      <c r="N2590" s="26" t="n">
        <v>0</v>
      </c>
      <c r="O2590" s="26" t="n">
        <v>0</v>
      </c>
      <c r="P2590" s="30" t="n">
        <v>-12.4142671</v>
      </c>
      <c r="Q2590" s="30" t="n">
        <v>-41.7835632</v>
      </c>
      <c r="R2590" s="14" t="inlineStr">
        <is>
          <t>RUA 22 DE ABRIL, 481, SANTA LÚZIA, SEABRA/BA</t>
        </is>
      </c>
      <c r="S2590" s="26">
        <f>IF(A2590=A2589,0,1)</f>
        <v>0</v>
      </c>
      <c r="T2590" s="26">
        <f>IF(COUNTIF($B$4:B2590,B2590)=1,1,0)</f>
        <v>0</v>
      </c>
    </row>
    <row r="2591">
      <c r="A2591" s="14" t="inlineStr">
        <is>
          <t>SEABRA</t>
        </is>
      </c>
      <c r="B2591" s="26" t="n">
        <v>88</v>
      </c>
      <c r="C2591" s="26" t="n">
        <v>1716</v>
      </c>
      <c r="D2591" s="14" t="inlineStr">
        <is>
          <t>ASSOCIAÇÃO COMUNITÁRIA DO POVOADO DE CABACEIRAS</t>
        </is>
      </c>
      <c r="E2591" s="14" t="inlineStr">
        <is>
          <t>POVOADO CABACEIRA</t>
        </is>
      </c>
      <c r="F2591" s="14" t="inlineStr">
        <is>
          <t>POVOADO CABACEIRAS, ZONA RURAL</t>
        </is>
      </c>
      <c r="G2591" s="27" t="inlineStr">
        <is>
          <t>46900-000</t>
        </is>
      </c>
      <c r="H2591" s="15" t="n">
        <v>1</v>
      </c>
      <c r="I2591" s="28" t="inlineStr">
        <is>
          <t>NÃO</t>
        </is>
      </c>
      <c r="J2591" s="29" t="n"/>
      <c r="K2591" s="14" t="str">
        <f>IF(J2591="","7. Acima de 2 km",IF(J2591&lt;=50,"1. Até 50 m",IF(J2591&lt;=100,"2. De 50 a 100 m",IF(J2591&lt;=200,"3. De 100 a 200 m",IF(J2591&lt;=300,"4. De 200 a 300 m",IF(J2591&lt;=500,"5. De 300 a 500 m","6. De 500 m a 2 km"))))))</f>
        <v>7. Acima de 2 km</v>
      </c>
      <c r="L2591" s="26" t="n">
        <v>0</v>
      </c>
      <c r="M2591" s="26" t="n">
        <v>0</v>
      </c>
      <c r="N2591" s="26" t="n">
        <v>0</v>
      </c>
      <c r="O2591" s="26" t="n">
        <v>0</v>
      </c>
      <c r="P2591" s="30" t="n">
        <v>-12.39441</v>
      </c>
      <c r="Q2591" s="30" t="n">
        <v>-41.9321883</v>
      </c>
      <c r="R2591" s="14" t="inlineStr">
        <is>
          <t>RUA 22 DE ABRIL, 481, SANTA LÚZIA, SEABRA/BA</t>
        </is>
      </c>
      <c r="S2591" s="26">
        <f>IF(A2591=A2590,0,1)</f>
        <v>0</v>
      </c>
      <c r="T2591" s="26">
        <f>IF(COUNTIF($B$4:B2591,B2591)=1,1,0)</f>
        <v>0</v>
      </c>
    </row>
    <row r="2592">
      <c r="A2592" s="14" t="inlineStr">
        <is>
          <t>SERRA DOURADA</t>
        </is>
      </c>
      <c r="B2592" s="26" t="n">
        <v>190</v>
      </c>
      <c r="C2592" s="26" t="n">
        <v>1015</v>
      </c>
      <c r="D2592" s="14" t="inlineStr">
        <is>
          <t>COLÉGIO MUNICÍPAL MAURO RODRIGUES DE SOUZA</t>
        </is>
      </c>
      <c r="E2592" s="14" t="inlineStr">
        <is>
          <t>SERRA DOURADINHA</t>
        </is>
      </c>
      <c r="F2592" s="14" t="inlineStr">
        <is>
          <t>AV. SÃO CRISTÓVÃO -  ZONA URBANA</t>
        </is>
      </c>
      <c r="G2592" s="27" t="inlineStr">
        <is>
          <t>47740-000</t>
        </is>
      </c>
      <c r="H2592" s="15" t="n">
        <v>7</v>
      </c>
      <c r="I2592" s="28" t="inlineStr">
        <is>
          <t>NÃO</t>
        </is>
      </c>
      <c r="J2592" s="29" t="n">
        <v>132.4</v>
      </c>
      <c r="K2592" s="14" t="str">
        <f>IF(J2592="","7. Acima de 2 km",IF(J2592&lt;=50,"1. Até 50 m",IF(J2592&lt;=100,"2. De 50 a 100 m",IF(J2592&lt;=200,"3. De 100 a 200 m",IF(J2592&lt;=300,"4. De 200 a 300 m",IF(J2592&lt;=500,"5. De 300 a 500 m","6. De 500 m a 2 km"))))))</f>
        <v>3. De 100 a 200 m</v>
      </c>
      <c r="L2592" s="26" t="n">
        <v>0</v>
      </c>
      <c r="M2592" s="26" t="n">
        <v>0</v>
      </c>
      <c r="N2592" s="26" t="n">
        <v>2</v>
      </c>
      <c r="O2592" s="26" t="n">
        <v>2</v>
      </c>
      <c r="P2592" s="30" t="n">
        <v>-12.7548323</v>
      </c>
      <c r="Q2592" s="30" t="n">
        <v>-43.9507189</v>
      </c>
      <c r="R2592" s="14" t="inlineStr">
        <is>
          <t>FORUM DESEMBARGADOR DR. GERSON PEREIRA DOS SANTOS, PRAÇA PEDRO JOSE DE AQUINO, S/N, SERRA DOURADA/BA</t>
        </is>
      </c>
      <c r="S2592" s="26">
        <f>IF(A2592=A2591,0,1)</f>
        <v>1</v>
      </c>
      <c r="T2592" s="26">
        <f>IF(COUNTIF($B$4:B2592,B2592)=1,1,0)</f>
        <v>1</v>
      </c>
    </row>
    <row r="2593">
      <c r="A2593" s="14" t="inlineStr">
        <is>
          <t>SERRA DOURADA</t>
        </is>
      </c>
      <c r="B2593" s="26" t="n">
        <v>190</v>
      </c>
      <c r="C2593" s="26" t="n">
        <v>1031</v>
      </c>
      <c r="D2593" s="14" t="inlineStr">
        <is>
          <t>ESCOLA ESTADUAL SÃO GONÇALO</t>
        </is>
      </c>
      <c r="E2593" s="14" t="inlineStr">
        <is>
          <t>CENTRO</t>
        </is>
      </c>
      <c r="F2593" s="14" t="inlineStr">
        <is>
          <t>AVENIDA MANSO CABRAL -  ZONA URBANA</t>
        </is>
      </c>
      <c r="G2593" s="27" t="inlineStr">
        <is>
          <t>47740-000</t>
        </is>
      </c>
      <c r="H2593" s="15" t="n">
        <v>5</v>
      </c>
      <c r="I2593" s="28" t="inlineStr">
        <is>
          <t>NÃO</t>
        </is>
      </c>
      <c r="J2593" s="29" t="n">
        <v>222.3</v>
      </c>
      <c r="K2593" s="14" t="str">
        <f>IF(J2593="","7. Acima de 2 km",IF(J2593&lt;=50,"1. Até 50 m",IF(J2593&lt;=100,"2. De 50 a 100 m",IF(J2593&lt;=200,"3. De 100 a 200 m",IF(J2593&lt;=300,"4. De 200 a 300 m",IF(J2593&lt;=500,"5. De 300 a 500 m","6. De 500 m a 2 km"))))))</f>
        <v>4. De 200 a 300 m</v>
      </c>
      <c r="L2593" s="26" t="n">
        <v>0</v>
      </c>
      <c r="M2593" s="26" t="n">
        <v>0</v>
      </c>
      <c r="N2593" s="26" t="n">
        <v>0</v>
      </c>
      <c r="O2593" s="26" t="n">
        <v>6</v>
      </c>
      <c r="P2593" s="30" t="n">
        <v>-12.7617165</v>
      </c>
      <c r="Q2593" s="30" t="n">
        <v>-43.9518591</v>
      </c>
      <c r="R2593" s="14" t="inlineStr">
        <is>
          <t>FORUM DESEMBARGADOR DR. GERSON PEREIRA DOS SANTOS, PRAÇA PEDRO JOSE DE AQUINO, S/N, SERRA DOURADA/BA</t>
        </is>
      </c>
      <c r="S2593" s="26">
        <f>IF(A2593=A2592,0,1)</f>
        <v>0</v>
      </c>
      <c r="T2593" s="26">
        <f>IF(COUNTIF($B$4:B2593,B2593)=1,1,0)</f>
        <v>0</v>
      </c>
    </row>
    <row r="2594">
      <c r="A2594" s="14" t="inlineStr">
        <is>
          <t>SERRA DOURADA</t>
        </is>
      </c>
      <c r="B2594" s="26" t="n">
        <v>190</v>
      </c>
      <c r="C2594" s="26" t="n">
        <v>1058</v>
      </c>
      <c r="D2594" s="14" t="inlineStr">
        <is>
          <t>ESCOLA MUNICIPAL ELIEZER PEREIRA DA SILVA</t>
        </is>
      </c>
      <c r="E2594" s="14" t="inlineStr">
        <is>
          <t>CENTRO</t>
        </is>
      </c>
      <c r="F2594" s="14" t="inlineStr">
        <is>
          <t>PRAÇA PEDRO JOSE DE AQUINO, S/N -  ZONA URBANA</t>
        </is>
      </c>
      <c r="G2594" s="27" t="inlineStr">
        <is>
          <t>47740-000</t>
        </is>
      </c>
      <c r="H2594" s="15" t="n">
        <v>7</v>
      </c>
      <c r="I2594" s="28" t="inlineStr">
        <is>
          <t>SIM</t>
        </is>
      </c>
      <c r="J2594" s="29" t="n">
        <v>53</v>
      </c>
      <c r="K2594" s="14" t="str">
        <f>IF(J2594="","7. Acima de 2 km",IF(J2594&lt;=50,"1. Até 50 m",IF(J2594&lt;=100,"2. De 50 a 100 m",IF(J2594&lt;=200,"3. De 100 a 200 m",IF(J2594&lt;=300,"4. De 200 a 300 m",IF(J2594&lt;=500,"5. De 300 a 500 m","6. De 500 m a 2 km"))))))</f>
        <v>2. De 50 a 100 m</v>
      </c>
      <c r="L2594" s="26" t="n">
        <v>0</v>
      </c>
      <c r="M2594" s="26" t="n">
        <v>1</v>
      </c>
      <c r="N2594" s="26" t="n">
        <v>4</v>
      </c>
      <c r="O2594" s="26" t="n">
        <v>4</v>
      </c>
      <c r="P2594" s="30" t="n">
        <v>-12.7596046</v>
      </c>
      <c r="Q2594" s="30" t="n">
        <v>-43.950877</v>
      </c>
      <c r="R2594" s="14" t="inlineStr">
        <is>
          <t>FORUM DESEMBARGADOR DR. GERSON PEREIRA DOS SANTOS, PRAÇA PEDRO JOSE DE AQUINO, S/N, SERRA DOURADA/BA</t>
        </is>
      </c>
      <c r="S2594" s="26">
        <f>IF(A2594=A2593,0,1)</f>
        <v>0</v>
      </c>
      <c r="T2594" s="26">
        <f>IF(COUNTIF($B$4:B2594,B2594)=1,1,0)</f>
        <v>0</v>
      </c>
    </row>
    <row r="2595">
      <c r="A2595" s="14" t="inlineStr">
        <is>
          <t>SERRA DOURADA</t>
        </is>
      </c>
      <c r="B2595" s="26" t="n">
        <v>190</v>
      </c>
      <c r="C2595" s="26" t="n">
        <v>1074</v>
      </c>
      <c r="D2595" s="14" t="inlineStr">
        <is>
          <t>ESCOLA MINICÍPAL MONSENHOR FÉLIX</t>
        </is>
      </c>
      <c r="E2595" s="14" t="inlineStr">
        <is>
          <t>CENTRO</t>
        </is>
      </c>
      <c r="F2595" s="14" t="inlineStr">
        <is>
          <t>PRACA FRANCISCO J. DE AQUINO -  ZONA URBANA</t>
        </is>
      </c>
      <c r="G2595" s="27" t="inlineStr">
        <is>
          <t>47740-000</t>
        </is>
      </c>
      <c r="H2595" s="15" t="n">
        <v>4</v>
      </c>
      <c r="I2595" s="28" t="inlineStr">
        <is>
          <t>SIM</t>
        </is>
      </c>
      <c r="J2595" s="29" t="n">
        <v>49.7</v>
      </c>
      <c r="K2595" s="14" t="str">
        <f>IF(J2595="","7. Acima de 2 km",IF(J2595&lt;=50,"1. Até 50 m",IF(J2595&lt;=100,"2. De 50 a 100 m",IF(J2595&lt;=200,"3. De 100 a 200 m",IF(J2595&lt;=300,"4. De 200 a 300 m",IF(J2595&lt;=500,"5. De 300 a 500 m","6. De 500 m a 2 km"))))))</f>
        <v>1. Até 50 m</v>
      </c>
      <c r="L2595" s="26" t="n">
        <v>1</v>
      </c>
      <c r="M2595" s="26" t="n">
        <v>2</v>
      </c>
      <c r="N2595" s="26" t="n">
        <v>2</v>
      </c>
      <c r="O2595" s="26" t="n">
        <v>2</v>
      </c>
      <c r="P2595" s="30" t="n">
        <v>-12.762571</v>
      </c>
      <c r="Q2595" s="30" t="n">
        <v>-43.9538672</v>
      </c>
      <c r="R2595" s="14" t="inlineStr">
        <is>
          <t>FORUM DESEMBARGADOR DR. GERSON PEREIRA DOS SANTOS, PRAÇA PEDRO JOSE DE AQUINO, S/N, SERRA DOURADA/BA</t>
        </is>
      </c>
      <c r="S2595" s="26">
        <f>IF(A2595=A2594,0,1)</f>
        <v>0</v>
      </c>
      <c r="T2595" s="26">
        <f>IF(COUNTIF($B$4:B2595,B2595)=1,1,0)</f>
        <v>0</v>
      </c>
    </row>
    <row r="2596">
      <c r="A2596" s="14" t="inlineStr">
        <is>
          <t>SERRA DOURADA</t>
        </is>
      </c>
      <c r="B2596" s="26" t="n">
        <v>190</v>
      </c>
      <c r="C2596" s="26" t="n">
        <v>1090</v>
      </c>
      <c r="D2596" s="14" t="inlineStr">
        <is>
          <t>PREDIO ESCOLAR JOAO LUIZ DE FRANCA</t>
        </is>
      </c>
      <c r="E2596" s="14" t="inlineStr">
        <is>
          <t>POVOADO MORRINHOS</t>
        </is>
      </c>
      <c r="F2596" s="14" t="inlineStr">
        <is>
          <t>POVOADO MORRINHOS -  ZONA RURAL</t>
        </is>
      </c>
      <c r="G2596" s="27" t="inlineStr">
        <is>
          <t>47740-000</t>
        </is>
      </c>
      <c r="H2596" s="15" t="n">
        <v>3</v>
      </c>
      <c r="I2596" s="28" t="inlineStr">
        <is>
          <t>NÃO</t>
        </is>
      </c>
      <c r="J2596" s="29" t="n"/>
      <c r="K2596" s="14" t="str">
        <f>IF(J2596="","7. Acima de 2 km",IF(J2596&lt;=50,"1. Até 50 m",IF(J2596&lt;=100,"2. De 50 a 100 m",IF(J2596&lt;=200,"3. De 100 a 200 m",IF(J2596&lt;=300,"4. De 200 a 300 m",IF(J2596&lt;=500,"5. De 300 a 500 m","6. De 500 m a 2 km"))))))</f>
        <v>7. Acima de 2 km</v>
      </c>
      <c r="L2596" s="26" t="n">
        <v>0</v>
      </c>
      <c r="M2596" s="26" t="n">
        <v>0</v>
      </c>
      <c r="N2596" s="26" t="n">
        <v>0</v>
      </c>
      <c r="O2596" s="26" t="n">
        <v>0</v>
      </c>
      <c r="P2596" s="30" t="n">
        <v>-12.9120917</v>
      </c>
      <c r="Q2596" s="30" t="n">
        <v>-43.8422783</v>
      </c>
      <c r="R2596" s="14" t="inlineStr">
        <is>
          <t>FORUM DESEMBARGADOR DR. GERSON PEREIRA DOS SANTOS, PRAÇA PEDRO JOSE DE AQUINO, S/N, SERRA DOURADA/BA</t>
        </is>
      </c>
      <c r="S2596" s="26">
        <f>IF(A2596=A2595,0,1)</f>
        <v>0</v>
      </c>
      <c r="T2596" s="26">
        <f>IF(COUNTIF($B$4:B2596,B2596)=1,1,0)</f>
        <v>0</v>
      </c>
    </row>
    <row r="2597">
      <c r="A2597" s="14" t="inlineStr">
        <is>
          <t>SERRA DOURADA</t>
        </is>
      </c>
      <c r="B2597" s="26" t="n">
        <v>190</v>
      </c>
      <c r="C2597" s="26" t="n">
        <v>1112</v>
      </c>
      <c r="D2597" s="14" t="inlineStr">
        <is>
          <t>PREDIO ESCOLAR ADULFO VIEIRA</t>
        </is>
      </c>
      <c r="E2597" s="14" t="inlineStr">
        <is>
          <t>POVOADO RIACHÃO</t>
        </is>
      </c>
      <c r="F2597" s="14" t="inlineStr">
        <is>
          <t>POVOADO RIACHAO -  ZONA RURAL</t>
        </is>
      </c>
      <c r="G2597" s="27" t="inlineStr">
        <is>
          <t>47740-000</t>
        </is>
      </c>
      <c r="H2597" s="15" t="n">
        <v>2</v>
      </c>
      <c r="I2597" s="28" t="inlineStr">
        <is>
          <t>NÃO</t>
        </is>
      </c>
      <c r="J2597" s="29" t="n"/>
      <c r="K2597" s="14" t="str">
        <f>IF(J2597="","7. Acima de 2 km",IF(J2597&lt;=50,"1. Até 50 m",IF(J2597&lt;=100,"2. De 50 a 100 m",IF(J2597&lt;=200,"3. De 100 a 200 m",IF(J2597&lt;=300,"4. De 200 a 300 m",IF(J2597&lt;=500,"5. De 300 a 500 m","6. De 500 m a 2 km"))))))</f>
        <v>7. Acima de 2 km</v>
      </c>
      <c r="L2597" s="26" t="n">
        <v>0</v>
      </c>
      <c r="M2597" s="26" t="n">
        <v>0</v>
      </c>
      <c r="N2597" s="26" t="n">
        <v>0</v>
      </c>
      <c r="O2597" s="26" t="n">
        <v>0</v>
      </c>
      <c r="P2597" s="30" t="n">
        <v>-12.9000485</v>
      </c>
      <c r="Q2597" s="30" t="n">
        <v>-43.8902246</v>
      </c>
      <c r="R2597" s="14" t="inlineStr">
        <is>
          <t>FORUM DESEMBARGADOR DR. GERSON PEREIRA DOS SANTOS, PRAÇA PEDRO JOSE DE AQUINO, S/N, SERRA DOURADA/BA</t>
        </is>
      </c>
      <c r="S2597" s="26">
        <f>IF(A2597=A2596,0,1)</f>
        <v>0</v>
      </c>
      <c r="T2597" s="26">
        <f>IF(COUNTIF($B$4:B2597,B2597)=1,1,0)</f>
        <v>0</v>
      </c>
    </row>
    <row r="2598">
      <c r="A2598" s="14" t="inlineStr">
        <is>
          <t>SERRA DOURADA</t>
        </is>
      </c>
      <c r="B2598" s="26" t="n">
        <v>190</v>
      </c>
      <c r="C2598" s="26" t="n">
        <v>1120</v>
      </c>
      <c r="D2598" s="14" t="inlineStr">
        <is>
          <t>PREDIO ESCOLAR PRESIDENTE MEDICI</t>
        </is>
      </c>
      <c r="E2598" s="14" t="inlineStr">
        <is>
          <t>DISTRITO TRAIRAS</t>
        </is>
      </c>
      <c r="F2598" s="14" t="inlineStr">
        <is>
          <t>DISTRITO  TRAIRAS -  ZONA RURAL</t>
        </is>
      </c>
      <c r="G2598" s="27" t="inlineStr">
        <is>
          <t>47740-000</t>
        </is>
      </c>
      <c r="H2598" s="15" t="n">
        <v>5</v>
      </c>
      <c r="I2598" s="28" t="inlineStr">
        <is>
          <t>NÃO</t>
        </is>
      </c>
      <c r="J2598" s="29" t="n"/>
      <c r="K2598" s="14" t="str">
        <f>IF(J2598="","7. Acima de 2 km",IF(J2598&lt;=50,"1. Até 50 m",IF(J2598&lt;=100,"2. De 50 a 100 m",IF(J2598&lt;=200,"3. De 100 a 200 m",IF(J2598&lt;=300,"4. De 200 a 300 m",IF(J2598&lt;=500,"5. De 300 a 500 m","6. De 500 m a 2 km"))))))</f>
        <v>7. Acima de 2 km</v>
      </c>
      <c r="L2598" s="26" t="n">
        <v>0</v>
      </c>
      <c r="M2598" s="26" t="n">
        <v>0</v>
      </c>
      <c r="N2598" s="26" t="n">
        <v>0</v>
      </c>
      <c r="O2598" s="26" t="n">
        <v>0</v>
      </c>
      <c r="P2598" s="30" t="n">
        <v>-12.8642358</v>
      </c>
      <c r="Q2598" s="30" t="n">
        <v>-43.6893393</v>
      </c>
      <c r="R2598" s="14" t="inlineStr">
        <is>
          <t>FORUM DESEMBARGADOR DR. GERSON PEREIRA DOS SANTOS, PRAÇA PEDRO JOSE DE AQUINO, S/N, SERRA DOURADA/BA</t>
        </is>
      </c>
      <c r="S2598" s="26">
        <f>IF(A2598=A2597,0,1)</f>
        <v>0</v>
      </c>
      <c r="T2598" s="26">
        <f>IF(COUNTIF($B$4:B2598,B2598)=1,1,0)</f>
        <v>0</v>
      </c>
    </row>
    <row r="2599">
      <c r="A2599" s="14" t="inlineStr">
        <is>
          <t>SERRA DOURADA</t>
        </is>
      </c>
      <c r="B2599" s="26" t="n">
        <v>190</v>
      </c>
      <c r="C2599" s="26" t="n">
        <v>1147</v>
      </c>
      <c r="D2599" s="14" t="inlineStr">
        <is>
          <t>PREDIO ESCOLAR MANOEL JOAQUIM DOS SANTOS</t>
        </is>
      </c>
      <c r="E2599" s="14" t="inlineStr">
        <is>
          <t>POVOADO POÇO DO JUÁ</t>
        </is>
      </c>
      <c r="F2599" s="14" t="inlineStr">
        <is>
          <t>POVOADO POCO DO JUA -  ZONA RURAL</t>
        </is>
      </c>
      <c r="G2599" s="27" t="inlineStr">
        <is>
          <t>47740-000</t>
        </is>
      </c>
      <c r="H2599" s="15" t="n">
        <v>2</v>
      </c>
      <c r="I2599" s="28" t="inlineStr">
        <is>
          <t>NÃO</t>
        </is>
      </c>
      <c r="J2599" s="29" t="n"/>
      <c r="K2599" s="14" t="str">
        <f>IF(J2599="","7. Acima de 2 km",IF(J2599&lt;=50,"1. Até 50 m",IF(J2599&lt;=100,"2. De 50 a 100 m",IF(J2599&lt;=200,"3. De 100 a 200 m",IF(J2599&lt;=300,"4. De 200 a 300 m",IF(J2599&lt;=500,"5. De 300 a 500 m","6. De 500 m a 2 km"))))))</f>
        <v>7. Acima de 2 km</v>
      </c>
      <c r="L2599" s="26" t="n">
        <v>0</v>
      </c>
      <c r="M2599" s="26" t="n">
        <v>0</v>
      </c>
      <c r="N2599" s="26" t="n">
        <v>0</v>
      </c>
      <c r="O2599" s="26" t="n">
        <v>0</v>
      </c>
      <c r="P2599" s="30" t="n">
        <v>-12.8337263</v>
      </c>
      <c r="Q2599" s="30" t="n">
        <v>-43.9355412</v>
      </c>
      <c r="R2599" s="14" t="inlineStr">
        <is>
          <t>FORUM DESEMBARGADOR DR. GERSON PEREIRA DOS SANTOS, PRAÇA PEDRO JOSE DE AQUINO, S/N, SERRA DOURADA/BA</t>
        </is>
      </c>
      <c r="S2599" s="26">
        <f>IF(A2599=A2598,0,1)</f>
        <v>0</v>
      </c>
      <c r="T2599" s="26">
        <f>IF(COUNTIF($B$4:B2599,B2599)=1,1,0)</f>
        <v>0</v>
      </c>
    </row>
    <row r="2600">
      <c r="A2600" s="14" t="inlineStr">
        <is>
          <t>SERRA DOURADA</t>
        </is>
      </c>
      <c r="B2600" s="26" t="n">
        <v>190</v>
      </c>
      <c r="C2600" s="26" t="n">
        <v>1155</v>
      </c>
      <c r="D2600" s="14" t="inlineStr">
        <is>
          <t>COLÉGIO MUNICIPAL SARAPIÃO DIAS DA COSTA</t>
        </is>
      </c>
      <c r="E2600" s="14" t="inlineStr">
        <is>
          <t>POVOADO BOQUEIRÃO</t>
        </is>
      </c>
      <c r="F2600" s="14" t="inlineStr">
        <is>
          <t>POVOADO BOQUEIRAO -  ZONA RURAL</t>
        </is>
      </c>
      <c r="G2600" s="27" t="inlineStr">
        <is>
          <t>47740-000</t>
        </is>
      </c>
      <c r="H2600" s="15" t="n">
        <v>3</v>
      </c>
      <c r="I2600" s="28" t="inlineStr">
        <is>
          <t>NÃO</t>
        </is>
      </c>
      <c r="J2600" s="29" t="n"/>
      <c r="K2600" s="14" t="str">
        <f>IF(J2600="","7. Acima de 2 km",IF(J2600&lt;=50,"1. Até 50 m",IF(J2600&lt;=100,"2. De 50 a 100 m",IF(J2600&lt;=200,"3. De 100 a 200 m",IF(J2600&lt;=300,"4. De 200 a 300 m",IF(J2600&lt;=500,"5. De 300 a 500 m","6. De 500 m a 2 km"))))))</f>
        <v>7. Acima de 2 km</v>
      </c>
      <c r="L2600" s="26" t="n">
        <v>0</v>
      </c>
      <c r="M2600" s="26" t="n">
        <v>0</v>
      </c>
      <c r="N2600" s="26" t="n">
        <v>0</v>
      </c>
      <c r="O2600" s="26" t="n">
        <v>0</v>
      </c>
      <c r="P2600" s="30" t="n">
        <v>-12.795372</v>
      </c>
      <c r="Q2600" s="30" t="n">
        <v>-44.0628719</v>
      </c>
      <c r="R2600" s="14" t="inlineStr">
        <is>
          <t>FORUM DESEMBARGADOR DR. GERSON PEREIRA DOS SANTOS, PRAÇA PEDRO JOSE DE AQUINO, S/N, SERRA DOURADA/BA</t>
        </is>
      </c>
      <c r="S2600" s="26">
        <f>IF(A2600=A2599,0,1)</f>
        <v>0</v>
      </c>
      <c r="T2600" s="26">
        <f>IF(COUNTIF($B$4:B2600,B2600)=1,1,0)</f>
        <v>0</v>
      </c>
    </row>
    <row r="2601">
      <c r="A2601" s="14" t="inlineStr">
        <is>
          <t>SERRA DOURADA</t>
        </is>
      </c>
      <c r="B2601" s="26" t="n">
        <v>190</v>
      </c>
      <c r="C2601" s="26" t="n">
        <v>1171</v>
      </c>
      <c r="D2601" s="14" t="inlineStr">
        <is>
          <t>PREDIO ESCOLAR FRANCISCO TELES</t>
        </is>
      </c>
      <c r="E2601" s="14" t="inlineStr">
        <is>
          <t>POVOADO TELES</t>
        </is>
      </c>
      <c r="F2601" s="14" t="inlineStr">
        <is>
          <t>POVOADO TELES -  ZONA RURAL</t>
        </is>
      </c>
      <c r="G2601" s="27" t="inlineStr">
        <is>
          <t>47740-000</t>
        </is>
      </c>
      <c r="H2601" s="15" t="n">
        <v>4</v>
      </c>
      <c r="I2601" s="28" t="inlineStr">
        <is>
          <t>NÃO</t>
        </is>
      </c>
      <c r="J2601" s="29" t="n"/>
      <c r="K2601" s="14" t="str">
        <f>IF(J2601="","7. Acima de 2 km",IF(J2601&lt;=50,"1. Até 50 m",IF(J2601&lt;=100,"2. De 50 a 100 m",IF(J2601&lt;=200,"3. De 100 a 200 m",IF(J2601&lt;=300,"4. De 200 a 300 m",IF(J2601&lt;=500,"5. De 300 a 500 m","6. De 500 m a 2 km"))))))</f>
        <v>7. Acima de 2 km</v>
      </c>
      <c r="L2601" s="26" t="n">
        <v>0</v>
      </c>
      <c r="M2601" s="26" t="n">
        <v>0</v>
      </c>
      <c r="N2601" s="26" t="n">
        <v>0</v>
      </c>
      <c r="O2601" s="26" t="n">
        <v>0</v>
      </c>
      <c r="P2601" s="30" t="n">
        <v>-12.8408352</v>
      </c>
      <c r="Q2601" s="30" t="n">
        <v>-44.0521564</v>
      </c>
      <c r="R2601" s="14" t="inlineStr">
        <is>
          <t>FORUM DESEMBARGADOR DR. GERSON PEREIRA DOS SANTOS, PRAÇA PEDRO JOSE DE AQUINO, S/N, SERRA DOURADA/BA</t>
        </is>
      </c>
      <c r="S2601" s="26">
        <f>IF(A2601=A2600,0,1)</f>
        <v>0</v>
      </c>
      <c r="T2601" s="26">
        <f>IF(COUNTIF($B$4:B2601,B2601)=1,1,0)</f>
        <v>0</v>
      </c>
    </row>
    <row r="2602">
      <c r="A2602" s="14" t="inlineStr">
        <is>
          <t>SERRA DOURADA</t>
        </is>
      </c>
      <c r="B2602" s="26" t="n">
        <v>190</v>
      </c>
      <c r="C2602" s="26" t="n">
        <v>1180</v>
      </c>
      <c r="D2602" s="14" t="inlineStr">
        <is>
          <t>ESCOLA MUNICIPAL JOSÉ PEREIRA DA SILVA</t>
        </is>
      </c>
      <c r="E2602" s="14" t="inlineStr">
        <is>
          <t>POVOADO PORTEIRA DE SANTA CRUZ</t>
        </is>
      </c>
      <c r="F2602" s="14" t="inlineStr">
        <is>
          <t>POVOADO PORTEIRA DE SANTA CRUZ -  ZONA RURAL</t>
        </is>
      </c>
      <c r="G2602" s="27" t="inlineStr">
        <is>
          <t>47740-000</t>
        </is>
      </c>
      <c r="H2602" s="15" t="n">
        <v>4</v>
      </c>
      <c r="I2602" s="28" t="inlineStr">
        <is>
          <t>NÃO</t>
        </is>
      </c>
      <c r="J2602" s="29" t="n"/>
      <c r="K2602" s="14" t="str">
        <f>IF(J2602="","7. Acima de 2 km",IF(J2602&lt;=50,"1. Até 50 m",IF(J2602&lt;=100,"2. De 50 a 100 m",IF(J2602&lt;=200,"3. De 100 a 200 m",IF(J2602&lt;=300,"4. De 200 a 300 m",IF(J2602&lt;=500,"5. De 300 a 500 m","6. De 500 m a 2 km"))))))</f>
        <v>7. Acima de 2 km</v>
      </c>
      <c r="L2602" s="26" t="n">
        <v>0</v>
      </c>
      <c r="M2602" s="26" t="n">
        <v>0</v>
      </c>
      <c r="N2602" s="26" t="n">
        <v>0</v>
      </c>
      <c r="O2602" s="26" t="n">
        <v>0</v>
      </c>
      <c r="P2602" s="30" t="n">
        <v>-12.8214674</v>
      </c>
      <c r="Q2602" s="30" t="n">
        <v>-44.1236255</v>
      </c>
      <c r="R2602" s="14" t="inlineStr">
        <is>
          <t>FORUM DESEMBARGADOR DR. GERSON PEREIRA DOS SANTOS, PRAÇA PEDRO JOSE DE AQUINO, S/N, SERRA DOURADA/BA</t>
        </is>
      </c>
      <c r="S2602" s="26">
        <f>IF(A2602=A2601,0,1)</f>
        <v>0</v>
      </c>
      <c r="T2602" s="26">
        <f>IF(COUNTIF($B$4:B2602,B2602)=1,1,0)</f>
        <v>0</v>
      </c>
    </row>
    <row r="2603">
      <c r="A2603" s="14" t="inlineStr">
        <is>
          <t>SERRA DOURADA</t>
        </is>
      </c>
      <c r="B2603" s="26" t="n">
        <v>190</v>
      </c>
      <c r="C2603" s="26" t="n">
        <v>1198</v>
      </c>
      <c r="D2603" s="14" t="inlineStr">
        <is>
          <t>PREDIO ESCOLAR MUNICIPAL LAZARO MEDRADO</t>
        </is>
      </c>
      <c r="E2603" s="14" t="inlineStr">
        <is>
          <t>SERRA DOURADINHA</t>
        </is>
      </c>
      <c r="F2603" s="14" t="inlineStr">
        <is>
          <t>POVOADO VÁRZEA DE BAIXO -  ZONA RURAL</t>
        </is>
      </c>
      <c r="G2603" s="27" t="inlineStr">
        <is>
          <t>47740-000</t>
        </is>
      </c>
      <c r="H2603" s="15" t="n">
        <v>2</v>
      </c>
      <c r="I2603" s="28" t="inlineStr">
        <is>
          <t>NÃO</t>
        </is>
      </c>
      <c r="J2603" s="29" t="n">
        <v>169.6</v>
      </c>
      <c r="K2603" s="14" t="str">
        <f>IF(J2603="","7. Acima de 2 km",IF(J2603&lt;=50,"1. Até 50 m",IF(J2603&lt;=100,"2. De 50 a 100 m",IF(J2603&lt;=200,"3. De 100 a 200 m",IF(J2603&lt;=300,"4. De 200 a 300 m",IF(J2603&lt;=500,"5. De 300 a 500 m","6. De 500 m a 2 km"))))))</f>
        <v>3. De 100 a 200 m</v>
      </c>
      <c r="L2603" s="26" t="n">
        <v>0</v>
      </c>
      <c r="M2603" s="26" t="n">
        <v>0</v>
      </c>
      <c r="N2603" s="26" t="n">
        <v>1</v>
      </c>
      <c r="O2603" s="26" t="n">
        <v>2</v>
      </c>
      <c r="P2603" s="30" t="n">
        <v>-12.7550458</v>
      </c>
      <c r="Q2603" s="30" t="n">
        <v>-43.9510771</v>
      </c>
      <c r="R2603" s="14" t="inlineStr">
        <is>
          <t>FORUM DESEMBARGADOR DR. GERSON PEREIRA DOS SANTOS, PRAÇA PEDRO JOSE DE AQUINO, S/N, SERRA DOURADA/BA</t>
        </is>
      </c>
      <c r="S2603" s="26">
        <f>IF(A2603=A2602,0,1)</f>
        <v>0</v>
      </c>
      <c r="T2603" s="26">
        <f>IF(COUNTIF($B$4:B2603,B2603)=1,1,0)</f>
        <v>0</v>
      </c>
    </row>
    <row r="2604">
      <c r="A2604" s="14" t="inlineStr">
        <is>
          <t>SERRA DOURADA</t>
        </is>
      </c>
      <c r="B2604" s="26" t="n">
        <v>190</v>
      </c>
      <c r="C2604" s="26" t="n">
        <v>1201</v>
      </c>
      <c r="D2604" s="14" t="inlineStr">
        <is>
          <t>PREDIO ESCOLAR LOURISVALDO ALVES DE ARAUJO</t>
        </is>
      </c>
      <c r="E2604" s="14" t="inlineStr">
        <is>
          <t>POVOADO FEIRINHA</t>
        </is>
      </c>
      <c r="F2604" s="14" t="inlineStr">
        <is>
          <t>POVOADO FEIRINHA -  ZONA RURAL</t>
        </is>
      </c>
      <c r="G2604" s="27" t="inlineStr">
        <is>
          <t>47740-000</t>
        </is>
      </c>
      <c r="H2604" s="15" t="n">
        <v>2</v>
      </c>
      <c r="I2604" s="28" t="inlineStr">
        <is>
          <t>NÃO</t>
        </is>
      </c>
      <c r="J2604" s="29" t="n"/>
      <c r="K2604" s="14" t="str">
        <f>IF(J2604="","7. Acima de 2 km",IF(J2604&lt;=50,"1. Até 50 m",IF(J2604&lt;=100,"2. De 50 a 100 m",IF(J2604&lt;=200,"3. De 100 a 200 m",IF(J2604&lt;=300,"4. De 200 a 300 m",IF(J2604&lt;=500,"5. De 300 a 500 m","6. De 500 m a 2 km"))))))</f>
        <v>7. Acima de 2 km</v>
      </c>
      <c r="L2604" s="26" t="n">
        <v>0</v>
      </c>
      <c r="M2604" s="26" t="n">
        <v>0</v>
      </c>
      <c r="N2604" s="26" t="n">
        <v>0</v>
      </c>
      <c r="O2604" s="26" t="n">
        <v>0</v>
      </c>
      <c r="P2604" s="30" t="n">
        <v>-12.7849728</v>
      </c>
      <c r="Q2604" s="30" t="n">
        <v>-44.002652</v>
      </c>
      <c r="R2604" s="14" t="inlineStr">
        <is>
          <t>FORUM DESEMBARGADOR DR. GERSON PEREIRA DOS SANTOS, PRAÇA PEDRO JOSE DE AQUINO, S/N, SERRA DOURADA/BA</t>
        </is>
      </c>
      <c r="S2604" s="26">
        <f>IF(A2604=A2603,0,1)</f>
        <v>0</v>
      </c>
      <c r="T2604" s="26">
        <f>IF(COUNTIF($B$4:B2604,B2604)=1,1,0)</f>
        <v>0</v>
      </c>
    </row>
    <row r="2605">
      <c r="A2605" s="14" t="inlineStr">
        <is>
          <t>SERRA DOURADA</t>
        </is>
      </c>
      <c r="B2605" s="26" t="n">
        <v>190</v>
      </c>
      <c r="C2605" s="26" t="n">
        <v>1228</v>
      </c>
      <c r="D2605" s="14" t="inlineStr">
        <is>
          <t>PREDIO ESCOLAR ANTONIO MANUEL SOARES</t>
        </is>
      </c>
      <c r="E2605" s="14" t="inlineStr">
        <is>
          <t>POVOADO PONTA D'AGUA</t>
        </is>
      </c>
      <c r="F2605" s="14" t="inlineStr">
        <is>
          <t>POVOADO PONTA D'AGUA -  ZONA RURAL</t>
        </is>
      </c>
      <c r="G2605" s="27" t="inlineStr">
        <is>
          <t>47740-000</t>
        </is>
      </c>
      <c r="H2605" s="15" t="n">
        <v>3</v>
      </c>
      <c r="I2605" s="28" t="inlineStr">
        <is>
          <t>NÃO</t>
        </is>
      </c>
      <c r="J2605" s="29" t="n"/>
      <c r="K2605" s="14" t="str">
        <f>IF(J2605="","7. Acima de 2 km",IF(J2605&lt;=50,"1. Até 50 m",IF(J2605&lt;=100,"2. De 50 a 100 m",IF(J2605&lt;=200,"3. De 100 a 200 m",IF(J2605&lt;=300,"4. De 200 a 300 m",IF(J2605&lt;=500,"5. De 300 a 500 m","6. De 500 m a 2 km"))))))</f>
        <v>7. Acima de 2 km</v>
      </c>
      <c r="L2605" s="26" t="n">
        <v>0</v>
      </c>
      <c r="M2605" s="26" t="n">
        <v>0</v>
      </c>
      <c r="N2605" s="26" t="n">
        <v>0</v>
      </c>
      <c r="O2605" s="26" t="n">
        <v>0</v>
      </c>
      <c r="P2605" s="30" t="n">
        <v>-12.7785668</v>
      </c>
      <c r="Q2605" s="30" t="n">
        <v>-44.0384978</v>
      </c>
      <c r="R2605" s="14" t="inlineStr">
        <is>
          <t>FORUM DESEMBARGADOR DR. GERSON PEREIRA DOS SANTOS, PRAÇA PEDRO JOSE DE AQUINO, S/N, SERRA DOURADA/BA</t>
        </is>
      </c>
      <c r="S2605" s="26">
        <f>IF(A2605=A2604,0,1)</f>
        <v>0</v>
      </c>
      <c r="T2605" s="26">
        <f>IF(COUNTIF($B$4:B2605,B2605)=1,1,0)</f>
        <v>0</v>
      </c>
    </row>
    <row r="2606">
      <c r="A2606" s="14" t="inlineStr">
        <is>
          <t>SERRA DOURADA</t>
        </is>
      </c>
      <c r="B2606" s="26" t="n">
        <v>190</v>
      </c>
      <c r="C2606" s="26" t="n">
        <v>1244</v>
      </c>
      <c r="D2606" s="14" t="inlineStr">
        <is>
          <t>GRUPO ESCOLAR DAMAZIO</t>
        </is>
      </c>
      <c r="E2606" s="14" t="inlineStr">
        <is>
          <t>POVOADO DAMAZIO</t>
        </is>
      </c>
      <c r="F2606" s="14" t="inlineStr">
        <is>
          <t>POVOADO DAMAZIO -  ZONA RURAL</t>
        </is>
      </c>
      <c r="G2606" s="27" t="inlineStr">
        <is>
          <t>47740-000</t>
        </is>
      </c>
      <c r="H2606" s="15" t="n">
        <v>1</v>
      </c>
      <c r="I2606" s="28" t="inlineStr">
        <is>
          <t>NÃO</t>
        </is>
      </c>
      <c r="J2606" s="29" t="n"/>
      <c r="K2606" s="14" t="str">
        <f>IF(J2606="","7. Acima de 2 km",IF(J2606&lt;=50,"1. Até 50 m",IF(J2606&lt;=100,"2. De 50 a 100 m",IF(J2606&lt;=200,"3. De 100 a 200 m",IF(J2606&lt;=300,"4. De 200 a 300 m",IF(J2606&lt;=500,"5. De 300 a 500 m","6. De 500 m a 2 km"))))))</f>
        <v>7. Acima de 2 km</v>
      </c>
      <c r="L2606" s="26" t="n">
        <v>0</v>
      </c>
      <c r="M2606" s="26" t="n">
        <v>0</v>
      </c>
      <c r="N2606" s="26" t="n">
        <v>0</v>
      </c>
      <c r="O2606" s="26" t="n">
        <v>0</v>
      </c>
      <c r="P2606" s="30" t="n">
        <v>-12.863115</v>
      </c>
      <c r="Q2606" s="30" t="n">
        <v>-43.9034183</v>
      </c>
      <c r="R2606" s="14" t="inlineStr">
        <is>
          <t>FORUM DESEMBARGADOR DR. GERSON PEREIRA DOS SANTOS, PRAÇA PEDRO JOSE DE AQUINO, S/N, SERRA DOURADA/BA</t>
        </is>
      </c>
      <c r="S2606" s="26">
        <f>IF(A2606=A2605,0,1)</f>
        <v>0</v>
      </c>
      <c r="T2606" s="26">
        <f>IF(COUNTIF($B$4:B2606,B2606)=1,1,0)</f>
        <v>0</v>
      </c>
    </row>
    <row r="2607">
      <c r="A2607" s="14" t="inlineStr">
        <is>
          <t>SERRA DOURADA</t>
        </is>
      </c>
      <c r="B2607" s="26" t="n">
        <v>190</v>
      </c>
      <c r="C2607" s="26" t="n">
        <v>1252</v>
      </c>
      <c r="D2607" s="14" t="inlineStr">
        <is>
          <t>ESCOLA MUNICIPAL MIGUEL MOREIRA DOS SANTOS</t>
        </is>
      </c>
      <c r="E2607" s="14" t="inlineStr">
        <is>
          <t>POVOADO LAGOA DO LORA</t>
        </is>
      </c>
      <c r="F2607" s="14" t="inlineStr">
        <is>
          <t>POVOADO LAGOA DO LORA -  ZONA RURAL</t>
        </is>
      </c>
      <c r="G2607" s="27" t="inlineStr">
        <is>
          <t>47740-000</t>
        </is>
      </c>
      <c r="H2607" s="15" t="n">
        <v>1</v>
      </c>
      <c r="I2607" s="28" t="inlineStr">
        <is>
          <t>NÃO</t>
        </is>
      </c>
      <c r="J2607" s="29" t="n"/>
      <c r="K2607" s="14" t="str">
        <f>IF(J2607="","7. Acima de 2 km",IF(J2607&lt;=50,"1. Até 50 m",IF(J2607&lt;=100,"2. De 50 a 100 m",IF(J2607&lt;=200,"3. De 100 a 200 m",IF(J2607&lt;=300,"4. De 200 a 300 m",IF(J2607&lt;=500,"5. De 300 a 500 m","6. De 500 m a 2 km"))))))</f>
        <v>7. Acima de 2 km</v>
      </c>
      <c r="L2607" s="26" t="n">
        <v>0</v>
      </c>
      <c r="M2607" s="26" t="n">
        <v>0</v>
      </c>
      <c r="N2607" s="26" t="n">
        <v>0</v>
      </c>
      <c r="O2607" s="26" t="n">
        <v>0</v>
      </c>
      <c r="P2607" s="30" t="n">
        <v>-12.792883</v>
      </c>
      <c r="Q2607" s="30" t="n">
        <v>-43.7317398</v>
      </c>
      <c r="R2607" s="14" t="inlineStr">
        <is>
          <t>FORUM DESEMBARGADOR DR. GERSON PEREIRA DOS SANTOS, PRAÇA PEDRO JOSE DE AQUINO, S/N, SERRA DOURADA/BA</t>
        </is>
      </c>
      <c r="S2607" s="26">
        <f>IF(A2607=A2606,0,1)</f>
        <v>0</v>
      </c>
      <c r="T2607" s="26">
        <f>IF(COUNTIF($B$4:B2607,B2607)=1,1,0)</f>
        <v>0</v>
      </c>
    </row>
    <row r="2608">
      <c r="A2608" s="14" t="inlineStr">
        <is>
          <t>SERRA DOURADA</t>
        </is>
      </c>
      <c r="B2608" s="26" t="n">
        <v>190</v>
      </c>
      <c r="C2608" s="26" t="n">
        <v>1350</v>
      </c>
      <c r="D2608" s="14" t="inlineStr">
        <is>
          <t>ESCOLA SAO PEDRO</t>
        </is>
      </c>
      <c r="E2608" s="14" t="inlineStr">
        <is>
          <t>POVOADO TORRADAS</t>
        </is>
      </c>
      <c r="F2608" s="14" t="inlineStr">
        <is>
          <t>POVOADO TORRADAS -  ZONA RURAL</t>
        </is>
      </c>
      <c r="G2608" s="27" t="inlineStr">
        <is>
          <t>47740-000</t>
        </is>
      </c>
      <c r="H2608" s="15" t="n">
        <v>1</v>
      </c>
      <c r="I2608" s="28" t="inlineStr">
        <is>
          <t>NÃO</t>
        </is>
      </c>
      <c r="J2608" s="29" t="n"/>
      <c r="K2608" s="14" t="str">
        <f>IF(J2608="","7. Acima de 2 km",IF(J2608&lt;=50,"1. Até 50 m",IF(J2608&lt;=100,"2. De 50 a 100 m",IF(J2608&lt;=200,"3. De 100 a 200 m",IF(J2608&lt;=300,"4. De 200 a 300 m",IF(J2608&lt;=500,"5. De 300 a 500 m","6. De 500 m a 2 km"))))))</f>
        <v>7. Acima de 2 km</v>
      </c>
      <c r="L2608" s="26" t="n">
        <v>0</v>
      </c>
      <c r="M2608" s="26" t="n">
        <v>0</v>
      </c>
      <c r="N2608" s="26" t="n">
        <v>0</v>
      </c>
      <c r="O2608" s="26" t="n">
        <v>0</v>
      </c>
      <c r="P2608" s="30" t="n">
        <v>-12.8054541</v>
      </c>
      <c r="Q2608" s="30" t="n">
        <v>-44.0953569</v>
      </c>
      <c r="R2608" s="14" t="inlineStr">
        <is>
          <t>FORUM DESEMBARGADOR DR. GERSON PEREIRA DOS SANTOS, PRAÇA PEDRO JOSE DE AQUINO, S/N, SERRA DOURADA/BA</t>
        </is>
      </c>
      <c r="S2608" s="26">
        <f>IF(A2608=A2607,0,1)</f>
        <v>0</v>
      </c>
      <c r="T2608" s="26">
        <f>IF(COUNTIF($B$4:B2608,B2608)=1,1,0)</f>
        <v>0</v>
      </c>
    </row>
    <row r="2609">
      <c r="A2609" s="14" t="inlineStr">
        <is>
          <t>SERRA DOURADA</t>
        </is>
      </c>
      <c r="B2609" s="26" t="n">
        <v>190</v>
      </c>
      <c r="C2609" s="26" t="n">
        <v>1406</v>
      </c>
      <c r="D2609" s="14" t="inlineStr">
        <is>
          <t>PREDIO ESCOLAR SAO BENTO</t>
        </is>
      </c>
      <c r="E2609" s="14" t="inlineStr">
        <is>
          <t>POVOADO TAUA</t>
        </is>
      </c>
      <c r="F2609" s="14" t="inlineStr">
        <is>
          <t>POVOADO TAUA - ZONA RURAL</t>
        </is>
      </c>
      <c r="G2609" s="27" t="inlineStr">
        <is>
          <t>47740-000</t>
        </is>
      </c>
      <c r="H2609" s="15" t="n">
        <v>1</v>
      </c>
      <c r="I2609" s="28" t="inlineStr">
        <is>
          <t>NÃO</t>
        </is>
      </c>
      <c r="J2609" s="29" t="n"/>
      <c r="K2609" s="14" t="str">
        <f>IF(J2609="","7. Acima de 2 km",IF(J2609&lt;=50,"1. Até 50 m",IF(J2609&lt;=100,"2. De 50 a 100 m",IF(J2609&lt;=200,"3. De 100 a 200 m",IF(J2609&lt;=300,"4. De 200 a 300 m",IF(J2609&lt;=500,"5. De 300 a 500 m","6. De 500 m a 2 km"))))))</f>
        <v>7. Acima de 2 km</v>
      </c>
      <c r="L2609" s="26" t="n">
        <v>0</v>
      </c>
      <c r="M2609" s="26" t="n">
        <v>0</v>
      </c>
      <c r="N2609" s="26" t="n">
        <v>0</v>
      </c>
      <c r="O2609" s="26" t="n">
        <v>0</v>
      </c>
      <c r="P2609" s="30" t="n">
        <v>-12.7701816</v>
      </c>
      <c r="Q2609" s="30" t="n">
        <v>-44.0760436</v>
      </c>
      <c r="R2609" s="14" t="inlineStr">
        <is>
          <t>FORUM DESEMBARGADOR DR. GERSON PEREIRA DOS SANTOS, PRAÇA PEDRO JOSE DE AQUINO, S/N, SERRA DOURADA/BA</t>
        </is>
      </c>
      <c r="S2609" s="26">
        <f>IF(A2609=A2608,0,1)</f>
        <v>0</v>
      </c>
      <c r="T2609" s="26">
        <f>IF(COUNTIF($B$4:B2609,B2609)=1,1,0)</f>
        <v>0</v>
      </c>
    </row>
    <row r="2610">
      <c r="A2610" s="14" t="inlineStr">
        <is>
          <t>SERRA DOURADA</t>
        </is>
      </c>
      <c r="B2610" s="26" t="n">
        <v>190</v>
      </c>
      <c r="C2610" s="26" t="n">
        <v>1430</v>
      </c>
      <c r="D2610" s="14" t="inlineStr">
        <is>
          <t>PRÉDIO ESCOLAR DA LAGOA DA ONÇA</t>
        </is>
      </c>
      <c r="E2610" s="14" t="inlineStr">
        <is>
          <t>POVOADO LAGOA DA ONÇA</t>
        </is>
      </c>
      <c r="F2610" s="14" t="inlineStr">
        <is>
          <t>POVOADO LAGOA DA ONÇA (ENTRE D. TRAÍRAS E P. LAGOA DA LORA)-ZONA RURAL</t>
        </is>
      </c>
      <c r="G2610" s="27" t="inlineStr">
        <is>
          <t>47740-000</t>
        </is>
      </c>
      <c r="H2610" s="15" t="n">
        <v>1</v>
      </c>
      <c r="I2610" s="28" t="inlineStr">
        <is>
          <t>NÃO</t>
        </is>
      </c>
      <c r="J2610" s="29" t="n"/>
      <c r="K2610" s="14" t="str">
        <f>IF(J2610="","7. Acima de 2 km",IF(J2610&lt;=50,"1. Até 50 m",IF(J2610&lt;=100,"2. De 50 a 100 m",IF(J2610&lt;=200,"3. De 100 a 200 m",IF(J2610&lt;=300,"4. De 200 a 300 m",IF(J2610&lt;=500,"5. De 300 a 500 m","6. De 500 m a 2 km"))))))</f>
        <v>7. Acima de 2 km</v>
      </c>
      <c r="L2610" s="26" t="n">
        <v>0</v>
      </c>
      <c r="M2610" s="26" t="n">
        <v>0</v>
      </c>
      <c r="N2610" s="26" t="n">
        <v>0</v>
      </c>
      <c r="O2610" s="26" t="n">
        <v>0</v>
      </c>
      <c r="P2610" s="30" t="n">
        <v>-12.8074283</v>
      </c>
      <c r="Q2610" s="30" t="n">
        <v>-43.6483867</v>
      </c>
      <c r="R2610" s="14" t="inlineStr">
        <is>
          <t>FORUM DESEMBARGADOR DR. GERSON PEREIRA DOS SANTOS, PRAÇA PEDRO JOSE DE AQUINO, S/N, SERRA DOURADA/BA</t>
        </is>
      </c>
      <c r="S2610" s="26">
        <f>IF(A2610=A2609,0,1)</f>
        <v>0</v>
      </c>
      <c r="T2610" s="26">
        <f>IF(COUNTIF($B$4:B2610,B2610)=1,1,0)</f>
        <v>0</v>
      </c>
    </row>
    <row r="2611">
      <c r="A2611" s="14" t="inlineStr">
        <is>
          <t>SERRA DOURADA</t>
        </is>
      </c>
      <c r="B2611" s="26" t="n">
        <v>190</v>
      </c>
      <c r="C2611" s="26" t="n">
        <v>1449</v>
      </c>
      <c r="D2611" s="14" t="inlineStr">
        <is>
          <t>ESCOLA MUNICIPAL JOSÉ LUIZ DA SILVA</t>
        </is>
      </c>
      <c r="E2611" s="14" t="inlineStr">
        <is>
          <t>POVOADO LAGOA DO CANTO</t>
        </is>
      </c>
      <c r="F2611" s="14" t="inlineStr">
        <is>
          <t>POVOADO LAGOA DO CANTO - ZONA RURAL</t>
        </is>
      </c>
      <c r="G2611" s="27" t="inlineStr">
        <is>
          <t>47740-000</t>
        </is>
      </c>
      <c r="H2611" s="15" t="n">
        <v>1</v>
      </c>
      <c r="I2611" s="28" t="inlineStr">
        <is>
          <t>NÃO</t>
        </is>
      </c>
      <c r="J2611" s="29" t="n"/>
      <c r="K2611" s="14" t="str">
        <f>IF(J2611="","7. Acima de 2 km",IF(J2611&lt;=50,"1. Até 50 m",IF(J2611&lt;=100,"2. De 50 a 100 m",IF(J2611&lt;=200,"3. De 100 a 200 m",IF(J2611&lt;=300,"4. De 200 a 300 m",IF(J2611&lt;=500,"5. De 300 a 500 m","6. De 500 m a 2 km"))))))</f>
        <v>7. Acima de 2 km</v>
      </c>
      <c r="L2611" s="26" t="n">
        <v>0</v>
      </c>
      <c r="M2611" s="26" t="n">
        <v>0</v>
      </c>
      <c r="N2611" s="26" t="n">
        <v>0</v>
      </c>
      <c r="O2611" s="26" t="n">
        <v>0</v>
      </c>
      <c r="P2611" s="30" t="n">
        <v>-12.8626015</v>
      </c>
      <c r="Q2611" s="30" t="n">
        <v>-44.0661609</v>
      </c>
      <c r="R2611" s="14" t="inlineStr">
        <is>
          <t>FORUM DESEMBARGADOR DR. GERSON PEREIRA DOS SANTOS, PRAÇA PEDRO JOSE DE AQUINO, S/N, SERRA DOURADA/BA</t>
        </is>
      </c>
      <c r="S2611" s="26">
        <f>IF(A2611=A2610,0,1)</f>
        <v>0</v>
      </c>
      <c r="T2611" s="26">
        <f>IF(COUNTIF($B$4:B2611,B2611)=1,1,0)</f>
        <v>0</v>
      </c>
    </row>
    <row r="2612">
      <c r="A2612" s="14" t="inlineStr">
        <is>
          <t>SERRINHA</t>
        </is>
      </c>
      <c r="B2612" s="26" t="n">
        <v>150</v>
      </c>
      <c r="C2612" s="26" t="n">
        <v>1015</v>
      </c>
      <c r="D2612" s="14" t="inlineStr">
        <is>
          <t>CPCT - CENTRO DE PESQUISA CIÊNCIA E TECNOLOGIA</t>
        </is>
      </c>
      <c r="E2612" s="14" t="inlineStr">
        <is>
          <t>GINÁSIO</t>
        </is>
      </c>
      <c r="F2612" s="14" t="inlineStr">
        <is>
          <t>PRAÇA ASTROGILDA GUIMARÃES, S/N - ZONA URBANA</t>
        </is>
      </c>
      <c r="G2612" s="27" t="inlineStr">
        <is>
          <t>48700-000</t>
        </is>
      </c>
      <c r="H2612" s="15" t="n">
        <v>6</v>
      </c>
      <c r="I2612" s="28" t="inlineStr">
        <is>
          <t>NÃO</t>
        </is>
      </c>
      <c r="J2612" s="29" t="n">
        <v>102.8</v>
      </c>
      <c r="K2612" s="14" t="str">
        <f>IF(J2612="","7. Acima de 2 km",IF(J2612&lt;=50,"1. Até 50 m",IF(J2612&lt;=100,"2. De 50 a 100 m",IF(J2612&lt;=200,"3. De 100 a 200 m",IF(J2612&lt;=300,"4. De 200 a 300 m",IF(J2612&lt;=500,"5. De 300 a 500 m","6. De 500 m a 2 km"))))))</f>
        <v>3. De 100 a 200 m</v>
      </c>
      <c r="L2612" s="26" t="n">
        <v>0</v>
      </c>
      <c r="M2612" s="26" t="n">
        <v>0</v>
      </c>
      <c r="N2612" s="26" t="n">
        <v>2</v>
      </c>
      <c r="O2612" s="26" t="n">
        <v>2</v>
      </c>
      <c r="P2612" s="30" t="n">
        <v>-11.664174</v>
      </c>
      <c r="Q2612" s="30" t="n">
        <v>-39.0039118</v>
      </c>
      <c r="R2612" s="14" t="inlineStr">
        <is>
          <t>RUA PEDRO THIAGO, 327, GINÁSIO, SERRINHA/BA</t>
        </is>
      </c>
      <c r="S2612" s="26">
        <f>IF(A2612=A2611,0,1)</f>
        <v>1</v>
      </c>
      <c r="T2612" s="26">
        <f>IF(COUNTIF($B$4:B2612,B2612)=1,1,0)</f>
        <v>1</v>
      </c>
    </row>
    <row r="2613">
      <c r="A2613" s="14" t="inlineStr">
        <is>
          <t>SERRINHA</t>
        </is>
      </c>
      <c r="B2613" s="26" t="n">
        <v>150</v>
      </c>
      <c r="C2613" s="26" t="n">
        <v>1023</v>
      </c>
      <c r="D2613" s="14" t="inlineStr">
        <is>
          <t>COMERCIAL KIDS</t>
        </is>
      </c>
      <c r="E2613" s="14" t="inlineStr">
        <is>
          <t>CENTRO</t>
        </is>
      </c>
      <c r="F2613" s="14" t="inlineStr">
        <is>
          <t>RUA ANTONIO PINHEIRO DA MOTA, SN - ZONA URBANA</t>
        </is>
      </c>
      <c r="G2613" s="27" t="inlineStr">
        <is>
          <t>48700-000</t>
        </is>
      </c>
      <c r="H2613" s="15" t="n">
        <v>4</v>
      </c>
      <c r="I2613" s="28" t="inlineStr">
        <is>
          <t>NÃO</t>
        </is>
      </c>
      <c r="J2613" s="29" t="n">
        <v>202.1</v>
      </c>
      <c r="K2613" s="14" t="str">
        <f>IF(J2613="","7. Acima de 2 km",IF(J2613&lt;=50,"1. Até 50 m",IF(J2613&lt;=100,"2. De 50 a 100 m",IF(J2613&lt;=200,"3. De 100 a 200 m",IF(J2613&lt;=300,"4. De 200 a 300 m",IF(J2613&lt;=500,"5. De 300 a 500 m","6. De 500 m a 2 km"))))))</f>
        <v>4. De 200 a 300 m</v>
      </c>
      <c r="L2613" s="26" t="n">
        <v>0</v>
      </c>
      <c r="M2613" s="26" t="n">
        <v>0</v>
      </c>
      <c r="N2613" s="26" t="n">
        <v>0</v>
      </c>
      <c r="O2613" s="26" t="n">
        <v>5</v>
      </c>
      <c r="P2613" s="30" t="n">
        <v>-11.6614759</v>
      </c>
      <c r="Q2613" s="30" t="n">
        <v>-39.010574</v>
      </c>
      <c r="R2613" s="14" t="inlineStr">
        <is>
          <t>RUA PEDRO THIAGO, 327, GINÁSIO, SERRINHA/BA</t>
        </is>
      </c>
      <c r="S2613" s="26">
        <f>IF(A2613=A2612,0,1)</f>
        <v>0</v>
      </c>
      <c r="T2613" s="26">
        <f>IF(COUNTIF($B$4:B2613,B2613)=1,1,0)</f>
        <v>0</v>
      </c>
    </row>
    <row r="2614">
      <c r="A2614" s="14" t="inlineStr">
        <is>
          <t>SERRINHA</t>
        </is>
      </c>
      <c r="B2614" s="26" t="n">
        <v>150</v>
      </c>
      <c r="C2614" s="26" t="n">
        <v>1031</v>
      </c>
      <c r="D2614" s="14" t="inlineStr">
        <is>
          <t>ESCOLA MUNICIPAL 30 DE JUNHO</t>
        </is>
      </c>
      <c r="E2614" s="14" t="inlineStr">
        <is>
          <t>ESTAÇÃO</t>
        </is>
      </c>
      <c r="F2614" s="14" t="inlineStr">
        <is>
          <t>RUA GETÚLIO VARGAS, S/N - ZONA URBANA</t>
        </is>
      </c>
      <c r="G2614" s="27" t="inlineStr">
        <is>
          <t>48700-000</t>
        </is>
      </c>
      <c r="H2614" s="15" t="n">
        <v>4</v>
      </c>
      <c r="I2614" s="28" t="inlineStr">
        <is>
          <t>NÃO</t>
        </is>
      </c>
      <c r="J2614" s="29" t="n">
        <v>441.9</v>
      </c>
      <c r="K2614" s="14" t="str">
        <f>IF(J2614="","7. Acima de 2 km",IF(J2614&lt;=50,"1. Até 50 m",IF(J2614&lt;=100,"2. De 50 a 100 m",IF(J2614&lt;=200,"3. De 100 a 200 m",IF(J2614&lt;=300,"4. De 200 a 300 m",IF(J2614&lt;=500,"5. De 300 a 500 m","6. De 500 m a 2 km"))))))</f>
        <v>5. De 300 a 500 m</v>
      </c>
      <c r="L2614" s="26" t="n">
        <v>0</v>
      </c>
      <c r="M2614" s="26" t="n">
        <v>0</v>
      </c>
      <c r="N2614" s="26" t="n">
        <v>0</v>
      </c>
      <c r="O2614" s="26" t="n">
        <v>0</v>
      </c>
      <c r="P2614" s="30" t="n">
        <v>-11.6619657</v>
      </c>
      <c r="Q2614" s="30" t="n">
        <v>-39.0128351</v>
      </c>
      <c r="R2614" s="14" t="inlineStr">
        <is>
          <t>RUA PEDRO THIAGO, 327, GINÁSIO, SERRINHA/BA</t>
        </is>
      </c>
      <c r="S2614" s="26">
        <f>IF(A2614=A2613,0,1)</f>
        <v>0</v>
      </c>
      <c r="T2614" s="26">
        <f>IF(COUNTIF($B$4:B2614,B2614)=1,1,0)</f>
        <v>0</v>
      </c>
    </row>
    <row r="2615">
      <c r="A2615" s="14" t="inlineStr">
        <is>
          <t>SERRINHA</t>
        </is>
      </c>
      <c r="B2615" s="26" t="n">
        <v>150</v>
      </c>
      <c r="C2615" s="26" t="n">
        <v>1040</v>
      </c>
      <c r="D2615" s="14" t="inlineStr">
        <is>
          <t>COLÉGIO ESTADUAL DE TEMPO INTEGRAL DE SERRINHA (CETIS)</t>
        </is>
      </c>
      <c r="E2615" s="14" t="inlineStr">
        <is>
          <t>GINÁSIO</t>
        </is>
      </c>
      <c r="F2615" s="14" t="inlineStr">
        <is>
          <t>RUA ÁLVARO AUGUSTO, S/N - ZONA URBANA</t>
        </is>
      </c>
      <c r="G2615" s="27" t="inlineStr">
        <is>
          <t>48700-000</t>
        </is>
      </c>
      <c r="H2615" s="15" t="n">
        <v>17</v>
      </c>
      <c r="I2615" s="28" t="inlineStr">
        <is>
          <t>NÃO</t>
        </is>
      </c>
      <c r="J2615" s="29" t="n">
        <v>140.5</v>
      </c>
      <c r="K2615" s="14" t="str">
        <f>IF(J2615="","7. Acima de 2 km",IF(J2615&lt;=50,"1. Até 50 m",IF(J2615&lt;=100,"2. De 50 a 100 m",IF(J2615&lt;=200,"3. De 100 a 200 m",IF(J2615&lt;=300,"4. De 200 a 300 m",IF(J2615&lt;=500,"5. De 300 a 500 m","6. De 500 m a 2 km"))))))</f>
        <v>3. De 100 a 200 m</v>
      </c>
      <c r="L2615" s="26" t="n">
        <v>0</v>
      </c>
      <c r="M2615" s="26" t="n">
        <v>0</v>
      </c>
      <c r="N2615" s="26" t="n">
        <v>2</v>
      </c>
      <c r="O2615" s="26" t="n">
        <v>2</v>
      </c>
      <c r="P2615" s="30" t="n">
        <v>-11.6639757</v>
      </c>
      <c r="Q2615" s="30" t="n">
        <v>-39.0034108</v>
      </c>
      <c r="R2615" s="14" t="inlineStr">
        <is>
          <t>RUA PEDRO THIAGO, 327, GINÁSIO, SERRINHA/BA</t>
        </is>
      </c>
      <c r="S2615" s="26">
        <f>IF(A2615=A2614,0,1)</f>
        <v>0</v>
      </c>
      <c r="T2615" s="26">
        <f>IF(COUNTIF($B$4:B2615,B2615)=1,1,0)</f>
        <v>0</v>
      </c>
    </row>
    <row r="2616">
      <c r="A2616" s="14" t="inlineStr">
        <is>
          <t>SERRINHA</t>
        </is>
      </c>
      <c r="B2616" s="26" t="n">
        <v>150</v>
      </c>
      <c r="C2616" s="26" t="n">
        <v>1058</v>
      </c>
      <c r="D2616" s="14" t="inlineStr">
        <is>
          <t>ESCOLA NORMAL DE SERRINHA</t>
        </is>
      </c>
      <c r="E2616" s="14" t="inlineStr">
        <is>
          <t>GINÁSIO</t>
        </is>
      </c>
      <c r="F2616" s="14" t="inlineStr">
        <is>
          <t>RUA ANDRÉ NEGREIROS FALCÃO - ZONA URBANA</t>
        </is>
      </c>
      <c r="G2616" s="27" t="inlineStr">
        <is>
          <t>48700-000</t>
        </is>
      </c>
      <c r="H2616" s="15" t="n">
        <v>13</v>
      </c>
      <c r="I2616" s="28" t="inlineStr">
        <is>
          <t>NÃO</t>
        </is>
      </c>
      <c r="J2616" s="29" t="n">
        <v>104.1</v>
      </c>
      <c r="K2616" s="14" t="str">
        <f>IF(J2616="","7. Acima de 2 km",IF(J2616&lt;=50,"1. Até 50 m",IF(J2616&lt;=100,"2. De 50 a 100 m",IF(J2616&lt;=200,"3. De 100 a 200 m",IF(J2616&lt;=300,"4. De 200 a 300 m",IF(J2616&lt;=500,"5. De 300 a 500 m","6. De 500 m a 2 km"))))))</f>
        <v>3. De 100 a 200 m</v>
      </c>
      <c r="L2616" s="26" t="n">
        <v>0</v>
      </c>
      <c r="M2616" s="26" t="n">
        <v>0</v>
      </c>
      <c r="N2616" s="26" t="n">
        <v>2</v>
      </c>
      <c r="O2616" s="26" t="n">
        <v>2</v>
      </c>
      <c r="P2616" s="30" t="n">
        <v>-11.663618</v>
      </c>
      <c r="Q2616" s="30" t="n">
        <v>-39.0056284</v>
      </c>
      <c r="R2616" s="14" t="inlineStr">
        <is>
          <t>RUA PEDRO THIAGO, 327, GINÁSIO, SERRINHA/BA</t>
        </is>
      </c>
      <c r="S2616" s="26">
        <f>IF(A2616=A2615,0,1)</f>
        <v>0</v>
      </c>
      <c r="T2616" s="26">
        <f>IF(COUNTIF($B$4:B2616,B2616)=1,1,0)</f>
        <v>0</v>
      </c>
    </row>
    <row r="2617">
      <c r="A2617" s="14" t="inlineStr">
        <is>
          <t>SERRINHA</t>
        </is>
      </c>
      <c r="B2617" s="26" t="n">
        <v>150</v>
      </c>
      <c r="C2617" s="26" t="n">
        <v>1066</v>
      </c>
      <c r="D2617" s="14" t="inlineStr">
        <is>
          <t>ESCOLA MUNICIPAL ANA OLIVEIRA</t>
        </is>
      </c>
      <c r="E2617" s="14" t="inlineStr">
        <is>
          <t>BOA ESPERANÇA</t>
        </is>
      </c>
      <c r="F2617" s="14" t="inlineStr">
        <is>
          <t>RUA MANOEL NOVAIS, 1150 - ZONA URBANA</t>
        </is>
      </c>
      <c r="G2617" s="27" t="inlineStr">
        <is>
          <t>48700-000</t>
        </is>
      </c>
      <c r="H2617" s="15" t="n">
        <v>5</v>
      </c>
      <c r="I2617" s="28" t="inlineStr">
        <is>
          <t>NÃO</t>
        </is>
      </c>
      <c r="J2617" s="29" t="n">
        <v>379.9</v>
      </c>
      <c r="K2617" s="14" t="str">
        <f>IF(J2617="","7. Acima de 2 km",IF(J2617&lt;=50,"1. Até 50 m",IF(J2617&lt;=100,"2. De 50 a 100 m",IF(J2617&lt;=200,"3. De 100 a 200 m",IF(J2617&lt;=300,"4. De 200 a 300 m",IF(J2617&lt;=500,"5. De 300 a 500 m","6. De 500 m a 2 km"))))))</f>
        <v>5. De 300 a 500 m</v>
      </c>
      <c r="L2617" s="26" t="n">
        <v>0</v>
      </c>
      <c r="M2617" s="26" t="n">
        <v>0</v>
      </c>
      <c r="N2617" s="26" t="n">
        <v>0</v>
      </c>
      <c r="O2617" s="26" t="n">
        <v>0</v>
      </c>
      <c r="P2617" s="30" t="n">
        <v>-11.6557378</v>
      </c>
      <c r="Q2617" s="30" t="n">
        <v>-39.0018116</v>
      </c>
      <c r="R2617" s="14" t="inlineStr">
        <is>
          <t>RUA PEDRO THIAGO, 327, GINÁSIO, SERRINHA/BA</t>
        </is>
      </c>
      <c r="S2617" s="26">
        <f>IF(A2617=A2616,0,1)</f>
        <v>0</v>
      </c>
      <c r="T2617" s="26">
        <f>IF(COUNTIF($B$4:B2617,B2617)=1,1,0)</f>
        <v>0</v>
      </c>
    </row>
    <row r="2618">
      <c r="A2618" s="14" t="inlineStr">
        <is>
          <t>SERRINHA</t>
        </is>
      </c>
      <c r="B2618" s="26" t="n">
        <v>150</v>
      </c>
      <c r="C2618" s="26" t="n">
        <v>1082</v>
      </c>
      <c r="D2618" s="14" t="inlineStr">
        <is>
          <t>ESCOLA MUNICIPAL AUREA NOGUEIRA</t>
        </is>
      </c>
      <c r="E2618" s="14" t="inlineStr">
        <is>
          <t>BOMBA</t>
        </is>
      </c>
      <c r="F2618" s="14" t="inlineStr">
        <is>
          <t>RUA LEOVIGILDO RIBEIRO, 434 - ZONA URBANA</t>
        </is>
      </c>
      <c r="G2618" s="27" t="inlineStr">
        <is>
          <t>48700-000</t>
        </is>
      </c>
      <c r="H2618" s="15" t="n">
        <v>6</v>
      </c>
      <c r="I2618" s="28" t="inlineStr">
        <is>
          <t>NÃO</t>
        </is>
      </c>
      <c r="J2618" s="29" t="n">
        <v>223.7</v>
      </c>
      <c r="K2618" s="14" t="str">
        <f>IF(J2618="","7. Acima de 2 km",IF(J2618&lt;=50,"1. Até 50 m",IF(J2618&lt;=100,"2. De 50 a 100 m",IF(J2618&lt;=200,"3. De 100 a 200 m",IF(J2618&lt;=300,"4. De 200 a 300 m",IF(J2618&lt;=500,"5. De 300 a 500 m","6. De 500 m a 2 km"))))))</f>
        <v>4. De 200 a 300 m</v>
      </c>
      <c r="L2618" s="26" t="n">
        <v>0</v>
      </c>
      <c r="M2618" s="26" t="n">
        <v>0</v>
      </c>
      <c r="N2618" s="26" t="n">
        <v>0</v>
      </c>
      <c r="O2618" s="26" t="n">
        <v>2</v>
      </c>
      <c r="P2618" s="30" t="n">
        <v>-11.6577697</v>
      </c>
      <c r="Q2618" s="30" t="n">
        <v>-39.0113299</v>
      </c>
      <c r="R2618" s="14" t="inlineStr">
        <is>
          <t>RUA PEDRO THIAGO, 327, GINÁSIO, SERRINHA/BA</t>
        </is>
      </c>
      <c r="S2618" s="26">
        <f>IF(A2618=A2617,0,1)</f>
        <v>0</v>
      </c>
      <c r="T2618" s="26">
        <f>IF(COUNTIF($B$4:B2618,B2618)=1,1,0)</f>
        <v>0</v>
      </c>
    </row>
    <row r="2619">
      <c r="A2619" s="14" t="inlineStr">
        <is>
          <t>SERRINHA</t>
        </is>
      </c>
      <c r="B2619" s="26" t="n">
        <v>150</v>
      </c>
      <c r="C2619" s="26" t="n">
        <v>1090</v>
      </c>
      <c r="D2619" s="14" t="inlineStr">
        <is>
          <t>ESCOLA MUNICIPAL GRACILIANO DE FREITAS</t>
        </is>
      </c>
      <c r="E2619" s="14" t="inlineStr">
        <is>
          <t>ESTAÇÃO</t>
        </is>
      </c>
      <c r="F2619" s="14" t="inlineStr">
        <is>
          <t>PRAÇA LAURO DE FREITAS, N 45 - ZONA URBANA</t>
        </is>
      </c>
      <c r="G2619" s="27" t="inlineStr">
        <is>
          <t>48700-000</t>
        </is>
      </c>
      <c r="H2619" s="15" t="n">
        <v>5</v>
      </c>
      <c r="I2619" s="28" t="inlineStr">
        <is>
          <t>NÃO</t>
        </is>
      </c>
      <c r="J2619" s="29" t="n">
        <v>363.5</v>
      </c>
      <c r="K2619" s="14" t="str">
        <f>IF(J2619="","7. Acima de 2 km",IF(J2619&lt;=50,"1. Até 50 m",IF(J2619&lt;=100,"2. De 50 a 100 m",IF(J2619&lt;=200,"3. De 100 a 200 m",IF(J2619&lt;=300,"4. De 200 a 300 m",IF(J2619&lt;=500,"5. De 300 a 500 m","6. De 500 m a 2 km"))))))</f>
        <v>5. De 300 a 500 m</v>
      </c>
      <c r="L2619" s="26" t="n">
        <v>0</v>
      </c>
      <c r="M2619" s="26" t="n">
        <v>0</v>
      </c>
      <c r="N2619" s="26" t="n">
        <v>0</v>
      </c>
      <c r="O2619" s="26" t="n">
        <v>0</v>
      </c>
      <c r="P2619" s="30" t="n">
        <v>-11.6621564</v>
      </c>
      <c r="Q2619" s="30" t="n">
        <v>-39.0120094</v>
      </c>
      <c r="R2619" s="14" t="inlineStr">
        <is>
          <t>RUA PEDRO THIAGO, 327, GINÁSIO, SERRINHA/BA</t>
        </is>
      </c>
      <c r="S2619" s="26">
        <f>IF(A2619=A2618,0,1)</f>
        <v>0</v>
      </c>
      <c r="T2619" s="26">
        <f>IF(COUNTIF($B$4:B2619,B2619)=1,1,0)</f>
        <v>0</v>
      </c>
    </row>
    <row r="2620">
      <c r="A2620" s="14" t="inlineStr">
        <is>
          <t>SERRINHA</t>
        </is>
      </c>
      <c r="B2620" s="26" t="n">
        <v>150</v>
      </c>
      <c r="C2620" s="26" t="n">
        <v>1104</v>
      </c>
      <c r="D2620" s="14" t="inlineStr">
        <is>
          <t>ESCOLA MUNICIPAL IVETE OLIVEIRA</t>
        </is>
      </c>
      <c r="E2620" s="14" t="inlineStr">
        <is>
          <t>OSÉAS</t>
        </is>
      </c>
      <c r="F2620" s="14" t="inlineStr">
        <is>
          <t>RUA BASÍLIO CORDEIRO, S/N - ZONA URBANA</t>
        </is>
      </c>
      <c r="G2620" s="27" t="inlineStr">
        <is>
          <t>48700-000</t>
        </is>
      </c>
      <c r="H2620" s="15" t="n">
        <v>6</v>
      </c>
      <c r="I2620" s="28" t="inlineStr">
        <is>
          <t>NÃO</t>
        </is>
      </c>
      <c r="J2620" s="29" t="n">
        <v>321</v>
      </c>
      <c r="K2620" s="14" t="str">
        <f>IF(J2620="","7. Acima de 2 km",IF(J2620&lt;=50,"1. Até 50 m",IF(J2620&lt;=100,"2. De 50 a 100 m",IF(J2620&lt;=200,"3. De 100 a 200 m",IF(J2620&lt;=300,"4. De 200 a 300 m",IF(J2620&lt;=500,"5. De 300 a 500 m","6. De 500 m a 2 km"))))))</f>
        <v>5. De 300 a 500 m</v>
      </c>
      <c r="L2620" s="26" t="n">
        <v>0</v>
      </c>
      <c r="M2620" s="26" t="n">
        <v>0</v>
      </c>
      <c r="N2620" s="26" t="n">
        <v>0</v>
      </c>
      <c r="O2620" s="26" t="n">
        <v>0</v>
      </c>
      <c r="P2620" s="30" t="n">
        <v>-11.6550887</v>
      </c>
      <c r="Q2620" s="30" t="n">
        <v>-39.0028793</v>
      </c>
      <c r="R2620" s="14" t="inlineStr">
        <is>
          <t>RUA PEDRO THIAGO, 327, GINÁSIO, SERRINHA/BA</t>
        </is>
      </c>
      <c r="S2620" s="26">
        <f>IF(A2620=A2619,0,1)</f>
        <v>0</v>
      </c>
      <c r="T2620" s="26">
        <f>IF(COUNTIF($B$4:B2620,B2620)=1,1,0)</f>
        <v>0</v>
      </c>
    </row>
    <row r="2621">
      <c r="A2621" s="14" t="inlineStr">
        <is>
          <t>SERRINHA</t>
        </is>
      </c>
      <c r="B2621" s="26" t="n">
        <v>150</v>
      </c>
      <c r="C2621" s="26" t="n">
        <v>1112</v>
      </c>
      <c r="D2621" s="14" t="inlineStr">
        <is>
          <t>ESCOLA MUNICIPAL LEOBINO CARDOSO RIBEIRO</t>
        </is>
      </c>
      <c r="E2621" s="14" t="inlineStr">
        <is>
          <t>GINÁSIO</t>
        </is>
      </c>
      <c r="F2621" s="14" t="inlineStr">
        <is>
          <t>RUA LUIZ VIANA FILHO, 1041 - ZONA URBANA</t>
        </is>
      </c>
      <c r="G2621" s="27" t="inlineStr">
        <is>
          <t>48700-000</t>
        </is>
      </c>
      <c r="H2621" s="15" t="n">
        <v>10</v>
      </c>
      <c r="I2621" s="28" t="inlineStr">
        <is>
          <t>NÃO</t>
        </is>
      </c>
      <c r="J2621" s="29" t="n">
        <v>104.6</v>
      </c>
      <c r="K2621" s="14" t="str">
        <f>IF(J2621="","7. Acima de 2 km",IF(J2621&lt;=50,"1. Até 50 m",IF(J2621&lt;=100,"2. De 50 a 100 m",IF(J2621&lt;=200,"3. De 100 a 200 m",IF(J2621&lt;=300,"4. De 200 a 300 m",IF(J2621&lt;=500,"5. De 300 a 500 m","6. De 500 m a 2 km"))))))</f>
        <v>3. De 100 a 200 m</v>
      </c>
      <c r="L2621" s="26" t="n">
        <v>0</v>
      </c>
      <c r="M2621" s="26" t="n">
        <v>0</v>
      </c>
      <c r="N2621" s="26" t="n">
        <v>2</v>
      </c>
      <c r="O2621" s="26" t="n">
        <v>2</v>
      </c>
      <c r="P2621" s="30" t="n">
        <v>-11.6629969</v>
      </c>
      <c r="Q2621" s="30" t="n">
        <v>-39.0038839</v>
      </c>
      <c r="R2621" s="14" t="inlineStr">
        <is>
          <t>RUA PEDRO THIAGO, 327, GINÁSIO, SERRINHA/BA</t>
        </is>
      </c>
      <c r="S2621" s="26">
        <f>IF(A2621=A2620,0,1)</f>
        <v>0</v>
      </c>
      <c r="T2621" s="26">
        <f>IF(COUNTIF($B$4:B2621,B2621)=1,1,0)</f>
        <v>0</v>
      </c>
    </row>
    <row r="2622">
      <c r="A2622" s="14" t="inlineStr">
        <is>
          <t>SERRINHA</t>
        </is>
      </c>
      <c r="B2622" s="26" t="n">
        <v>150</v>
      </c>
      <c r="C2622" s="26" t="n">
        <v>1163</v>
      </c>
      <c r="D2622" s="14" t="inlineStr">
        <is>
          <t>CENTRO TERRITORIAL DE EDUCAÇÃO PROFISSIONAL DO SISAL - CETEPS</t>
        </is>
      </c>
      <c r="E2622" s="14" t="inlineStr">
        <is>
          <t>CIDADE NOVA</t>
        </is>
      </c>
      <c r="F2622" s="14" t="inlineStr">
        <is>
          <t>AVENIDA CIDADE DE ARACI, S/N - ZONA URBANA</t>
        </is>
      </c>
      <c r="G2622" s="27" t="inlineStr">
        <is>
          <t>48700-000</t>
        </is>
      </c>
      <c r="H2622" s="15" t="n">
        <v>12</v>
      </c>
      <c r="I2622" s="28" t="inlineStr">
        <is>
          <t>NÃO</t>
        </is>
      </c>
      <c r="J2622" s="29" t="n">
        <v>222.5</v>
      </c>
      <c r="K2622" s="14" t="str">
        <f>IF(J2622="","7. Acima de 2 km",IF(J2622&lt;=50,"1. Até 50 m",IF(J2622&lt;=100,"2. De 50 a 100 m",IF(J2622&lt;=200,"3. De 100 a 200 m",IF(J2622&lt;=300,"4. De 200 a 300 m",IF(J2622&lt;=500,"5. De 300 a 500 m","6. De 500 m a 2 km"))))))</f>
        <v>4. De 200 a 300 m</v>
      </c>
      <c r="L2622" s="26" t="n">
        <v>0</v>
      </c>
      <c r="M2622" s="26" t="n">
        <v>0</v>
      </c>
      <c r="N2622" s="26" t="n">
        <v>0</v>
      </c>
      <c r="O2622" s="26" t="n">
        <v>1</v>
      </c>
      <c r="P2622" s="30" t="n">
        <v>-11.683926</v>
      </c>
      <c r="Q2622" s="30" t="n">
        <v>-38.9973227</v>
      </c>
      <c r="R2622" s="14" t="inlineStr">
        <is>
          <t>RUA PEDRO THIAGO, 327, GINÁSIO, SERRINHA/BA</t>
        </is>
      </c>
      <c r="S2622" s="26">
        <f>IF(A2622=A2621,0,1)</f>
        <v>0</v>
      </c>
      <c r="T2622" s="26">
        <f>IF(COUNTIF($B$4:B2622,B2622)=1,1,0)</f>
        <v>0</v>
      </c>
    </row>
    <row r="2623">
      <c r="A2623" s="14" t="inlineStr">
        <is>
          <t>SERRINHA</t>
        </is>
      </c>
      <c r="B2623" s="26" t="n">
        <v>150</v>
      </c>
      <c r="C2623" s="26" t="n">
        <v>1201</v>
      </c>
      <c r="D2623" s="14" t="inlineStr">
        <is>
          <t>PRÉDIO ESCOLAR MUNICIPAL MIGUEL ARCANJO CARVALHO</t>
        </is>
      </c>
      <c r="E2623" s="14" t="inlineStr">
        <is>
          <t>POVOADO SALGADO</t>
        </is>
      </c>
      <c r="F2623" s="14" t="inlineStr">
        <is>
          <t>POVOADO SALGADO - ZONA RURAL</t>
        </is>
      </c>
      <c r="G2623" s="27" t="inlineStr">
        <is>
          <t>48700-000</t>
        </is>
      </c>
      <c r="H2623" s="15" t="n">
        <v>3</v>
      </c>
      <c r="I2623" s="28" t="inlineStr">
        <is>
          <t>NÃO</t>
        </is>
      </c>
      <c r="J2623" s="29" t="n"/>
      <c r="K2623" s="14" t="str">
        <f>IF(J2623="","7. Acima de 2 km",IF(J2623&lt;=50,"1. Até 50 m",IF(J2623&lt;=100,"2. De 50 a 100 m",IF(J2623&lt;=200,"3. De 100 a 200 m",IF(J2623&lt;=300,"4. De 200 a 300 m",IF(J2623&lt;=500,"5. De 300 a 500 m","6. De 500 m a 2 km"))))))</f>
        <v>7. Acima de 2 km</v>
      </c>
      <c r="L2623" s="26" t="n">
        <v>0</v>
      </c>
      <c r="M2623" s="26" t="n">
        <v>0</v>
      </c>
      <c r="N2623" s="26" t="n">
        <v>0</v>
      </c>
      <c r="O2623" s="26" t="n">
        <v>0</v>
      </c>
      <c r="P2623" s="30" t="n">
        <v>-11.5800009</v>
      </c>
      <c r="Q2623" s="30" t="n">
        <v>-38.9448242</v>
      </c>
      <c r="R2623" s="14" t="inlineStr">
        <is>
          <t>RUA PEDRO THIAGO, 327, GINÁSIO, SERRINHA/BA</t>
        </is>
      </c>
      <c r="S2623" s="26">
        <f>IF(A2623=A2622,0,1)</f>
        <v>0</v>
      </c>
      <c r="T2623" s="26">
        <f>IF(COUNTIF($B$4:B2623,B2623)=1,1,0)</f>
        <v>0</v>
      </c>
    </row>
    <row r="2624">
      <c r="A2624" s="14" t="inlineStr">
        <is>
          <t>SERRINHA</t>
        </is>
      </c>
      <c r="B2624" s="26" t="n">
        <v>150</v>
      </c>
      <c r="C2624" s="26" t="n">
        <v>1210</v>
      </c>
      <c r="D2624" s="14" t="inlineStr">
        <is>
          <t>COLÉGIO ESTADUAL ALOÍSIO CARNEIRO</t>
        </is>
      </c>
      <c r="E2624" s="14" t="inlineStr">
        <is>
          <t>POVOADO BELA VISTA</t>
        </is>
      </c>
      <c r="F2624" s="14" t="inlineStr">
        <is>
          <t>POVOADO BELA VISTA - ZONA RURAL</t>
        </is>
      </c>
      <c r="G2624" s="27" t="inlineStr">
        <is>
          <t>48700-000</t>
        </is>
      </c>
      <c r="H2624" s="15" t="n">
        <v>4</v>
      </c>
      <c r="I2624" s="28" t="inlineStr">
        <is>
          <t>NÃO</t>
        </is>
      </c>
      <c r="J2624" s="29" t="n"/>
      <c r="K2624" s="14" t="str">
        <f>IF(J2624="","7. Acima de 2 km",IF(J2624&lt;=50,"1. Até 50 m",IF(J2624&lt;=100,"2. De 50 a 100 m",IF(J2624&lt;=200,"3. De 100 a 200 m",IF(J2624&lt;=300,"4. De 200 a 300 m",IF(J2624&lt;=500,"5. De 300 a 500 m","6. De 500 m a 2 km"))))))</f>
        <v>7. Acima de 2 km</v>
      </c>
      <c r="L2624" s="26" t="n">
        <v>0</v>
      </c>
      <c r="M2624" s="26" t="n">
        <v>0</v>
      </c>
      <c r="N2624" s="26" t="n">
        <v>0</v>
      </c>
      <c r="O2624" s="26" t="n">
        <v>0</v>
      </c>
      <c r="P2624" s="30" t="n">
        <v>-11.6994596</v>
      </c>
      <c r="Q2624" s="30" t="n">
        <v>-39.0943169</v>
      </c>
      <c r="R2624" s="14" t="inlineStr">
        <is>
          <t>RUA PEDRO THIAGO, 327, GINÁSIO, SERRINHA/BA</t>
        </is>
      </c>
      <c r="S2624" s="26">
        <f>IF(A2624=A2623,0,1)</f>
        <v>0</v>
      </c>
      <c r="T2624" s="26">
        <f>IF(COUNTIF($B$4:B2624,B2624)=1,1,0)</f>
        <v>0</v>
      </c>
    </row>
    <row r="2625">
      <c r="A2625" s="14" t="inlineStr">
        <is>
          <t>SERRINHA</t>
        </is>
      </c>
      <c r="B2625" s="26" t="n">
        <v>150</v>
      </c>
      <c r="C2625" s="26" t="n">
        <v>1228</v>
      </c>
      <c r="D2625" s="14" t="inlineStr">
        <is>
          <t>ESCOLA MUNICIPAL ANTÔNIO ALVES DA SILVA</t>
        </is>
      </c>
      <c r="E2625" s="14" t="inlineStr">
        <is>
          <t>POVOADO CHAPADA</t>
        </is>
      </c>
      <c r="F2625" s="14" t="inlineStr">
        <is>
          <t>POVOADO CHAPADA - ZONA RURAL</t>
        </is>
      </c>
      <c r="G2625" s="27" t="inlineStr">
        <is>
          <t>48700-000</t>
        </is>
      </c>
      <c r="H2625" s="15" t="n">
        <v>3</v>
      </c>
      <c r="I2625" s="28" t="inlineStr">
        <is>
          <t>NÃO</t>
        </is>
      </c>
      <c r="J2625" s="29" t="n"/>
      <c r="K2625" s="14" t="str">
        <f>IF(J2625="","7. Acima de 2 km",IF(J2625&lt;=50,"1. Até 50 m",IF(J2625&lt;=100,"2. De 50 a 100 m",IF(J2625&lt;=200,"3. De 100 a 200 m",IF(J2625&lt;=300,"4. De 200 a 300 m",IF(J2625&lt;=500,"5. De 300 a 500 m","6. De 500 m a 2 km"))))))</f>
        <v>7. Acima de 2 km</v>
      </c>
      <c r="L2625" s="26" t="n">
        <v>0</v>
      </c>
      <c r="M2625" s="26" t="n">
        <v>0</v>
      </c>
      <c r="N2625" s="26" t="n">
        <v>0</v>
      </c>
      <c r="O2625" s="26" t="n">
        <v>0</v>
      </c>
      <c r="P2625" s="30" t="n">
        <v>-11.6586844</v>
      </c>
      <c r="Q2625" s="30" t="n">
        <v>-39.0992419</v>
      </c>
      <c r="R2625" s="14" t="inlineStr">
        <is>
          <t>RUA PEDRO THIAGO, 327, GINÁSIO, SERRINHA/BA</t>
        </is>
      </c>
      <c r="S2625" s="26">
        <f>IF(A2625=A2624,0,1)</f>
        <v>0</v>
      </c>
      <c r="T2625" s="26">
        <f>IF(COUNTIF($B$4:B2625,B2625)=1,1,0)</f>
        <v>0</v>
      </c>
    </row>
    <row r="2626">
      <c r="A2626" s="14" t="inlineStr">
        <is>
          <t>SERRINHA</t>
        </is>
      </c>
      <c r="B2626" s="26" t="n">
        <v>150</v>
      </c>
      <c r="C2626" s="26" t="n">
        <v>1244</v>
      </c>
      <c r="D2626" s="14" t="inlineStr">
        <is>
          <t>ESCOLA MUNICIPAL JONICE SILVA LIMA</t>
        </is>
      </c>
      <c r="E2626" s="14" t="inlineStr">
        <is>
          <t>POVOADO SUBAÉ</t>
        </is>
      </c>
      <c r="F2626" s="14" t="inlineStr">
        <is>
          <t>POVOADO SUBAÉ - ZONA RURAL</t>
        </is>
      </c>
      <c r="G2626" s="27" t="inlineStr">
        <is>
          <t>48700-000</t>
        </is>
      </c>
      <c r="H2626" s="15" t="n">
        <v>3</v>
      </c>
      <c r="I2626" s="28" t="inlineStr">
        <is>
          <t>NÃO</t>
        </is>
      </c>
      <c r="J2626" s="29" t="n"/>
      <c r="K2626" s="14" t="str">
        <f>IF(J2626="","7. Acima de 2 km",IF(J2626&lt;=50,"1. Até 50 m",IF(J2626&lt;=100,"2. De 50 a 100 m",IF(J2626&lt;=200,"3. De 100 a 200 m",IF(J2626&lt;=300,"4. De 200 a 300 m",IF(J2626&lt;=500,"5. De 300 a 500 m","6. De 500 m a 2 km"))))))</f>
        <v>7. Acima de 2 km</v>
      </c>
      <c r="L2626" s="26" t="n">
        <v>0</v>
      </c>
      <c r="M2626" s="26" t="n">
        <v>0</v>
      </c>
      <c r="N2626" s="26" t="n">
        <v>0</v>
      </c>
      <c r="O2626" s="26" t="n">
        <v>0</v>
      </c>
      <c r="P2626" s="30" t="n">
        <v>-11.6286783</v>
      </c>
      <c r="Q2626" s="30" t="n">
        <v>-39.1087428</v>
      </c>
      <c r="R2626" s="14" t="inlineStr">
        <is>
          <t>RUA PEDRO THIAGO, 327, GINÁSIO, SERRINHA/BA</t>
        </is>
      </c>
      <c r="S2626" s="26">
        <f>IF(A2626=A2625,0,1)</f>
        <v>0</v>
      </c>
      <c r="T2626" s="26">
        <f>IF(COUNTIF($B$4:B2626,B2626)=1,1,0)</f>
        <v>0</v>
      </c>
    </row>
    <row r="2627">
      <c r="A2627" s="14" t="inlineStr">
        <is>
          <t>SERRINHA</t>
        </is>
      </c>
      <c r="B2627" s="26" t="n">
        <v>150</v>
      </c>
      <c r="C2627" s="26" t="n">
        <v>1260</v>
      </c>
      <c r="D2627" s="14" t="inlineStr">
        <is>
          <t>ESCOLA MUNICIPAL CARLOS DE FREITAS MOTA</t>
        </is>
      </c>
      <c r="E2627" s="14" t="inlineStr">
        <is>
          <t>NOVO HORIZONTE</t>
        </is>
      </c>
      <c r="F2627" s="14" t="inlineStr">
        <is>
          <t>RUA XAVIER MARQUES, 33 - ZONA URBANA</t>
        </is>
      </c>
      <c r="G2627" s="27" t="inlineStr">
        <is>
          <t>48700-000</t>
        </is>
      </c>
      <c r="H2627" s="15" t="n">
        <v>5</v>
      </c>
      <c r="I2627" s="28" t="inlineStr">
        <is>
          <t>NÃO</t>
        </is>
      </c>
      <c r="J2627" s="29" t="n">
        <v>963.2</v>
      </c>
      <c r="K2627" s="14" t="str">
        <f>IF(J2627="","7. Acima de 2 km",IF(J2627&lt;=50,"1. Até 50 m",IF(J2627&lt;=100,"2. De 50 a 100 m",IF(J2627&lt;=200,"3. De 100 a 200 m",IF(J2627&lt;=300,"4. De 200 a 300 m",IF(J2627&lt;=500,"5. De 300 a 500 m","6. De 500 m a 2 km"))))))</f>
        <v>6. De 500 m a 2 km</v>
      </c>
      <c r="L2627" s="26" t="n">
        <v>0</v>
      </c>
      <c r="M2627" s="26" t="n">
        <v>0</v>
      </c>
      <c r="N2627" s="26" t="n">
        <v>0</v>
      </c>
      <c r="O2627" s="26" t="n">
        <v>0</v>
      </c>
      <c r="P2627" s="30" t="n">
        <v>-11.6738885</v>
      </c>
      <c r="Q2627" s="30" t="n">
        <v>-39.0119458</v>
      </c>
      <c r="R2627" s="14" t="inlineStr">
        <is>
          <t>RUA PEDRO THIAGO, 327, GINÁSIO, SERRINHA/BA</t>
        </is>
      </c>
      <c r="S2627" s="26">
        <f>IF(A2627=A2626,0,1)</f>
        <v>0</v>
      </c>
      <c r="T2627" s="26">
        <f>IF(COUNTIF($B$4:B2627,B2627)=1,1,0)</f>
        <v>0</v>
      </c>
    </row>
    <row r="2628">
      <c r="A2628" s="14" t="inlineStr">
        <is>
          <t>SERRINHA</t>
        </is>
      </c>
      <c r="B2628" s="26" t="n">
        <v>150</v>
      </c>
      <c r="C2628" s="26" t="n">
        <v>1279</v>
      </c>
      <c r="D2628" s="14" t="inlineStr">
        <is>
          <t>ESCOLA MUNICIPAL PLÍNIO CARNEIRO</t>
        </is>
      </c>
      <c r="E2628" s="14" t="inlineStr">
        <is>
          <t>URBIS I</t>
        </is>
      </c>
      <c r="F2628" s="14" t="inlineStr">
        <is>
          <t>RUA F, QUADRA G, S/N - ZONA URBANA</t>
        </is>
      </c>
      <c r="G2628" s="27" t="inlineStr">
        <is>
          <t>48700-000</t>
        </is>
      </c>
      <c r="H2628" s="15" t="n">
        <v>6</v>
      </c>
      <c r="I2628" s="28" t="inlineStr">
        <is>
          <t>NÃO</t>
        </is>
      </c>
      <c r="J2628" s="29" t="n">
        <v>467.4</v>
      </c>
      <c r="K2628" s="14" t="str">
        <f>IF(J2628="","7. Acima de 2 km",IF(J2628&lt;=50,"1. Até 50 m",IF(J2628&lt;=100,"2. De 50 a 100 m",IF(J2628&lt;=200,"3. De 100 a 200 m",IF(J2628&lt;=300,"4. De 200 a 300 m",IF(J2628&lt;=500,"5. De 300 a 500 m","6. De 500 m a 2 km"))))))</f>
        <v>5. De 300 a 500 m</v>
      </c>
      <c r="L2628" s="26" t="n">
        <v>0</v>
      </c>
      <c r="M2628" s="26" t="n">
        <v>0</v>
      </c>
      <c r="N2628" s="26" t="n">
        <v>0</v>
      </c>
      <c r="O2628" s="26" t="n">
        <v>0</v>
      </c>
      <c r="P2628" s="30" t="n">
        <v>-11.6700163</v>
      </c>
      <c r="Q2628" s="30" t="n">
        <v>-39.0085555</v>
      </c>
      <c r="R2628" s="14" t="inlineStr">
        <is>
          <t>RUA PEDRO THIAGO, 327, GINÁSIO, SERRINHA/BA</t>
        </is>
      </c>
      <c r="S2628" s="26">
        <f>IF(A2628=A2627,0,1)</f>
        <v>0</v>
      </c>
      <c r="T2628" s="26">
        <f>IF(COUNTIF($B$4:B2628,B2628)=1,1,0)</f>
        <v>0</v>
      </c>
    </row>
    <row r="2629">
      <c r="A2629" s="14" t="inlineStr">
        <is>
          <t>SERRINHA</t>
        </is>
      </c>
      <c r="B2629" s="26" t="n">
        <v>150</v>
      </c>
      <c r="C2629" s="26" t="n">
        <v>1287</v>
      </c>
      <c r="D2629" s="14" t="inlineStr">
        <is>
          <t>ESCOLA MUNICIPAL MENINO DE JESUS</t>
        </is>
      </c>
      <c r="E2629" s="14" t="inlineStr">
        <is>
          <t>POVOADO ALTO DA BANDEIRA</t>
        </is>
      </c>
      <c r="F2629" s="14" t="inlineStr">
        <is>
          <t>POVOADO ALTO DA BANDEIRA - ZONA RURAL</t>
        </is>
      </c>
      <c r="G2629" s="27" t="inlineStr">
        <is>
          <t>48700-000</t>
        </is>
      </c>
      <c r="H2629" s="15" t="n">
        <v>3</v>
      </c>
      <c r="I2629" s="28" t="inlineStr">
        <is>
          <t>NÃO</t>
        </is>
      </c>
      <c r="J2629" s="29" t="n"/>
      <c r="K2629" s="14" t="str">
        <f>IF(J2629="","7. Acima de 2 km",IF(J2629&lt;=50,"1. Até 50 m",IF(J2629&lt;=100,"2. De 50 a 100 m",IF(J2629&lt;=200,"3. De 100 a 200 m",IF(J2629&lt;=300,"4. De 200 a 300 m",IF(J2629&lt;=500,"5. De 300 a 500 m","6. De 500 m a 2 km"))))))</f>
        <v>7. Acima de 2 km</v>
      </c>
      <c r="L2629" s="26" t="n">
        <v>0</v>
      </c>
      <c r="M2629" s="26" t="n">
        <v>0</v>
      </c>
      <c r="N2629" s="26" t="n">
        <v>0</v>
      </c>
      <c r="O2629" s="26" t="n">
        <v>0</v>
      </c>
      <c r="P2629" s="30" t="n">
        <v>-11.6936589</v>
      </c>
      <c r="Q2629" s="30" t="n">
        <v>-39.0174481</v>
      </c>
      <c r="R2629" s="14" t="inlineStr">
        <is>
          <t>RUA PEDRO THIAGO, 327, GINÁSIO, SERRINHA/BA</t>
        </is>
      </c>
      <c r="S2629" s="26">
        <f>IF(A2629=A2628,0,1)</f>
        <v>0</v>
      </c>
      <c r="T2629" s="26">
        <f>IF(COUNTIF($B$4:B2629,B2629)=1,1,0)</f>
        <v>0</v>
      </c>
    </row>
    <row r="2630">
      <c r="A2630" s="14" t="inlineStr">
        <is>
          <t>SERRINHA</t>
        </is>
      </c>
      <c r="B2630" s="26" t="n">
        <v>150</v>
      </c>
      <c r="C2630" s="26" t="n">
        <v>1295</v>
      </c>
      <c r="D2630" s="14" t="inlineStr">
        <is>
          <t>ESCOLA MUNICIPAL SÃO JORGE</t>
        </is>
      </c>
      <c r="E2630" s="14" t="inlineStr">
        <is>
          <t>POVOADO BOM JARDIM</t>
        </is>
      </c>
      <c r="F2630" s="14" t="inlineStr">
        <is>
          <t>POVOADO BOM JARDIM - ZONA RURAL</t>
        </is>
      </c>
      <c r="G2630" s="27" t="inlineStr">
        <is>
          <t>48700-000</t>
        </is>
      </c>
      <c r="H2630" s="15" t="n">
        <v>1</v>
      </c>
      <c r="I2630" s="28" t="inlineStr">
        <is>
          <t>NÃO</t>
        </is>
      </c>
      <c r="J2630" s="29" t="n">
        <v>452.8</v>
      </c>
      <c r="K2630" s="14" t="str">
        <f>IF(J2630="","7. Acima de 2 km",IF(J2630&lt;=50,"1. Até 50 m",IF(J2630&lt;=100,"2. De 50 a 100 m",IF(J2630&lt;=200,"3. De 100 a 200 m",IF(J2630&lt;=300,"4. De 200 a 300 m",IF(J2630&lt;=500,"5. De 300 a 500 m","6. De 500 m a 2 km"))))))</f>
        <v>5. De 300 a 500 m</v>
      </c>
      <c r="L2630" s="26" t="n">
        <v>0</v>
      </c>
      <c r="M2630" s="26" t="n">
        <v>0</v>
      </c>
      <c r="N2630" s="26" t="n">
        <v>0</v>
      </c>
      <c r="O2630" s="26" t="n">
        <v>0</v>
      </c>
      <c r="P2630" s="30" t="n">
        <v>-11.6194234</v>
      </c>
      <c r="Q2630" s="30" t="n">
        <v>-38.9865725</v>
      </c>
      <c r="R2630" s="14" t="inlineStr">
        <is>
          <t>RUA PEDRO THIAGO, 327, GINÁSIO, SERRINHA/BA</t>
        </is>
      </c>
      <c r="S2630" s="26">
        <f>IF(A2630=A2629,0,1)</f>
        <v>0</v>
      </c>
      <c r="T2630" s="26">
        <f>IF(COUNTIF($B$4:B2630,B2630)=1,1,0)</f>
        <v>0</v>
      </c>
    </row>
    <row r="2631">
      <c r="A2631" s="14" t="inlineStr">
        <is>
          <t>SERRINHA</t>
        </is>
      </c>
      <c r="B2631" s="26" t="n">
        <v>150</v>
      </c>
      <c r="C2631" s="26" t="n">
        <v>1309</v>
      </c>
      <c r="D2631" s="14" t="inlineStr">
        <is>
          <t>ESCOLA MUNICIPAL JOSÉ EUTANÁZIO MOTA</t>
        </is>
      </c>
      <c r="E2631" s="14" t="inlineStr">
        <is>
          <t>POVOADO BREJO</t>
        </is>
      </c>
      <c r="F2631" s="14" t="inlineStr">
        <is>
          <t>POVOADO BREJO - ZONA RURAL</t>
        </is>
      </c>
      <c r="G2631" s="27" t="inlineStr">
        <is>
          <t>48700-000</t>
        </is>
      </c>
      <c r="H2631" s="15" t="n">
        <v>2</v>
      </c>
      <c r="I2631" s="28" t="inlineStr">
        <is>
          <t>NÃO</t>
        </is>
      </c>
      <c r="J2631" s="29" t="n"/>
      <c r="K2631" s="14" t="str">
        <f>IF(J2631="","7. Acima de 2 km",IF(J2631&lt;=50,"1. Até 50 m",IF(J2631&lt;=100,"2. De 50 a 100 m",IF(J2631&lt;=200,"3. De 100 a 200 m",IF(J2631&lt;=300,"4. De 200 a 300 m",IF(J2631&lt;=500,"5. De 300 a 500 m","6. De 500 m a 2 km"))))))</f>
        <v>7. Acima de 2 km</v>
      </c>
      <c r="L2631" s="26" t="n">
        <v>0</v>
      </c>
      <c r="M2631" s="26" t="n">
        <v>0</v>
      </c>
      <c r="N2631" s="26" t="n">
        <v>0</v>
      </c>
      <c r="O2631" s="26" t="n">
        <v>0</v>
      </c>
      <c r="P2631" s="30" t="n">
        <v>-11.6094411</v>
      </c>
      <c r="Q2631" s="30" t="n">
        <v>-39.0353518</v>
      </c>
      <c r="R2631" s="14" t="inlineStr">
        <is>
          <t>RUA PEDRO THIAGO, 327, GINÁSIO, SERRINHA/BA</t>
        </is>
      </c>
      <c r="S2631" s="26">
        <f>IF(A2631=A2630,0,1)</f>
        <v>0</v>
      </c>
      <c r="T2631" s="26">
        <f>IF(COUNTIF($B$4:B2631,B2631)=1,1,0)</f>
        <v>0</v>
      </c>
    </row>
    <row r="2632">
      <c r="A2632" s="14" t="inlineStr">
        <is>
          <t>SERRINHA</t>
        </is>
      </c>
      <c r="B2632" s="26" t="n">
        <v>150</v>
      </c>
      <c r="C2632" s="26" t="n">
        <v>1317</v>
      </c>
      <c r="D2632" s="14" t="inlineStr">
        <is>
          <t>ESCOLA MUNICIPAL MISAEL CUNHA</t>
        </is>
      </c>
      <c r="E2632" s="14" t="inlineStr">
        <is>
          <t>POVOADO CABEÇA DA VACA</t>
        </is>
      </c>
      <c r="F2632" s="14" t="inlineStr">
        <is>
          <t>POVOADO CABECA DA VACA - ZONA RURAL</t>
        </is>
      </c>
      <c r="G2632" s="27" t="inlineStr">
        <is>
          <t>48700-000</t>
        </is>
      </c>
      <c r="H2632" s="15" t="n">
        <v>1</v>
      </c>
      <c r="I2632" s="28" t="inlineStr">
        <is>
          <t>NÃO</t>
        </is>
      </c>
      <c r="J2632" s="29" t="n"/>
      <c r="K2632" s="14" t="str">
        <f>IF(J2632="","7. Acima de 2 km",IF(J2632&lt;=50,"1. Até 50 m",IF(J2632&lt;=100,"2. De 50 a 100 m",IF(J2632&lt;=200,"3. De 100 a 200 m",IF(J2632&lt;=300,"4. De 200 a 300 m",IF(J2632&lt;=500,"5. De 300 a 500 m","6. De 500 m a 2 km"))))))</f>
        <v>7. Acima de 2 km</v>
      </c>
      <c r="L2632" s="26" t="n">
        <v>0</v>
      </c>
      <c r="M2632" s="26" t="n">
        <v>0</v>
      </c>
      <c r="N2632" s="26" t="n">
        <v>0</v>
      </c>
      <c r="O2632" s="26" t="n">
        <v>0</v>
      </c>
      <c r="P2632" s="30" t="n">
        <v>-11.5587349</v>
      </c>
      <c r="Q2632" s="30" t="n">
        <v>-38.9898161</v>
      </c>
      <c r="R2632" s="14" t="inlineStr">
        <is>
          <t>RUA PEDRO THIAGO, 327, GINÁSIO, SERRINHA/BA</t>
        </is>
      </c>
      <c r="S2632" s="26">
        <f>IF(A2632=A2631,0,1)</f>
        <v>0</v>
      </c>
      <c r="T2632" s="26">
        <f>IF(COUNTIF($B$4:B2632,B2632)=1,1,0)</f>
        <v>0</v>
      </c>
    </row>
    <row r="2633">
      <c r="A2633" s="14" t="inlineStr">
        <is>
          <t>SERRINHA</t>
        </is>
      </c>
      <c r="B2633" s="26" t="n">
        <v>150</v>
      </c>
      <c r="C2633" s="26" t="n">
        <v>1325</v>
      </c>
      <c r="D2633" s="14" t="inlineStr">
        <is>
          <t>COLÉGIO ESTADUAL DE SANTANA</t>
        </is>
      </c>
      <c r="E2633" s="14" t="inlineStr">
        <is>
          <t>POVOADO CAJUEIRO</t>
        </is>
      </c>
      <c r="F2633" s="14" t="inlineStr">
        <is>
          <t>POVOADO CAJUEIRO - ZONA RURAL</t>
        </is>
      </c>
      <c r="G2633" s="27" t="inlineStr">
        <is>
          <t>48700-000</t>
        </is>
      </c>
      <c r="H2633" s="15" t="n">
        <v>4</v>
      </c>
      <c r="I2633" s="28" t="inlineStr">
        <is>
          <t>NÃO</t>
        </is>
      </c>
      <c r="J2633" s="29" t="n"/>
      <c r="K2633" s="14" t="str">
        <f>IF(J2633="","7. Acima de 2 km",IF(J2633&lt;=50,"1. Até 50 m",IF(J2633&lt;=100,"2. De 50 a 100 m",IF(J2633&lt;=200,"3. De 100 a 200 m",IF(J2633&lt;=300,"4. De 200 a 300 m",IF(J2633&lt;=500,"5. De 300 a 500 m","6. De 500 m a 2 km"))))))</f>
        <v>7. Acima de 2 km</v>
      </c>
      <c r="L2633" s="26" t="n">
        <v>0</v>
      </c>
      <c r="M2633" s="26" t="n">
        <v>0</v>
      </c>
      <c r="N2633" s="26" t="n">
        <v>0</v>
      </c>
      <c r="O2633" s="26" t="n">
        <v>0</v>
      </c>
      <c r="P2633" s="30" t="n">
        <v>-11.6043554</v>
      </c>
      <c r="Q2633" s="30" t="n">
        <v>-39.0185548</v>
      </c>
      <c r="R2633" s="14" t="inlineStr">
        <is>
          <t>RUA PEDRO THIAGO, 327, GINÁSIO, SERRINHA/BA</t>
        </is>
      </c>
      <c r="S2633" s="26">
        <f>IF(A2633=A2632,0,1)</f>
        <v>0</v>
      </c>
      <c r="T2633" s="26">
        <f>IF(COUNTIF($B$4:B2633,B2633)=1,1,0)</f>
        <v>0</v>
      </c>
    </row>
    <row r="2634">
      <c r="A2634" s="14" t="inlineStr">
        <is>
          <t>SERRINHA</t>
        </is>
      </c>
      <c r="B2634" s="26" t="n">
        <v>150</v>
      </c>
      <c r="C2634" s="26" t="n">
        <v>1333</v>
      </c>
      <c r="D2634" s="14" t="inlineStr">
        <is>
          <t>ESCOLA MUNCIIPAL GERÔNIMO PEREIRA</t>
        </is>
      </c>
      <c r="E2634" s="14" t="inlineStr">
        <is>
          <t>POVOADO CAMPO REDONDO</t>
        </is>
      </c>
      <c r="F2634" s="14" t="inlineStr">
        <is>
          <t>POVOADO CAMPO REDONDO - ZONA RURAL</t>
        </is>
      </c>
      <c r="G2634" s="27" t="inlineStr">
        <is>
          <t>48700-000</t>
        </is>
      </c>
      <c r="H2634" s="15" t="n">
        <v>3</v>
      </c>
      <c r="I2634" s="28" t="inlineStr">
        <is>
          <t>NÃO</t>
        </is>
      </c>
      <c r="J2634" s="29" t="n"/>
      <c r="K2634" s="14" t="str">
        <f>IF(J2634="","7. Acima de 2 km",IF(J2634&lt;=50,"1. Até 50 m",IF(J2634&lt;=100,"2. De 50 a 100 m",IF(J2634&lt;=200,"3. De 100 a 200 m",IF(J2634&lt;=300,"4. De 200 a 300 m",IF(J2634&lt;=500,"5. De 300 a 500 m","6. De 500 m a 2 km"))))))</f>
        <v>7. Acima de 2 km</v>
      </c>
      <c r="L2634" s="26" t="n">
        <v>0</v>
      </c>
      <c r="M2634" s="26" t="n">
        <v>0</v>
      </c>
      <c r="N2634" s="26" t="n">
        <v>0</v>
      </c>
      <c r="O2634" s="26" t="n">
        <v>0</v>
      </c>
      <c r="P2634" s="30" t="n">
        <v>-11.6790614</v>
      </c>
      <c r="Q2634" s="30" t="n">
        <v>-39.0489198</v>
      </c>
      <c r="R2634" s="14" t="inlineStr">
        <is>
          <t>RUA PEDRO THIAGO, 327, GINÁSIO, SERRINHA/BA</t>
        </is>
      </c>
      <c r="S2634" s="26">
        <f>IF(A2634=A2633,0,1)</f>
        <v>0</v>
      </c>
      <c r="T2634" s="26">
        <f>IF(COUNTIF($B$4:B2634,B2634)=1,1,0)</f>
        <v>0</v>
      </c>
    </row>
    <row r="2635">
      <c r="A2635" s="14" t="inlineStr">
        <is>
          <t>SERRINHA</t>
        </is>
      </c>
      <c r="B2635" s="26" t="n">
        <v>150</v>
      </c>
      <c r="C2635" s="26" t="n">
        <v>1368</v>
      </c>
      <c r="D2635" s="14" t="inlineStr">
        <is>
          <t>ESCOLA MUNICIPAL JOÃO DE LIMA CARNEIRO</t>
        </is>
      </c>
      <c r="E2635" s="14" t="inlineStr">
        <is>
          <t>POVOADO MOCAMBO</t>
        </is>
      </c>
      <c r="F2635" s="14" t="inlineStr">
        <is>
          <t>POVOADO MOCAMBO - ZONA RURAL</t>
        </is>
      </c>
      <c r="G2635" s="27" t="inlineStr">
        <is>
          <t>48700-000</t>
        </is>
      </c>
      <c r="H2635" s="15" t="n">
        <v>2</v>
      </c>
      <c r="I2635" s="28" t="inlineStr">
        <is>
          <t>NÃO</t>
        </is>
      </c>
      <c r="J2635" s="29" t="n"/>
      <c r="K2635" s="14" t="str">
        <f>IF(J2635="","7. Acima de 2 km",IF(J2635&lt;=50,"1. Até 50 m",IF(J2635&lt;=100,"2. De 50 a 100 m",IF(J2635&lt;=200,"3. De 100 a 200 m",IF(J2635&lt;=300,"4. De 200 a 300 m",IF(J2635&lt;=500,"5. De 300 a 500 m","6. De 500 m a 2 km"))))))</f>
        <v>7. Acima de 2 km</v>
      </c>
      <c r="L2635" s="26" t="n">
        <v>0</v>
      </c>
      <c r="M2635" s="26" t="n">
        <v>0</v>
      </c>
      <c r="N2635" s="26" t="n">
        <v>0</v>
      </c>
      <c r="O2635" s="26" t="n">
        <v>0</v>
      </c>
      <c r="P2635" s="30" t="n">
        <v>-11.6789751</v>
      </c>
      <c r="Q2635" s="30" t="n">
        <v>-38.9421845</v>
      </c>
      <c r="R2635" s="14" t="inlineStr">
        <is>
          <t>RUA PEDRO THIAGO, 327, GINÁSIO, SERRINHA/BA</t>
        </is>
      </c>
      <c r="S2635" s="26">
        <f>IF(A2635=A2634,0,1)</f>
        <v>0</v>
      </c>
      <c r="T2635" s="26">
        <f>IF(COUNTIF($B$4:B2635,B2635)=1,1,0)</f>
        <v>0</v>
      </c>
    </row>
    <row r="2636">
      <c r="A2636" s="14" t="inlineStr">
        <is>
          <t>SERRINHA</t>
        </is>
      </c>
      <c r="B2636" s="26" t="n">
        <v>150</v>
      </c>
      <c r="C2636" s="26" t="n">
        <v>1376</v>
      </c>
      <c r="D2636" s="14" t="inlineStr">
        <is>
          <t>ESCOLA MUNICIPAL JOÃO BATISTA DOS ANJOS</t>
        </is>
      </c>
      <c r="E2636" s="14" t="inlineStr">
        <is>
          <t>POVOADO BOA VISTA</t>
        </is>
      </c>
      <c r="F2636" s="14" t="inlineStr">
        <is>
          <t>POVOADO BOA VISTA - ZONA RURAL</t>
        </is>
      </c>
      <c r="G2636" s="27" t="inlineStr">
        <is>
          <t>48700-000</t>
        </is>
      </c>
      <c r="H2636" s="15" t="n">
        <v>1</v>
      </c>
      <c r="I2636" s="28" t="inlineStr">
        <is>
          <t>NÃO</t>
        </is>
      </c>
      <c r="J2636" s="29" t="n"/>
      <c r="K2636" s="14" t="str">
        <f>IF(J2636="","7. Acima de 2 km",IF(J2636&lt;=50,"1. Até 50 m",IF(J2636&lt;=100,"2. De 50 a 100 m",IF(J2636&lt;=200,"3. De 100 a 200 m",IF(J2636&lt;=300,"4. De 200 a 300 m",IF(J2636&lt;=500,"5. De 300 a 500 m","6. De 500 m a 2 km"))))))</f>
        <v>7. Acima de 2 km</v>
      </c>
      <c r="L2636" s="26" t="n">
        <v>0</v>
      </c>
      <c r="M2636" s="26" t="n">
        <v>0</v>
      </c>
      <c r="N2636" s="26" t="n">
        <v>0</v>
      </c>
      <c r="O2636" s="26" t="n">
        <v>0</v>
      </c>
      <c r="P2636" s="30" t="n">
        <v>-11.6216721</v>
      </c>
      <c r="Q2636" s="30" t="n">
        <v>-39.099464</v>
      </c>
      <c r="R2636" s="14" t="inlineStr">
        <is>
          <t>RUA PEDRO THIAGO, 327, GINÁSIO, SERRINHA/BA</t>
        </is>
      </c>
      <c r="S2636" s="26">
        <f>IF(A2636=A2635,0,1)</f>
        <v>0</v>
      </c>
      <c r="T2636" s="26">
        <f>IF(COUNTIF($B$4:B2636,B2636)=1,1,0)</f>
        <v>0</v>
      </c>
    </row>
    <row r="2637">
      <c r="A2637" s="14" t="inlineStr">
        <is>
          <t>SERRINHA</t>
        </is>
      </c>
      <c r="B2637" s="26" t="n">
        <v>150</v>
      </c>
      <c r="C2637" s="26" t="n">
        <v>1384</v>
      </c>
      <c r="D2637" s="14" t="inlineStr">
        <is>
          <t>ESCOLA MUNICIPAL RURAL DA LAGE</t>
        </is>
      </c>
      <c r="E2637" s="14" t="inlineStr">
        <is>
          <t>POVOADO LAGE</t>
        </is>
      </c>
      <c r="F2637" s="14" t="inlineStr">
        <is>
          <t>POVOADO LAGE - ZONA RURAL</t>
        </is>
      </c>
      <c r="G2637" s="27" t="inlineStr">
        <is>
          <t>48700-000</t>
        </is>
      </c>
      <c r="H2637" s="15" t="n">
        <v>1</v>
      </c>
      <c r="I2637" s="28" t="inlineStr">
        <is>
          <t>NÃO</t>
        </is>
      </c>
      <c r="J2637" s="29" t="n"/>
      <c r="K2637" s="14" t="str">
        <f>IF(J2637="","7. Acima de 2 km",IF(J2637&lt;=50,"1. Até 50 m",IF(J2637&lt;=100,"2. De 50 a 100 m",IF(J2637&lt;=200,"3. De 100 a 200 m",IF(J2637&lt;=300,"4. De 200 a 300 m",IF(J2637&lt;=500,"5. De 300 a 500 m","6. De 500 m a 2 km"))))))</f>
        <v>7. Acima de 2 km</v>
      </c>
      <c r="L2637" s="26" t="n">
        <v>0</v>
      </c>
      <c r="M2637" s="26" t="n">
        <v>0</v>
      </c>
      <c r="N2637" s="26" t="n">
        <v>0</v>
      </c>
      <c r="O2637" s="26" t="n">
        <v>0</v>
      </c>
      <c r="P2637" s="30" t="n">
        <v>-11.7071946</v>
      </c>
      <c r="Q2637" s="30" t="n">
        <v>-39.075709</v>
      </c>
      <c r="R2637" s="14" t="inlineStr">
        <is>
          <t>RUA PEDRO THIAGO, 327, GINÁSIO, SERRINHA/BA</t>
        </is>
      </c>
      <c r="S2637" s="26">
        <f>IF(A2637=A2636,0,1)</f>
        <v>0</v>
      </c>
      <c r="T2637" s="26">
        <f>IF(COUNTIF($B$4:B2637,B2637)=1,1,0)</f>
        <v>0</v>
      </c>
    </row>
    <row r="2638">
      <c r="A2638" s="14" t="inlineStr">
        <is>
          <t>SERRINHA</t>
        </is>
      </c>
      <c r="B2638" s="26" t="n">
        <v>150</v>
      </c>
      <c r="C2638" s="26" t="n">
        <v>1392</v>
      </c>
      <c r="D2638" s="14" t="inlineStr">
        <is>
          <t>ESCOLA MUNICIPAL DERMEVAL OLIVEIRA</t>
        </is>
      </c>
      <c r="E2638" s="14" t="inlineStr">
        <is>
          <t>POVOADO ALTO ALEGRE</t>
        </is>
      </c>
      <c r="F2638" s="14" t="inlineStr">
        <is>
          <t>POVOADO ALTO ALEGRE - ZONA RURAL</t>
        </is>
      </c>
      <c r="G2638" s="27" t="inlineStr">
        <is>
          <t>48700-000</t>
        </is>
      </c>
      <c r="H2638" s="15" t="n">
        <v>3</v>
      </c>
      <c r="I2638" s="28" t="inlineStr">
        <is>
          <t>NÃO</t>
        </is>
      </c>
      <c r="J2638" s="29" t="n"/>
      <c r="K2638" s="14" t="str">
        <f>IF(J2638="","7. Acima de 2 km",IF(J2638&lt;=50,"1. Até 50 m",IF(J2638&lt;=100,"2. De 50 a 100 m",IF(J2638&lt;=200,"3. De 100 a 200 m",IF(J2638&lt;=300,"4. De 200 a 300 m",IF(J2638&lt;=500,"5. De 300 a 500 m","6. De 500 m a 2 km"))))))</f>
        <v>7. Acima de 2 km</v>
      </c>
      <c r="L2638" s="26" t="n">
        <v>0</v>
      </c>
      <c r="M2638" s="26" t="n">
        <v>0</v>
      </c>
      <c r="N2638" s="26" t="n">
        <v>0</v>
      </c>
      <c r="O2638" s="26" t="n">
        <v>0</v>
      </c>
      <c r="P2638" s="30" t="n">
        <v>-11.5853229</v>
      </c>
      <c r="Q2638" s="30" t="n">
        <v>-38.9906256</v>
      </c>
      <c r="R2638" s="14" t="inlineStr">
        <is>
          <t>RUA PEDRO THIAGO, 327, GINÁSIO, SERRINHA/BA</t>
        </is>
      </c>
      <c r="S2638" s="26">
        <f>IF(A2638=A2637,0,1)</f>
        <v>0</v>
      </c>
      <c r="T2638" s="26">
        <f>IF(COUNTIF($B$4:B2638,B2638)=1,1,0)</f>
        <v>0</v>
      </c>
    </row>
    <row r="2639">
      <c r="A2639" s="14" t="inlineStr">
        <is>
          <t>SERRINHA</t>
        </is>
      </c>
      <c r="B2639" s="26" t="n">
        <v>150</v>
      </c>
      <c r="C2639" s="26" t="n">
        <v>1406</v>
      </c>
      <c r="D2639" s="14" t="inlineStr">
        <is>
          <t>ESCOLA MUNICIPAL GILBERTO FERREIRA</t>
        </is>
      </c>
      <c r="E2639" s="14" t="inlineStr">
        <is>
          <t>POVOADO MOMBAÇA VELHA</t>
        </is>
      </c>
      <c r="F2639" s="14" t="inlineStr">
        <is>
          <t>POVOADO MOMBAÇA VELHA - ZONA RURAL</t>
        </is>
      </c>
      <c r="G2639" s="27" t="inlineStr">
        <is>
          <t>48700-000</t>
        </is>
      </c>
      <c r="H2639" s="15" t="n">
        <v>1</v>
      </c>
      <c r="I2639" s="28" t="inlineStr">
        <is>
          <t>NÃO</t>
        </is>
      </c>
      <c r="J2639" s="29" t="n"/>
      <c r="K2639" s="14" t="str">
        <f>IF(J2639="","7. Acima de 2 km",IF(J2639&lt;=50,"1. Até 50 m",IF(J2639&lt;=100,"2. De 50 a 100 m",IF(J2639&lt;=200,"3. De 100 a 200 m",IF(J2639&lt;=300,"4. De 200 a 300 m",IF(J2639&lt;=500,"5. De 300 a 500 m","6. De 500 m a 2 km"))))))</f>
        <v>7. Acima de 2 km</v>
      </c>
      <c r="L2639" s="26" t="n">
        <v>0</v>
      </c>
      <c r="M2639" s="26" t="n">
        <v>0</v>
      </c>
      <c r="N2639" s="26" t="n">
        <v>0</v>
      </c>
      <c r="O2639" s="26" t="n">
        <v>0</v>
      </c>
      <c r="P2639" s="30" t="n">
        <v>-11.6193824</v>
      </c>
      <c r="Q2639" s="30" t="n">
        <v>-38.9258355</v>
      </c>
      <c r="R2639" s="14" t="inlineStr">
        <is>
          <t>RUA PEDRO THIAGO, 327, GINÁSIO, SERRINHA/BA</t>
        </is>
      </c>
      <c r="S2639" s="26">
        <f>IF(A2639=A2638,0,1)</f>
        <v>0</v>
      </c>
      <c r="T2639" s="26">
        <f>IF(COUNTIF($B$4:B2639,B2639)=1,1,0)</f>
        <v>0</v>
      </c>
    </row>
    <row r="2640">
      <c r="A2640" s="14" t="inlineStr">
        <is>
          <t>SERRINHA</t>
        </is>
      </c>
      <c r="B2640" s="26" t="n">
        <v>150</v>
      </c>
      <c r="C2640" s="26" t="n">
        <v>1414</v>
      </c>
      <c r="D2640" s="14" t="inlineStr">
        <is>
          <t>ESCOLA CARLOS DE FREITAS MOTA JÚNIOR</t>
        </is>
      </c>
      <c r="E2640" s="14" t="inlineStr">
        <is>
          <t>POVOADO MURICI</t>
        </is>
      </c>
      <c r="F2640" s="14" t="inlineStr">
        <is>
          <t>POVOADO MURICI - ZONA RURAL</t>
        </is>
      </c>
      <c r="G2640" s="27" t="inlineStr">
        <is>
          <t>48700-000</t>
        </is>
      </c>
      <c r="H2640" s="15" t="n">
        <v>2</v>
      </c>
      <c r="I2640" s="28" t="inlineStr">
        <is>
          <t>NÃO</t>
        </is>
      </c>
      <c r="J2640" s="29" t="n"/>
      <c r="K2640" s="14" t="str">
        <f>IF(J2640="","7. Acima de 2 km",IF(J2640&lt;=50,"1. Até 50 m",IF(J2640&lt;=100,"2. De 50 a 100 m",IF(J2640&lt;=200,"3. De 100 a 200 m",IF(J2640&lt;=300,"4. De 200 a 300 m",IF(J2640&lt;=500,"5. De 300 a 500 m","6. De 500 m a 2 km"))))))</f>
        <v>7. Acima de 2 km</v>
      </c>
      <c r="L2640" s="26" t="n">
        <v>0</v>
      </c>
      <c r="M2640" s="26" t="n">
        <v>0</v>
      </c>
      <c r="N2640" s="26" t="n">
        <v>0</v>
      </c>
      <c r="O2640" s="26" t="n">
        <v>0</v>
      </c>
      <c r="P2640" s="30" t="n">
        <v>-11.6332259</v>
      </c>
      <c r="Q2640" s="30" t="n">
        <v>-39.0334673</v>
      </c>
      <c r="R2640" s="14" t="inlineStr">
        <is>
          <t>RUA PEDRO THIAGO, 327, GINÁSIO, SERRINHA/BA</t>
        </is>
      </c>
      <c r="S2640" s="26">
        <f>IF(A2640=A2639,0,1)</f>
        <v>0</v>
      </c>
      <c r="T2640" s="26">
        <f>IF(COUNTIF($B$4:B2640,B2640)=1,1,0)</f>
        <v>0</v>
      </c>
    </row>
    <row r="2641">
      <c r="A2641" s="14" t="inlineStr">
        <is>
          <t>SERRINHA</t>
        </is>
      </c>
      <c r="B2641" s="26" t="n">
        <v>150</v>
      </c>
      <c r="C2641" s="26" t="n">
        <v>1422</v>
      </c>
      <c r="D2641" s="14" t="inlineStr">
        <is>
          <t>ESCOLA MUNICIPAL BILÁ DE CARVALHO</t>
        </is>
      </c>
      <c r="E2641" s="14" t="inlineStr">
        <is>
          <t>POVOADO MOMBAÇA NOVA</t>
        </is>
      </c>
      <c r="F2641" s="14" t="inlineStr">
        <is>
          <t>POVOADO MOMBAÇA NOVA - ZONA RURAL</t>
        </is>
      </c>
      <c r="G2641" s="27" t="inlineStr">
        <is>
          <t>48700-000</t>
        </is>
      </c>
      <c r="H2641" s="15" t="n">
        <v>1</v>
      </c>
      <c r="I2641" s="28" t="inlineStr">
        <is>
          <t>NÃO</t>
        </is>
      </c>
      <c r="J2641" s="29" t="n"/>
      <c r="K2641" s="14" t="str">
        <f>IF(J2641="","7. Acima de 2 km",IF(J2641&lt;=50,"1. Até 50 m",IF(J2641&lt;=100,"2. De 50 a 100 m",IF(J2641&lt;=200,"3. De 100 a 200 m",IF(J2641&lt;=300,"4. De 200 a 300 m",IF(J2641&lt;=500,"5. De 300 a 500 m","6. De 500 m a 2 km"))))))</f>
        <v>7. Acima de 2 km</v>
      </c>
      <c r="L2641" s="26" t="n">
        <v>0</v>
      </c>
      <c r="M2641" s="26" t="n">
        <v>0</v>
      </c>
      <c r="N2641" s="26" t="n">
        <v>0</v>
      </c>
      <c r="O2641" s="26" t="n">
        <v>0</v>
      </c>
      <c r="P2641" s="30" t="n">
        <v>-11.606772</v>
      </c>
      <c r="Q2641" s="30" t="n">
        <v>-38.9363637</v>
      </c>
      <c r="R2641" s="14" t="inlineStr">
        <is>
          <t>RUA PEDRO THIAGO, 327, GINÁSIO, SERRINHA/BA</t>
        </is>
      </c>
      <c r="S2641" s="26">
        <f>IF(A2641=A2640,0,1)</f>
        <v>0</v>
      </c>
      <c r="T2641" s="26">
        <f>IF(COUNTIF($B$4:B2641,B2641)=1,1,0)</f>
        <v>0</v>
      </c>
    </row>
    <row r="2642">
      <c r="A2642" s="14" t="inlineStr">
        <is>
          <t>SERRINHA</t>
        </is>
      </c>
      <c r="B2642" s="26" t="n">
        <v>150</v>
      </c>
      <c r="C2642" s="26" t="n">
        <v>1449</v>
      </c>
      <c r="D2642" s="14" t="inlineStr">
        <is>
          <t>ESCOLA MUNICIPAL DE 1º GRAU ALOÍSIO CARNEIRO</t>
        </is>
      </c>
      <c r="E2642" s="14" t="inlineStr">
        <is>
          <t>TREZE</t>
        </is>
      </c>
      <c r="F2642" s="14" t="inlineStr">
        <is>
          <t>AV. GETÚLIO VARGAS, S/N - ZONA URBANA</t>
        </is>
      </c>
      <c r="G2642" s="27" t="inlineStr">
        <is>
          <t>48700-000</t>
        </is>
      </c>
      <c r="H2642" s="15" t="n">
        <v>1</v>
      </c>
      <c r="I2642" s="28" t="inlineStr">
        <is>
          <t>NÃO</t>
        </is>
      </c>
      <c r="J2642" s="29" t="n">
        <v>335.9</v>
      </c>
      <c r="K2642" s="14" t="str">
        <f>IF(J2642="","7. Acima de 2 km",IF(J2642&lt;=50,"1. Até 50 m",IF(J2642&lt;=100,"2. De 50 a 100 m",IF(J2642&lt;=200,"3. De 100 a 200 m",IF(J2642&lt;=300,"4. De 200 a 300 m",IF(J2642&lt;=500,"5. De 300 a 500 m","6. De 500 m a 2 km"))))))</f>
        <v>5. De 300 a 500 m</v>
      </c>
      <c r="L2642" s="26" t="n">
        <v>0</v>
      </c>
      <c r="M2642" s="26" t="n">
        <v>0</v>
      </c>
      <c r="N2642" s="26" t="n">
        <v>0</v>
      </c>
      <c r="O2642" s="26" t="n">
        <v>0</v>
      </c>
      <c r="P2642" s="30" t="n">
        <v>-11.6524753</v>
      </c>
      <c r="Q2642" s="30" t="n">
        <v>-39.013991</v>
      </c>
      <c r="R2642" s="14" t="inlineStr">
        <is>
          <t>RUA PEDRO THIAGO, 327, GINÁSIO, SERRINHA/BA</t>
        </is>
      </c>
      <c r="S2642" s="26">
        <f>IF(A2642=A2641,0,1)</f>
        <v>0</v>
      </c>
      <c r="T2642" s="26">
        <f>IF(COUNTIF($B$4:B2642,B2642)=1,1,0)</f>
        <v>0</v>
      </c>
    </row>
    <row r="2643">
      <c r="A2643" s="14" t="inlineStr">
        <is>
          <t>SERRINHA</t>
        </is>
      </c>
      <c r="B2643" s="26" t="n">
        <v>150</v>
      </c>
      <c r="C2643" s="26" t="n">
        <v>1457</v>
      </c>
      <c r="D2643" s="14" t="inlineStr">
        <is>
          <t>ESCOLA MUNICIPAL INOCÊNCIO PEREIRA DE OLIVEIRA</t>
        </is>
      </c>
      <c r="E2643" s="14" t="inlineStr">
        <is>
          <t>POVOADO RECANTO</t>
        </is>
      </c>
      <c r="F2643" s="14" t="inlineStr">
        <is>
          <t>POVOADO RECANTO - ZONA RURAL</t>
        </is>
      </c>
      <c r="G2643" s="27" t="inlineStr">
        <is>
          <t>48700-000</t>
        </is>
      </c>
      <c r="H2643" s="15" t="n">
        <v>2</v>
      </c>
      <c r="I2643" s="28" t="inlineStr">
        <is>
          <t>NÃO</t>
        </is>
      </c>
      <c r="J2643" s="29" t="n"/>
      <c r="K2643" s="14" t="str">
        <f>IF(J2643="","7. Acima de 2 km",IF(J2643&lt;=50,"1. Até 50 m",IF(J2643&lt;=100,"2. De 50 a 100 m",IF(J2643&lt;=200,"3. De 100 a 200 m",IF(J2643&lt;=300,"4. De 200 a 300 m",IF(J2643&lt;=500,"5. De 300 a 500 m","6. De 500 m a 2 km"))))))</f>
        <v>7. Acima de 2 km</v>
      </c>
      <c r="L2643" s="26" t="n">
        <v>0</v>
      </c>
      <c r="M2643" s="26" t="n">
        <v>0</v>
      </c>
      <c r="N2643" s="26" t="n">
        <v>0</v>
      </c>
      <c r="O2643" s="26" t="n">
        <v>0</v>
      </c>
      <c r="P2643" s="30" t="n">
        <v>-11.6738749</v>
      </c>
      <c r="Q2643" s="30" t="n">
        <v>-38.8965829</v>
      </c>
      <c r="R2643" s="14" t="inlineStr">
        <is>
          <t>RUA PEDRO THIAGO, 327, GINÁSIO, SERRINHA/BA</t>
        </is>
      </c>
      <c r="S2643" s="26">
        <f>IF(A2643=A2642,0,1)</f>
        <v>0</v>
      </c>
      <c r="T2643" s="26">
        <f>IF(COUNTIF($B$4:B2643,B2643)=1,1,0)</f>
        <v>0</v>
      </c>
    </row>
    <row r="2644">
      <c r="A2644" s="14" t="inlineStr">
        <is>
          <t>SERRINHA</t>
        </is>
      </c>
      <c r="B2644" s="26" t="n">
        <v>150</v>
      </c>
      <c r="C2644" s="26" t="n">
        <v>1481</v>
      </c>
      <c r="D2644" s="14" t="inlineStr">
        <is>
          <t>ASSOCIAÇÃO COMUNITÁRIA DO TAMBURI - ASCONT</t>
        </is>
      </c>
      <c r="E2644" s="14" t="inlineStr">
        <is>
          <t>POVOADO TAMBURI</t>
        </is>
      </c>
      <c r="F2644" s="14" t="inlineStr">
        <is>
          <t>POVOADO TAMBURI - ZONA RURAL</t>
        </is>
      </c>
      <c r="G2644" s="27" t="inlineStr">
        <is>
          <t>48700-000</t>
        </is>
      </c>
      <c r="H2644" s="15" t="n">
        <v>3</v>
      </c>
      <c r="I2644" s="28" t="inlineStr">
        <is>
          <t>NÃO</t>
        </is>
      </c>
      <c r="J2644" s="29" t="n"/>
      <c r="K2644" s="14" t="str">
        <f>IF(J2644="","7. Acima de 2 km",IF(J2644&lt;=50,"1. Até 50 m",IF(J2644&lt;=100,"2. De 50 a 100 m",IF(J2644&lt;=200,"3. De 100 a 200 m",IF(J2644&lt;=300,"4. De 200 a 300 m",IF(J2644&lt;=500,"5. De 300 a 500 m","6. De 500 m a 2 km"))))))</f>
        <v>7. Acima de 2 km</v>
      </c>
      <c r="L2644" s="26" t="n">
        <v>0</v>
      </c>
      <c r="M2644" s="26" t="n">
        <v>0</v>
      </c>
      <c r="N2644" s="26" t="n">
        <v>0</v>
      </c>
      <c r="O2644" s="26" t="n">
        <v>0</v>
      </c>
      <c r="P2644" s="30" t="n">
        <v>-11.7898768</v>
      </c>
      <c r="Q2644" s="30" t="n">
        <v>-39.0416391</v>
      </c>
      <c r="R2644" s="14" t="inlineStr">
        <is>
          <t>RUA PEDRO THIAGO, 327, GINÁSIO, SERRINHA/BA</t>
        </is>
      </c>
      <c r="S2644" s="26">
        <f>IF(A2644=A2643,0,1)</f>
        <v>0</v>
      </c>
      <c r="T2644" s="26">
        <f>IF(COUNTIF($B$4:B2644,B2644)=1,1,0)</f>
        <v>0</v>
      </c>
    </row>
    <row r="2645">
      <c r="A2645" s="14" t="inlineStr">
        <is>
          <t>SERRINHA</t>
        </is>
      </c>
      <c r="B2645" s="26" t="n">
        <v>150</v>
      </c>
      <c r="C2645" s="26" t="n">
        <v>1490</v>
      </c>
      <c r="D2645" s="14" t="inlineStr">
        <is>
          <t>CRECHE ESCOLA MUNICIPAL MARIA NAZARÉ CAMPOS ARAÚJO</t>
        </is>
      </c>
      <c r="E2645" s="14" t="inlineStr">
        <is>
          <t>POVOADO TANQUE GRANDE</t>
        </is>
      </c>
      <c r="F2645" s="14" t="inlineStr">
        <is>
          <t>PRAÇA SÃO PEDRO, POVOADO TANQUE GRANDE</t>
        </is>
      </c>
      <c r="G2645" s="27" t="inlineStr">
        <is>
          <t>48700-000</t>
        </is>
      </c>
      <c r="H2645" s="15" t="n">
        <v>5</v>
      </c>
      <c r="I2645" s="28" t="inlineStr">
        <is>
          <t>NÃO</t>
        </is>
      </c>
      <c r="J2645" s="29" t="n"/>
      <c r="K2645" s="14" t="str">
        <f>IF(J2645="","7. Acima de 2 km",IF(J2645&lt;=50,"1. Até 50 m",IF(J2645&lt;=100,"2. De 50 a 100 m",IF(J2645&lt;=200,"3. De 100 a 200 m",IF(J2645&lt;=300,"4. De 200 a 300 m",IF(J2645&lt;=500,"5. De 300 a 500 m","6. De 500 m a 2 km"))))))</f>
        <v>7. Acima de 2 km</v>
      </c>
      <c r="L2645" s="26" t="n">
        <v>0</v>
      </c>
      <c r="M2645" s="26" t="n">
        <v>0</v>
      </c>
      <c r="N2645" s="26" t="n">
        <v>0</v>
      </c>
      <c r="O2645" s="26" t="n">
        <v>0</v>
      </c>
      <c r="P2645" s="30" t="n">
        <v>-11.6790843</v>
      </c>
      <c r="Q2645" s="30" t="n">
        <v>-39.0895718</v>
      </c>
      <c r="R2645" s="14" t="inlineStr">
        <is>
          <t>RUA PEDRO THIAGO, 327, GINÁSIO, SERRINHA/BA</t>
        </is>
      </c>
      <c r="S2645" s="26">
        <f>IF(A2645=A2644,0,1)</f>
        <v>0</v>
      </c>
      <c r="T2645" s="26">
        <f>IF(COUNTIF($B$4:B2645,B2645)=1,1,0)</f>
        <v>0</v>
      </c>
    </row>
    <row r="2646">
      <c r="A2646" s="14" t="inlineStr">
        <is>
          <t>SERRINHA</t>
        </is>
      </c>
      <c r="B2646" s="26" t="n">
        <v>150</v>
      </c>
      <c r="C2646" s="26" t="n">
        <v>1503</v>
      </c>
      <c r="D2646" s="14" t="inlineStr">
        <is>
          <t>ESCOLA MUNICIPAL OTÁVIO COSTA</t>
        </is>
      </c>
      <c r="E2646" s="14" t="inlineStr">
        <is>
          <t>POVOADO TRÊS ESTRADAS</t>
        </is>
      </c>
      <c r="F2646" s="14" t="inlineStr">
        <is>
          <t>POVOADO TRÊS ESTRADAS - ZONA RURAL</t>
        </is>
      </c>
      <c r="G2646" s="27" t="inlineStr">
        <is>
          <t>48700-000</t>
        </is>
      </c>
      <c r="H2646" s="15" t="n">
        <v>4</v>
      </c>
      <c r="I2646" s="28" t="inlineStr">
        <is>
          <t>NÃO</t>
        </is>
      </c>
      <c r="J2646" s="29" t="n"/>
      <c r="K2646" s="14" t="str">
        <f>IF(J2646="","7. Acima de 2 km",IF(J2646&lt;=50,"1. Até 50 m",IF(J2646&lt;=100,"2. De 50 a 100 m",IF(J2646&lt;=200,"3. De 100 a 200 m",IF(J2646&lt;=300,"4. De 200 a 300 m",IF(J2646&lt;=500,"5. De 300 a 500 m","6. De 500 m a 2 km"))))))</f>
        <v>7. Acima de 2 km</v>
      </c>
      <c r="L2646" s="26" t="n">
        <v>0</v>
      </c>
      <c r="M2646" s="26" t="n">
        <v>0</v>
      </c>
      <c r="N2646" s="26" t="n">
        <v>0</v>
      </c>
      <c r="O2646" s="26" t="n">
        <v>0</v>
      </c>
      <c r="P2646" s="30" t="n">
        <v>-11.6432453</v>
      </c>
      <c r="Q2646" s="30" t="n">
        <v>-38.927549</v>
      </c>
      <c r="R2646" s="14" t="inlineStr">
        <is>
          <t>RUA PEDRO THIAGO, 327, GINÁSIO, SERRINHA/BA</t>
        </is>
      </c>
      <c r="S2646" s="26">
        <f>IF(A2646=A2645,0,1)</f>
        <v>0</v>
      </c>
      <c r="T2646" s="26">
        <f>IF(COUNTIF($B$4:B2646,B2646)=1,1,0)</f>
        <v>0</v>
      </c>
    </row>
    <row r="2647">
      <c r="A2647" s="14" t="inlineStr">
        <is>
          <t>SERRINHA</t>
        </is>
      </c>
      <c r="B2647" s="26" t="n">
        <v>150</v>
      </c>
      <c r="C2647" s="26" t="n">
        <v>1511</v>
      </c>
      <c r="D2647" s="14" t="inlineStr">
        <is>
          <t>COLÉGIO MUNICIPAL DIONÍSIO FRANCISCO DA SILVA</t>
        </is>
      </c>
      <c r="E2647" s="14" t="inlineStr">
        <is>
          <t>POVOADO VERTENTE</t>
        </is>
      </c>
      <c r="F2647" s="14" t="inlineStr">
        <is>
          <t>POVOADO VERTENTE - ZONA RURAL</t>
        </is>
      </c>
      <c r="G2647" s="27" t="inlineStr">
        <is>
          <t>48700-000</t>
        </is>
      </c>
      <c r="H2647" s="15" t="n">
        <v>2</v>
      </c>
      <c r="I2647" s="28" t="inlineStr">
        <is>
          <t>NÃO</t>
        </is>
      </c>
      <c r="J2647" s="29" t="n"/>
      <c r="K2647" s="14" t="str">
        <f>IF(J2647="","7. Acima de 2 km",IF(J2647&lt;=50,"1. Até 50 m",IF(J2647&lt;=100,"2. De 50 a 100 m",IF(J2647&lt;=200,"3. De 100 a 200 m",IF(J2647&lt;=300,"4. De 200 a 300 m",IF(J2647&lt;=500,"5. De 300 a 500 m","6. De 500 m a 2 km"))))))</f>
        <v>7. Acima de 2 km</v>
      </c>
      <c r="L2647" s="26" t="n">
        <v>0</v>
      </c>
      <c r="M2647" s="26" t="n">
        <v>0</v>
      </c>
      <c r="N2647" s="26" t="n">
        <v>0</v>
      </c>
      <c r="O2647" s="26" t="n">
        <v>0</v>
      </c>
      <c r="P2647" s="30" t="n">
        <v>-11.5873181</v>
      </c>
      <c r="Q2647" s="30" t="n">
        <v>-38.8962467</v>
      </c>
      <c r="R2647" s="14" t="inlineStr">
        <is>
          <t>RUA PEDRO THIAGO, 327, GINÁSIO, SERRINHA/BA</t>
        </is>
      </c>
      <c r="S2647" s="26">
        <f>IF(A2647=A2646,0,1)</f>
        <v>0</v>
      </c>
      <c r="T2647" s="26">
        <f>IF(COUNTIF($B$4:B2647,B2647)=1,1,0)</f>
        <v>0</v>
      </c>
    </row>
    <row r="2648">
      <c r="A2648" s="14" t="inlineStr">
        <is>
          <t>SERRINHA</t>
        </is>
      </c>
      <c r="B2648" s="26" t="n">
        <v>150</v>
      </c>
      <c r="C2648" s="26" t="n">
        <v>1635</v>
      </c>
      <c r="D2648" s="14" t="inlineStr">
        <is>
          <t>COLÉGIO MUNICIPAL FERNANDO CARNEIRO DA SILVA</t>
        </is>
      </c>
      <c r="E2648" s="14" t="inlineStr">
        <is>
          <t>POVOADO MATO GROSSO</t>
        </is>
      </c>
      <c r="F2648" s="14" t="inlineStr">
        <is>
          <t>POVOADO MATO GROSSO - ZONA RURAL</t>
        </is>
      </c>
      <c r="G2648" s="27" t="inlineStr">
        <is>
          <t>48700-000</t>
        </is>
      </c>
      <c r="H2648" s="15" t="n">
        <v>2</v>
      </c>
      <c r="I2648" s="28" t="inlineStr">
        <is>
          <t>NÃO</t>
        </is>
      </c>
      <c r="J2648" s="29" t="n"/>
      <c r="K2648" s="14" t="str">
        <f>IF(J2648="","7. Acima de 2 km",IF(J2648&lt;=50,"1. Até 50 m",IF(J2648&lt;=100,"2. De 50 a 100 m",IF(J2648&lt;=200,"3. De 100 a 200 m",IF(J2648&lt;=300,"4. De 200 a 300 m",IF(J2648&lt;=500,"5. De 300 a 500 m","6. De 500 m a 2 km"))))))</f>
        <v>7. Acima de 2 km</v>
      </c>
      <c r="L2648" s="26" t="n">
        <v>0</v>
      </c>
      <c r="M2648" s="26" t="n">
        <v>0</v>
      </c>
      <c r="N2648" s="26" t="n">
        <v>0</v>
      </c>
      <c r="O2648" s="26" t="n">
        <v>0</v>
      </c>
      <c r="P2648" s="30" t="n">
        <v>-11.6343976</v>
      </c>
      <c r="Q2648" s="30" t="n">
        <v>-39.1376643</v>
      </c>
      <c r="R2648" s="14" t="inlineStr">
        <is>
          <t>RUA PEDRO THIAGO, 327, GINÁSIO, SERRINHA/BA</t>
        </is>
      </c>
      <c r="S2648" s="26">
        <f>IF(A2648=A2647,0,1)</f>
        <v>0</v>
      </c>
      <c r="T2648" s="26">
        <f>IF(COUNTIF($B$4:B2648,B2648)=1,1,0)</f>
        <v>0</v>
      </c>
    </row>
    <row r="2649">
      <c r="A2649" s="14" t="inlineStr">
        <is>
          <t>SERRINHA</t>
        </is>
      </c>
      <c r="B2649" s="26" t="n">
        <v>150</v>
      </c>
      <c r="C2649" s="26" t="n">
        <v>1660</v>
      </c>
      <c r="D2649" s="14" t="inlineStr">
        <is>
          <t>ESCOLA MUNICIPAL JOSÉ SOARES DA SILVA</t>
        </is>
      </c>
      <c r="E2649" s="14" t="inlineStr">
        <is>
          <t>POVOADO FLORES</t>
        </is>
      </c>
      <c r="F2649" s="14" t="inlineStr">
        <is>
          <t>POVOADO FLORES - ZONA RURAL</t>
        </is>
      </c>
      <c r="G2649" s="27" t="inlineStr">
        <is>
          <t>48700-000</t>
        </is>
      </c>
      <c r="H2649" s="15" t="n">
        <v>3</v>
      </c>
      <c r="I2649" s="28" t="inlineStr">
        <is>
          <t>NÃO</t>
        </is>
      </c>
      <c r="J2649" s="29" t="n">
        <v>835.4</v>
      </c>
      <c r="K2649" s="14" t="str">
        <f>IF(J2649="","7. Acima de 2 km",IF(J2649&lt;=50,"1. Até 50 m",IF(J2649&lt;=100,"2. De 50 a 100 m",IF(J2649&lt;=200,"3. De 100 a 200 m",IF(J2649&lt;=300,"4. De 200 a 300 m",IF(J2649&lt;=500,"5. De 300 a 500 m","6. De 500 m a 2 km"))))))</f>
        <v>6. De 500 m a 2 km</v>
      </c>
      <c r="L2649" s="26" t="n">
        <v>0</v>
      </c>
      <c r="M2649" s="26" t="n">
        <v>0</v>
      </c>
      <c r="N2649" s="26" t="n">
        <v>0</v>
      </c>
      <c r="O2649" s="26" t="n">
        <v>0</v>
      </c>
      <c r="P2649" s="30" t="n">
        <v>-11.6259817</v>
      </c>
      <c r="Q2649" s="30" t="n">
        <v>-38.9688483</v>
      </c>
      <c r="R2649" s="14" t="inlineStr">
        <is>
          <t>RUA PEDRO THIAGO, 327, GINÁSIO, SERRINHA/BA</t>
        </is>
      </c>
      <c r="S2649" s="26">
        <f>IF(A2649=A2648,0,1)</f>
        <v>0</v>
      </c>
      <c r="T2649" s="26">
        <f>IF(COUNTIF($B$4:B2649,B2649)=1,1,0)</f>
        <v>0</v>
      </c>
    </row>
    <row r="2650">
      <c r="A2650" s="14" t="inlineStr">
        <is>
          <t>SERRINHA</t>
        </is>
      </c>
      <c r="B2650" s="26" t="n">
        <v>150</v>
      </c>
      <c r="C2650" s="26" t="n">
        <v>1686</v>
      </c>
      <c r="D2650" s="14" t="inlineStr">
        <is>
          <t>ESCOLA MUNIICPAL JOÃO BARBOSA DE OLIVEIRA</t>
        </is>
      </c>
      <c r="E2650" s="14" t="inlineStr">
        <is>
          <t>RECREIO</t>
        </is>
      </c>
      <c r="F2650" s="14" t="inlineStr">
        <is>
          <t>RUA DO RECREIO, S/N - ZONA URBANA</t>
        </is>
      </c>
      <c r="G2650" s="27" t="inlineStr">
        <is>
          <t>48700-000</t>
        </is>
      </c>
      <c r="H2650" s="15" t="n">
        <v>3</v>
      </c>
      <c r="I2650" s="28" t="inlineStr">
        <is>
          <t>NÃO</t>
        </is>
      </c>
      <c r="J2650" s="29" t="n">
        <v>499.1</v>
      </c>
      <c r="K2650" s="14" t="str">
        <f>IF(J2650="","7. Acima de 2 km",IF(J2650&lt;=50,"1. Até 50 m",IF(J2650&lt;=100,"2. De 50 a 100 m",IF(J2650&lt;=200,"3. De 100 a 200 m",IF(J2650&lt;=300,"4. De 200 a 300 m",IF(J2650&lt;=500,"5. De 300 a 500 m","6. De 500 m a 2 km"))))))</f>
        <v>5. De 300 a 500 m</v>
      </c>
      <c r="L2650" s="26" t="n">
        <v>0</v>
      </c>
      <c r="M2650" s="26" t="n">
        <v>0</v>
      </c>
      <c r="N2650" s="26" t="n">
        <v>0</v>
      </c>
      <c r="O2650" s="26" t="n">
        <v>0</v>
      </c>
      <c r="P2650" s="30" t="n">
        <v>-11.6560331</v>
      </c>
      <c r="Q2650" s="30" t="n">
        <v>-39.0207417</v>
      </c>
      <c r="R2650" s="14" t="inlineStr">
        <is>
          <t>RUA PEDRO THIAGO, 327, GINÁSIO, SERRINHA/BA</t>
        </is>
      </c>
      <c r="S2650" s="26">
        <f>IF(A2650=A2649,0,1)</f>
        <v>0</v>
      </c>
      <c r="T2650" s="26">
        <f>IF(COUNTIF($B$4:B2650,B2650)=1,1,0)</f>
        <v>0</v>
      </c>
    </row>
    <row r="2651">
      <c r="A2651" s="14" t="inlineStr">
        <is>
          <t>SERRINHA</t>
        </is>
      </c>
      <c r="B2651" s="26" t="n">
        <v>150</v>
      </c>
      <c r="C2651" s="26" t="n">
        <v>1694</v>
      </c>
      <c r="D2651" s="14" t="inlineStr">
        <is>
          <t>ESCOLA MUNICIPAL AURELINO VENANCIO DE ARAUJO</t>
        </is>
      </c>
      <c r="E2651" s="14" t="inlineStr">
        <is>
          <t>POVOADO JUAZEIRO GRANDE</t>
        </is>
      </c>
      <c r="F2651" s="14" t="inlineStr">
        <is>
          <t>POVOADO JUAZEIRO GRANDE - ZONA RURAL</t>
        </is>
      </c>
      <c r="G2651" s="27" t="inlineStr">
        <is>
          <t>48700-000</t>
        </is>
      </c>
      <c r="H2651" s="15" t="n">
        <v>2</v>
      </c>
      <c r="I2651" s="28" t="inlineStr">
        <is>
          <t>NÃO</t>
        </is>
      </c>
      <c r="J2651" s="29" t="n"/>
      <c r="K2651" s="14" t="str">
        <f>IF(J2651="","7. Acima de 2 km",IF(J2651&lt;=50,"1. Até 50 m",IF(J2651&lt;=100,"2. De 50 a 100 m",IF(J2651&lt;=200,"3. De 100 a 200 m",IF(J2651&lt;=300,"4. De 200 a 300 m",IF(J2651&lt;=500,"5. De 300 a 500 m","6. De 500 m a 2 km"))))))</f>
        <v>7. Acima de 2 km</v>
      </c>
      <c r="L2651" s="26" t="n">
        <v>0</v>
      </c>
      <c r="M2651" s="26" t="n">
        <v>0</v>
      </c>
      <c r="N2651" s="26" t="n">
        <v>0</v>
      </c>
      <c r="O2651" s="26" t="n">
        <v>0</v>
      </c>
      <c r="P2651" s="30" t="n">
        <v>-11.6067809</v>
      </c>
      <c r="Q2651" s="30" t="n">
        <v>-38.9491006</v>
      </c>
      <c r="R2651" s="14" t="inlineStr">
        <is>
          <t>RUA PEDRO THIAGO, 327, GINÁSIO, SERRINHA/BA</t>
        </is>
      </c>
      <c r="S2651" s="26">
        <f>IF(A2651=A2650,0,1)</f>
        <v>0</v>
      </c>
      <c r="T2651" s="26">
        <f>IF(COUNTIF($B$4:B2651,B2651)=1,1,0)</f>
        <v>0</v>
      </c>
    </row>
    <row r="2652">
      <c r="A2652" s="14" t="inlineStr">
        <is>
          <t>SERRINHA</t>
        </is>
      </c>
      <c r="B2652" s="26" t="n">
        <v>150</v>
      </c>
      <c r="C2652" s="26" t="n">
        <v>1708</v>
      </c>
      <c r="D2652" s="14" t="inlineStr">
        <is>
          <t>ESCOLA MUNICIPAL LUIZ PEDROSA NUNES</t>
        </is>
      </c>
      <c r="E2652" s="14" t="inlineStr">
        <is>
          <t>POVOADO LEVADA</t>
        </is>
      </c>
      <c r="F2652" s="14" t="inlineStr">
        <is>
          <t>POVOADO LEVADA - ZONA RURAL</t>
        </is>
      </c>
      <c r="G2652" s="27" t="inlineStr">
        <is>
          <t>48700-000</t>
        </is>
      </c>
      <c r="H2652" s="15" t="n">
        <v>3</v>
      </c>
      <c r="I2652" s="28" t="inlineStr">
        <is>
          <t>NÃO</t>
        </is>
      </c>
      <c r="J2652" s="29" t="n"/>
      <c r="K2652" s="14" t="str">
        <f>IF(J2652="","7. Acima de 2 km",IF(J2652&lt;=50,"1. Até 50 m",IF(J2652&lt;=100,"2. De 50 a 100 m",IF(J2652&lt;=200,"3. De 100 a 200 m",IF(J2652&lt;=300,"4. De 200 a 300 m",IF(J2652&lt;=500,"5. De 300 a 500 m","6. De 500 m a 2 km"))))))</f>
        <v>7. Acima de 2 km</v>
      </c>
      <c r="L2652" s="26" t="n">
        <v>0</v>
      </c>
      <c r="M2652" s="26" t="n">
        <v>0</v>
      </c>
      <c r="N2652" s="26" t="n">
        <v>0</v>
      </c>
      <c r="O2652" s="26" t="n">
        <v>0</v>
      </c>
      <c r="P2652" s="30" t="n">
        <v>-11.7416014</v>
      </c>
      <c r="Q2652" s="30" t="n">
        <v>-38.9731305</v>
      </c>
      <c r="R2652" s="14" t="inlineStr">
        <is>
          <t>RUA PEDRO THIAGO, 327, GINÁSIO, SERRINHA/BA</t>
        </is>
      </c>
      <c r="S2652" s="26">
        <f>IF(A2652=A2651,0,1)</f>
        <v>0</v>
      </c>
      <c r="T2652" s="26">
        <f>IF(COUNTIF($B$4:B2652,B2652)=1,1,0)</f>
        <v>0</v>
      </c>
    </row>
    <row r="2653">
      <c r="A2653" s="14" t="inlineStr">
        <is>
          <t>SERRINHA</t>
        </is>
      </c>
      <c r="B2653" s="26" t="n">
        <v>150</v>
      </c>
      <c r="C2653" s="26" t="n">
        <v>1732</v>
      </c>
      <c r="D2653" s="14" t="inlineStr">
        <is>
          <t>CRECHE MUNICIPAL MARIA PAULA DAS VIRGENS</t>
        </is>
      </c>
      <c r="E2653" s="14" t="inlineStr">
        <is>
          <t>POVOADO MANDACARU</t>
        </is>
      </c>
      <c r="F2653" s="14" t="inlineStr">
        <is>
          <t>POVOADO MANDACARU - ZONA RURAL</t>
        </is>
      </c>
      <c r="G2653" s="27" t="inlineStr">
        <is>
          <t>48700-000</t>
        </is>
      </c>
      <c r="H2653" s="15" t="n">
        <v>2</v>
      </c>
      <c r="I2653" s="28" t="inlineStr">
        <is>
          <t>NÃO</t>
        </is>
      </c>
      <c r="J2653" s="29" t="n">
        <v>227.7</v>
      </c>
      <c r="K2653" s="14" t="str">
        <f>IF(J2653="","7. Acima de 2 km",IF(J2653&lt;=50,"1. Até 50 m",IF(J2653&lt;=100,"2. De 50 a 100 m",IF(J2653&lt;=200,"3. De 100 a 200 m",IF(J2653&lt;=300,"4. De 200 a 300 m",IF(J2653&lt;=500,"5. De 300 a 500 m","6. De 500 m a 2 km"))))))</f>
        <v>4. De 200 a 300 m</v>
      </c>
      <c r="L2653" s="26" t="n">
        <v>0</v>
      </c>
      <c r="M2653" s="26" t="n">
        <v>0</v>
      </c>
      <c r="N2653" s="26" t="n">
        <v>0</v>
      </c>
      <c r="O2653" s="26" t="n">
        <v>1</v>
      </c>
      <c r="P2653" s="30" t="n">
        <v>-11.6097968</v>
      </c>
      <c r="Q2653" s="30" t="n">
        <v>-38.9812767</v>
      </c>
      <c r="R2653" s="14" t="inlineStr">
        <is>
          <t>RUA PEDRO THIAGO, 327, GINÁSIO, SERRINHA/BA</t>
        </is>
      </c>
      <c r="S2653" s="26">
        <f>IF(A2653=A2652,0,1)</f>
        <v>0</v>
      </c>
      <c r="T2653" s="26">
        <f>IF(COUNTIF($B$4:B2653,B2653)=1,1,0)</f>
        <v>0</v>
      </c>
    </row>
    <row r="2654">
      <c r="A2654" s="14" t="inlineStr">
        <is>
          <t>SERRINHA</t>
        </is>
      </c>
      <c r="B2654" s="26" t="n">
        <v>150</v>
      </c>
      <c r="C2654" s="26" t="n">
        <v>1740</v>
      </c>
      <c r="D2654" s="14" t="inlineStr">
        <is>
          <t>CEDESCOM CENTRO DE DESENVOLVIMENTO SOCIAL COMUNITÁRIO DO SACO DO MOURA</t>
        </is>
      </c>
      <c r="E2654" s="14" t="inlineStr">
        <is>
          <t>POVOADO SACO DO MOURA</t>
        </is>
      </c>
      <c r="F2654" s="14" t="inlineStr">
        <is>
          <t>POVOADO SACO DO MOURA - ZONA RURAL</t>
        </is>
      </c>
      <c r="G2654" s="27" t="inlineStr">
        <is>
          <t>48700-000</t>
        </is>
      </c>
      <c r="H2654" s="15" t="n">
        <v>2</v>
      </c>
      <c r="I2654" s="28" t="inlineStr">
        <is>
          <t>NÃO</t>
        </is>
      </c>
      <c r="J2654" s="29" t="n"/>
      <c r="K2654" s="14" t="str">
        <f>IF(J2654="","7. Acima de 2 km",IF(J2654&lt;=50,"1. Até 50 m",IF(J2654&lt;=100,"2. De 50 a 100 m",IF(J2654&lt;=200,"3. De 100 a 200 m",IF(J2654&lt;=300,"4. De 200 a 300 m",IF(J2654&lt;=500,"5. De 300 a 500 m","6. De 500 m a 2 km"))))))</f>
        <v>7. Acima de 2 km</v>
      </c>
      <c r="L2654" s="26" t="n">
        <v>0</v>
      </c>
      <c r="M2654" s="26" t="n">
        <v>0</v>
      </c>
      <c r="N2654" s="26" t="n">
        <v>0</v>
      </c>
      <c r="O2654" s="26" t="n">
        <v>0</v>
      </c>
      <c r="P2654" s="30" t="n">
        <v>-11.7377489</v>
      </c>
      <c r="Q2654" s="30" t="n">
        <v>-38.9391661</v>
      </c>
      <c r="R2654" s="14" t="inlineStr">
        <is>
          <t>RUA PEDRO THIAGO, 327, GINÁSIO, SERRINHA/BA</t>
        </is>
      </c>
      <c r="S2654" s="26">
        <f>IF(A2654=A2653,0,1)</f>
        <v>0</v>
      </c>
      <c r="T2654" s="26">
        <f>IF(COUNTIF($B$4:B2654,B2654)=1,1,0)</f>
        <v>0</v>
      </c>
    </row>
    <row r="2655">
      <c r="A2655" s="14" t="inlineStr">
        <is>
          <t>SERRINHA</t>
        </is>
      </c>
      <c r="B2655" s="26" t="n">
        <v>150</v>
      </c>
      <c r="C2655" s="26" t="n">
        <v>1759</v>
      </c>
      <c r="D2655" s="14" t="inlineStr">
        <is>
          <t>ESCOLA MUNICIPAL MANOEL CARNEIRO TUY</t>
        </is>
      </c>
      <c r="E2655" s="14" t="inlineStr">
        <is>
          <t>POVOADO CAJUEIRO GRANDE</t>
        </is>
      </c>
      <c r="F2655" s="14" t="inlineStr">
        <is>
          <t>POVOADO CAJUEIRO GRANDE - ZONA RURAL</t>
        </is>
      </c>
      <c r="G2655" s="27" t="inlineStr">
        <is>
          <t>48700-000</t>
        </is>
      </c>
      <c r="H2655" s="15" t="n">
        <v>2</v>
      </c>
      <c r="I2655" s="28" t="inlineStr">
        <is>
          <t>NÃO</t>
        </is>
      </c>
      <c r="J2655" s="29" t="n"/>
      <c r="K2655" s="14" t="str">
        <f>IF(J2655="","7. Acima de 2 km",IF(J2655&lt;=50,"1. Até 50 m",IF(J2655&lt;=100,"2. De 50 a 100 m",IF(J2655&lt;=200,"3. De 100 a 200 m",IF(J2655&lt;=300,"4. De 200 a 300 m",IF(J2655&lt;=500,"5. De 300 a 500 m","6. De 500 m a 2 km"))))))</f>
        <v>7. Acima de 2 km</v>
      </c>
      <c r="L2655" s="26" t="n">
        <v>0</v>
      </c>
      <c r="M2655" s="26" t="n">
        <v>0</v>
      </c>
      <c r="N2655" s="26" t="n">
        <v>0</v>
      </c>
      <c r="O2655" s="26" t="n">
        <v>0</v>
      </c>
      <c r="P2655" s="30" t="n">
        <v>-11.7157738</v>
      </c>
      <c r="Q2655" s="30" t="n">
        <v>-38.8964104</v>
      </c>
      <c r="R2655" s="14" t="inlineStr">
        <is>
          <t>RUA PEDRO THIAGO, 327, GINÁSIO, SERRINHA/BA</t>
        </is>
      </c>
      <c r="S2655" s="26">
        <f>IF(A2655=A2654,0,1)</f>
        <v>0</v>
      </c>
      <c r="T2655" s="26">
        <f>IF(COUNTIF($B$4:B2655,B2655)=1,1,0)</f>
        <v>0</v>
      </c>
    </row>
    <row r="2656">
      <c r="A2656" s="14" t="inlineStr">
        <is>
          <t>SERRINHA</t>
        </is>
      </c>
      <c r="B2656" s="26" t="n">
        <v>150</v>
      </c>
      <c r="C2656" s="26" t="n">
        <v>1775</v>
      </c>
      <c r="D2656" s="14" t="inlineStr">
        <is>
          <t>ESCOLA MUNICIPAL JOEL ALVES DE MORAES</t>
        </is>
      </c>
      <c r="E2656" s="14" t="inlineStr">
        <is>
          <t>POVOADO CANTO</t>
        </is>
      </c>
      <c r="F2656" s="14" t="inlineStr">
        <is>
          <t>POVOADO CANTO - ZONA RURAL</t>
        </is>
      </c>
      <c r="G2656" s="27" t="inlineStr">
        <is>
          <t>48700-000</t>
        </is>
      </c>
      <c r="H2656" s="15" t="n">
        <v>2</v>
      </c>
      <c r="I2656" s="28" t="inlineStr">
        <is>
          <t>NÃO</t>
        </is>
      </c>
      <c r="J2656" s="29" t="n"/>
      <c r="K2656" s="14" t="str">
        <f>IF(J2656="","7. Acima de 2 km",IF(J2656&lt;=50,"1. Até 50 m",IF(J2656&lt;=100,"2. De 50 a 100 m",IF(J2656&lt;=200,"3. De 100 a 200 m",IF(J2656&lt;=300,"4. De 200 a 300 m",IF(J2656&lt;=500,"5. De 300 a 500 m","6. De 500 m a 2 km"))))))</f>
        <v>7. Acima de 2 km</v>
      </c>
      <c r="L2656" s="26" t="n">
        <v>0</v>
      </c>
      <c r="M2656" s="26" t="n">
        <v>0</v>
      </c>
      <c r="N2656" s="26" t="n">
        <v>0</v>
      </c>
      <c r="O2656" s="26" t="n">
        <v>0</v>
      </c>
      <c r="P2656" s="30" t="n">
        <v>-11.5619355</v>
      </c>
      <c r="Q2656" s="30" t="n">
        <v>-39.0048398</v>
      </c>
      <c r="R2656" s="14" t="inlineStr">
        <is>
          <t>RUA PEDRO THIAGO, 327, GINÁSIO, SERRINHA/BA</t>
        </is>
      </c>
      <c r="S2656" s="26">
        <f>IF(A2656=A2655,0,1)</f>
        <v>0</v>
      </c>
      <c r="T2656" s="26">
        <f>IF(COUNTIF($B$4:B2656,B2656)=1,1,0)</f>
        <v>0</v>
      </c>
    </row>
    <row r="2657">
      <c r="A2657" s="14" t="inlineStr">
        <is>
          <t>SERRINHA</t>
        </is>
      </c>
      <c r="B2657" s="26" t="n">
        <v>150</v>
      </c>
      <c r="C2657" s="26" t="n">
        <v>1830</v>
      </c>
      <c r="D2657" s="14" t="inlineStr">
        <is>
          <t>ESCOLA MUNICIPAL AMÉRICO PINHEIRO LIMA</t>
        </is>
      </c>
      <c r="E2657" s="14" t="inlineStr">
        <is>
          <t>POVOADO MARAVILHA</t>
        </is>
      </c>
      <c r="F2657" s="14" t="inlineStr">
        <is>
          <t>POVOADO MARAVILHA - ZONA RURAL</t>
        </is>
      </c>
      <c r="G2657" s="27" t="inlineStr">
        <is>
          <t>48700-000</t>
        </is>
      </c>
      <c r="H2657" s="15" t="n">
        <v>1</v>
      </c>
      <c r="I2657" s="28" t="inlineStr">
        <is>
          <t>NÃO</t>
        </is>
      </c>
      <c r="J2657" s="29" t="n"/>
      <c r="K2657" s="14" t="str">
        <f>IF(J2657="","7. Acima de 2 km",IF(J2657&lt;=50,"1. Até 50 m",IF(J2657&lt;=100,"2. De 50 a 100 m",IF(J2657&lt;=200,"3. De 100 a 200 m",IF(J2657&lt;=300,"4. De 200 a 300 m",IF(J2657&lt;=500,"5. De 300 a 500 m","6. De 500 m a 2 km"))))))</f>
        <v>7. Acima de 2 km</v>
      </c>
      <c r="L2657" s="26" t="n">
        <v>0</v>
      </c>
      <c r="M2657" s="26" t="n">
        <v>0</v>
      </c>
      <c r="N2657" s="26" t="n">
        <v>0</v>
      </c>
      <c r="O2657" s="26" t="n">
        <v>0</v>
      </c>
      <c r="P2657" s="30" t="n">
        <v>-11.5659351</v>
      </c>
      <c r="Q2657" s="30" t="n">
        <v>-38.9233748</v>
      </c>
      <c r="R2657" s="14" t="inlineStr">
        <is>
          <t>RUA PEDRO THIAGO, 327, GINÁSIO, SERRINHA/BA</t>
        </is>
      </c>
      <c r="S2657" s="26">
        <f>IF(A2657=A2656,0,1)</f>
        <v>0</v>
      </c>
      <c r="T2657" s="26">
        <f>IF(COUNTIF($B$4:B2657,B2657)=1,1,0)</f>
        <v>0</v>
      </c>
    </row>
    <row r="2658">
      <c r="A2658" s="14" t="inlineStr">
        <is>
          <t>SERRINHA</t>
        </is>
      </c>
      <c r="B2658" s="26" t="n">
        <v>150</v>
      </c>
      <c r="C2658" s="26" t="n">
        <v>1872</v>
      </c>
      <c r="D2658" s="14" t="inlineStr">
        <is>
          <t>ESCOLA MUNICIPAL ANTONIO PINHEIRO DA MOTA NETO</t>
        </is>
      </c>
      <c r="E2658" s="14" t="inlineStr">
        <is>
          <t>POVOADO ALTO DE FORA</t>
        </is>
      </c>
      <c r="F2658" s="14" t="inlineStr">
        <is>
          <t>POVOADO ALTO DE FORA - ZONA RURAL</t>
        </is>
      </c>
      <c r="G2658" s="27" t="inlineStr">
        <is>
          <t>48700-000</t>
        </is>
      </c>
      <c r="H2658" s="15" t="n">
        <v>2</v>
      </c>
      <c r="I2658" s="28" t="inlineStr">
        <is>
          <t>NÃO</t>
        </is>
      </c>
      <c r="J2658" s="29" t="n"/>
      <c r="K2658" s="14" t="str">
        <f>IF(J2658="","7. Acima de 2 km",IF(J2658&lt;=50,"1. Até 50 m",IF(J2658&lt;=100,"2. De 50 a 100 m",IF(J2658&lt;=200,"3. De 100 a 200 m",IF(J2658&lt;=300,"4. De 200 a 300 m",IF(J2658&lt;=500,"5. De 300 a 500 m","6. De 500 m a 2 km"))))))</f>
        <v>7. Acima de 2 km</v>
      </c>
      <c r="L2658" s="26" t="n">
        <v>0</v>
      </c>
      <c r="M2658" s="26" t="n">
        <v>0</v>
      </c>
      <c r="N2658" s="26" t="n">
        <v>0</v>
      </c>
      <c r="O2658" s="26" t="n">
        <v>0</v>
      </c>
      <c r="P2658" s="30" t="n">
        <v>-11.7293952</v>
      </c>
      <c r="Q2658" s="30" t="n">
        <v>-38.996349</v>
      </c>
      <c r="R2658" s="14" t="inlineStr">
        <is>
          <t>RUA PEDRO THIAGO, 327, GINÁSIO, SERRINHA/BA</t>
        </is>
      </c>
      <c r="S2658" s="26">
        <f>IF(A2658=A2657,0,1)</f>
        <v>0</v>
      </c>
      <c r="T2658" s="26">
        <f>IF(COUNTIF($B$4:B2658,B2658)=1,1,0)</f>
        <v>0</v>
      </c>
    </row>
    <row r="2659">
      <c r="A2659" s="14" t="inlineStr">
        <is>
          <t>SERRINHA</t>
        </is>
      </c>
      <c r="B2659" s="26" t="n">
        <v>150</v>
      </c>
      <c r="C2659" s="26" t="n">
        <v>1880</v>
      </c>
      <c r="D2659" s="14" t="inlineStr">
        <is>
          <t>ESCOLA MUNICIPAL JOSÉ ROBERTO DOS SANTOS</t>
        </is>
      </c>
      <c r="E2659" s="14" t="inlineStr">
        <is>
          <t>POVOADO CAMPO LIMPO</t>
        </is>
      </c>
      <c r="F2659" s="14" t="inlineStr">
        <is>
          <t>POVOADO CAMPO LIMPO - ZONA RURAL</t>
        </is>
      </c>
      <c r="G2659" s="27" t="inlineStr">
        <is>
          <t>48700-000</t>
        </is>
      </c>
      <c r="H2659" s="15" t="n">
        <v>2</v>
      </c>
      <c r="I2659" s="28" t="inlineStr">
        <is>
          <t>NÃO</t>
        </is>
      </c>
      <c r="J2659" s="29" t="n">
        <v>650.3</v>
      </c>
      <c r="K2659" s="14" t="str">
        <f>IF(J2659="","7. Acima de 2 km",IF(J2659&lt;=50,"1. Até 50 m",IF(J2659&lt;=100,"2. De 50 a 100 m",IF(J2659&lt;=200,"3. De 100 a 200 m",IF(J2659&lt;=300,"4. De 200 a 300 m",IF(J2659&lt;=500,"5. De 300 a 500 m","6. De 500 m a 2 km"))))))</f>
        <v>6. De 500 m a 2 km</v>
      </c>
      <c r="L2659" s="26" t="n">
        <v>0</v>
      </c>
      <c r="M2659" s="26" t="n">
        <v>0</v>
      </c>
      <c r="N2659" s="26" t="n">
        <v>0</v>
      </c>
      <c r="O2659" s="26" t="n">
        <v>0</v>
      </c>
      <c r="P2659" s="30" t="n">
        <v>-11.6023976</v>
      </c>
      <c r="Q2659" s="30" t="n">
        <v>-38.9940644</v>
      </c>
      <c r="R2659" s="14" t="inlineStr">
        <is>
          <t>RUA PEDRO THIAGO, 327, GINÁSIO, SERRINHA/BA</t>
        </is>
      </c>
      <c r="S2659" s="26">
        <f>IF(A2659=A2658,0,1)</f>
        <v>0</v>
      </c>
      <c r="T2659" s="26">
        <f>IF(COUNTIF($B$4:B2659,B2659)=1,1,0)</f>
        <v>0</v>
      </c>
    </row>
    <row r="2660">
      <c r="A2660" s="14" t="inlineStr">
        <is>
          <t>SERRINHA</t>
        </is>
      </c>
      <c r="B2660" s="26" t="n">
        <v>150</v>
      </c>
      <c r="C2660" s="26" t="n">
        <v>1899</v>
      </c>
      <c r="D2660" s="14" t="inlineStr">
        <is>
          <t>ESCOLA MUNICIPAL MARIA ANUNCIAÇÃO DO NASCIMENTO</t>
        </is>
      </c>
      <c r="E2660" s="14" t="inlineStr">
        <is>
          <t>POVOADO MACAMBIRA</t>
        </is>
      </c>
      <c r="F2660" s="14" t="inlineStr">
        <is>
          <t>POVOADO MACAMBIRA - ZONA RURAL</t>
        </is>
      </c>
      <c r="G2660" s="27" t="inlineStr">
        <is>
          <t>48700-000</t>
        </is>
      </c>
      <c r="H2660" s="15" t="n">
        <v>2</v>
      </c>
      <c r="I2660" s="28" t="inlineStr">
        <is>
          <t>NÃO</t>
        </is>
      </c>
      <c r="J2660" s="29" t="n"/>
      <c r="K2660" s="14" t="str">
        <f>IF(J2660="","7. Acima de 2 km",IF(J2660&lt;=50,"1. Até 50 m",IF(J2660&lt;=100,"2. De 50 a 100 m",IF(J2660&lt;=200,"3. De 100 a 200 m",IF(J2660&lt;=300,"4. De 200 a 300 m",IF(J2660&lt;=500,"5. De 300 a 500 m","6. De 500 m a 2 km"))))))</f>
        <v>7. Acima de 2 km</v>
      </c>
      <c r="L2660" s="26" t="n">
        <v>0</v>
      </c>
      <c r="M2660" s="26" t="n">
        <v>0</v>
      </c>
      <c r="N2660" s="26" t="n">
        <v>0</v>
      </c>
      <c r="O2660" s="26" t="n">
        <v>0</v>
      </c>
      <c r="P2660" s="30" t="n">
        <v>-11.639694</v>
      </c>
      <c r="Q2660" s="30" t="n">
        <v>-38.9139718</v>
      </c>
      <c r="R2660" s="14" t="inlineStr">
        <is>
          <t>RUA PEDRO THIAGO, 327, GINÁSIO, SERRINHA/BA</t>
        </is>
      </c>
      <c r="S2660" s="26">
        <f>IF(A2660=A2659,0,1)</f>
        <v>0</v>
      </c>
      <c r="T2660" s="26">
        <f>IF(COUNTIF($B$4:B2660,B2660)=1,1,0)</f>
        <v>0</v>
      </c>
    </row>
    <row r="2661">
      <c r="A2661" s="14" t="inlineStr">
        <is>
          <t>SERRINHA</t>
        </is>
      </c>
      <c r="B2661" s="26" t="n">
        <v>150</v>
      </c>
      <c r="C2661" s="26" t="n">
        <v>1902</v>
      </c>
      <c r="D2661" s="14" t="inlineStr">
        <is>
          <t>ESCOLA MUNICIPAL JOSÉ XAVIER DE LIMA</t>
        </is>
      </c>
      <c r="E2661" s="14" t="inlineStr">
        <is>
          <t>POVOADO LAGOA SECA</t>
        </is>
      </c>
      <c r="F2661" s="14" t="inlineStr">
        <is>
          <t>POVOADO LAGOA SECA</t>
        </is>
      </c>
      <c r="G2661" s="27" t="inlineStr">
        <is>
          <t>48700-000</t>
        </is>
      </c>
      <c r="H2661" s="15" t="n">
        <v>1</v>
      </c>
      <c r="I2661" s="28" t="inlineStr">
        <is>
          <t>NÃO</t>
        </is>
      </c>
      <c r="J2661" s="29" t="n"/>
      <c r="K2661" s="14" t="str">
        <f>IF(J2661="","7. Acima de 2 km",IF(J2661&lt;=50,"1. Até 50 m",IF(J2661&lt;=100,"2. De 50 a 100 m",IF(J2661&lt;=200,"3. De 100 a 200 m",IF(J2661&lt;=300,"4. De 200 a 300 m",IF(J2661&lt;=500,"5. De 300 a 500 m","6. De 500 m a 2 km"))))))</f>
        <v>7. Acima de 2 km</v>
      </c>
      <c r="L2661" s="26" t="n">
        <v>0</v>
      </c>
      <c r="M2661" s="26" t="n">
        <v>0</v>
      </c>
      <c r="N2661" s="26" t="n">
        <v>0</v>
      </c>
      <c r="O2661" s="26" t="n">
        <v>0</v>
      </c>
      <c r="P2661" s="30" t="n">
        <v>-11.6502846</v>
      </c>
      <c r="Q2661" s="30" t="n">
        <v>-38.9089196</v>
      </c>
      <c r="R2661" s="14" t="inlineStr">
        <is>
          <t>RUA PEDRO THIAGO, 327, GINÁSIO, SERRINHA/BA</t>
        </is>
      </c>
      <c r="S2661" s="26">
        <f>IF(A2661=A2660,0,1)</f>
        <v>0</v>
      </c>
      <c r="T2661" s="26">
        <f>IF(COUNTIF($B$4:B2661,B2661)=1,1,0)</f>
        <v>0</v>
      </c>
    </row>
    <row r="2662">
      <c r="A2662" s="14" t="inlineStr">
        <is>
          <t>SERRINHA</t>
        </is>
      </c>
      <c r="B2662" s="26" t="n">
        <v>150</v>
      </c>
      <c r="C2662" s="26" t="n">
        <v>1910</v>
      </c>
      <c r="D2662" s="14" t="inlineStr">
        <is>
          <t>ESCOLA MUNICIPAL SANTO ANTÔNIO</t>
        </is>
      </c>
      <c r="E2662" s="14" t="inlineStr">
        <is>
          <t>POVOADO LAGOA DO CURRALINHO</t>
        </is>
      </c>
      <c r="F2662" s="14" t="inlineStr">
        <is>
          <t>POVOADO LAGOA DO CURRALINHO - ZONA RURAL</t>
        </is>
      </c>
      <c r="G2662" s="27" t="inlineStr">
        <is>
          <t>48700-000</t>
        </is>
      </c>
      <c r="H2662" s="15" t="n">
        <v>2</v>
      </c>
      <c r="I2662" s="28" t="inlineStr">
        <is>
          <t>NÃO</t>
        </is>
      </c>
      <c r="J2662" s="29" t="n"/>
      <c r="K2662" s="14" t="str">
        <f>IF(J2662="","7. Acima de 2 km",IF(J2662&lt;=50,"1. Até 50 m",IF(J2662&lt;=100,"2. De 50 a 100 m",IF(J2662&lt;=200,"3. De 100 a 200 m",IF(J2662&lt;=300,"4. De 200 a 300 m",IF(J2662&lt;=500,"5. De 300 a 500 m","6. De 500 m a 2 km"))))))</f>
        <v>7. Acima de 2 km</v>
      </c>
      <c r="L2662" s="26" t="n">
        <v>0</v>
      </c>
      <c r="M2662" s="26" t="n">
        <v>0</v>
      </c>
      <c r="N2662" s="26" t="n">
        <v>0</v>
      </c>
      <c r="O2662" s="26" t="n">
        <v>0</v>
      </c>
      <c r="P2662" s="30" t="n">
        <v>-11.718727</v>
      </c>
      <c r="Q2662" s="30" t="n">
        <v>-38.9460732</v>
      </c>
      <c r="R2662" s="14" t="inlineStr">
        <is>
          <t>RUA PEDRO THIAGO, 327, GINÁSIO, SERRINHA/BA</t>
        </is>
      </c>
      <c r="S2662" s="26">
        <f>IF(A2662=A2661,0,1)</f>
        <v>0</v>
      </c>
      <c r="T2662" s="26">
        <f>IF(COUNTIF($B$4:B2662,B2662)=1,1,0)</f>
        <v>0</v>
      </c>
    </row>
    <row r="2663">
      <c r="A2663" s="14" t="inlineStr">
        <is>
          <t>SERRINHA</t>
        </is>
      </c>
      <c r="B2663" s="26" t="n">
        <v>150</v>
      </c>
      <c r="C2663" s="26" t="n">
        <v>1929</v>
      </c>
      <c r="D2663" s="14" t="inlineStr">
        <is>
          <t>ESCOLA MUNICIPAL AVANI CORDEIRO</t>
        </is>
      </c>
      <c r="E2663" s="14" t="inlineStr">
        <is>
          <t>POVOADO MATO FINO</t>
        </is>
      </c>
      <c r="F2663" s="14" t="inlineStr">
        <is>
          <t>POVOADO MATO FINO - ZONA RURAL</t>
        </is>
      </c>
      <c r="G2663" s="27" t="inlineStr">
        <is>
          <t>48700-000</t>
        </is>
      </c>
      <c r="H2663" s="15" t="n">
        <v>1</v>
      </c>
      <c r="I2663" s="28" t="inlineStr">
        <is>
          <t>NÃO</t>
        </is>
      </c>
      <c r="J2663" s="29" t="n"/>
      <c r="K2663" s="14" t="str">
        <f>IF(J2663="","7. Acima de 2 km",IF(J2663&lt;=50,"1. Até 50 m",IF(J2663&lt;=100,"2. De 50 a 100 m",IF(J2663&lt;=200,"3. De 100 a 200 m",IF(J2663&lt;=300,"4. De 200 a 300 m",IF(J2663&lt;=500,"5. De 300 a 500 m","6. De 500 m a 2 km"))))))</f>
        <v>7. Acima de 2 km</v>
      </c>
      <c r="L2663" s="26" t="n">
        <v>0</v>
      </c>
      <c r="M2663" s="26" t="n">
        <v>0</v>
      </c>
      <c r="N2663" s="26" t="n">
        <v>0</v>
      </c>
      <c r="O2663" s="26" t="n">
        <v>0</v>
      </c>
      <c r="P2663" s="30" t="n">
        <v>-11.6409976</v>
      </c>
      <c r="Q2663" s="30" t="n">
        <v>-39.1303158</v>
      </c>
      <c r="R2663" s="14" t="inlineStr">
        <is>
          <t>RUA PEDRO THIAGO, 327, GINÁSIO, SERRINHA/BA</t>
        </is>
      </c>
      <c r="S2663" s="26">
        <f>IF(A2663=A2662,0,1)</f>
        <v>0</v>
      </c>
      <c r="T2663" s="26">
        <f>IF(COUNTIF($B$4:B2663,B2663)=1,1,0)</f>
        <v>0</v>
      </c>
    </row>
    <row r="2664">
      <c r="A2664" s="14" t="inlineStr">
        <is>
          <t>SERRINHA</t>
        </is>
      </c>
      <c r="B2664" s="26" t="n">
        <v>150</v>
      </c>
      <c r="C2664" s="26" t="n">
        <v>1937</v>
      </c>
      <c r="D2664" s="14" t="inlineStr">
        <is>
          <t>ESCOLA MUNICIPAL ARLETE SILVA LIMA</t>
        </is>
      </c>
      <c r="E2664" s="14" t="inlineStr">
        <is>
          <t>POVOADO CAMIRANGA</t>
        </is>
      </c>
      <c r="F2664" s="14" t="inlineStr">
        <is>
          <t>POVOADO CAMIRANGA - ZONA RURAL</t>
        </is>
      </c>
      <c r="G2664" s="27" t="inlineStr">
        <is>
          <t>48700-000</t>
        </is>
      </c>
      <c r="H2664" s="15" t="n">
        <v>1</v>
      </c>
      <c r="I2664" s="28" t="inlineStr">
        <is>
          <t>NÃO</t>
        </is>
      </c>
      <c r="J2664" s="29" t="n"/>
      <c r="K2664" s="14" t="str">
        <f>IF(J2664="","7. Acima de 2 km",IF(J2664&lt;=50,"1. Até 50 m",IF(J2664&lt;=100,"2. De 50 a 100 m",IF(J2664&lt;=200,"3. De 100 a 200 m",IF(J2664&lt;=300,"4. De 200 a 300 m",IF(J2664&lt;=500,"5. De 300 a 500 m","6. De 500 m a 2 km"))))))</f>
        <v>7. Acima de 2 km</v>
      </c>
      <c r="L2664" s="26" t="n">
        <v>0</v>
      </c>
      <c r="M2664" s="26" t="n">
        <v>0</v>
      </c>
      <c r="N2664" s="26" t="n">
        <v>0</v>
      </c>
      <c r="O2664" s="26" t="n">
        <v>0</v>
      </c>
      <c r="P2664" s="30" t="n">
        <v>-11.6322763</v>
      </c>
      <c r="Q2664" s="30" t="n">
        <v>-38.8943099</v>
      </c>
      <c r="R2664" s="14" t="inlineStr">
        <is>
          <t>RUA PEDRO THIAGO, 327, GINÁSIO, SERRINHA/BA</t>
        </is>
      </c>
      <c r="S2664" s="26">
        <f>IF(A2664=A2663,0,1)</f>
        <v>0</v>
      </c>
      <c r="T2664" s="26">
        <f>IF(COUNTIF($B$4:B2664,B2664)=1,1,0)</f>
        <v>0</v>
      </c>
    </row>
    <row r="2665">
      <c r="A2665" s="14" t="inlineStr">
        <is>
          <t>SERRINHA</t>
        </is>
      </c>
      <c r="B2665" s="26" t="n">
        <v>150</v>
      </c>
      <c r="C2665" s="26" t="n">
        <v>1945</v>
      </c>
      <c r="D2665" s="14" t="inlineStr">
        <is>
          <t>ESCOLA MUNICIPAL TEODORO DOS SANTOS RIBEIRO</t>
        </is>
      </c>
      <c r="E2665" s="14" t="inlineStr">
        <is>
          <t>CRUZEIRO</t>
        </is>
      </c>
      <c r="F2665" s="14" t="inlineStr">
        <is>
          <t>TRAVESSA CRUZEIRO - ZONA URBANA</t>
        </is>
      </c>
      <c r="G2665" s="27" t="inlineStr">
        <is>
          <t>48700-000</t>
        </is>
      </c>
      <c r="H2665" s="15" t="n">
        <v>3</v>
      </c>
      <c r="I2665" s="28" t="inlineStr">
        <is>
          <t>NÃO</t>
        </is>
      </c>
      <c r="J2665" s="29" t="n">
        <v>653.2</v>
      </c>
      <c r="K2665" s="14" t="str">
        <f>IF(J2665="","7. Acima de 2 km",IF(J2665&lt;=50,"1. Até 50 m",IF(J2665&lt;=100,"2. De 50 a 100 m",IF(J2665&lt;=200,"3. De 100 a 200 m",IF(J2665&lt;=300,"4. De 200 a 300 m",IF(J2665&lt;=500,"5. De 300 a 500 m","6. De 500 m a 2 km"))))))</f>
        <v>6. De 500 m a 2 km</v>
      </c>
      <c r="L2665" s="26" t="n">
        <v>0</v>
      </c>
      <c r="M2665" s="26" t="n">
        <v>0</v>
      </c>
      <c r="N2665" s="26" t="n">
        <v>0</v>
      </c>
      <c r="O2665" s="26" t="n">
        <v>0</v>
      </c>
      <c r="P2665" s="30" t="n">
        <v>-11.6625339</v>
      </c>
      <c r="Q2665" s="30" t="n">
        <v>-39.0178195</v>
      </c>
      <c r="R2665" s="14" t="inlineStr">
        <is>
          <t>RUA PEDRO THIAGO, 327, GINÁSIO, SERRINHA/BA</t>
        </is>
      </c>
      <c r="S2665" s="26">
        <f>IF(A2665=A2664,0,1)</f>
        <v>0</v>
      </c>
      <c r="T2665" s="26">
        <f>IF(COUNTIF($B$4:B2665,B2665)=1,1,0)</f>
        <v>0</v>
      </c>
    </row>
    <row r="2666">
      <c r="A2666" s="14" t="inlineStr">
        <is>
          <t>SERRINHA</t>
        </is>
      </c>
      <c r="B2666" s="26" t="n">
        <v>150</v>
      </c>
      <c r="C2666" s="26" t="n">
        <v>1953</v>
      </c>
      <c r="D2666" s="14" t="inlineStr">
        <is>
          <t>ESCOLA MUNICIPAL ERALDO TINOCO</t>
        </is>
      </c>
      <c r="E2666" s="14" t="inlineStr">
        <is>
          <t>POVOADO LICURITUBA</t>
        </is>
      </c>
      <c r="F2666" s="14" t="inlineStr">
        <is>
          <t>POVOADO LICURITUBA - ZONA RURAL</t>
        </is>
      </c>
      <c r="G2666" s="27" t="inlineStr">
        <is>
          <t>48700-000</t>
        </is>
      </c>
      <c r="H2666" s="15" t="n">
        <v>1</v>
      </c>
      <c r="I2666" s="28" t="inlineStr">
        <is>
          <t>NÃO</t>
        </is>
      </c>
      <c r="J2666" s="29" t="n"/>
      <c r="K2666" s="14" t="str">
        <f>IF(J2666="","7. Acima de 2 km",IF(J2666&lt;=50,"1. Até 50 m",IF(J2666&lt;=100,"2. De 50 a 100 m",IF(J2666&lt;=200,"3. De 100 a 200 m",IF(J2666&lt;=300,"4. De 200 a 300 m",IF(J2666&lt;=500,"5. De 300 a 500 m","6. De 500 m a 2 km"))))))</f>
        <v>7. Acima de 2 km</v>
      </c>
      <c r="L2666" s="26" t="n">
        <v>0</v>
      </c>
      <c r="M2666" s="26" t="n">
        <v>0</v>
      </c>
      <c r="N2666" s="26" t="n">
        <v>0</v>
      </c>
      <c r="O2666" s="26" t="n">
        <v>0</v>
      </c>
      <c r="P2666" s="30" t="n">
        <v>-11.6756097</v>
      </c>
      <c r="Q2666" s="30" t="n">
        <v>-38.9076857</v>
      </c>
      <c r="R2666" s="14" t="inlineStr">
        <is>
          <t>RUA PEDRO THIAGO, 327, GINÁSIO, SERRINHA/BA</t>
        </is>
      </c>
      <c r="S2666" s="26">
        <f>IF(A2666=A2665,0,1)</f>
        <v>0</v>
      </c>
      <c r="T2666" s="26">
        <f>IF(COUNTIF($B$4:B2666,B2666)=1,1,0)</f>
        <v>0</v>
      </c>
    </row>
    <row r="2667">
      <c r="A2667" s="14" t="inlineStr">
        <is>
          <t>SERRINHA</t>
        </is>
      </c>
      <c r="B2667" s="26" t="n">
        <v>150</v>
      </c>
      <c r="C2667" s="26" t="n">
        <v>1961</v>
      </c>
      <c r="D2667" s="14" t="inlineStr">
        <is>
          <t>ESCOLA MUNICIPAL SÃO VICENTE DA MOMBAÇA</t>
        </is>
      </c>
      <c r="E2667" s="14" t="inlineStr">
        <is>
          <t>POVOADO MOMBAÇA DE VALENTINA</t>
        </is>
      </c>
      <c r="F2667" s="14" t="inlineStr">
        <is>
          <t>POVOADO MOMBAÇA DE VALENTINA - ZONA RURAL</t>
        </is>
      </c>
      <c r="G2667" s="27" t="inlineStr">
        <is>
          <t>48700-000</t>
        </is>
      </c>
      <c r="H2667" s="15" t="n">
        <v>1</v>
      </c>
      <c r="I2667" s="28" t="inlineStr">
        <is>
          <t>NÃO</t>
        </is>
      </c>
      <c r="J2667" s="29" t="n"/>
      <c r="K2667" s="14" t="str">
        <f>IF(J2667="","7. Acima de 2 km",IF(J2667&lt;=50,"1. Até 50 m",IF(J2667&lt;=100,"2. De 50 a 100 m",IF(J2667&lt;=200,"3. De 100 a 200 m",IF(J2667&lt;=300,"4. De 200 a 300 m",IF(J2667&lt;=500,"5. De 300 a 500 m","6. De 500 m a 2 km"))))))</f>
        <v>7. Acima de 2 km</v>
      </c>
      <c r="L2667" s="26" t="n">
        <v>0</v>
      </c>
      <c r="M2667" s="26" t="n">
        <v>0</v>
      </c>
      <c r="N2667" s="26" t="n">
        <v>0</v>
      </c>
      <c r="O2667" s="26" t="n">
        <v>0</v>
      </c>
      <c r="P2667" s="30" t="n">
        <v>-11.6250575</v>
      </c>
      <c r="Q2667" s="30" t="n">
        <v>-38.912151</v>
      </c>
      <c r="R2667" s="14" t="inlineStr">
        <is>
          <t>RUA PEDRO THIAGO, 327, GINÁSIO, SERRINHA/BA</t>
        </is>
      </c>
      <c r="S2667" s="26">
        <f>IF(A2667=A2666,0,1)</f>
        <v>0</v>
      </c>
      <c r="T2667" s="26">
        <f>IF(COUNTIF($B$4:B2667,B2667)=1,1,0)</f>
        <v>0</v>
      </c>
    </row>
    <row r="2668">
      <c r="A2668" s="14" t="inlineStr">
        <is>
          <t>SERRINHA</t>
        </is>
      </c>
      <c r="B2668" s="26" t="n">
        <v>150</v>
      </c>
      <c r="C2668" s="26" t="n">
        <v>1970</v>
      </c>
      <c r="D2668" s="14" t="inlineStr">
        <is>
          <t>ESCOLA MUNICIPAL NOSSA SENHORA DA CONCEIÇÃO APARECIDA</t>
        </is>
      </c>
      <c r="E2668" s="14" t="inlineStr">
        <is>
          <t>APARECIDA</t>
        </is>
      </c>
      <c r="F2668" s="14" t="inlineStr">
        <is>
          <t>APARECIDA - ZONA URBANA</t>
        </is>
      </c>
      <c r="G2668" s="27" t="inlineStr">
        <is>
          <t>48700-000</t>
        </is>
      </c>
      <c r="H2668" s="15" t="n">
        <v>1</v>
      </c>
      <c r="I2668" s="28" t="inlineStr">
        <is>
          <t>NÃO</t>
        </is>
      </c>
      <c r="J2668" s="29" t="n">
        <v>609.7</v>
      </c>
      <c r="K2668" s="14" t="str">
        <f>IF(J2668="","7. Acima de 2 km",IF(J2668&lt;=50,"1. Até 50 m",IF(J2668&lt;=100,"2. De 50 a 100 m",IF(J2668&lt;=200,"3. De 100 a 200 m",IF(J2668&lt;=300,"4. De 200 a 300 m",IF(J2668&lt;=500,"5. De 300 a 500 m","6. De 500 m a 2 km"))))))</f>
        <v>6. De 500 m a 2 km</v>
      </c>
      <c r="L2668" s="26" t="n">
        <v>0</v>
      </c>
      <c r="M2668" s="26" t="n">
        <v>0</v>
      </c>
      <c r="N2668" s="26" t="n">
        <v>0</v>
      </c>
      <c r="O2668" s="26" t="n">
        <v>0</v>
      </c>
      <c r="P2668" s="30" t="n">
        <v>-11.6838282</v>
      </c>
      <c r="Q2668" s="30" t="n">
        <v>-38.9849028</v>
      </c>
      <c r="R2668" s="14" t="inlineStr">
        <is>
          <t>RUA PEDRO THIAGO, 327, GINÁSIO, SERRINHA/BA</t>
        </is>
      </c>
      <c r="S2668" s="26">
        <f>IF(A2668=A2667,0,1)</f>
        <v>0</v>
      </c>
      <c r="T2668" s="26">
        <f>IF(COUNTIF($B$4:B2668,B2668)=1,1,0)</f>
        <v>0</v>
      </c>
    </row>
    <row r="2669">
      <c r="A2669" s="14" t="inlineStr">
        <is>
          <t>SERRINHA</t>
        </is>
      </c>
      <c r="B2669" s="26" t="n">
        <v>150</v>
      </c>
      <c r="C2669" s="26" t="n">
        <v>1988</v>
      </c>
      <c r="D2669" s="14" t="inlineStr">
        <is>
          <t>ESCOLA MUNICIPAL SOFIA KATEB PEREIRA DA SILVA</t>
        </is>
      </c>
      <c r="E2669" s="14" t="inlineStr">
        <is>
          <t>SENHORA SANTANA</t>
        </is>
      </c>
      <c r="F2669" s="14" t="inlineStr">
        <is>
          <t>AVENIDA SENHORA SANTANA, 593 - ZONA URBANA</t>
        </is>
      </c>
      <c r="G2669" s="27" t="inlineStr">
        <is>
          <t>48700-000</t>
        </is>
      </c>
      <c r="H2669" s="15" t="n">
        <v>3</v>
      </c>
      <c r="I2669" s="28" t="inlineStr">
        <is>
          <t>NÃO</t>
        </is>
      </c>
      <c r="J2669" s="29" t="n">
        <v>122.2</v>
      </c>
      <c r="K2669" s="14" t="str">
        <f>IF(J2669="","7. Acima de 2 km",IF(J2669&lt;=50,"1. Até 50 m",IF(J2669&lt;=100,"2. De 50 a 100 m",IF(J2669&lt;=200,"3. De 100 a 200 m",IF(J2669&lt;=300,"4. De 200 a 300 m",IF(J2669&lt;=500,"5. De 300 a 500 m","6. De 500 m a 2 km"))))))</f>
        <v>3. De 100 a 200 m</v>
      </c>
      <c r="L2669" s="26" t="n">
        <v>0</v>
      </c>
      <c r="M2669" s="26" t="n">
        <v>0</v>
      </c>
      <c r="N2669" s="26" t="n">
        <v>1</v>
      </c>
      <c r="O2669" s="26" t="n">
        <v>1</v>
      </c>
      <c r="P2669" s="30" t="n">
        <v>-11.6520248</v>
      </c>
      <c r="Q2669" s="30" t="n">
        <v>-39.0068442</v>
      </c>
      <c r="R2669" s="14" t="inlineStr">
        <is>
          <t>RUA PEDRO THIAGO, 327, GINÁSIO, SERRINHA/BA</t>
        </is>
      </c>
      <c r="S2669" s="26">
        <f>IF(A2669=A2668,0,1)</f>
        <v>0</v>
      </c>
      <c r="T2669" s="26">
        <f>IF(COUNTIF($B$4:B2669,B2669)=1,1,0)</f>
        <v>0</v>
      </c>
    </row>
    <row r="2670">
      <c r="A2670" s="14" t="inlineStr">
        <is>
          <t>SERRINHA</t>
        </is>
      </c>
      <c r="B2670" s="26" t="n">
        <v>150</v>
      </c>
      <c r="C2670" s="26" t="n">
        <v>1996</v>
      </c>
      <c r="D2670" s="14" t="inlineStr">
        <is>
          <t>ESCOLA MUNICIPAL FELIPE SANTIAGO DOS SANTOS</t>
        </is>
      </c>
      <c r="E2670" s="14" t="inlineStr">
        <is>
          <t>POVOADO BAIXA D'AGUA</t>
        </is>
      </c>
      <c r="F2670" s="14" t="inlineStr">
        <is>
          <t>POVOADO BAIXA D'AGUA - ZONA RURAL</t>
        </is>
      </c>
      <c r="G2670" s="27" t="inlineStr">
        <is>
          <t>48700-000</t>
        </is>
      </c>
      <c r="H2670" s="15" t="n">
        <v>1</v>
      </c>
      <c r="I2670" s="28" t="inlineStr">
        <is>
          <t>NÃO</t>
        </is>
      </c>
      <c r="J2670" s="29" t="n">
        <v>1166.6</v>
      </c>
      <c r="K2670" s="14" t="str">
        <f>IF(J2670="","7. Acima de 2 km",IF(J2670&lt;=50,"1. Até 50 m",IF(J2670&lt;=100,"2. De 50 a 100 m",IF(J2670&lt;=200,"3. De 100 a 200 m",IF(J2670&lt;=300,"4. De 200 a 300 m",IF(J2670&lt;=500,"5. De 300 a 500 m","6. De 500 m a 2 km"))))))</f>
        <v>6. De 500 m a 2 km</v>
      </c>
      <c r="L2670" s="26" t="n">
        <v>0</v>
      </c>
      <c r="M2670" s="26" t="n">
        <v>0</v>
      </c>
      <c r="N2670" s="26" t="n">
        <v>0</v>
      </c>
      <c r="O2670" s="26" t="n">
        <v>0</v>
      </c>
      <c r="P2670" s="30" t="n">
        <v>-11.6928641</v>
      </c>
      <c r="Q2670" s="30" t="n">
        <v>-39.0035628</v>
      </c>
      <c r="R2670" s="14" t="inlineStr">
        <is>
          <t>RUA PEDRO THIAGO, 327, GINÁSIO, SERRINHA/BA</t>
        </is>
      </c>
      <c r="S2670" s="26">
        <f>IF(A2670=A2669,0,1)</f>
        <v>0</v>
      </c>
      <c r="T2670" s="26">
        <f>IF(COUNTIF($B$4:B2670,B2670)=1,1,0)</f>
        <v>0</v>
      </c>
    </row>
    <row r="2671">
      <c r="A2671" s="14" t="inlineStr">
        <is>
          <t>SERRINHA</t>
        </is>
      </c>
      <c r="B2671" s="26" t="n">
        <v>150</v>
      </c>
      <c r="C2671" s="26" t="n">
        <v>2003</v>
      </c>
      <c r="D2671" s="14" t="inlineStr">
        <is>
          <t>ESCOLA MUNICIPAL HERMÍLIA BASTOS CARNEIRO DA SILVA</t>
        </is>
      </c>
      <c r="E2671" s="14" t="inlineStr">
        <is>
          <t>COLINA DAS MANGUEIRAS</t>
        </is>
      </c>
      <c r="F2671" s="14" t="inlineStr">
        <is>
          <t>RUA PEDRO IRUJO, 280 - ZONA URBANA</t>
        </is>
      </c>
      <c r="G2671" s="27" t="inlineStr">
        <is>
          <t>48700-000</t>
        </is>
      </c>
      <c r="H2671" s="15" t="n">
        <v>5</v>
      </c>
      <c r="I2671" s="28" t="inlineStr">
        <is>
          <t>NÃO</t>
        </is>
      </c>
      <c r="J2671" s="29" t="n">
        <v>562.4</v>
      </c>
      <c r="K2671" s="14" t="str">
        <f>IF(J2671="","7. Acima de 2 km",IF(J2671&lt;=50,"1. Até 50 m",IF(J2671&lt;=100,"2. De 50 a 100 m",IF(J2671&lt;=200,"3. De 100 a 200 m",IF(J2671&lt;=300,"4. De 200 a 300 m",IF(J2671&lt;=500,"5. De 300 a 500 m","6. De 500 m a 2 km"))))))</f>
        <v>6. De 500 m a 2 km</v>
      </c>
      <c r="L2671" s="26" t="n">
        <v>0</v>
      </c>
      <c r="M2671" s="26" t="n">
        <v>0</v>
      </c>
      <c r="N2671" s="26" t="n">
        <v>0</v>
      </c>
      <c r="O2671" s="26" t="n">
        <v>0</v>
      </c>
      <c r="P2671" s="30" t="n">
        <v>-11.6582142</v>
      </c>
      <c r="Q2671" s="30" t="n">
        <v>-38.9999961</v>
      </c>
      <c r="R2671" s="14" t="inlineStr">
        <is>
          <t>RUA PEDRO THIAGO, 327, GINÁSIO, SERRINHA/BA</t>
        </is>
      </c>
      <c r="S2671" s="26">
        <f>IF(A2671=A2670,0,1)</f>
        <v>0</v>
      </c>
      <c r="T2671" s="26">
        <f>IF(COUNTIF($B$4:B2671,B2671)=1,1,0)</f>
        <v>0</v>
      </c>
    </row>
    <row r="2672">
      <c r="A2672" s="14" t="inlineStr">
        <is>
          <t>SERRINHA</t>
        </is>
      </c>
      <c r="B2672" s="26" t="n">
        <v>150</v>
      </c>
      <c r="C2672" s="26" t="n">
        <v>2020</v>
      </c>
      <c r="D2672" s="14" t="inlineStr">
        <is>
          <t>CRECHE MUNICIPAL CORONEL NENENZINHO CARNEIRO</t>
        </is>
      </c>
      <c r="E2672" s="14" t="inlineStr">
        <is>
          <t>POVOADO DOIS IRMÃOS</t>
        </is>
      </c>
      <c r="F2672" s="14" t="inlineStr">
        <is>
          <t>POVOADO DOIS IRMÃOS - ZONA RURAL</t>
        </is>
      </c>
      <c r="G2672" s="27" t="inlineStr">
        <is>
          <t>48700-000</t>
        </is>
      </c>
      <c r="H2672" s="15" t="n">
        <v>1</v>
      </c>
      <c r="I2672" s="28" t="inlineStr">
        <is>
          <t>NÃO</t>
        </is>
      </c>
      <c r="J2672" s="29" t="n"/>
      <c r="K2672" s="14" t="str">
        <f>IF(J2672="","7. Acima de 2 km",IF(J2672&lt;=50,"1. Até 50 m",IF(J2672&lt;=100,"2. De 50 a 100 m",IF(J2672&lt;=200,"3. De 100 a 200 m",IF(J2672&lt;=300,"4. De 200 a 300 m",IF(J2672&lt;=500,"5. De 300 a 500 m","6. De 500 m a 2 km"))))))</f>
        <v>7. Acima de 2 km</v>
      </c>
      <c r="L2672" s="26" t="n">
        <v>0</v>
      </c>
      <c r="M2672" s="26" t="n">
        <v>0</v>
      </c>
      <c r="N2672" s="26" t="n">
        <v>0</v>
      </c>
      <c r="O2672" s="26" t="n">
        <v>0</v>
      </c>
      <c r="P2672" s="30" t="n">
        <v>-11.5730103</v>
      </c>
      <c r="Q2672" s="30" t="n">
        <v>-38.9786339</v>
      </c>
      <c r="R2672" s="14" t="inlineStr">
        <is>
          <t>RUA PEDRO THIAGO, 327, GINÁSIO, SERRINHA/BA</t>
        </is>
      </c>
      <c r="S2672" s="26">
        <f>IF(A2672=A2671,0,1)</f>
        <v>0</v>
      </c>
      <c r="T2672" s="26">
        <f>IF(COUNTIF($B$4:B2672,B2672)=1,1,0)</f>
        <v>0</v>
      </c>
    </row>
    <row r="2673">
      <c r="A2673" s="14" t="inlineStr">
        <is>
          <t>SERRINHA</t>
        </is>
      </c>
      <c r="B2673" s="26" t="n">
        <v>150</v>
      </c>
      <c r="C2673" s="26" t="n">
        <v>2046</v>
      </c>
      <c r="D2673" s="14" t="inlineStr">
        <is>
          <t>ESCOLA MUNICIPAL MARIA AMÉLIA ALVES GONÇALVES LIMA</t>
        </is>
      </c>
      <c r="E2673" s="14" t="inlineStr">
        <is>
          <t>POVOADO MALHADA DO ALTO</t>
        </is>
      </c>
      <c r="F2673" s="14" t="inlineStr">
        <is>
          <t>POVOADO MALHADA DO ALTO - ZONA RURAL</t>
        </is>
      </c>
      <c r="G2673" s="27" t="inlineStr">
        <is>
          <t>48700-000</t>
        </is>
      </c>
      <c r="H2673" s="15" t="n">
        <v>1</v>
      </c>
      <c r="I2673" s="28" t="inlineStr">
        <is>
          <t>NÃO</t>
        </is>
      </c>
      <c r="J2673" s="29" t="n"/>
      <c r="K2673" s="14" t="str">
        <f>IF(J2673="","7. Acima de 2 km",IF(J2673&lt;=50,"1. Até 50 m",IF(J2673&lt;=100,"2. De 50 a 100 m",IF(J2673&lt;=200,"3. De 100 a 200 m",IF(J2673&lt;=300,"4. De 200 a 300 m",IF(J2673&lt;=500,"5. De 300 a 500 m","6. De 500 m a 2 km"))))))</f>
        <v>7. Acima de 2 km</v>
      </c>
      <c r="L2673" s="26" t="n">
        <v>0</v>
      </c>
      <c r="M2673" s="26" t="n">
        <v>0</v>
      </c>
      <c r="N2673" s="26" t="n">
        <v>0</v>
      </c>
      <c r="O2673" s="26" t="n">
        <v>0</v>
      </c>
      <c r="P2673" s="30" t="n">
        <v>-11.6540747</v>
      </c>
      <c r="Q2673" s="30" t="n">
        <v>-39.1137467</v>
      </c>
      <c r="R2673" s="14" t="inlineStr">
        <is>
          <t>RUA PEDRO THIAGO, 327, GINÁSIO, SERRINHA/BA</t>
        </is>
      </c>
      <c r="S2673" s="26">
        <f>IF(A2673=A2672,0,1)</f>
        <v>0</v>
      </c>
      <c r="T2673" s="26">
        <f>IF(COUNTIF($B$4:B2673,B2673)=1,1,0)</f>
        <v>0</v>
      </c>
    </row>
    <row r="2674">
      <c r="A2674" s="14" t="inlineStr">
        <is>
          <t>SERRINHA</t>
        </is>
      </c>
      <c r="B2674" s="26" t="n">
        <v>150</v>
      </c>
      <c r="C2674" s="26" t="n">
        <v>2054</v>
      </c>
      <c r="D2674" s="14" t="inlineStr">
        <is>
          <t>ESCOLA MUNICIPAL JESUS DE NAZARÉ</t>
        </is>
      </c>
      <c r="E2674" s="14" t="inlineStr">
        <is>
          <t>POVOADO MATINHA</t>
        </is>
      </c>
      <c r="F2674" s="14" t="inlineStr">
        <is>
          <t>POVOADO MATINHA - ZONA RURAL</t>
        </is>
      </c>
      <c r="G2674" s="27" t="inlineStr">
        <is>
          <t>48700-000</t>
        </is>
      </c>
      <c r="H2674" s="15" t="n">
        <v>2</v>
      </c>
      <c r="I2674" s="28" t="inlineStr">
        <is>
          <t>NÃO</t>
        </is>
      </c>
      <c r="J2674" s="29" t="n"/>
      <c r="K2674" s="14" t="str">
        <f>IF(J2674="","7. Acima de 2 km",IF(J2674&lt;=50,"1. Até 50 m",IF(J2674&lt;=100,"2. De 50 a 100 m",IF(J2674&lt;=200,"3. De 100 a 200 m",IF(J2674&lt;=300,"4. De 200 a 300 m",IF(J2674&lt;=500,"5. De 300 a 500 m","6. De 500 m a 2 km"))))))</f>
        <v>7. Acima de 2 km</v>
      </c>
      <c r="L2674" s="26" t="n">
        <v>0</v>
      </c>
      <c r="M2674" s="26" t="n">
        <v>0</v>
      </c>
      <c r="N2674" s="26" t="n">
        <v>0</v>
      </c>
      <c r="O2674" s="26" t="n">
        <v>0</v>
      </c>
      <c r="P2674" s="30" t="n">
        <v>-11.6875971</v>
      </c>
      <c r="Q2674" s="30" t="n">
        <v>-39.0635628</v>
      </c>
      <c r="R2674" s="14" t="inlineStr">
        <is>
          <t>RUA PEDRO THIAGO, 327, GINÁSIO, SERRINHA/BA</t>
        </is>
      </c>
      <c r="S2674" s="26">
        <f>IF(A2674=A2673,0,1)</f>
        <v>0</v>
      </c>
      <c r="T2674" s="26">
        <f>IF(COUNTIF($B$4:B2674,B2674)=1,1,0)</f>
        <v>0</v>
      </c>
    </row>
    <row r="2675">
      <c r="A2675" s="14" t="inlineStr">
        <is>
          <t>SERRINHA</t>
        </is>
      </c>
      <c r="B2675" s="26" t="n">
        <v>150</v>
      </c>
      <c r="C2675" s="26" t="n">
        <v>2070</v>
      </c>
      <c r="D2675" s="14" t="inlineStr">
        <is>
          <t>CRECHE MUNICIPAL CARLOS AUGUSTO VILALVA NEGREIROS FALCÃO</t>
        </is>
      </c>
      <c r="E2675" s="14" t="inlineStr">
        <is>
          <t>VILA DE FÁTIMA</t>
        </is>
      </c>
      <c r="F2675" s="14" t="inlineStr">
        <is>
          <t>RUA PRIMEIRO DE JANEIRO, S/N - ZONA URBANA</t>
        </is>
      </c>
      <c r="G2675" s="27" t="inlineStr">
        <is>
          <t>48700-000</t>
        </is>
      </c>
      <c r="H2675" s="15" t="n">
        <v>3</v>
      </c>
      <c r="I2675" s="28" t="inlineStr">
        <is>
          <t>NÃO</t>
        </is>
      </c>
      <c r="J2675" s="29" t="n">
        <v>332.9</v>
      </c>
      <c r="K2675" s="14" t="str">
        <f>IF(J2675="","7. Acima de 2 km",IF(J2675&lt;=50,"1. Até 50 m",IF(J2675&lt;=100,"2. De 50 a 100 m",IF(J2675&lt;=200,"3. De 100 a 200 m",IF(J2675&lt;=300,"4. De 200 a 300 m",IF(J2675&lt;=500,"5. De 300 a 500 m","6. De 500 m a 2 km"))))))</f>
        <v>5. De 300 a 500 m</v>
      </c>
      <c r="L2675" s="26" t="n">
        <v>0</v>
      </c>
      <c r="M2675" s="26" t="n">
        <v>0</v>
      </c>
      <c r="N2675" s="26" t="n">
        <v>0</v>
      </c>
      <c r="O2675" s="26" t="n">
        <v>0</v>
      </c>
      <c r="P2675" s="30" t="n">
        <v>-11.6519429</v>
      </c>
      <c r="Q2675" s="30" t="n">
        <v>-39.0189104</v>
      </c>
      <c r="R2675" s="14" t="inlineStr">
        <is>
          <t>RUA PEDRO THIAGO, 327, GINÁSIO, SERRINHA/BA</t>
        </is>
      </c>
      <c r="S2675" s="26">
        <f>IF(A2675=A2674,0,1)</f>
        <v>0</v>
      </c>
      <c r="T2675" s="26">
        <f>IF(COUNTIF($B$4:B2675,B2675)=1,1,0)</f>
        <v>0</v>
      </c>
    </row>
    <row r="2676">
      <c r="A2676" s="14" t="inlineStr">
        <is>
          <t>SERRINHA</t>
        </is>
      </c>
      <c r="B2676" s="26" t="n">
        <v>150</v>
      </c>
      <c r="C2676" s="26" t="n">
        <v>2097</v>
      </c>
      <c r="D2676" s="14" t="inlineStr">
        <is>
          <t>ESCOLA MUNICIPAL GERÔNIMO JOSÉ LUCIANO</t>
        </is>
      </c>
      <c r="E2676" s="14" t="inlineStr">
        <is>
          <t>POVOADO CONTENDAS</t>
        </is>
      </c>
      <c r="F2676" s="14" t="inlineStr">
        <is>
          <t>POVOADO CONTENDAS - ZONA RURAL</t>
        </is>
      </c>
      <c r="G2676" s="27" t="inlineStr">
        <is>
          <t>48700-000</t>
        </is>
      </c>
      <c r="H2676" s="15" t="n">
        <v>1</v>
      </c>
      <c r="I2676" s="28" t="inlineStr">
        <is>
          <t>NÃO</t>
        </is>
      </c>
      <c r="J2676" s="29" t="n"/>
      <c r="K2676" s="14" t="str">
        <f>IF(J2676="","7. Acima de 2 km",IF(J2676&lt;=50,"1. Até 50 m",IF(J2676&lt;=100,"2. De 50 a 100 m",IF(J2676&lt;=200,"3. De 100 a 200 m",IF(J2676&lt;=300,"4. De 200 a 300 m",IF(J2676&lt;=500,"5. De 300 a 500 m","6. De 500 m a 2 km"))))))</f>
        <v>7. Acima de 2 km</v>
      </c>
      <c r="L2676" s="26" t="n">
        <v>0</v>
      </c>
      <c r="M2676" s="26" t="n">
        <v>0</v>
      </c>
      <c r="N2676" s="26" t="n">
        <v>0</v>
      </c>
      <c r="O2676" s="26" t="n">
        <v>0</v>
      </c>
      <c r="P2676" s="30" t="n">
        <v>-11.5910367</v>
      </c>
      <c r="Q2676" s="30" t="n">
        <v>-39.0087383</v>
      </c>
      <c r="R2676" s="14" t="inlineStr">
        <is>
          <t>RUA PEDRO THIAGO, 327, GINÁSIO, SERRINHA/BA</t>
        </is>
      </c>
      <c r="S2676" s="26">
        <f>IF(A2676=A2675,0,1)</f>
        <v>0</v>
      </c>
      <c r="T2676" s="26">
        <f>IF(COUNTIF($B$4:B2676,B2676)=1,1,0)</f>
        <v>0</v>
      </c>
    </row>
    <row r="2677">
      <c r="A2677" s="14" t="inlineStr">
        <is>
          <t>SERRINHA</t>
        </is>
      </c>
      <c r="B2677" s="26" t="n">
        <v>150</v>
      </c>
      <c r="C2677" s="26" t="n">
        <v>2135</v>
      </c>
      <c r="D2677" s="14" t="inlineStr">
        <is>
          <t>COLÉGIO COMERCIAL DE SERRINHA</t>
        </is>
      </c>
      <c r="E2677" s="14" t="inlineStr">
        <is>
          <t>CENTRO</t>
        </is>
      </c>
      <c r="F2677" s="14" t="inlineStr">
        <is>
          <t>RUA ANTÔNIO PINHEIRO DA MOTA, SN - ZONA URBANA</t>
        </is>
      </c>
      <c r="G2677" s="27" t="inlineStr">
        <is>
          <t>48700-000</t>
        </is>
      </c>
      <c r="H2677" s="15" t="n">
        <v>2</v>
      </c>
      <c r="I2677" s="28" t="inlineStr">
        <is>
          <t>NÃO</t>
        </is>
      </c>
      <c r="J2677" s="29" t="n">
        <v>199.4</v>
      </c>
      <c r="K2677" s="14" t="str">
        <f>IF(J2677="","7. Acima de 2 km",IF(J2677&lt;=50,"1. Até 50 m",IF(J2677&lt;=100,"2. De 50 a 100 m",IF(J2677&lt;=200,"3. De 100 a 200 m",IF(J2677&lt;=300,"4. De 200 a 300 m",IF(J2677&lt;=500,"5. De 300 a 500 m","6. De 500 m a 2 km"))))))</f>
        <v>3. De 100 a 200 m</v>
      </c>
      <c r="L2677" s="26" t="n">
        <v>0</v>
      </c>
      <c r="M2677" s="26" t="n">
        <v>0</v>
      </c>
      <c r="N2677" s="26" t="n">
        <v>1</v>
      </c>
      <c r="O2677" s="26" t="n">
        <v>5</v>
      </c>
      <c r="P2677" s="30" t="n">
        <v>-11.6614536</v>
      </c>
      <c r="Q2677" s="30" t="n">
        <v>-39.0105615</v>
      </c>
      <c r="R2677" s="14" t="inlineStr">
        <is>
          <t>RUA PEDRO THIAGO, 327, GINÁSIO, SERRINHA/BA</t>
        </is>
      </c>
      <c r="S2677" s="26">
        <f>IF(A2677=A2676,0,1)</f>
        <v>0</v>
      </c>
      <c r="T2677" s="26">
        <f>IF(COUNTIF($B$4:B2677,B2677)=1,1,0)</f>
        <v>0</v>
      </c>
    </row>
    <row r="2678">
      <c r="A2678" s="14" t="inlineStr">
        <is>
          <t>SERRINHA</t>
        </is>
      </c>
      <c r="B2678" s="26" t="n">
        <v>150</v>
      </c>
      <c r="C2678" s="26" t="n">
        <v>2143</v>
      </c>
      <c r="D2678" s="14" t="inlineStr">
        <is>
          <t>COLÉGIO MUNICIPAL CREUNITA SILVA BRIZOLARA PEREIRA (COLÉGIO MODELO)</t>
        </is>
      </c>
      <c r="E2678" s="14" t="inlineStr">
        <is>
          <t>VAQUEJADA</t>
        </is>
      </c>
      <c r="F2678" s="14" t="inlineStr">
        <is>
          <t>RUA SÃO MIGUEL ARCANJO - ZONA URBANA</t>
        </is>
      </c>
      <c r="G2678" s="27" t="inlineStr">
        <is>
          <t>48700-000</t>
        </is>
      </c>
      <c r="H2678" s="15" t="n">
        <v>8</v>
      </c>
      <c r="I2678" s="28" t="inlineStr">
        <is>
          <t>NÃO</t>
        </is>
      </c>
      <c r="J2678" s="29" t="n">
        <v>535.5</v>
      </c>
      <c r="K2678" s="14" t="str">
        <f>IF(J2678="","7. Acima de 2 km",IF(J2678&lt;=50,"1. Até 50 m",IF(J2678&lt;=100,"2. De 50 a 100 m",IF(J2678&lt;=200,"3. De 100 a 200 m",IF(J2678&lt;=300,"4. De 200 a 300 m",IF(J2678&lt;=500,"5. De 300 a 500 m","6. De 500 m a 2 km"))))))</f>
        <v>6. De 500 m a 2 km</v>
      </c>
      <c r="L2678" s="26" t="n">
        <v>0</v>
      </c>
      <c r="M2678" s="26" t="n">
        <v>0</v>
      </c>
      <c r="N2678" s="26" t="n">
        <v>0</v>
      </c>
      <c r="O2678" s="26" t="n">
        <v>0</v>
      </c>
      <c r="P2678" s="30" t="n">
        <v>-11.6707426</v>
      </c>
      <c r="Q2678" s="30" t="n">
        <v>-38.9968328</v>
      </c>
      <c r="R2678" s="14" t="inlineStr">
        <is>
          <t>RUA PEDRO THIAGO, 327, GINÁSIO, SERRINHA/BA</t>
        </is>
      </c>
      <c r="S2678" s="26">
        <f>IF(A2678=A2677,0,1)</f>
        <v>0</v>
      </c>
      <c r="T2678" s="26">
        <f>IF(COUNTIF($B$4:B2678,B2678)=1,1,0)</f>
        <v>0</v>
      </c>
    </row>
    <row r="2679">
      <c r="A2679" s="14" t="inlineStr">
        <is>
          <t>SIMÕES FILHO</t>
        </is>
      </c>
      <c r="B2679" s="26" t="n">
        <v>33</v>
      </c>
      <c r="C2679" s="26" t="n">
        <v>1015</v>
      </c>
      <c r="D2679" s="14" t="inlineStr">
        <is>
          <t>ESCOLA REITOR MIGUEL CALMON</t>
        </is>
      </c>
      <c r="E2679" s="14" t="inlineStr">
        <is>
          <t>PONTO DE PARADA</t>
        </is>
      </c>
      <c r="F2679" s="14" t="inlineStr">
        <is>
          <t>RUA GENERAL LABATUT, S/N - ZONA URBANA</t>
        </is>
      </c>
      <c r="G2679" s="27" t="inlineStr">
        <is>
          <t>43713-140</t>
        </is>
      </c>
      <c r="H2679" s="15" t="n">
        <v>13</v>
      </c>
      <c r="I2679" s="28" t="inlineStr">
        <is>
          <t>SIM</t>
        </is>
      </c>
      <c r="J2679" s="29" t="n">
        <v>18.5</v>
      </c>
      <c r="K2679" s="14" t="str">
        <f>IF(J2679="","7. Acima de 2 km",IF(J2679&lt;=50,"1. Até 50 m",IF(J2679&lt;=100,"2. De 50 a 100 m",IF(J2679&lt;=200,"3. De 100 a 200 m",IF(J2679&lt;=300,"4. De 200 a 300 m",IF(J2679&lt;=500,"5. De 300 a 500 m","6. De 500 m a 2 km"))))))</f>
        <v>1. Até 50 m</v>
      </c>
      <c r="L2679" s="26" t="n">
        <v>1</v>
      </c>
      <c r="M2679" s="26" t="n">
        <v>2</v>
      </c>
      <c r="N2679" s="26" t="n">
        <v>3</v>
      </c>
      <c r="O2679" s="26" t="n">
        <v>3</v>
      </c>
      <c r="P2679" s="30" t="n">
        <v>-12.7914267</v>
      </c>
      <c r="Q2679" s="30" t="n">
        <v>-38.3994867</v>
      </c>
      <c r="R2679" s="14" t="inlineStr">
        <is>
          <t xml:space="preserve"> FÓRUM PROFESSOR JOSAPHAT MARINHO, AV. ALTAMIRANDO ARAÚJO RAMOS, S/N, CENTRO, SIMÕES FILHO/BA</t>
        </is>
      </c>
      <c r="S2679" s="26">
        <f>IF(A2679=A2678,0,1)</f>
        <v>1</v>
      </c>
      <c r="T2679" s="26">
        <f>IF(COUNTIF($B$4:B2679,B2679)=1,1,0)</f>
        <v>1</v>
      </c>
    </row>
    <row r="2680">
      <c r="A2680" s="14" t="inlineStr">
        <is>
          <t>SIMÕES FILHO</t>
        </is>
      </c>
      <c r="B2680" s="26" t="n">
        <v>33</v>
      </c>
      <c r="C2680" s="26" t="n">
        <v>1023</v>
      </c>
      <c r="D2680" s="14" t="inlineStr">
        <is>
          <t>ESCOLA ALBERTO SILVA</t>
        </is>
      </c>
      <c r="E2680" s="14" t="inlineStr">
        <is>
          <t>CENTRO</t>
        </is>
      </c>
      <c r="F2680" s="14" t="inlineStr">
        <is>
          <t>PRAÇA SETE DE NOVEMBRO, S/N - ZONA URBANA</t>
        </is>
      </c>
      <c r="G2680" s="27" t="inlineStr">
        <is>
          <t>43700-102</t>
        </is>
      </c>
      <c r="H2680" s="15" t="n">
        <v>10</v>
      </c>
      <c r="I2680" s="28" t="inlineStr">
        <is>
          <t>SIM</t>
        </is>
      </c>
      <c r="J2680" s="29" t="n">
        <v>97.40000000000001</v>
      </c>
      <c r="K2680" s="14" t="str">
        <f>IF(J2680="","7. Acima de 2 km",IF(J2680&lt;=50,"1. Até 50 m",IF(J2680&lt;=100,"2. De 50 a 100 m",IF(J2680&lt;=200,"3. De 100 a 200 m",IF(J2680&lt;=300,"4. De 200 a 300 m",IF(J2680&lt;=500,"5. De 300 a 500 m","6. De 500 m a 2 km"))))))</f>
        <v>2. De 50 a 100 m</v>
      </c>
      <c r="L2680" s="26" t="n">
        <v>0</v>
      </c>
      <c r="M2680" s="26" t="n">
        <v>1</v>
      </c>
      <c r="N2680" s="26" t="n">
        <v>2</v>
      </c>
      <c r="O2680" s="26" t="n">
        <v>9</v>
      </c>
      <c r="P2680" s="30" t="n">
        <v>-12.7882501</v>
      </c>
      <c r="Q2680" s="30" t="n">
        <v>-38.3971494</v>
      </c>
      <c r="R2680" s="14" t="inlineStr">
        <is>
          <t xml:space="preserve"> FÓRUM PROFESSOR JOSAPHAT MARINHO, AV. ALTAMIRANDO ARAÚJO RAMOS, S/N, CENTRO, SIMÕES FILHO/BA</t>
        </is>
      </c>
      <c r="S2680" s="26">
        <f>IF(A2680=A2679,0,1)</f>
        <v>0</v>
      </c>
      <c r="T2680" s="26">
        <f>IF(COUNTIF($B$4:B2680,B2680)=1,1,0)</f>
        <v>0</v>
      </c>
    </row>
    <row r="2681">
      <c r="A2681" s="14" t="inlineStr">
        <is>
          <t>SIMÕES FILHO</t>
        </is>
      </c>
      <c r="B2681" s="26" t="n">
        <v>33</v>
      </c>
      <c r="C2681" s="26" t="n">
        <v>1040</v>
      </c>
      <c r="D2681" s="14" t="inlineStr">
        <is>
          <t>COLÉGIO ESTADUAL REGINA SIMÕES</t>
        </is>
      </c>
      <c r="E2681" s="14" t="inlineStr">
        <is>
          <t>ESTRADA DE CANDEIAS</t>
        </is>
      </c>
      <c r="F2681" s="14" t="inlineStr">
        <is>
          <t>AV WASHINGTON LUIZ 1079 - ZONA URBANA</t>
        </is>
      </c>
      <c r="G2681" s="27" t="inlineStr">
        <is>
          <t>43700-090</t>
        </is>
      </c>
      <c r="H2681" s="15" t="n">
        <v>6</v>
      </c>
      <c r="I2681" s="28" t="inlineStr">
        <is>
          <t>NÃO</t>
        </is>
      </c>
      <c r="J2681" s="29" t="n">
        <v>688.3</v>
      </c>
      <c r="K2681" s="14" t="str">
        <f>IF(J2681="","7. Acima de 2 km",IF(J2681&lt;=50,"1. Até 50 m",IF(J2681&lt;=100,"2. De 50 a 100 m",IF(J2681&lt;=200,"3. De 100 a 200 m",IF(J2681&lt;=300,"4. De 200 a 300 m",IF(J2681&lt;=500,"5. De 300 a 500 m","6. De 500 m a 2 km"))))))</f>
        <v>6. De 500 m a 2 km</v>
      </c>
      <c r="L2681" s="26" t="n">
        <v>0</v>
      </c>
      <c r="M2681" s="26" t="n">
        <v>0</v>
      </c>
      <c r="N2681" s="26" t="n">
        <v>0</v>
      </c>
      <c r="O2681" s="26" t="n">
        <v>0</v>
      </c>
      <c r="P2681" s="30" t="n">
        <v>-12.7787381</v>
      </c>
      <c r="Q2681" s="30" t="n">
        <v>-38.3974149</v>
      </c>
      <c r="R2681" s="14" t="inlineStr">
        <is>
          <t xml:space="preserve"> FÓRUM PROFESSOR JOSAPHAT MARINHO, AV. ALTAMIRANDO ARAÚJO RAMOS, S/N, CENTRO, SIMÕES FILHO/BA</t>
        </is>
      </c>
      <c r="S2681" s="26">
        <f>IF(A2681=A2680,0,1)</f>
        <v>0</v>
      </c>
      <c r="T2681" s="26">
        <f>IF(COUNTIF($B$4:B2681,B2681)=1,1,0)</f>
        <v>0</v>
      </c>
    </row>
    <row r="2682">
      <c r="A2682" s="14" t="inlineStr">
        <is>
          <t>SIMÕES FILHO</t>
        </is>
      </c>
      <c r="B2682" s="26" t="n">
        <v>33</v>
      </c>
      <c r="C2682" s="26" t="n">
        <v>1058</v>
      </c>
      <c r="D2682" s="14" t="inlineStr">
        <is>
          <t>COLÉGIO MUNICIPAL PADRE LUIZ PALMEIRAS</t>
        </is>
      </c>
      <c r="E2682" s="14" t="inlineStr">
        <is>
          <t>CENTRO</t>
        </is>
      </c>
      <c r="F2682" s="14" t="inlineStr">
        <is>
          <t xml:space="preserve">PRAÇA SETE DE NOVEMBRO S/N </t>
        </is>
      </c>
      <c r="G2682" s="27" t="inlineStr">
        <is>
          <t>43700-110</t>
        </is>
      </c>
      <c r="H2682" s="15" t="n">
        <v>21</v>
      </c>
      <c r="I2682" s="28" t="inlineStr">
        <is>
          <t>NÃO</t>
        </is>
      </c>
      <c r="J2682" s="29" t="n">
        <v>146.7</v>
      </c>
      <c r="K2682" s="14" t="str">
        <f>IF(J2682="","7. Acima de 2 km",IF(J2682&lt;=50,"1. Até 50 m",IF(J2682&lt;=100,"2. De 50 a 100 m",IF(J2682&lt;=200,"3. De 100 a 200 m",IF(J2682&lt;=300,"4. De 200 a 300 m",IF(J2682&lt;=500,"5. De 300 a 500 m","6. De 500 m a 2 km"))))))</f>
        <v>3. De 100 a 200 m</v>
      </c>
      <c r="L2682" s="26" t="n">
        <v>0</v>
      </c>
      <c r="M2682" s="26" t="n">
        <v>0</v>
      </c>
      <c r="N2682" s="26" t="n">
        <v>3</v>
      </c>
      <c r="O2682" s="26" t="n">
        <v>9</v>
      </c>
      <c r="P2682" s="30" t="n">
        <v>-12.788265</v>
      </c>
      <c r="Q2682" s="30" t="n">
        <v>-38.3989813</v>
      </c>
      <c r="R2682" s="14" t="inlineStr">
        <is>
          <t xml:space="preserve"> FÓRUM PROFESSOR JOSAPHAT MARINHO, AV. ALTAMIRANDO ARAÚJO RAMOS, S/N, CENTRO, SIMÕES FILHO/BA</t>
        </is>
      </c>
      <c r="S2682" s="26">
        <f>IF(A2682=A2681,0,1)</f>
        <v>0</v>
      </c>
      <c r="T2682" s="26">
        <f>IF(COUNTIF($B$4:B2682,B2682)=1,1,0)</f>
        <v>0</v>
      </c>
    </row>
    <row r="2683">
      <c r="A2683" s="14" t="inlineStr">
        <is>
          <t>SIMÕES FILHO</t>
        </is>
      </c>
      <c r="B2683" s="26" t="n">
        <v>33</v>
      </c>
      <c r="C2683" s="26" t="n">
        <v>1066</v>
      </c>
      <c r="D2683" s="14" t="inlineStr">
        <is>
          <t>ESCOLA BERLINDO MAMEDE</t>
        </is>
      </c>
      <c r="E2683" s="14" t="inlineStr">
        <is>
          <t>PONTO DE PARADA</t>
        </is>
      </c>
      <c r="F2683" s="14" t="inlineStr">
        <is>
          <t>RUA LOMANTO JUNIOR 71 - ZONA URBANA</t>
        </is>
      </c>
      <c r="G2683" s="27" t="inlineStr">
        <is>
          <t>43713-125</t>
        </is>
      </c>
      <c r="H2683" s="15" t="n">
        <v>6</v>
      </c>
      <c r="I2683" s="28" t="inlineStr">
        <is>
          <t>SIM</t>
        </is>
      </c>
      <c r="J2683" s="29" t="n">
        <v>49.4</v>
      </c>
      <c r="K2683" s="14" t="str">
        <f>IF(J2683="","7. Acima de 2 km",IF(J2683&lt;=50,"1. Até 50 m",IF(J2683&lt;=100,"2. De 50 a 100 m",IF(J2683&lt;=200,"3. De 100 a 200 m",IF(J2683&lt;=300,"4. De 200 a 300 m",IF(J2683&lt;=500,"5. De 300 a 500 m","6. De 500 m a 2 km"))))))</f>
        <v>1. Até 50 m</v>
      </c>
      <c r="L2683" s="26" t="n">
        <v>1</v>
      </c>
      <c r="M2683" s="26" t="n">
        <v>1</v>
      </c>
      <c r="N2683" s="26" t="n">
        <v>1</v>
      </c>
      <c r="O2683" s="26" t="n">
        <v>6</v>
      </c>
      <c r="P2683" s="30" t="n">
        <v>-12.7912514</v>
      </c>
      <c r="Q2683" s="30" t="n">
        <v>-38.4023196</v>
      </c>
      <c r="R2683" s="14" t="inlineStr">
        <is>
          <t xml:space="preserve"> FÓRUM PROFESSOR JOSAPHAT MARINHO, AV. ALTAMIRANDO ARAÚJO RAMOS, S/N, CENTRO, SIMÕES FILHO/BA</t>
        </is>
      </c>
      <c r="S2683" s="26">
        <f>IF(A2683=A2682,0,1)</f>
        <v>0</v>
      </c>
      <c r="T2683" s="26">
        <f>IF(COUNTIF($B$4:B2683,B2683)=1,1,0)</f>
        <v>0</v>
      </c>
    </row>
    <row r="2684">
      <c r="A2684" s="14" t="inlineStr">
        <is>
          <t>SIMÕES FILHO</t>
        </is>
      </c>
      <c r="B2684" s="26" t="n">
        <v>33</v>
      </c>
      <c r="C2684" s="26" t="n">
        <v>1082</v>
      </c>
      <c r="D2684" s="14" t="inlineStr">
        <is>
          <t xml:space="preserve">COLÉGIO ESTADUAL MANOEL DE JESUS </t>
        </is>
      </c>
      <c r="E2684" s="14" t="inlineStr">
        <is>
          <t>CENTRO</t>
        </is>
      </c>
      <c r="F2684" s="14" t="inlineStr">
        <is>
          <t>PRAÇA DA BANDEIRA S/N</t>
        </is>
      </c>
      <c r="G2684" s="27" t="inlineStr">
        <is>
          <t>43702-885</t>
        </is>
      </c>
      <c r="H2684" s="15" t="n">
        <v>14</v>
      </c>
      <c r="I2684" s="28" t="inlineStr">
        <is>
          <t>SIM</t>
        </is>
      </c>
      <c r="J2684" s="29" t="n">
        <v>88.3</v>
      </c>
      <c r="K2684" s="14" t="str">
        <f>IF(J2684="","7. Acima de 2 km",IF(J2684&lt;=50,"1. Até 50 m",IF(J2684&lt;=100,"2. De 50 a 100 m",IF(J2684&lt;=200,"3. De 100 a 200 m",IF(J2684&lt;=300,"4. De 200 a 300 m",IF(J2684&lt;=500,"5. De 300 a 500 m","6. De 500 m a 2 km"))))))</f>
        <v>2. De 50 a 100 m</v>
      </c>
      <c r="L2684" s="26" t="n">
        <v>0</v>
      </c>
      <c r="M2684" s="26" t="n">
        <v>1</v>
      </c>
      <c r="N2684" s="26" t="n">
        <v>2</v>
      </c>
      <c r="O2684" s="26" t="n">
        <v>5</v>
      </c>
      <c r="P2684" s="30" t="n">
        <v>-12.7870093</v>
      </c>
      <c r="Q2684" s="30" t="n">
        <v>-38.4019706</v>
      </c>
      <c r="R2684" s="14" t="inlineStr">
        <is>
          <t xml:space="preserve"> FÓRUM PROFESSOR JOSAPHAT MARINHO, AV. ALTAMIRANDO ARAÚJO RAMOS, S/N, CENTRO, SIMÕES FILHO/BA</t>
        </is>
      </c>
      <c r="S2684" s="26">
        <f>IF(A2684=A2683,0,1)</f>
        <v>0</v>
      </c>
      <c r="T2684" s="26">
        <f>IF(COUNTIF($B$4:B2684,B2684)=1,1,0)</f>
        <v>0</v>
      </c>
    </row>
    <row r="2685">
      <c r="A2685" s="14" t="inlineStr">
        <is>
          <t>SIMÕES FILHO</t>
        </is>
      </c>
      <c r="B2685" s="26" t="n">
        <v>33</v>
      </c>
      <c r="C2685" s="26" t="n">
        <v>1090</v>
      </c>
      <c r="D2685" s="14" t="inlineStr">
        <is>
          <t>COLÉGIO ESTADUAL POLIVALENTE DE ARATÚ</t>
        </is>
      </c>
      <c r="E2685" s="14" t="inlineStr">
        <is>
          <t>CIA II</t>
        </is>
      </c>
      <c r="F2685" s="14" t="inlineStr">
        <is>
          <t>AV ELMO SEREJO FARIAS S/N - ZONA URBANA</t>
        </is>
      </c>
      <c r="G2685" s="27" t="inlineStr">
        <is>
          <t>43714-030</t>
        </is>
      </c>
      <c r="H2685" s="15" t="n">
        <v>9</v>
      </c>
      <c r="I2685" s="28" t="inlineStr">
        <is>
          <t>NÃO</t>
        </is>
      </c>
      <c r="J2685" s="29" t="n">
        <v>747.9</v>
      </c>
      <c r="K2685" s="14" t="str">
        <f>IF(J2685="","7. Acima de 2 km",IF(J2685&lt;=50,"1. Até 50 m",IF(J2685&lt;=100,"2. De 50 a 100 m",IF(J2685&lt;=200,"3. De 100 a 200 m",IF(J2685&lt;=300,"4. De 200 a 300 m",IF(J2685&lt;=500,"5. De 300 a 500 m","6. De 500 m a 2 km"))))))</f>
        <v>6. De 500 m a 2 km</v>
      </c>
      <c r="L2685" s="26" t="n">
        <v>0</v>
      </c>
      <c r="M2685" s="26" t="n">
        <v>0</v>
      </c>
      <c r="N2685" s="26" t="n">
        <v>0</v>
      </c>
      <c r="O2685" s="26" t="n">
        <v>0</v>
      </c>
      <c r="P2685" s="30" t="n">
        <v>-12.8015583</v>
      </c>
      <c r="Q2685" s="30" t="n">
        <v>-38.3993383</v>
      </c>
      <c r="R2685" s="14" t="inlineStr">
        <is>
          <t xml:space="preserve"> FÓRUM PROFESSOR JOSAPHAT MARINHO, AV. ALTAMIRANDO ARAÚJO RAMOS, S/N, CENTRO, SIMÕES FILHO/BA</t>
        </is>
      </c>
      <c r="S2685" s="26">
        <f>IF(A2685=A2684,0,1)</f>
        <v>0</v>
      </c>
      <c r="T2685" s="26">
        <f>IF(COUNTIF($B$4:B2685,B2685)=1,1,0)</f>
        <v>0</v>
      </c>
    </row>
    <row r="2686">
      <c r="A2686" s="14" t="inlineStr">
        <is>
          <t>SIMÕES FILHO</t>
        </is>
      </c>
      <c r="B2686" s="26" t="n">
        <v>33</v>
      </c>
      <c r="C2686" s="26" t="n">
        <v>1104</v>
      </c>
      <c r="D2686" s="14" t="inlineStr">
        <is>
          <t>ESCOLA HUGO BALTAZAR DA SILVEIRA</t>
        </is>
      </c>
      <c r="E2686" s="14" t="inlineStr">
        <is>
          <t>KM 25</t>
        </is>
      </c>
      <c r="F2686" s="14" t="inlineStr">
        <is>
          <t>RUA SAO PAULO LOTEAMENTO JARDIM ELDORADO - ZONA URBANA</t>
        </is>
      </c>
      <c r="G2686" s="27" t="inlineStr">
        <is>
          <t>43705-185</t>
        </is>
      </c>
      <c r="H2686" s="15" t="n">
        <v>5</v>
      </c>
      <c r="I2686" s="28" t="inlineStr">
        <is>
          <t>NÃO</t>
        </is>
      </c>
      <c r="J2686" s="29" t="n">
        <v>703.1</v>
      </c>
      <c r="K2686" s="14" t="str">
        <f>IF(J2686="","7. Acima de 2 km",IF(J2686&lt;=50,"1. Até 50 m",IF(J2686&lt;=100,"2. De 50 a 100 m",IF(J2686&lt;=200,"3. De 100 a 200 m",IF(J2686&lt;=300,"4. De 200 a 300 m",IF(J2686&lt;=500,"5. De 300 a 500 m","6. De 500 m a 2 km"))))))</f>
        <v>6. De 500 m a 2 km</v>
      </c>
      <c r="L2686" s="26" t="n">
        <v>0</v>
      </c>
      <c r="M2686" s="26" t="n">
        <v>0</v>
      </c>
      <c r="N2686" s="26" t="n">
        <v>0</v>
      </c>
      <c r="O2686" s="26" t="n">
        <v>0</v>
      </c>
      <c r="P2686" s="30" t="n">
        <v>-12.7899178</v>
      </c>
      <c r="Q2686" s="30" t="n">
        <v>-38.3884268</v>
      </c>
      <c r="R2686" s="14" t="inlineStr">
        <is>
          <t xml:space="preserve"> FÓRUM PROFESSOR JOSAPHAT MARINHO, AV. ALTAMIRANDO ARAÚJO RAMOS, S/N, CENTRO, SIMÕES FILHO/BA</t>
        </is>
      </c>
      <c r="S2686" s="26">
        <f>IF(A2686=A2685,0,1)</f>
        <v>0</v>
      </c>
      <c r="T2686" s="26">
        <f>IF(COUNTIF($B$4:B2686,B2686)=1,1,0)</f>
        <v>0</v>
      </c>
    </row>
    <row r="2687">
      <c r="A2687" s="14" t="inlineStr">
        <is>
          <t>SIMÕES FILHO</t>
        </is>
      </c>
      <c r="B2687" s="26" t="n">
        <v>33</v>
      </c>
      <c r="C2687" s="26" t="n">
        <v>1112</v>
      </c>
      <c r="D2687" s="14" t="inlineStr">
        <is>
          <t>COLÉGIO ESTADUAL DE ARATU</t>
        </is>
      </c>
      <c r="E2687" s="14" t="inlineStr">
        <is>
          <t>CIA I</t>
        </is>
      </c>
      <c r="F2687" s="14" t="inlineStr">
        <is>
          <t>RUA COLÉGIO ESTADUAL DE ARATU, S/N, CIA I</t>
        </is>
      </c>
      <c r="G2687" s="27" t="inlineStr">
        <is>
          <t>43716-405</t>
        </is>
      </c>
      <c r="H2687" s="15" t="n">
        <v>10</v>
      </c>
      <c r="I2687" s="28" t="inlineStr">
        <is>
          <t>SIM</t>
        </is>
      </c>
      <c r="J2687" s="29" t="n">
        <v>63.2</v>
      </c>
      <c r="K2687" s="14" t="str">
        <f>IF(J2687="","7. Acima de 2 km",IF(J2687&lt;=50,"1. Até 50 m",IF(J2687&lt;=100,"2. De 50 a 100 m",IF(J2687&lt;=200,"3. De 100 a 200 m",IF(J2687&lt;=300,"4. De 200 a 300 m",IF(J2687&lt;=500,"5. De 300 a 500 m","6. De 500 m a 2 km"))))))</f>
        <v>2. De 50 a 100 m</v>
      </c>
      <c r="L2687" s="26" t="n">
        <v>0</v>
      </c>
      <c r="M2687" s="26" t="n">
        <v>2</v>
      </c>
      <c r="N2687" s="26" t="n">
        <v>3</v>
      </c>
      <c r="O2687" s="26" t="n">
        <v>5</v>
      </c>
      <c r="P2687" s="30" t="n">
        <v>-12.8120197</v>
      </c>
      <c r="Q2687" s="30" t="n">
        <v>-38.3923537</v>
      </c>
      <c r="R2687" s="14" t="inlineStr">
        <is>
          <t xml:space="preserve"> FÓRUM PROFESSOR JOSAPHAT MARINHO, AV. ALTAMIRANDO ARAÚJO RAMOS, S/N, CENTRO, SIMÕES FILHO/BA</t>
        </is>
      </c>
      <c r="S2687" s="26">
        <f>IF(A2687=A2686,0,1)</f>
        <v>0</v>
      </c>
      <c r="T2687" s="26">
        <f>IF(COUNTIF($B$4:B2687,B2687)=1,1,0)</f>
        <v>0</v>
      </c>
    </row>
    <row r="2688">
      <c r="A2688" s="14" t="inlineStr">
        <is>
          <t>SIMÕES FILHO</t>
        </is>
      </c>
      <c r="B2688" s="26" t="n">
        <v>33</v>
      </c>
      <c r="C2688" s="26" t="n">
        <v>1120</v>
      </c>
      <c r="D2688" s="14" t="inlineStr">
        <is>
          <t xml:space="preserve">ESCOLA VEREADOR JOÃO DE OLIVEIRA CAMPOS </t>
        </is>
      </c>
      <c r="E2688" s="14" t="inlineStr">
        <is>
          <t>CIA I</t>
        </is>
      </c>
      <c r="F2688" s="14" t="inlineStr">
        <is>
          <t>AV ENGENHEIRO ELMO SEREJO DE FARIAS S/N - ZONA URBANA</t>
        </is>
      </c>
      <c r="G2688" s="27" t="inlineStr">
        <is>
          <t>43715-795</t>
        </is>
      </c>
      <c r="H2688" s="15" t="n">
        <v>8</v>
      </c>
      <c r="I2688" s="28" t="inlineStr">
        <is>
          <t>SIM</t>
        </is>
      </c>
      <c r="J2688" s="29" t="n">
        <v>84.90000000000001</v>
      </c>
      <c r="K2688" s="14" t="str">
        <f>IF(J2688="","7. Acima de 2 km",IF(J2688&lt;=50,"1. Até 50 m",IF(J2688&lt;=100,"2. De 50 a 100 m",IF(J2688&lt;=200,"3. De 100 a 200 m",IF(J2688&lt;=300,"4. De 200 a 300 m",IF(J2688&lt;=500,"5. De 300 a 500 m","6. De 500 m a 2 km"))))))</f>
        <v>2. De 50 a 100 m</v>
      </c>
      <c r="L2688" s="26" t="n">
        <v>0</v>
      </c>
      <c r="M2688" s="26" t="n">
        <v>2</v>
      </c>
      <c r="N2688" s="26" t="n">
        <v>3</v>
      </c>
      <c r="O2688" s="26" t="n">
        <v>3</v>
      </c>
      <c r="P2688" s="30" t="n">
        <v>-12.8124994</v>
      </c>
      <c r="Q2688" s="30" t="n">
        <v>-38.3915755</v>
      </c>
      <c r="R2688" s="14" t="inlineStr">
        <is>
          <t xml:space="preserve"> FÓRUM PROFESSOR JOSAPHAT MARINHO, AV. ALTAMIRANDO ARAÚJO RAMOS, S/N, CENTRO, SIMÕES FILHO/BA</t>
        </is>
      </c>
      <c r="S2688" s="26">
        <f>IF(A2688=A2687,0,1)</f>
        <v>0</v>
      </c>
      <c r="T2688" s="26">
        <f>IF(COUNTIF($B$4:B2688,B2688)=1,1,0)</f>
        <v>0</v>
      </c>
    </row>
    <row r="2689">
      <c r="A2689" s="14" t="inlineStr">
        <is>
          <t>SIMÕES FILHO</t>
        </is>
      </c>
      <c r="B2689" s="26" t="n">
        <v>33</v>
      </c>
      <c r="C2689" s="26" t="n">
        <v>1147</v>
      </c>
      <c r="D2689" s="14" t="inlineStr">
        <is>
          <t xml:space="preserve">COLÉGIO MUNICIPAL GEORGINA DE SOUZA SIMÕES </t>
        </is>
      </c>
      <c r="E2689" s="14" t="inlineStr">
        <is>
          <t>CIA I</t>
        </is>
      </c>
      <c r="F2689" s="14" t="inlineStr">
        <is>
          <t>AV. RIVALDO GOMES GUIMARÃES, S/N - CIA I</t>
        </is>
      </c>
      <c r="G2689" s="27" t="inlineStr">
        <is>
          <t>43715-865</t>
        </is>
      </c>
      <c r="H2689" s="15" t="n">
        <v>11</v>
      </c>
      <c r="I2689" s="28" t="inlineStr">
        <is>
          <t>NÃO</t>
        </is>
      </c>
      <c r="J2689" s="29" t="n">
        <v>403</v>
      </c>
      <c r="K2689" s="14" t="str">
        <f>IF(J2689="","7. Acima de 2 km",IF(J2689&lt;=50,"1. Até 50 m",IF(J2689&lt;=100,"2. De 50 a 100 m",IF(J2689&lt;=200,"3. De 100 a 200 m",IF(J2689&lt;=300,"4. De 200 a 300 m",IF(J2689&lt;=500,"5. De 300 a 500 m","6. De 500 m a 2 km"))))))</f>
        <v>5. De 300 a 500 m</v>
      </c>
      <c r="L2689" s="26" t="n">
        <v>0</v>
      </c>
      <c r="M2689" s="26" t="n">
        <v>0</v>
      </c>
      <c r="N2689" s="26" t="n">
        <v>0</v>
      </c>
      <c r="O2689" s="26" t="n">
        <v>0</v>
      </c>
      <c r="P2689" s="30" t="n">
        <v>-12.8100387</v>
      </c>
      <c r="Q2689" s="30" t="n">
        <v>-38.3963781</v>
      </c>
      <c r="R2689" s="14" t="inlineStr">
        <is>
          <t xml:space="preserve"> FÓRUM PROFESSOR JOSAPHAT MARINHO, AV. ALTAMIRANDO ARAÚJO RAMOS, S/N, CENTRO, SIMÕES FILHO/BA</t>
        </is>
      </c>
      <c r="S2689" s="26">
        <f>IF(A2689=A2688,0,1)</f>
        <v>0</v>
      </c>
      <c r="T2689" s="26">
        <f>IF(COUNTIF($B$4:B2689,B2689)=1,1,0)</f>
        <v>0</v>
      </c>
    </row>
    <row r="2690">
      <c r="A2690" s="14" t="inlineStr">
        <is>
          <t>SIMÕES FILHO</t>
        </is>
      </c>
      <c r="B2690" s="26" t="n">
        <v>33</v>
      </c>
      <c r="C2690" s="26" t="n">
        <v>1155</v>
      </c>
      <c r="D2690" s="14" t="inlineStr">
        <is>
          <t>ESCOLA MUNICIPAL ELANE DE SANTANA SANTOS</t>
        </is>
      </c>
      <c r="E2690" s="14" t="inlineStr">
        <is>
          <t>CIA II</t>
        </is>
      </c>
      <c r="F2690" s="14" t="inlineStr">
        <is>
          <t>RUA PRINCESA ISABEL, QD. 5, S/N - ZONA URBANA</t>
        </is>
      </c>
      <c r="G2690" s="27" t="inlineStr">
        <is>
          <t>43714-120</t>
        </is>
      </c>
      <c r="H2690" s="15" t="n">
        <v>5</v>
      </c>
      <c r="I2690" s="28" t="inlineStr">
        <is>
          <t>NÃO</t>
        </is>
      </c>
      <c r="J2690" s="29" t="n">
        <v>162.1</v>
      </c>
      <c r="K2690" s="14" t="str">
        <f>IF(J2690="","7. Acima de 2 km",IF(J2690&lt;=50,"1. Até 50 m",IF(J2690&lt;=100,"2. De 50 a 100 m",IF(J2690&lt;=200,"3. De 100 a 200 m",IF(J2690&lt;=300,"4. De 200 a 300 m",IF(J2690&lt;=500,"5. De 300 a 500 m","6. De 500 m a 2 km"))))))</f>
        <v>3. De 100 a 200 m</v>
      </c>
      <c r="L2690" s="26" t="n">
        <v>0</v>
      </c>
      <c r="M2690" s="26" t="n">
        <v>0</v>
      </c>
      <c r="N2690" s="26" t="n">
        <v>1</v>
      </c>
      <c r="O2690" s="26" t="n">
        <v>1</v>
      </c>
      <c r="P2690" s="30" t="n">
        <v>-12.7956533</v>
      </c>
      <c r="Q2690" s="30" t="n">
        <v>-38.3959317</v>
      </c>
      <c r="R2690" s="14" t="inlineStr">
        <is>
          <t xml:space="preserve"> FÓRUM PROFESSOR JOSAPHAT MARINHO, AV. ALTAMIRANDO ARAÚJO RAMOS, S/N, CENTRO, SIMÕES FILHO/BA</t>
        </is>
      </c>
      <c r="S2690" s="26">
        <f>IF(A2690=A2689,0,1)</f>
        <v>0</v>
      </c>
      <c r="T2690" s="26">
        <f>IF(COUNTIF($B$4:B2690,B2690)=1,1,0)</f>
        <v>0</v>
      </c>
    </row>
    <row r="2691">
      <c r="A2691" s="14" t="inlineStr">
        <is>
          <t>SIMÕES FILHO</t>
        </is>
      </c>
      <c r="B2691" s="26" t="n">
        <v>33</v>
      </c>
      <c r="C2691" s="26" t="n">
        <v>1163</v>
      </c>
      <c r="D2691" s="14" t="inlineStr">
        <is>
          <t>ESCOLA MUNICIPAL PROFESSORA HERMELINA SOUZA</t>
        </is>
      </c>
      <c r="E2691" s="14" t="inlineStr">
        <is>
          <t>PITANGUINHA</t>
        </is>
      </c>
      <c r="F2691" s="14" t="inlineStr">
        <is>
          <t>RUA EDMUNDO COSTA S/N - PITANGUINHA</t>
        </is>
      </c>
      <c r="G2691" s="27" t="inlineStr">
        <is>
          <t>43711-325</t>
        </is>
      </c>
      <c r="H2691" s="15" t="n">
        <v>5</v>
      </c>
      <c r="I2691" s="28" t="inlineStr">
        <is>
          <t>NÃO</t>
        </is>
      </c>
      <c r="J2691" s="29" t="n">
        <v>812.6</v>
      </c>
      <c r="K2691" s="14" t="str">
        <f>IF(J2691="","7. Acima de 2 km",IF(J2691&lt;=50,"1. Até 50 m",IF(J2691&lt;=100,"2. De 50 a 100 m",IF(J2691&lt;=200,"3. De 100 a 200 m",IF(J2691&lt;=300,"4. De 200 a 300 m",IF(J2691&lt;=500,"5. De 300 a 500 m","6. De 500 m a 2 km"))))))</f>
        <v>6. De 500 m a 2 km</v>
      </c>
      <c r="L2691" s="26" t="n">
        <v>0</v>
      </c>
      <c r="M2691" s="26" t="n">
        <v>0</v>
      </c>
      <c r="N2691" s="26" t="n">
        <v>0</v>
      </c>
      <c r="O2691" s="26" t="n">
        <v>0</v>
      </c>
      <c r="P2691" s="30" t="n">
        <v>-12.8131622</v>
      </c>
      <c r="Q2691" s="30" t="n">
        <v>-38.3839177</v>
      </c>
      <c r="R2691" s="14" t="inlineStr">
        <is>
          <t xml:space="preserve"> FÓRUM PROFESSOR JOSAPHAT MARINHO, AV. ALTAMIRANDO ARAÚJO RAMOS, S/N, CENTRO, SIMÕES FILHO/BA</t>
        </is>
      </c>
      <c r="S2691" s="26">
        <f>IF(A2691=A2690,0,1)</f>
        <v>0</v>
      </c>
      <c r="T2691" s="26">
        <f>IF(COUNTIF($B$4:B2691,B2691)=1,1,0)</f>
        <v>0</v>
      </c>
    </row>
    <row r="2692">
      <c r="A2692" s="14" t="inlineStr">
        <is>
          <t>SIMÕES FILHO</t>
        </is>
      </c>
      <c r="B2692" s="26" t="n">
        <v>33</v>
      </c>
      <c r="C2692" s="26" t="n">
        <v>1171</v>
      </c>
      <c r="D2692" s="14" t="inlineStr">
        <is>
          <t>ESCOLA MUNICIPAL IDALIA CLEMENTE BRAGA BESTOSO</t>
        </is>
      </c>
      <c r="E2692" s="14" t="inlineStr">
        <is>
          <t>ILHA DE SÃO JOÃO</t>
        </is>
      </c>
      <c r="F2692" s="14" t="inlineStr">
        <is>
          <t>CONJUNTO ILHA DE SÃO JOÃO - ZONA RURAL</t>
        </is>
      </c>
      <c r="G2692" s="27" t="inlineStr">
        <is>
          <t>43724-120</t>
        </is>
      </c>
      <c r="H2692" s="15" t="n">
        <v>4</v>
      </c>
      <c r="I2692" s="28" t="inlineStr">
        <is>
          <t>SIM</t>
        </is>
      </c>
      <c r="J2692" s="29" t="n">
        <v>89</v>
      </c>
      <c r="K2692" s="14" t="str">
        <f>IF(J2692="","7. Acima de 2 km",IF(J2692&lt;=50,"1. Até 50 m",IF(J2692&lt;=100,"2. De 50 a 100 m",IF(J2692&lt;=200,"3. De 100 a 200 m",IF(J2692&lt;=300,"4. De 200 a 300 m",IF(J2692&lt;=500,"5. De 300 a 500 m","6. De 500 m a 2 km"))))))</f>
        <v>2. De 50 a 100 m</v>
      </c>
      <c r="L2692" s="26" t="n">
        <v>0</v>
      </c>
      <c r="M2692" s="26" t="n">
        <v>1</v>
      </c>
      <c r="N2692" s="26" t="n">
        <v>1</v>
      </c>
      <c r="O2692" s="26" t="n">
        <v>1</v>
      </c>
      <c r="P2692" s="30" t="n">
        <v>-12.8190218</v>
      </c>
      <c r="Q2692" s="30" t="n">
        <v>-38.4587956</v>
      </c>
      <c r="R2692" s="14" t="inlineStr">
        <is>
          <t xml:space="preserve"> FÓRUM PROFESSOR JOSAPHAT MARINHO, AV. ALTAMIRANDO ARAÚJO RAMOS, S/N, CENTRO, SIMÕES FILHO/BA</t>
        </is>
      </c>
      <c r="S2692" s="26">
        <f>IF(A2692=A2691,0,1)</f>
        <v>0</v>
      </c>
      <c r="T2692" s="26">
        <f>IF(COUNTIF($B$4:B2692,B2692)=1,1,0)</f>
        <v>0</v>
      </c>
    </row>
    <row r="2693">
      <c r="A2693" s="14" t="inlineStr">
        <is>
          <t>SIMÕES FILHO</t>
        </is>
      </c>
      <c r="B2693" s="26" t="n">
        <v>33</v>
      </c>
      <c r="C2693" s="26" t="n">
        <v>1180</v>
      </c>
      <c r="D2693" s="14" t="inlineStr">
        <is>
          <t>ESCOLA MUNICIPAL DE ARATU</t>
        </is>
      </c>
      <c r="E2693" s="14" t="inlineStr">
        <is>
          <t>DISTRITO ARATU</t>
        </is>
      </c>
      <c r="F2693" s="14" t="inlineStr">
        <is>
          <t>VIA PERIFÉRICA, S/Nº - ZONA RURAL</t>
        </is>
      </c>
      <c r="G2693" s="27" t="inlineStr">
        <is>
          <t>43725-740</t>
        </is>
      </c>
      <c r="H2693" s="15" t="n">
        <v>5</v>
      </c>
      <c r="I2693" s="28" t="inlineStr">
        <is>
          <t>NÃO</t>
        </is>
      </c>
      <c r="J2693" s="29" t="n"/>
      <c r="K2693" s="14" t="str">
        <f>IF(J2693="","7. Acima de 2 km",IF(J2693&lt;=50,"1. Até 50 m",IF(J2693&lt;=100,"2. De 50 a 100 m",IF(J2693&lt;=200,"3. De 100 a 200 m",IF(J2693&lt;=300,"4. De 200 a 300 m",IF(J2693&lt;=500,"5. De 300 a 500 m","6. De 500 m a 2 km"))))))</f>
        <v>7. Acima de 2 km</v>
      </c>
      <c r="L2693" s="26" t="n">
        <v>0</v>
      </c>
      <c r="M2693" s="26" t="n">
        <v>0</v>
      </c>
      <c r="N2693" s="26" t="n">
        <v>0</v>
      </c>
      <c r="O2693" s="26" t="n">
        <v>0</v>
      </c>
      <c r="P2693" s="30" t="n">
        <v>-12.8049734</v>
      </c>
      <c r="Q2693" s="30" t="n">
        <v>-38.4492266</v>
      </c>
      <c r="R2693" s="14" t="inlineStr">
        <is>
          <t xml:space="preserve"> FÓRUM PROFESSOR JOSAPHAT MARINHO, AV. ALTAMIRANDO ARAÚJO RAMOS, S/N, CENTRO, SIMÕES FILHO/BA</t>
        </is>
      </c>
      <c r="S2693" s="26">
        <f>IF(A2693=A2692,0,1)</f>
        <v>0</v>
      </c>
      <c r="T2693" s="26">
        <f>IF(COUNTIF($B$4:B2693,B2693)=1,1,0)</f>
        <v>0</v>
      </c>
    </row>
    <row r="2694">
      <c r="A2694" s="14" t="inlineStr">
        <is>
          <t>SIMÕES FILHO</t>
        </is>
      </c>
      <c r="B2694" s="26" t="n">
        <v>33</v>
      </c>
      <c r="C2694" s="26" t="n">
        <v>1198</v>
      </c>
      <c r="D2694" s="14" t="inlineStr">
        <is>
          <t>ESCOLA VEREADOR EDULINDO RIBEIRO MONTEIRO</t>
        </is>
      </c>
      <c r="E2694" s="14" t="inlineStr">
        <is>
          <t>MAPELE</t>
        </is>
      </c>
      <c r="F2694" s="14" t="inlineStr">
        <is>
          <t>AV MAPELE, N 312 - ZONA RURAL</t>
        </is>
      </c>
      <c r="G2694" s="27" t="inlineStr">
        <is>
          <t>43726-180</t>
        </is>
      </c>
      <c r="H2694" s="15" t="n">
        <v>4</v>
      </c>
      <c r="I2694" s="28" t="inlineStr">
        <is>
          <t>NÃO</t>
        </is>
      </c>
      <c r="J2694" s="29" t="n"/>
      <c r="K2694" s="14" t="str">
        <f>IF(J2694="","7. Acima de 2 km",IF(J2694&lt;=50,"1. Até 50 m",IF(J2694&lt;=100,"2. De 50 a 100 m",IF(J2694&lt;=200,"3. De 100 a 200 m",IF(J2694&lt;=300,"4. De 200 a 300 m",IF(J2694&lt;=500,"5. De 300 a 500 m","6. De 500 m a 2 km"))))))</f>
        <v>7. Acima de 2 km</v>
      </c>
      <c r="L2694" s="26" t="n">
        <v>0</v>
      </c>
      <c r="M2694" s="26" t="n">
        <v>0</v>
      </c>
      <c r="N2694" s="26" t="n">
        <v>0</v>
      </c>
      <c r="O2694" s="26" t="n">
        <v>0</v>
      </c>
      <c r="P2694" s="30" t="n">
        <v>-12.7760847</v>
      </c>
      <c r="Q2694" s="30" t="n">
        <v>-38.4450595</v>
      </c>
      <c r="R2694" s="14" t="inlineStr">
        <is>
          <t xml:space="preserve"> FÓRUM PROFESSOR JOSAPHAT MARINHO, AV. ALTAMIRANDO ARAÚJO RAMOS, S/N, CENTRO, SIMÕES FILHO/BA</t>
        </is>
      </c>
      <c r="S2694" s="26">
        <f>IF(A2694=A2693,0,1)</f>
        <v>0</v>
      </c>
      <c r="T2694" s="26">
        <f>IF(COUNTIF($B$4:B2694,B2694)=1,1,0)</f>
        <v>0</v>
      </c>
    </row>
    <row r="2695">
      <c r="A2695" s="14" t="inlineStr">
        <is>
          <t>SIMÕES FILHO</t>
        </is>
      </c>
      <c r="B2695" s="26" t="n">
        <v>33</v>
      </c>
      <c r="C2695" s="26" t="n">
        <v>1201</v>
      </c>
      <c r="D2695" s="14" t="inlineStr">
        <is>
          <t>ESCOLA MUNICIPAL CASTELO BRANCO</t>
        </is>
      </c>
      <c r="E2695" s="14" t="inlineStr">
        <is>
          <t>MAPELE</t>
        </is>
      </c>
      <c r="F2695" s="14" t="inlineStr">
        <is>
          <t>RUA DIRETA DE MAPELE, 21 - ZONA RURAL</t>
        </is>
      </c>
      <c r="G2695" s="27" t="inlineStr">
        <is>
          <t>43726-220</t>
        </is>
      </c>
      <c r="H2695" s="15" t="n">
        <v>4</v>
      </c>
      <c r="I2695" s="28" t="inlineStr">
        <is>
          <t>NÃO</t>
        </is>
      </c>
      <c r="J2695" s="29" t="n"/>
      <c r="K2695" s="14" t="str">
        <f>IF(J2695="","7. Acima de 2 km",IF(J2695&lt;=50,"1. Até 50 m",IF(J2695&lt;=100,"2. De 50 a 100 m",IF(J2695&lt;=200,"3. De 100 a 200 m",IF(J2695&lt;=300,"4. De 200 a 300 m",IF(J2695&lt;=500,"5. De 300 a 500 m","6. De 500 m a 2 km"))))))</f>
        <v>7. Acima de 2 km</v>
      </c>
      <c r="L2695" s="26" t="n">
        <v>0</v>
      </c>
      <c r="M2695" s="26" t="n">
        <v>0</v>
      </c>
      <c r="N2695" s="26" t="n">
        <v>0</v>
      </c>
      <c r="O2695" s="26" t="n">
        <v>0</v>
      </c>
      <c r="P2695" s="30" t="n">
        <v>-12.7922268</v>
      </c>
      <c r="Q2695" s="30" t="n">
        <v>-38.4388118</v>
      </c>
      <c r="R2695" s="14" t="inlineStr">
        <is>
          <t xml:space="preserve"> FÓRUM PROFESSOR JOSAPHAT MARINHO, AV. ALTAMIRANDO ARAÚJO RAMOS, S/N, CENTRO, SIMÕES FILHO/BA</t>
        </is>
      </c>
      <c r="S2695" s="26">
        <f>IF(A2695=A2694,0,1)</f>
        <v>0</v>
      </c>
      <c r="T2695" s="26">
        <f>IF(COUNTIF($B$4:B2695,B2695)=1,1,0)</f>
        <v>0</v>
      </c>
    </row>
    <row r="2696">
      <c r="A2696" s="14" t="inlineStr">
        <is>
          <t>SIMÕES FILHO</t>
        </is>
      </c>
      <c r="B2696" s="26" t="n">
        <v>33</v>
      </c>
      <c r="C2696" s="26" t="n">
        <v>1210</v>
      </c>
      <c r="D2696" s="14" t="inlineStr">
        <is>
          <t>ESCOLA MUNICIPAL ANTÔNIA SOUZA DE SANTANA</t>
        </is>
      </c>
      <c r="E2696" s="14" t="inlineStr">
        <is>
          <t>COTEGIPE</t>
        </is>
      </c>
      <c r="F2696" s="14" t="inlineStr">
        <is>
          <t>AVENIDA POTY, S/N - ZONA RURAL</t>
        </is>
      </c>
      <c r="G2696" s="27" t="inlineStr">
        <is>
          <t>43718-855</t>
        </is>
      </c>
      <c r="H2696" s="15" t="n">
        <v>2</v>
      </c>
      <c r="I2696" s="28" t="inlineStr">
        <is>
          <t>SIM</t>
        </is>
      </c>
      <c r="J2696" s="29" t="n">
        <v>26.4</v>
      </c>
      <c r="K2696" s="14" t="str">
        <f>IF(J2696="","7. Acima de 2 km",IF(J2696&lt;=50,"1. Até 50 m",IF(J2696&lt;=100,"2. De 50 a 100 m",IF(J2696&lt;=200,"3. De 100 a 200 m",IF(J2696&lt;=300,"4. De 200 a 300 m",IF(J2696&lt;=500,"5. De 300 a 500 m","6. De 500 m a 2 km"))))))</f>
        <v>1. Até 50 m</v>
      </c>
      <c r="L2696" s="26" t="n">
        <v>1</v>
      </c>
      <c r="M2696" s="26" t="n">
        <v>5</v>
      </c>
      <c r="N2696" s="26" t="n">
        <v>8</v>
      </c>
      <c r="O2696" s="26" t="n">
        <v>11</v>
      </c>
      <c r="P2696" s="30" t="n">
        <v>-12.7862401</v>
      </c>
      <c r="Q2696" s="30" t="n">
        <v>-38.3989443</v>
      </c>
      <c r="R2696" s="14" t="inlineStr">
        <is>
          <t xml:space="preserve"> FÓRUM PROFESSOR JOSAPHAT MARINHO, AV. ALTAMIRANDO ARAÚJO RAMOS, S/N, CENTRO, SIMÕES FILHO/BA</t>
        </is>
      </c>
      <c r="S2696" s="26">
        <f>IF(A2696=A2695,0,1)</f>
        <v>0</v>
      </c>
      <c r="T2696" s="26">
        <f>IF(COUNTIF($B$4:B2696,B2696)=1,1,0)</f>
        <v>0</v>
      </c>
    </row>
    <row r="2697">
      <c r="A2697" s="14" t="inlineStr">
        <is>
          <t>SIMÕES FILHO</t>
        </is>
      </c>
      <c r="B2697" s="26" t="n">
        <v>33</v>
      </c>
      <c r="C2697" s="26" t="n">
        <v>1228</v>
      </c>
      <c r="D2697" s="14" t="inlineStr">
        <is>
          <t xml:space="preserve">ESCOLA MUNICIPAL PROFESSOR HILDÉRICO PINHEIRO DE OLIVEIRA </t>
        </is>
      </c>
      <c r="E2697" s="14" t="inlineStr">
        <is>
          <t>SANTO ANTÔNIO DO RIO DAS PEDRAS</t>
        </is>
      </c>
      <c r="F2697" s="14" t="inlineStr">
        <is>
          <t>ESTRADA VELHA BAHIA-FEIRA, CIA SUL</t>
        </is>
      </c>
      <c r="G2697" s="27" t="inlineStr">
        <is>
          <t>43721-830</t>
        </is>
      </c>
      <c r="H2697" s="15" t="n">
        <v>5</v>
      </c>
      <c r="I2697" s="28" t="inlineStr">
        <is>
          <t>NÃO</t>
        </is>
      </c>
      <c r="J2697" s="29" t="n">
        <v>1301.9</v>
      </c>
      <c r="K2697" s="14" t="str">
        <f>IF(J2697="","7. Acima de 2 km",IF(J2697&lt;=50,"1. Até 50 m",IF(J2697&lt;=100,"2. De 50 a 100 m",IF(J2697&lt;=200,"3. De 100 a 200 m",IF(J2697&lt;=300,"4. De 200 a 300 m",IF(J2697&lt;=500,"5. De 300 a 500 m","6. De 500 m a 2 km"))))))</f>
        <v>6. De 500 m a 2 km</v>
      </c>
      <c r="L2697" s="26" t="n">
        <v>0</v>
      </c>
      <c r="M2697" s="26" t="n">
        <v>0</v>
      </c>
      <c r="N2697" s="26" t="n">
        <v>0</v>
      </c>
      <c r="O2697" s="26" t="n">
        <v>0</v>
      </c>
      <c r="P2697" s="30" t="n">
        <v>-12.850085</v>
      </c>
      <c r="Q2697" s="30" t="n">
        <v>-38.411551</v>
      </c>
      <c r="R2697" s="14" t="inlineStr">
        <is>
          <t xml:space="preserve"> FÓRUM PROFESSOR JOSAPHAT MARINHO, AV. ALTAMIRANDO ARAÚJO RAMOS, S/N, CENTRO, SIMÕES FILHO/BA</t>
        </is>
      </c>
      <c r="S2697" s="26">
        <f>IF(A2697=A2696,0,1)</f>
        <v>0</v>
      </c>
      <c r="T2697" s="26">
        <f>IF(COUNTIF($B$4:B2697,B2697)=1,1,0)</f>
        <v>0</v>
      </c>
    </row>
    <row r="2698">
      <c r="A2698" s="14" t="inlineStr">
        <is>
          <t>SIMÕES FILHO</t>
        </is>
      </c>
      <c r="B2698" s="26" t="n">
        <v>33</v>
      </c>
      <c r="C2698" s="26" t="n">
        <v>1236</v>
      </c>
      <c r="D2698" s="14" t="inlineStr">
        <is>
          <t>ESCOLA MUNICIPAL ANTONIA GONÇALVES DE SOUZA</t>
        </is>
      </c>
      <c r="E2698" s="14" t="inlineStr">
        <is>
          <t>PALMARES</t>
        </is>
      </c>
      <c r="F2698" s="14" t="inlineStr">
        <is>
          <t>RUA DA ESCOLA, S/N - ZONA RURAL</t>
        </is>
      </c>
      <c r="G2698" s="27" t="inlineStr">
        <is>
          <t>43729-050</t>
        </is>
      </c>
      <c r="H2698" s="15" t="n">
        <v>5</v>
      </c>
      <c r="I2698" s="28" t="inlineStr">
        <is>
          <t>NÃO</t>
        </is>
      </c>
      <c r="J2698" s="29" t="n">
        <v>112</v>
      </c>
      <c r="K2698" s="14" t="str">
        <f>IF(J2698="","7. Acima de 2 km",IF(J2698&lt;=50,"1. Até 50 m",IF(J2698&lt;=100,"2. De 50 a 100 m",IF(J2698&lt;=200,"3. De 100 a 200 m",IF(J2698&lt;=300,"4. De 200 a 300 m",IF(J2698&lt;=500,"5. De 300 a 500 m","6. De 500 m a 2 km"))))))</f>
        <v>3. De 100 a 200 m</v>
      </c>
      <c r="L2698" s="26" t="n">
        <v>0</v>
      </c>
      <c r="M2698" s="26" t="n">
        <v>0</v>
      </c>
      <c r="N2698" s="26" t="n">
        <v>4</v>
      </c>
      <c r="O2698" s="26" t="n">
        <v>4</v>
      </c>
      <c r="P2698" s="30" t="n">
        <v>-12.7013895</v>
      </c>
      <c r="Q2698" s="30" t="n">
        <v>-38.3924243</v>
      </c>
      <c r="R2698" s="14" t="inlineStr">
        <is>
          <t xml:space="preserve"> FÓRUM PROFESSOR JOSAPHAT MARINHO, AV. ALTAMIRANDO ARAÚJO RAMOS, S/N, CENTRO, SIMÕES FILHO/BA</t>
        </is>
      </c>
      <c r="S2698" s="26">
        <f>IF(A2698=A2697,0,1)</f>
        <v>0</v>
      </c>
      <c r="T2698" s="26">
        <f>IF(COUNTIF($B$4:B2698,B2698)=1,1,0)</f>
        <v>0</v>
      </c>
    </row>
    <row r="2699">
      <c r="A2699" s="14" t="inlineStr">
        <is>
          <t>SIMÕES FILHO</t>
        </is>
      </c>
      <c r="B2699" s="26" t="n">
        <v>33</v>
      </c>
      <c r="C2699" s="26" t="n">
        <v>1244</v>
      </c>
      <c r="D2699" s="14" t="inlineStr">
        <is>
          <t xml:space="preserve">CENTRO COMUNITÁRIO NOSSA ESPERANÇA </t>
        </is>
      </c>
      <c r="E2699" s="14" t="inlineStr">
        <is>
          <t>PITANGA DE PALMARES</t>
        </is>
      </c>
      <c r="F2699" s="14" t="inlineStr">
        <is>
          <t xml:space="preserve">RUA NOVA ESPERANÇA S/N - ZONA RURAL </t>
        </is>
      </c>
      <c r="G2699" s="27" t="inlineStr">
        <is>
          <t>43730-390</t>
        </is>
      </c>
      <c r="H2699" s="15" t="n">
        <v>3</v>
      </c>
      <c r="I2699" s="28" t="inlineStr">
        <is>
          <t>SIM</t>
        </is>
      </c>
      <c r="J2699" s="29" t="n">
        <v>58</v>
      </c>
      <c r="K2699" s="14" t="str">
        <f>IF(J2699="","7. Acima de 2 km",IF(J2699&lt;=50,"1. Até 50 m",IF(J2699&lt;=100,"2. De 50 a 100 m",IF(J2699&lt;=200,"3. De 100 a 200 m",IF(J2699&lt;=300,"4. De 200 a 300 m",IF(J2699&lt;=500,"5. De 300 a 500 m","6. De 500 m a 2 km"))))))</f>
        <v>2. De 50 a 100 m</v>
      </c>
      <c r="L2699" s="26" t="n">
        <v>0</v>
      </c>
      <c r="M2699" s="26" t="n">
        <v>1</v>
      </c>
      <c r="N2699" s="26" t="n">
        <v>2</v>
      </c>
      <c r="O2699" s="26" t="n">
        <v>4</v>
      </c>
      <c r="P2699" s="30" t="n">
        <v>-12.6824283</v>
      </c>
      <c r="Q2699" s="30" t="n">
        <v>-38.3839796</v>
      </c>
      <c r="R2699" s="14" t="inlineStr">
        <is>
          <t xml:space="preserve"> FÓRUM PROFESSOR JOSAPHAT MARINHO, AV. ALTAMIRANDO ARAÚJO RAMOS, S/N, CENTRO, SIMÕES FILHO/BA</t>
        </is>
      </c>
      <c r="S2699" s="26">
        <f>IF(A2699=A2698,0,1)</f>
        <v>0</v>
      </c>
      <c r="T2699" s="26">
        <f>IF(COUNTIF($B$4:B2699,B2699)=1,1,0)</f>
        <v>0</v>
      </c>
    </row>
    <row r="2700">
      <c r="A2700" s="14" t="inlineStr">
        <is>
          <t>SIMÕES FILHO</t>
        </is>
      </c>
      <c r="B2700" s="26" t="n">
        <v>33</v>
      </c>
      <c r="C2700" s="26" t="n">
        <v>1252</v>
      </c>
      <c r="D2700" s="14" t="inlineStr">
        <is>
          <t>ESCOLA LUIZ VIANA FILHO</t>
        </is>
      </c>
      <c r="E2700" s="14" t="inlineStr">
        <is>
          <t>GÓES CALMON</t>
        </is>
      </c>
      <c r="F2700" s="14" t="inlineStr">
        <is>
          <t>RUA VISCONDE DE MAUÁ, 316 - ZONA RURAL</t>
        </is>
      </c>
      <c r="G2700" s="27" t="inlineStr">
        <is>
          <t>43708-340</t>
        </is>
      </c>
      <c r="H2700" s="15" t="n">
        <v>9</v>
      </c>
      <c r="I2700" s="28" t="inlineStr">
        <is>
          <t>NÃO</t>
        </is>
      </c>
      <c r="J2700" s="29" t="n"/>
      <c r="K2700" s="14" t="str">
        <f>IF(J2700="","7. Acima de 2 km",IF(J2700&lt;=50,"1. Até 50 m",IF(J2700&lt;=100,"2. De 50 a 100 m",IF(J2700&lt;=200,"3. De 100 a 200 m",IF(J2700&lt;=300,"4. De 200 a 300 m",IF(J2700&lt;=500,"5. De 300 a 500 m","6. De 500 m a 2 km"))))))</f>
        <v>7. Acima de 2 km</v>
      </c>
      <c r="L2700" s="26" t="n">
        <v>0</v>
      </c>
      <c r="M2700" s="26" t="n">
        <v>0</v>
      </c>
      <c r="N2700" s="26" t="n">
        <v>0</v>
      </c>
      <c r="O2700" s="26" t="n">
        <v>0</v>
      </c>
      <c r="P2700" s="30" t="n">
        <v>-12.7796372</v>
      </c>
      <c r="Q2700" s="30" t="n">
        <v>-38.353667</v>
      </c>
      <c r="R2700" s="14" t="inlineStr">
        <is>
          <t xml:space="preserve"> FÓRUM PROFESSOR JOSAPHAT MARINHO, AV. ALTAMIRANDO ARAÚJO RAMOS, S/N, CENTRO, SIMÕES FILHO/BA</t>
        </is>
      </c>
      <c r="S2700" s="26">
        <f>IF(A2700=A2699,0,1)</f>
        <v>0</v>
      </c>
      <c r="T2700" s="26">
        <f>IF(COUNTIF($B$4:B2700,B2700)=1,1,0)</f>
        <v>0</v>
      </c>
    </row>
    <row r="2701">
      <c r="A2701" s="14" t="inlineStr">
        <is>
          <t>SIMÕES FILHO</t>
        </is>
      </c>
      <c r="B2701" s="26" t="n">
        <v>33</v>
      </c>
      <c r="C2701" s="26" t="n">
        <v>1279</v>
      </c>
      <c r="D2701" s="14" t="inlineStr">
        <is>
          <t>ESCOLA DOM FRANCISCO LEITE</t>
        </is>
      </c>
      <c r="E2701" s="14" t="inlineStr">
        <is>
          <t>SANTA LUZIA</t>
        </is>
      </c>
      <c r="F2701" s="14" t="inlineStr">
        <is>
          <t>DISTRITO SANTA LUZIA - ZONA RURAL</t>
        </is>
      </c>
      <c r="G2701" s="27" t="inlineStr">
        <is>
          <t>43727-350</t>
        </is>
      </c>
      <c r="H2701" s="15" t="n">
        <v>1</v>
      </c>
      <c r="I2701" s="28" t="inlineStr">
        <is>
          <t>SIM</t>
        </is>
      </c>
      <c r="J2701" s="29" t="n">
        <v>29</v>
      </c>
      <c r="K2701" s="14" t="str">
        <f>IF(J2701="","7. Acima de 2 km",IF(J2701&lt;=50,"1. Até 50 m",IF(J2701&lt;=100,"2. De 50 a 100 m",IF(J2701&lt;=200,"3. De 100 a 200 m",IF(J2701&lt;=300,"4. De 200 a 300 m",IF(J2701&lt;=500,"5. De 300 a 500 m","6. De 500 m a 2 km"))))))</f>
        <v>1. Até 50 m</v>
      </c>
      <c r="L2701" s="26" t="n">
        <v>1</v>
      </c>
      <c r="M2701" s="26" t="n">
        <v>5</v>
      </c>
      <c r="N2701" s="26" t="n">
        <v>8</v>
      </c>
      <c r="O2701" s="26" t="n">
        <v>11</v>
      </c>
      <c r="P2701" s="30" t="n">
        <v>-12.7862635</v>
      </c>
      <c r="Q2701" s="30" t="n">
        <v>-38.3989318</v>
      </c>
      <c r="R2701" s="14" t="inlineStr">
        <is>
          <t xml:space="preserve"> FÓRUM PROFESSOR JOSAPHAT MARINHO, AV. ALTAMIRANDO ARAÚJO RAMOS, S/N, CENTRO, SIMÕES FILHO/BA</t>
        </is>
      </c>
      <c r="S2701" s="26">
        <f>IF(A2701=A2700,0,1)</f>
        <v>0</v>
      </c>
      <c r="T2701" s="26">
        <f>IF(COUNTIF($B$4:B2701,B2701)=1,1,0)</f>
        <v>0</v>
      </c>
    </row>
    <row r="2702">
      <c r="A2702" s="14" t="inlineStr">
        <is>
          <t>SIMÕES FILHO</t>
        </is>
      </c>
      <c r="B2702" s="26" t="n">
        <v>33</v>
      </c>
      <c r="C2702" s="26" t="n">
        <v>1287</v>
      </c>
      <c r="D2702" s="14" t="inlineStr">
        <is>
          <t>ESCOLA MUNICIPAL MARIA QUITÉRIA</t>
        </is>
      </c>
      <c r="E2702" s="14" t="inlineStr">
        <is>
          <t>CRISTO REI</t>
        </is>
      </c>
      <c r="F2702" s="14" t="inlineStr">
        <is>
          <t>RUA ALMIRANTE BARROSO S/N - CRISTO REI</t>
        </is>
      </c>
      <c r="G2702" s="27" t="inlineStr">
        <is>
          <t>43703-075</t>
        </is>
      </c>
      <c r="H2702" s="15" t="n">
        <v>8</v>
      </c>
      <c r="I2702" s="28" t="inlineStr">
        <is>
          <t>NÃO</t>
        </is>
      </c>
      <c r="J2702" s="29" t="n">
        <v>819.4</v>
      </c>
      <c r="K2702" s="14" t="str">
        <f>IF(J2702="","7. Acima de 2 km",IF(J2702&lt;=50,"1. Até 50 m",IF(J2702&lt;=100,"2. De 50 a 100 m",IF(J2702&lt;=200,"3. De 100 a 200 m",IF(J2702&lt;=300,"4. De 200 a 300 m",IF(J2702&lt;=500,"5. De 300 a 500 m","6. De 500 m a 2 km"))))))</f>
        <v>6. De 500 m a 2 km</v>
      </c>
      <c r="L2702" s="26" t="n">
        <v>0</v>
      </c>
      <c r="M2702" s="26" t="n">
        <v>0</v>
      </c>
      <c r="N2702" s="26" t="n">
        <v>0</v>
      </c>
      <c r="O2702" s="26" t="n">
        <v>0</v>
      </c>
      <c r="P2702" s="30" t="n">
        <v>-12.774464</v>
      </c>
      <c r="Q2702" s="30" t="n">
        <v>-38.3983413</v>
      </c>
      <c r="R2702" s="14" t="inlineStr">
        <is>
          <t xml:space="preserve"> FÓRUM PROFESSOR JOSAPHAT MARINHO, AV. ALTAMIRANDO ARAÚJO RAMOS, S/N, CENTRO, SIMÕES FILHO/BA</t>
        </is>
      </c>
      <c r="S2702" s="26">
        <f>IF(A2702=A2701,0,1)</f>
        <v>0</v>
      </c>
      <c r="T2702" s="26">
        <f>IF(COUNTIF($B$4:B2702,B2702)=1,1,0)</f>
        <v>0</v>
      </c>
    </row>
    <row r="2703">
      <c r="A2703" s="14" t="inlineStr">
        <is>
          <t>SIMÕES FILHO</t>
        </is>
      </c>
      <c r="B2703" s="26" t="n">
        <v>33</v>
      </c>
      <c r="C2703" s="26" t="n">
        <v>1295</v>
      </c>
      <c r="D2703" s="14" t="inlineStr">
        <is>
          <t>ESCOLA MUNICIPAL CASTRO ALVES</t>
        </is>
      </c>
      <c r="E2703" s="14" t="inlineStr">
        <is>
          <t>PITANGUINHA</t>
        </is>
      </c>
      <c r="F2703" s="14" t="inlineStr">
        <is>
          <t>RUA VITAL BRASIL, S/N - PITANGUINHA</t>
        </is>
      </c>
      <c r="G2703" s="27" t="inlineStr">
        <is>
          <t>43711-245</t>
        </is>
      </c>
      <c r="H2703" s="15" t="n">
        <v>6</v>
      </c>
      <c r="I2703" s="28" t="inlineStr">
        <is>
          <t>NÃO</t>
        </is>
      </c>
      <c r="J2703" s="29" t="n">
        <v>1169.7</v>
      </c>
      <c r="K2703" s="14" t="str">
        <f>IF(J2703="","7. Acima de 2 km",IF(J2703&lt;=50,"1. Até 50 m",IF(J2703&lt;=100,"2. De 50 a 100 m",IF(J2703&lt;=200,"3. De 100 a 200 m",IF(J2703&lt;=300,"4. De 200 a 300 m",IF(J2703&lt;=500,"5. De 300 a 500 m","6. De 500 m a 2 km"))))))</f>
        <v>6. De 500 m a 2 km</v>
      </c>
      <c r="L2703" s="26" t="n">
        <v>0</v>
      </c>
      <c r="M2703" s="26" t="n">
        <v>0</v>
      </c>
      <c r="N2703" s="26" t="n">
        <v>0</v>
      </c>
      <c r="O2703" s="26" t="n">
        <v>0</v>
      </c>
      <c r="P2703" s="30" t="n">
        <v>-12.8104852</v>
      </c>
      <c r="Q2703" s="30" t="n">
        <v>-38.3805747</v>
      </c>
      <c r="R2703" s="14" t="inlineStr">
        <is>
          <t xml:space="preserve"> FÓRUM PROFESSOR JOSAPHAT MARINHO, AV. ALTAMIRANDO ARAÚJO RAMOS, S/N, CENTRO, SIMÕES FILHO/BA</t>
        </is>
      </c>
      <c r="S2703" s="26">
        <f>IF(A2703=A2702,0,1)</f>
        <v>0</v>
      </c>
      <c r="T2703" s="26">
        <f>IF(COUNTIF($B$4:B2703,B2703)=1,1,0)</f>
        <v>0</v>
      </c>
    </row>
    <row r="2704">
      <c r="A2704" s="14" t="inlineStr">
        <is>
          <t>SIMÕES FILHO</t>
        </is>
      </c>
      <c r="B2704" s="26" t="n">
        <v>33</v>
      </c>
      <c r="C2704" s="26" t="n">
        <v>1309</v>
      </c>
      <c r="D2704" s="14" t="inlineStr">
        <is>
          <t>CENTRO COMUNITÁRIO NOSSA IRMÃ DULCE</t>
        </is>
      </c>
      <c r="E2704" s="14" t="inlineStr">
        <is>
          <t>SANTA ROSA</t>
        </is>
      </c>
      <c r="F2704" s="14" t="inlineStr">
        <is>
          <t>BA 093 - ZONA RURAL</t>
        </is>
      </c>
      <c r="G2704" s="27" t="inlineStr">
        <is>
          <t>43700-290</t>
        </is>
      </c>
      <c r="H2704" s="15" t="n">
        <v>5</v>
      </c>
      <c r="I2704" s="28" t="inlineStr">
        <is>
          <t>SIM</t>
        </is>
      </c>
      <c r="J2704" s="29" t="n">
        <v>99.3</v>
      </c>
      <c r="K2704" s="14" t="str">
        <f>IF(J2704="","7. Acima de 2 km",IF(J2704&lt;=50,"1. Até 50 m",IF(J2704&lt;=100,"2. De 50 a 100 m",IF(J2704&lt;=200,"3. De 100 a 200 m",IF(J2704&lt;=300,"4. De 200 a 300 m",IF(J2704&lt;=500,"5. De 300 a 500 m","6. De 500 m a 2 km"))))))</f>
        <v>2. De 50 a 100 m</v>
      </c>
      <c r="L2704" s="26" t="n">
        <v>0</v>
      </c>
      <c r="M2704" s="26" t="n">
        <v>1</v>
      </c>
      <c r="N2704" s="26" t="n">
        <v>1</v>
      </c>
      <c r="O2704" s="26" t="n">
        <v>1</v>
      </c>
      <c r="P2704" s="30" t="n">
        <v>-12.7741549</v>
      </c>
      <c r="Q2704" s="30" t="n">
        <v>-38.4067861</v>
      </c>
      <c r="R2704" s="14" t="inlineStr">
        <is>
          <t xml:space="preserve"> FÓRUM PROFESSOR JOSAPHAT MARINHO, AV. ALTAMIRANDO ARAÚJO RAMOS, S/N, CENTRO, SIMÕES FILHO/BA</t>
        </is>
      </c>
      <c r="S2704" s="26">
        <f>IF(A2704=A2703,0,1)</f>
        <v>0</v>
      </c>
      <c r="T2704" s="26">
        <f>IF(COUNTIF($B$4:B2704,B2704)=1,1,0)</f>
        <v>0</v>
      </c>
    </row>
    <row r="2705">
      <c r="A2705" s="14" t="inlineStr">
        <is>
          <t>SIMÕES FILHO</t>
        </is>
      </c>
      <c r="B2705" s="26" t="n">
        <v>33</v>
      </c>
      <c r="C2705" s="26" t="n">
        <v>1317</v>
      </c>
      <c r="D2705" s="14" t="inlineStr">
        <is>
          <t>ESCOLA MUNICIPAL UNIÃO DA BAHIA</t>
        </is>
      </c>
      <c r="E2705" s="14" t="inlineStr">
        <is>
          <t>SIMÕES FILHO I</t>
        </is>
      </c>
      <c r="F2705" s="14" t="inlineStr">
        <is>
          <t>RUA R, QUADRA 16, S/N - ZONA URBANA</t>
        </is>
      </c>
      <c r="G2705" s="27" t="inlineStr">
        <is>
          <t>43707-435</t>
        </is>
      </c>
      <c r="H2705" s="15" t="n">
        <v>6</v>
      </c>
      <c r="I2705" s="28" t="inlineStr">
        <is>
          <t>NÃO</t>
        </is>
      </c>
      <c r="J2705" s="29" t="n"/>
      <c r="K2705" s="14" t="str">
        <f>IF(J2705="","7. Acima de 2 km",IF(J2705&lt;=50,"1. Até 50 m",IF(J2705&lt;=100,"2. De 50 a 100 m",IF(J2705&lt;=200,"3. De 100 a 200 m",IF(J2705&lt;=300,"4. De 200 a 300 m",IF(J2705&lt;=500,"5. De 300 a 500 m","6. De 500 m a 2 km"))))))</f>
        <v>7. Acima de 2 km</v>
      </c>
      <c r="L2705" s="26" t="n">
        <v>0</v>
      </c>
      <c r="M2705" s="26" t="n">
        <v>0</v>
      </c>
      <c r="N2705" s="26" t="n">
        <v>0</v>
      </c>
      <c r="O2705" s="26" t="n">
        <v>0</v>
      </c>
      <c r="P2705" s="30" t="n">
        <v>-12.783834</v>
      </c>
      <c r="Q2705" s="30" t="n">
        <v>-38.3705118</v>
      </c>
      <c r="R2705" s="14" t="inlineStr">
        <is>
          <t xml:space="preserve"> FÓRUM PROFESSOR JOSAPHAT MARINHO, AV. ALTAMIRANDO ARAÚJO RAMOS, S/N, CENTRO, SIMÕES FILHO/BA</t>
        </is>
      </c>
      <c r="S2705" s="26">
        <f>IF(A2705=A2704,0,1)</f>
        <v>0</v>
      </c>
      <c r="T2705" s="26">
        <f>IF(COUNTIF($B$4:B2705,B2705)=1,1,0)</f>
        <v>0</v>
      </c>
    </row>
    <row r="2706">
      <c r="A2706" s="14" t="inlineStr">
        <is>
          <t>SIMÕES FILHO</t>
        </is>
      </c>
      <c r="B2706" s="26" t="n">
        <v>33</v>
      </c>
      <c r="C2706" s="26" t="n">
        <v>1325</v>
      </c>
      <c r="D2706" s="14" t="inlineStr">
        <is>
          <t>ESCOLA MUNICIPAL CLÉRISTON ANDRADE</t>
        </is>
      </c>
      <c r="E2706" s="14" t="inlineStr">
        <is>
          <t>KM 30</t>
        </is>
      </c>
      <c r="F2706" s="14" t="inlineStr">
        <is>
          <t>RUA ITAPARICA 835 LOTEAMENTO SAO MIGUEL - ZONA URBANA</t>
        </is>
      </c>
      <c r="G2706" s="27" t="inlineStr">
        <is>
          <t>43706-105</t>
        </is>
      </c>
      <c r="H2706" s="15" t="n">
        <v>5</v>
      </c>
      <c r="I2706" s="28" t="inlineStr">
        <is>
          <t>NÃO</t>
        </is>
      </c>
      <c r="J2706" s="29" t="n">
        <v>1323.2</v>
      </c>
      <c r="K2706" s="14" t="str">
        <f>IF(J2706="","7. Acima de 2 km",IF(J2706&lt;=50,"1. Até 50 m",IF(J2706&lt;=100,"2. De 50 a 100 m",IF(J2706&lt;=200,"3. De 100 a 200 m",IF(J2706&lt;=300,"4. De 200 a 300 m",IF(J2706&lt;=500,"5. De 300 a 500 m","6. De 500 m a 2 km"))))))</f>
        <v>6. De 500 m a 2 km</v>
      </c>
      <c r="L2706" s="26" t="n">
        <v>0</v>
      </c>
      <c r="M2706" s="26" t="n">
        <v>0</v>
      </c>
      <c r="N2706" s="26" t="n">
        <v>0</v>
      </c>
      <c r="O2706" s="26" t="n">
        <v>0</v>
      </c>
      <c r="P2706" s="30" t="n">
        <v>-12.7816422</v>
      </c>
      <c r="Q2706" s="30" t="n">
        <v>-38.3828817</v>
      </c>
      <c r="R2706" s="14" t="inlineStr">
        <is>
          <t xml:space="preserve"> FÓRUM PROFESSOR JOSAPHAT MARINHO, AV. ALTAMIRANDO ARAÚJO RAMOS, S/N, CENTRO, SIMÕES FILHO/BA</t>
        </is>
      </c>
      <c r="S2706" s="26">
        <f>IF(A2706=A2705,0,1)</f>
        <v>0</v>
      </c>
      <c r="T2706" s="26">
        <f>IF(COUNTIF($B$4:B2706,B2706)=1,1,0)</f>
        <v>0</v>
      </c>
    </row>
    <row r="2707">
      <c r="A2707" s="14" t="inlineStr">
        <is>
          <t>SIMÕES FILHO</t>
        </is>
      </c>
      <c r="B2707" s="26" t="n">
        <v>33</v>
      </c>
      <c r="C2707" s="26" t="n">
        <v>1333</v>
      </c>
      <c r="D2707" s="14" t="inlineStr">
        <is>
          <t>COLÉGIO MUNICIPAL NOSSA SENHORA DA LUZ</t>
        </is>
      </c>
      <c r="E2707" s="14" t="inlineStr">
        <is>
          <t>PITANGUINHA</t>
        </is>
      </c>
      <c r="F2707" s="14" t="inlineStr">
        <is>
          <t>RUA DA MANGABEIRA - PITANGUINHA</t>
        </is>
      </c>
      <c r="G2707" s="27" t="inlineStr">
        <is>
          <t>43711-285</t>
        </is>
      </c>
      <c r="H2707" s="15" t="n">
        <v>3</v>
      </c>
      <c r="I2707" s="28" t="inlineStr">
        <is>
          <t>NÃO</t>
        </is>
      </c>
      <c r="J2707" s="29" t="n">
        <v>740.1</v>
      </c>
      <c r="K2707" s="14" t="str">
        <f>IF(J2707="","7. Acima de 2 km",IF(J2707&lt;=50,"1. Até 50 m",IF(J2707&lt;=100,"2. De 50 a 100 m",IF(J2707&lt;=200,"3. De 100 a 200 m",IF(J2707&lt;=300,"4. De 200 a 300 m",IF(J2707&lt;=500,"5. De 300 a 500 m","6. De 500 m a 2 km"))))))</f>
        <v>6. De 500 m a 2 km</v>
      </c>
      <c r="L2707" s="26" t="n">
        <v>0</v>
      </c>
      <c r="M2707" s="26" t="n">
        <v>0</v>
      </c>
      <c r="N2707" s="26" t="n">
        <v>0</v>
      </c>
      <c r="O2707" s="26" t="n">
        <v>0</v>
      </c>
      <c r="P2707" s="30" t="n">
        <v>-12.8127309</v>
      </c>
      <c r="Q2707" s="30" t="n">
        <v>-38.3845214</v>
      </c>
      <c r="R2707" s="14" t="inlineStr">
        <is>
          <t xml:space="preserve"> FÓRUM PROFESSOR JOSAPHAT MARINHO, AV. ALTAMIRANDO ARAÚJO RAMOS, S/N, CENTRO, SIMÕES FILHO/BA</t>
        </is>
      </c>
      <c r="S2707" s="26">
        <f>IF(A2707=A2706,0,1)</f>
        <v>0</v>
      </c>
      <c r="T2707" s="26">
        <f>IF(COUNTIF($B$4:B2707,B2707)=1,1,0)</f>
        <v>0</v>
      </c>
    </row>
    <row r="2708">
      <c r="A2708" s="14" t="inlineStr">
        <is>
          <t>SIMÕES FILHO</t>
        </is>
      </c>
      <c r="B2708" s="26" t="n">
        <v>33</v>
      </c>
      <c r="C2708" s="26" t="n">
        <v>1341</v>
      </c>
      <c r="D2708" s="14" t="inlineStr">
        <is>
          <t>ESCOLA MUNICIPAL PÉRICLES RENI DE SOUZA</t>
        </is>
      </c>
      <c r="E2708" s="14" t="inlineStr">
        <is>
          <t>ILHA DE SÃO JOÃO</t>
        </is>
      </c>
      <c r="F2708" s="14" t="inlineStr">
        <is>
          <t>RUA DA LINHA, S/N - ZONA RURAL</t>
        </is>
      </c>
      <c r="G2708" s="27" t="inlineStr">
        <is>
          <t>43724-185</t>
        </is>
      </c>
      <c r="H2708" s="15" t="n">
        <v>3</v>
      </c>
      <c r="I2708" s="28" t="inlineStr">
        <is>
          <t>NÃO</t>
        </is>
      </c>
      <c r="J2708" s="29" t="n">
        <v>1130.1</v>
      </c>
      <c r="K2708" s="14" t="str">
        <f>IF(J2708="","7. Acima de 2 km",IF(J2708&lt;=50,"1. Até 50 m",IF(J2708&lt;=100,"2. De 50 a 100 m",IF(J2708&lt;=200,"3. De 100 a 200 m",IF(J2708&lt;=300,"4. De 200 a 300 m",IF(J2708&lt;=500,"5. De 300 a 500 m","6. De 500 m a 2 km"))))))</f>
        <v>6. De 500 m a 2 km</v>
      </c>
      <c r="L2708" s="26" t="n">
        <v>0</v>
      </c>
      <c r="M2708" s="26" t="n">
        <v>0</v>
      </c>
      <c r="N2708" s="26" t="n">
        <v>0</v>
      </c>
      <c r="O2708" s="26" t="n">
        <v>0</v>
      </c>
      <c r="P2708" s="30" t="n">
        <v>-12.8119079</v>
      </c>
      <c r="Q2708" s="30" t="n">
        <v>-38.4514305</v>
      </c>
      <c r="R2708" s="14" t="inlineStr">
        <is>
          <t xml:space="preserve"> FÓRUM PROFESSOR JOSAPHAT MARINHO, AV. ALTAMIRANDO ARAÚJO RAMOS, S/N, CENTRO, SIMÕES FILHO/BA</t>
        </is>
      </c>
      <c r="S2708" s="26">
        <f>IF(A2708=A2707,0,1)</f>
        <v>0</v>
      </c>
      <c r="T2708" s="26">
        <f>IF(COUNTIF($B$4:B2708,B2708)=1,1,0)</f>
        <v>0</v>
      </c>
    </row>
    <row r="2709">
      <c r="A2709" s="14" t="inlineStr">
        <is>
          <t>SIMÕES FILHO</t>
        </is>
      </c>
      <c r="B2709" s="26" t="n">
        <v>33</v>
      </c>
      <c r="C2709" s="26" t="n">
        <v>1350</v>
      </c>
      <c r="D2709" s="14" t="inlineStr">
        <is>
          <t>ESCOLA DIÁCONO FERNANDO DE BRITO</t>
        </is>
      </c>
      <c r="E2709" s="14" t="inlineStr">
        <is>
          <t>CIA II</t>
        </is>
      </c>
      <c r="F2709" s="14" t="inlineStr">
        <is>
          <t>AV ELMO SEREJO FARIAS S/N - ZONA URBANA</t>
        </is>
      </c>
      <c r="G2709" s="27" t="inlineStr">
        <is>
          <t>43714-020</t>
        </is>
      </c>
      <c r="H2709" s="15" t="n">
        <v>4</v>
      </c>
      <c r="I2709" s="28" t="inlineStr">
        <is>
          <t>NÃO</t>
        </is>
      </c>
      <c r="J2709" s="29" t="n">
        <v>364.9</v>
      </c>
      <c r="K2709" s="14" t="str">
        <f>IF(J2709="","7. Acima de 2 km",IF(J2709&lt;=50,"1. Até 50 m",IF(J2709&lt;=100,"2. De 50 a 100 m",IF(J2709&lt;=200,"3. De 100 a 200 m",IF(J2709&lt;=300,"4. De 200 a 300 m",IF(J2709&lt;=500,"5. De 300 a 500 m","6. De 500 m a 2 km"))))))</f>
        <v>5. De 300 a 500 m</v>
      </c>
      <c r="L2709" s="26" t="n">
        <v>0</v>
      </c>
      <c r="M2709" s="26" t="n">
        <v>0</v>
      </c>
      <c r="N2709" s="26" t="n">
        <v>0</v>
      </c>
      <c r="O2709" s="26" t="n">
        <v>0</v>
      </c>
      <c r="P2709" s="30" t="n">
        <v>-12.7983274</v>
      </c>
      <c r="Q2709" s="30" t="n">
        <v>-38.3965904</v>
      </c>
      <c r="R2709" s="14" t="inlineStr">
        <is>
          <t xml:space="preserve"> FÓRUM PROFESSOR JOSAPHAT MARINHO, AV. ALTAMIRANDO ARAÚJO RAMOS, S/N, CENTRO, SIMÕES FILHO/BA</t>
        </is>
      </c>
      <c r="S2709" s="26">
        <f>IF(A2709=A2708,0,1)</f>
        <v>0</v>
      </c>
      <c r="T2709" s="26">
        <f>IF(COUNTIF($B$4:B2709,B2709)=1,1,0)</f>
        <v>0</v>
      </c>
    </row>
    <row r="2710">
      <c r="A2710" s="14" t="inlineStr">
        <is>
          <t>SIMÕES FILHO</t>
        </is>
      </c>
      <c r="B2710" s="26" t="n">
        <v>33</v>
      </c>
      <c r="C2710" s="26" t="n">
        <v>1368</v>
      </c>
      <c r="D2710" s="14" t="inlineStr">
        <is>
          <t>ESCOLA MUNICIPAL PROFESSOR ADROALDO RIBEIRO COSTA</t>
        </is>
      </c>
      <c r="E2710" s="14" t="inlineStr">
        <is>
          <t>PARQUE CONTINENTAL</t>
        </is>
      </c>
      <c r="F2710" s="14" t="inlineStr">
        <is>
          <t>RUA PARAGUAÇU, QUADRA 6 - ZONA URBANA</t>
        </is>
      </c>
      <c r="G2710" s="27" t="inlineStr">
        <is>
          <t>43704-614</t>
        </is>
      </c>
      <c r="H2710" s="15" t="n">
        <v>6</v>
      </c>
      <c r="I2710" s="28" t="inlineStr">
        <is>
          <t>NÃO</t>
        </is>
      </c>
      <c r="J2710" s="29" t="n">
        <v>586.2</v>
      </c>
      <c r="K2710" s="14" t="str">
        <f>IF(J2710="","7. Acima de 2 km",IF(J2710&lt;=50,"1. Até 50 m",IF(J2710&lt;=100,"2. De 50 a 100 m",IF(J2710&lt;=200,"3. De 100 a 200 m",IF(J2710&lt;=300,"4. De 200 a 300 m",IF(J2710&lt;=500,"5. De 300 a 500 m","6. De 500 m a 2 km"))))))</f>
        <v>6. De 500 m a 2 km</v>
      </c>
      <c r="L2710" s="26" t="n">
        <v>0</v>
      </c>
      <c r="M2710" s="26" t="n">
        <v>0</v>
      </c>
      <c r="N2710" s="26" t="n">
        <v>0</v>
      </c>
      <c r="O2710" s="26" t="n">
        <v>0</v>
      </c>
      <c r="P2710" s="30" t="n">
        <v>-12.7792384</v>
      </c>
      <c r="Q2710" s="30" t="n">
        <v>-38.3960385</v>
      </c>
      <c r="R2710" s="14" t="inlineStr">
        <is>
          <t xml:space="preserve"> FÓRUM PROFESSOR JOSAPHAT MARINHO, AV. ALTAMIRANDO ARAÚJO RAMOS, S/N, CENTRO, SIMÕES FILHO/BA</t>
        </is>
      </c>
      <c r="S2710" s="26">
        <f>IF(A2710=A2709,0,1)</f>
        <v>0</v>
      </c>
      <c r="T2710" s="26">
        <f>IF(COUNTIF($B$4:B2710,B2710)=1,1,0)</f>
        <v>0</v>
      </c>
    </row>
    <row r="2711">
      <c r="A2711" s="14" t="inlineStr">
        <is>
          <t>SIMÕES FILHO</t>
        </is>
      </c>
      <c r="B2711" s="26" t="n">
        <v>33</v>
      </c>
      <c r="C2711" s="26" t="n">
        <v>1376</v>
      </c>
      <c r="D2711" s="14" t="inlineStr">
        <is>
          <t>ESCOLA ENOCK PIMENTEL</t>
        </is>
      </c>
      <c r="E2711" s="14" t="inlineStr">
        <is>
          <t>ILHA DE SÃO JOÃO</t>
        </is>
      </c>
      <c r="F2711" s="14" t="inlineStr">
        <is>
          <t>LARGO DO CAMPO, 21 - ZONA RURAL</t>
        </is>
      </c>
      <c r="G2711" s="27" t="inlineStr">
        <is>
          <t>43724-510</t>
        </is>
      </c>
      <c r="H2711" s="15" t="n">
        <v>6</v>
      </c>
      <c r="I2711" s="28" t="inlineStr">
        <is>
          <t>NÃO</t>
        </is>
      </c>
      <c r="J2711" s="29" t="n">
        <v>288.5</v>
      </c>
      <c r="K2711" s="14" t="str">
        <f>IF(J2711="","7. Acima de 2 km",IF(J2711&lt;=50,"1. Até 50 m",IF(J2711&lt;=100,"2. De 50 a 100 m",IF(J2711&lt;=200,"3. De 100 a 200 m",IF(J2711&lt;=300,"4. De 200 a 300 m",IF(J2711&lt;=500,"5. De 300 a 500 m","6. De 500 m a 2 km"))))))</f>
        <v>4. De 200 a 300 m</v>
      </c>
      <c r="L2711" s="26" t="n">
        <v>0</v>
      </c>
      <c r="M2711" s="26" t="n">
        <v>0</v>
      </c>
      <c r="N2711" s="26" t="n">
        <v>0</v>
      </c>
      <c r="O2711" s="26" t="n">
        <v>1</v>
      </c>
      <c r="P2711" s="30" t="n">
        <v>-12.8170254</v>
      </c>
      <c r="Q2711" s="30" t="n">
        <v>-38.4615999</v>
      </c>
      <c r="R2711" s="14" t="inlineStr">
        <is>
          <t xml:space="preserve"> FÓRUM PROFESSOR JOSAPHAT MARINHO, AV. ALTAMIRANDO ARAÚJO RAMOS, S/N, CENTRO, SIMÕES FILHO/BA</t>
        </is>
      </c>
      <c r="S2711" s="26">
        <f>IF(A2711=A2710,0,1)</f>
        <v>0</v>
      </c>
      <c r="T2711" s="26">
        <f>IF(COUNTIF($B$4:B2711,B2711)=1,1,0)</f>
        <v>0</v>
      </c>
    </row>
    <row r="2712">
      <c r="A2712" s="14" t="inlineStr">
        <is>
          <t>SIMÕES FILHO</t>
        </is>
      </c>
      <c r="B2712" s="26" t="n">
        <v>33</v>
      </c>
      <c r="C2712" s="26" t="n">
        <v>1384</v>
      </c>
      <c r="D2712" s="14" t="inlineStr">
        <is>
          <t>ESCOLA MUNICIPAL SETE DE NOVEMBRO</t>
        </is>
      </c>
      <c r="E2712" s="14" t="inlineStr">
        <is>
          <t>PONTO DE PARADA</t>
        </is>
      </c>
      <c r="F2712" s="14" t="inlineStr">
        <is>
          <t>AV. JOÃO XXIII, S/Nº - ZONA URBANA</t>
        </is>
      </c>
      <c r="G2712" s="27" t="inlineStr">
        <is>
          <t>43713-400</t>
        </is>
      </c>
      <c r="H2712" s="15" t="n">
        <v>5</v>
      </c>
      <c r="I2712" s="28" t="inlineStr">
        <is>
          <t>NÃO</t>
        </is>
      </c>
      <c r="J2712" s="29" t="n">
        <v>227.9</v>
      </c>
      <c r="K2712" s="14" t="str">
        <f>IF(J2712="","7. Acima de 2 km",IF(J2712&lt;=50,"1. Até 50 m",IF(J2712&lt;=100,"2. De 50 a 100 m",IF(J2712&lt;=200,"3. De 100 a 200 m",IF(J2712&lt;=300,"4. De 200 a 300 m",IF(J2712&lt;=500,"5. De 300 a 500 m","6. De 500 m a 2 km"))))))</f>
        <v>4. De 200 a 300 m</v>
      </c>
      <c r="L2712" s="26" t="n">
        <v>0</v>
      </c>
      <c r="M2712" s="26" t="n">
        <v>0</v>
      </c>
      <c r="N2712" s="26" t="n">
        <v>0</v>
      </c>
      <c r="O2712" s="26" t="n">
        <v>3</v>
      </c>
      <c r="P2712" s="30" t="n">
        <v>-12.7968214</v>
      </c>
      <c r="Q2712" s="30" t="n">
        <v>-38.4018488</v>
      </c>
      <c r="R2712" s="14" t="inlineStr">
        <is>
          <t xml:space="preserve"> FÓRUM PROFESSOR JOSAPHAT MARINHO, AV. ALTAMIRANDO ARAÚJO RAMOS, S/N, CENTRO, SIMÕES FILHO/BA</t>
        </is>
      </c>
      <c r="S2712" s="26">
        <f>IF(A2712=A2711,0,1)</f>
        <v>0</v>
      </c>
      <c r="T2712" s="26">
        <f>IF(COUNTIF($B$4:B2712,B2712)=1,1,0)</f>
        <v>0</v>
      </c>
    </row>
    <row r="2713">
      <c r="A2713" s="14" t="inlineStr">
        <is>
          <t>SIMÕES FILHO</t>
        </is>
      </c>
      <c r="B2713" s="26" t="n">
        <v>33</v>
      </c>
      <c r="C2713" s="26" t="n">
        <v>1392</v>
      </c>
      <c r="D2713" s="14" t="inlineStr">
        <is>
          <t>ESCOLA MUNICIPAL PROFESSORA MARIA DE SOUZA CHAVES</t>
        </is>
      </c>
      <c r="E2713" s="14" t="inlineStr">
        <is>
          <t>KM 30</t>
        </is>
      </c>
      <c r="F2713" s="14" t="inlineStr">
        <is>
          <t>RUA MACHADO DE ASSIS, 331 - ZONA URBANA</t>
        </is>
      </c>
      <c r="G2713" s="27" t="inlineStr">
        <is>
          <t>43706-090</t>
        </is>
      </c>
      <c r="H2713" s="15" t="n">
        <v>8</v>
      </c>
      <c r="I2713" s="28" t="inlineStr">
        <is>
          <t>NÃO</t>
        </is>
      </c>
      <c r="J2713" s="29" t="n">
        <v>1079.5</v>
      </c>
      <c r="K2713" s="14" t="str">
        <f>IF(J2713="","7. Acima de 2 km",IF(J2713&lt;=50,"1. Até 50 m",IF(J2713&lt;=100,"2. De 50 a 100 m",IF(J2713&lt;=200,"3. De 100 a 200 m",IF(J2713&lt;=300,"4. De 200 a 300 m",IF(J2713&lt;=500,"5. De 300 a 500 m","6. De 500 m a 2 km"))))))</f>
        <v>6. De 500 m a 2 km</v>
      </c>
      <c r="L2713" s="26" t="n">
        <v>0</v>
      </c>
      <c r="M2713" s="26" t="n">
        <v>0</v>
      </c>
      <c r="N2713" s="26" t="n">
        <v>0</v>
      </c>
      <c r="O2713" s="26" t="n">
        <v>0</v>
      </c>
      <c r="P2713" s="30" t="n">
        <v>-12.7845609</v>
      </c>
      <c r="Q2713" s="30" t="n">
        <v>-38.384792</v>
      </c>
      <c r="R2713" s="14" t="inlineStr">
        <is>
          <t xml:space="preserve"> FÓRUM PROFESSOR JOSAPHAT MARINHO, AV. ALTAMIRANDO ARAÚJO RAMOS, S/N, CENTRO, SIMÕES FILHO/BA</t>
        </is>
      </c>
      <c r="S2713" s="26">
        <f>IF(A2713=A2712,0,1)</f>
        <v>0</v>
      </c>
      <c r="T2713" s="26">
        <f>IF(COUNTIF($B$4:B2713,B2713)=1,1,0)</f>
        <v>0</v>
      </c>
    </row>
    <row r="2714">
      <c r="A2714" s="14" t="inlineStr">
        <is>
          <t>SIMÕES FILHO</t>
        </is>
      </c>
      <c r="B2714" s="26" t="n">
        <v>33</v>
      </c>
      <c r="C2714" s="26" t="n">
        <v>1406</v>
      </c>
      <c r="D2714" s="14" t="inlineStr">
        <is>
          <t>ESCOLA MUNICIPAL PROFESSORA BÁRBARA ANDRÉA BRITTES DO CARMO</t>
        </is>
      </c>
      <c r="E2714" s="14" t="inlineStr">
        <is>
          <t>PITANGUINHA</t>
        </is>
      </c>
      <c r="F2714" s="14" t="inlineStr">
        <is>
          <t>RUA BÁRBARA ANDREA BRITTES CARMO - CIA I</t>
        </is>
      </c>
      <c r="G2714" s="27" t="inlineStr">
        <is>
          <t>43716-560</t>
        </is>
      </c>
      <c r="H2714" s="15" t="n">
        <v>6</v>
      </c>
      <c r="I2714" s="28" t="inlineStr">
        <is>
          <t>NÃO</t>
        </is>
      </c>
      <c r="J2714" s="29" t="n">
        <v>458.1</v>
      </c>
      <c r="K2714" s="14" t="str">
        <f>IF(J2714="","7. Acima de 2 km",IF(J2714&lt;=50,"1. Até 50 m",IF(J2714&lt;=100,"2. De 50 a 100 m",IF(J2714&lt;=200,"3. De 100 a 200 m",IF(J2714&lt;=300,"4. De 200 a 300 m",IF(J2714&lt;=500,"5. De 300 a 500 m","6. De 500 m a 2 km"))))))</f>
        <v>5. De 300 a 500 m</v>
      </c>
      <c r="L2714" s="26" t="n">
        <v>0</v>
      </c>
      <c r="M2714" s="26" t="n">
        <v>0</v>
      </c>
      <c r="N2714" s="26" t="n">
        <v>0</v>
      </c>
      <c r="O2714" s="26" t="n">
        <v>0</v>
      </c>
      <c r="P2714" s="30" t="n">
        <v>-12.8148308</v>
      </c>
      <c r="Q2714" s="30" t="n">
        <v>-38.3869312</v>
      </c>
      <c r="R2714" s="14" t="inlineStr">
        <is>
          <t xml:space="preserve"> FÓRUM PROFESSOR JOSAPHAT MARINHO, AV. ALTAMIRANDO ARAÚJO RAMOS, S/N, CENTRO, SIMÕES FILHO/BA</t>
        </is>
      </c>
      <c r="S2714" s="26">
        <f>IF(A2714=A2713,0,1)</f>
        <v>0</v>
      </c>
      <c r="T2714" s="26">
        <f>IF(COUNTIF($B$4:B2714,B2714)=1,1,0)</f>
        <v>0</v>
      </c>
    </row>
    <row r="2715">
      <c r="A2715" s="14" t="inlineStr">
        <is>
          <t>SIMÕES FILHO</t>
        </is>
      </c>
      <c r="B2715" s="26" t="n">
        <v>33</v>
      </c>
      <c r="C2715" s="26" t="n">
        <v>1414</v>
      </c>
      <c r="D2715" s="14" t="inlineStr">
        <is>
          <t>ESCOLA MUNICIPAL HAYDÊE MARIA DE SANTANA GÓES</t>
        </is>
      </c>
      <c r="E2715" s="14" t="inlineStr">
        <is>
          <t>CIA II</t>
        </is>
      </c>
      <c r="F2715" s="14" t="inlineStr">
        <is>
          <t>RUA B, N 08, CONJUNTO HABITACIONAL VIDA NOVA - ZONA URBANA</t>
        </is>
      </c>
      <c r="G2715" s="27" t="inlineStr">
        <is>
          <t>43715-790</t>
        </is>
      </c>
      <c r="H2715" s="15" t="n">
        <v>6</v>
      </c>
      <c r="I2715" s="28" t="inlineStr">
        <is>
          <t>NÃO</t>
        </is>
      </c>
      <c r="J2715" s="29" t="n">
        <v>369.1</v>
      </c>
      <c r="K2715" s="14" t="str">
        <f>IF(J2715="","7. Acima de 2 km",IF(J2715&lt;=50,"1. Até 50 m",IF(J2715&lt;=100,"2. De 50 a 100 m",IF(J2715&lt;=200,"3. De 100 a 200 m",IF(J2715&lt;=300,"4. De 200 a 300 m",IF(J2715&lt;=500,"5. De 300 a 500 m","6. De 500 m a 2 km"))))))</f>
        <v>5. De 300 a 500 m</v>
      </c>
      <c r="L2715" s="26" t="n">
        <v>0</v>
      </c>
      <c r="M2715" s="26" t="n">
        <v>0</v>
      </c>
      <c r="N2715" s="26" t="n">
        <v>0</v>
      </c>
      <c r="O2715" s="26" t="n">
        <v>0</v>
      </c>
      <c r="P2715" s="30" t="n">
        <v>-12.8048733</v>
      </c>
      <c r="Q2715" s="30" t="n">
        <v>-38.3916</v>
      </c>
      <c r="R2715" s="14" t="inlineStr">
        <is>
          <t xml:space="preserve"> FÓRUM PROFESSOR JOSAPHAT MARINHO, AV. ALTAMIRANDO ARAÚJO RAMOS, S/N, CENTRO, SIMÕES FILHO/BA</t>
        </is>
      </c>
      <c r="S2715" s="26">
        <f>IF(A2715=A2714,0,1)</f>
        <v>0</v>
      </c>
      <c r="T2715" s="26">
        <f>IF(COUNTIF($B$4:B2715,B2715)=1,1,0)</f>
        <v>0</v>
      </c>
    </row>
    <row r="2716">
      <c r="A2716" s="14" t="inlineStr">
        <is>
          <t>SIMÕES FILHO</t>
        </is>
      </c>
      <c r="B2716" s="26" t="n">
        <v>33</v>
      </c>
      <c r="C2716" s="26" t="n">
        <v>1430</v>
      </c>
      <c r="D2716" s="14" t="inlineStr">
        <is>
          <t>CRECHE ÁUREA NASCIMENTO</t>
        </is>
      </c>
      <c r="E2716" s="14" t="inlineStr">
        <is>
          <t>SIMÕES FILHO I</t>
        </is>
      </c>
      <c r="F2716" s="14" t="inlineStr">
        <is>
          <t>RUA PEDRO CERQUEIRA, S/N - LOT BIG ÁUREA - ZONA URBANA</t>
        </is>
      </c>
      <c r="G2716" s="27" t="inlineStr">
        <is>
          <t>43707-650</t>
        </is>
      </c>
      <c r="H2716" s="15" t="n">
        <v>5</v>
      </c>
      <c r="I2716" s="28" t="inlineStr">
        <is>
          <t>NÃO</t>
        </is>
      </c>
      <c r="J2716" s="29" t="n"/>
      <c r="K2716" s="14" t="str">
        <f>IF(J2716="","7. Acima de 2 km",IF(J2716&lt;=50,"1. Até 50 m",IF(J2716&lt;=100,"2. De 50 a 100 m",IF(J2716&lt;=200,"3. De 100 a 200 m",IF(J2716&lt;=300,"4. De 200 a 300 m",IF(J2716&lt;=500,"5. De 300 a 500 m","6. De 500 m a 2 km"))))))</f>
        <v>7. Acima de 2 km</v>
      </c>
      <c r="L2716" s="26" t="n">
        <v>0</v>
      </c>
      <c r="M2716" s="26" t="n">
        <v>0</v>
      </c>
      <c r="N2716" s="26" t="n">
        <v>0</v>
      </c>
      <c r="O2716" s="26" t="n">
        <v>0</v>
      </c>
      <c r="P2716" s="30" t="n">
        <v>-12.7846443</v>
      </c>
      <c r="Q2716" s="30" t="n">
        <v>-38.3743024</v>
      </c>
      <c r="R2716" s="14" t="inlineStr">
        <is>
          <t xml:space="preserve"> FÓRUM PROFESSOR JOSAPHAT MARINHO, AV. ALTAMIRANDO ARAÚJO RAMOS, S/N, CENTRO, SIMÕES FILHO/BA</t>
        </is>
      </c>
      <c r="S2716" s="26">
        <f>IF(A2716=A2715,0,1)</f>
        <v>0</v>
      </c>
      <c r="T2716" s="26">
        <f>IF(COUNTIF($B$4:B2716,B2716)=1,1,0)</f>
        <v>0</v>
      </c>
    </row>
    <row r="2717">
      <c r="A2717" s="14" t="inlineStr">
        <is>
          <t>SIMÕES FILHO</t>
        </is>
      </c>
      <c r="B2717" s="26" t="n">
        <v>33</v>
      </c>
      <c r="C2717" s="26" t="n">
        <v>1457</v>
      </c>
      <c r="D2717" s="14" t="inlineStr">
        <is>
          <t>INSTITUTO FEDERAL DE EDUCAÇÃO, CIÊNCIA E TECNOLOGIA DA BAHIA</t>
        </is>
      </c>
      <c r="E2717" s="14" t="inlineStr">
        <is>
          <t>PITANGUINHA</t>
        </is>
      </c>
      <c r="F2717" s="14" t="inlineStr">
        <is>
          <t>VIA UNIVERSITÁRIA - CIA II</t>
        </is>
      </c>
      <c r="G2717" s="27" t="inlineStr">
        <is>
          <t>43715-080</t>
        </is>
      </c>
      <c r="H2717" s="15" t="n">
        <v>5</v>
      </c>
      <c r="I2717" s="28" t="inlineStr">
        <is>
          <t>NÃO</t>
        </is>
      </c>
      <c r="J2717" s="29" t="n">
        <v>1051.6</v>
      </c>
      <c r="K2717" s="14" t="str">
        <f>IF(J2717="","7. Acima de 2 km",IF(J2717&lt;=50,"1. Até 50 m",IF(J2717&lt;=100,"2. De 50 a 100 m",IF(J2717&lt;=200,"3. De 100 a 200 m",IF(J2717&lt;=300,"4. De 200 a 300 m",IF(J2717&lt;=500,"5. De 300 a 500 m","6. De 500 m a 2 km"))))))</f>
        <v>6. De 500 m a 2 km</v>
      </c>
      <c r="L2717" s="26" t="n">
        <v>0</v>
      </c>
      <c r="M2717" s="26" t="n">
        <v>0</v>
      </c>
      <c r="N2717" s="26" t="n">
        <v>0</v>
      </c>
      <c r="O2717" s="26" t="n">
        <v>0</v>
      </c>
      <c r="P2717" s="30" t="n">
        <v>-12.8074932</v>
      </c>
      <c r="Q2717" s="30" t="n">
        <v>-38.3826401</v>
      </c>
      <c r="R2717" s="14" t="inlineStr">
        <is>
          <t xml:space="preserve"> FÓRUM PROFESSOR JOSAPHAT MARINHO, AV. ALTAMIRANDO ARAÚJO RAMOS, S/N, CENTRO, SIMÕES FILHO/BA</t>
        </is>
      </c>
      <c r="S2717" s="26">
        <f>IF(A2717=A2716,0,1)</f>
        <v>0</v>
      </c>
      <c r="T2717" s="26">
        <f>IF(COUNTIF($B$4:B2717,B2717)=1,1,0)</f>
        <v>0</v>
      </c>
    </row>
    <row r="2718">
      <c r="A2718" s="14" t="inlineStr">
        <is>
          <t>SIMÕES FILHO</t>
        </is>
      </c>
      <c r="B2718" s="26" t="n">
        <v>33</v>
      </c>
      <c r="C2718" s="26" t="n">
        <v>1465</v>
      </c>
      <c r="D2718" s="14" t="inlineStr">
        <is>
          <t>CRECHE ESCOLA MUNICIPAL SOFIA AUGUSTA DE SOUZA</t>
        </is>
      </c>
      <c r="E2718" s="14" t="inlineStr">
        <is>
          <t>SIMÕES FILHO I</t>
        </is>
      </c>
      <c r="F2718" s="14" t="inlineStr">
        <is>
          <t>RUA Q, S/N, CONJUNTO SIMÕES FILHO I - ZONA URBANA</t>
        </is>
      </c>
      <c r="G2718" s="27" t="inlineStr">
        <is>
          <t>43700-000</t>
        </is>
      </c>
      <c r="H2718" s="15" t="n">
        <v>2</v>
      </c>
      <c r="I2718" s="28" t="inlineStr">
        <is>
          <t>NÃO</t>
        </is>
      </c>
      <c r="J2718" s="29" t="n"/>
      <c r="K2718" s="14" t="str">
        <f>IF(J2718="","7. Acima de 2 km",IF(J2718&lt;=50,"1. Até 50 m",IF(J2718&lt;=100,"2. De 50 a 100 m",IF(J2718&lt;=200,"3. De 100 a 200 m",IF(J2718&lt;=300,"4. De 200 a 300 m",IF(J2718&lt;=500,"5. De 300 a 500 m","6. De 500 m a 2 km"))))))</f>
        <v>7. Acima de 2 km</v>
      </c>
      <c r="L2718" s="26" t="n">
        <v>0</v>
      </c>
      <c r="M2718" s="26" t="n">
        <v>0</v>
      </c>
      <c r="N2718" s="26" t="n">
        <v>0</v>
      </c>
      <c r="O2718" s="26" t="n">
        <v>0</v>
      </c>
      <c r="P2718" s="30" t="n">
        <v>-12.7838494</v>
      </c>
      <c r="Q2718" s="30" t="n">
        <v>-38.3708748</v>
      </c>
      <c r="R2718" s="14" t="inlineStr">
        <is>
          <t xml:space="preserve"> FÓRUM PROFESSOR JOSAPHAT MARINHO, AV. ALTAMIRANDO ARAÚJO RAMOS, S/N, CENTRO, SIMÕES FILHO/BA</t>
        </is>
      </c>
      <c r="S2718" s="26">
        <f>IF(A2718=A2717,0,1)</f>
        <v>0</v>
      </c>
      <c r="T2718" s="26">
        <f>IF(COUNTIF($B$4:B2718,B2718)=1,1,0)</f>
        <v>0</v>
      </c>
    </row>
    <row r="2719">
      <c r="A2719" s="14" t="inlineStr">
        <is>
          <t>SIMÕES FILHO</t>
        </is>
      </c>
      <c r="B2719" s="26" t="n">
        <v>33</v>
      </c>
      <c r="C2719" s="26" t="n">
        <v>1473</v>
      </c>
      <c r="D2719" s="14" t="inlineStr">
        <is>
          <t>ESCOLA MUNICIPAL CENTRO COMUNITÁRIO CRISTO REI</t>
        </is>
      </c>
      <c r="E2719" s="14" t="inlineStr">
        <is>
          <t>CRISTO REI</t>
        </is>
      </c>
      <c r="F2719" s="14" t="inlineStr">
        <is>
          <t>RUA ALMIRANTE BARROSO, S/N - ZONA URBANA</t>
        </is>
      </c>
      <c r="G2719" s="27" t="inlineStr">
        <is>
          <t>43703-075</t>
        </is>
      </c>
      <c r="H2719" s="15" t="n">
        <v>3</v>
      </c>
      <c r="I2719" s="28" t="inlineStr">
        <is>
          <t>NÃO</t>
        </is>
      </c>
      <c r="J2719" s="29" t="n">
        <v>934.2</v>
      </c>
      <c r="K2719" s="14" t="str">
        <f>IF(J2719="","7. Acima de 2 km",IF(J2719&lt;=50,"1. Até 50 m",IF(J2719&lt;=100,"2. De 50 a 100 m",IF(J2719&lt;=200,"3. De 100 a 200 m",IF(J2719&lt;=300,"4. De 200 a 300 m",IF(J2719&lt;=500,"5. De 300 a 500 m","6. De 500 m a 2 km"))))))</f>
        <v>6. De 500 m a 2 km</v>
      </c>
      <c r="L2719" s="26" t="n">
        <v>0</v>
      </c>
      <c r="M2719" s="26" t="n">
        <v>0</v>
      </c>
      <c r="N2719" s="26" t="n">
        <v>0</v>
      </c>
      <c r="O2719" s="26" t="n">
        <v>0</v>
      </c>
      <c r="P2719" s="30" t="n">
        <v>-12.7763225</v>
      </c>
      <c r="Q2719" s="30" t="n">
        <v>-38.3972674</v>
      </c>
      <c r="R2719" s="14" t="inlineStr">
        <is>
          <t xml:space="preserve"> FÓRUM PROFESSOR JOSAPHAT MARINHO, AV. ALTAMIRANDO ARAÚJO RAMOS, S/N, CENTRO, SIMÕES FILHO/BA</t>
        </is>
      </c>
      <c r="S2719" s="26">
        <f>IF(A2719=A2718,0,1)</f>
        <v>0</v>
      </c>
      <c r="T2719" s="26">
        <f>IF(COUNTIF($B$4:B2719,B2719)=1,1,0)</f>
        <v>0</v>
      </c>
    </row>
    <row r="2720">
      <c r="A2720" s="14" t="inlineStr">
        <is>
          <t>SIMÕES FILHO</t>
        </is>
      </c>
      <c r="B2720" s="26" t="n">
        <v>33</v>
      </c>
      <c r="C2720" s="26" t="n">
        <v>1481</v>
      </c>
      <c r="D2720" s="14" t="inlineStr">
        <is>
          <t>ESCOLA MUNICIPAL PROFESSORA JUCIETE SOUZA MOTA SOARES</t>
        </is>
      </c>
      <c r="E2720" s="14" t="inlineStr">
        <is>
          <t>CIA I</t>
        </is>
      </c>
      <c r="F2720" s="14" t="inlineStr">
        <is>
          <t>AVENIDA RIVALDO GOMES GUIMARÃES, S/N, QUADRA 5 - CIA I</t>
        </is>
      </c>
      <c r="G2720" s="27" t="inlineStr">
        <is>
          <t>43715-865</t>
        </is>
      </c>
      <c r="H2720" s="15" t="n">
        <v>5</v>
      </c>
      <c r="I2720" s="28" t="inlineStr">
        <is>
          <t>NÃO</t>
        </is>
      </c>
      <c r="J2720" s="29" t="n">
        <v>372.2</v>
      </c>
      <c r="K2720" s="14" t="str">
        <f>IF(J2720="","7. Acima de 2 km",IF(J2720&lt;=50,"1. Até 50 m",IF(J2720&lt;=100,"2. De 50 a 100 m",IF(J2720&lt;=200,"3. De 100 a 200 m",IF(J2720&lt;=300,"4. De 200 a 300 m",IF(J2720&lt;=500,"5. De 300 a 500 m","6. De 500 m a 2 km"))))))</f>
        <v>5. De 300 a 500 m</v>
      </c>
      <c r="L2720" s="26" t="n">
        <v>0</v>
      </c>
      <c r="M2720" s="26" t="n">
        <v>0</v>
      </c>
      <c r="N2720" s="26" t="n">
        <v>0</v>
      </c>
      <c r="O2720" s="26" t="n">
        <v>0</v>
      </c>
      <c r="P2720" s="30" t="n">
        <v>-12.8091899</v>
      </c>
      <c r="Q2720" s="30" t="n">
        <v>-38.396707</v>
      </c>
      <c r="R2720" s="14" t="inlineStr">
        <is>
          <t xml:space="preserve"> FÓRUM PROFESSOR JOSAPHAT MARINHO, AV. ALTAMIRANDO ARAÚJO RAMOS, S/N, CENTRO, SIMÕES FILHO/BA</t>
        </is>
      </c>
      <c r="S2720" s="26">
        <f>IF(A2720=A2719,0,1)</f>
        <v>0</v>
      </c>
      <c r="T2720" s="26">
        <f>IF(COUNTIF($B$4:B2720,B2720)=1,1,0)</f>
        <v>0</v>
      </c>
    </row>
    <row r="2721">
      <c r="A2721" s="14" t="inlineStr">
        <is>
          <t>SIMÕES FILHO</t>
        </is>
      </c>
      <c r="B2721" s="26" t="n">
        <v>33</v>
      </c>
      <c r="C2721" s="26" t="n">
        <v>1490</v>
      </c>
      <c r="D2721" s="14" t="inlineStr">
        <is>
          <t>ESCOLA MUNICIPAL ANTÔNIO CARLOS MAGALHÃES</t>
        </is>
      </c>
      <c r="E2721" s="14" t="inlineStr">
        <is>
          <t>TIRO SEGURO</t>
        </is>
      </c>
      <c r="F2721" s="14" t="inlineStr">
        <is>
          <t>AVENIDA CAMAÇARI, N. 270 - ZONA URBANA</t>
        </is>
      </c>
      <c r="G2721" s="27" t="inlineStr">
        <is>
          <t>43706-855</t>
        </is>
      </c>
      <c r="H2721" s="15" t="n">
        <v>1</v>
      </c>
      <c r="I2721" s="28" t="inlineStr">
        <is>
          <t>NÃO</t>
        </is>
      </c>
      <c r="J2721" s="29" t="n">
        <v>1078.6</v>
      </c>
      <c r="K2721" s="14" t="str">
        <f>IF(J2721="","7. Acima de 2 km",IF(J2721&lt;=50,"1. Até 50 m",IF(J2721&lt;=100,"2. De 50 a 100 m",IF(J2721&lt;=200,"3. De 100 a 200 m",IF(J2721&lt;=300,"4. De 200 a 300 m",IF(J2721&lt;=500,"5. De 300 a 500 m","6. De 500 m a 2 km"))))))</f>
        <v>6. De 500 m a 2 km</v>
      </c>
      <c r="L2721" s="26" t="n">
        <v>0</v>
      </c>
      <c r="M2721" s="26" t="n">
        <v>0</v>
      </c>
      <c r="N2721" s="26" t="n">
        <v>0</v>
      </c>
      <c r="O2721" s="26" t="n">
        <v>0</v>
      </c>
      <c r="P2721" s="30" t="n">
        <v>-12.7810739</v>
      </c>
      <c r="Q2721" s="30" t="n">
        <v>-38.3854031</v>
      </c>
      <c r="R2721" s="14" t="inlineStr">
        <is>
          <t xml:space="preserve"> FÓRUM PROFESSOR JOSAPHAT MARINHO, AV. ALTAMIRANDO ARAÚJO RAMOS, S/N, CENTRO, SIMÕES FILHO/BA</t>
        </is>
      </c>
      <c r="S2721" s="26">
        <f>IF(A2721=A2720,0,1)</f>
        <v>0</v>
      </c>
      <c r="T2721" s="26">
        <f>IF(COUNTIF($B$4:B2721,B2721)=1,1,0)</f>
        <v>0</v>
      </c>
    </row>
    <row r="2722">
      <c r="A2722" s="14" t="inlineStr">
        <is>
          <t>SIMÕES FILHO</t>
        </is>
      </c>
      <c r="B2722" s="26" t="n">
        <v>33</v>
      </c>
      <c r="C2722" s="26" t="n">
        <v>1503</v>
      </c>
      <c r="D2722" s="14" t="inlineStr">
        <is>
          <t>ESCOLA MUNICIPAL SEVERIANO JOSÉ DE OLIVEIRA</t>
        </is>
      </c>
      <c r="E2722" s="14" t="inlineStr">
        <is>
          <t>SANTO ANTÔNIO DO RIO DAS PEDRAS</t>
        </is>
      </c>
      <c r="F2722" s="14" t="inlineStr">
        <is>
          <t>RUA IPITANGA II, S/N - ZONA RURAL</t>
        </is>
      </c>
      <c r="G2722" s="27" t="inlineStr">
        <is>
          <t>43723-050</t>
        </is>
      </c>
      <c r="H2722" s="15" t="n">
        <v>1</v>
      </c>
      <c r="I2722" s="28" t="inlineStr">
        <is>
          <t>NÃO</t>
        </is>
      </c>
      <c r="J2722" s="29" t="n"/>
      <c r="K2722" s="14" t="str">
        <f>IF(J2722="","7. Acima de 2 km",IF(J2722&lt;=50,"1. Até 50 m",IF(J2722&lt;=100,"2. De 50 a 100 m",IF(J2722&lt;=200,"3. De 100 a 200 m",IF(J2722&lt;=300,"4. De 200 a 300 m",IF(J2722&lt;=500,"5. De 300 a 500 m","6. De 500 m a 2 km"))))))</f>
        <v>7. Acima de 2 km</v>
      </c>
      <c r="L2722" s="26" t="n">
        <v>0</v>
      </c>
      <c r="M2722" s="26" t="n">
        <v>0</v>
      </c>
      <c r="N2722" s="26" t="n">
        <v>0</v>
      </c>
      <c r="O2722" s="26" t="n">
        <v>0</v>
      </c>
      <c r="P2722" s="30" t="n">
        <v>-12.851264</v>
      </c>
      <c r="Q2722" s="30" t="n">
        <v>-38.4097255</v>
      </c>
      <c r="R2722" s="14" t="inlineStr">
        <is>
          <t xml:space="preserve"> FÓRUM PROFESSOR JOSAPHAT MARINHO, AV. ALTAMIRANDO ARAÚJO RAMOS, S/N, CENTRO, SIMÕES FILHO/BA</t>
        </is>
      </c>
      <c r="S2722" s="26">
        <f>IF(A2722=A2721,0,1)</f>
        <v>0</v>
      </c>
      <c r="T2722" s="26">
        <f>IF(COUNTIF($B$4:B2722,B2722)=1,1,0)</f>
        <v>0</v>
      </c>
    </row>
    <row r="2723">
      <c r="A2723" s="14" t="inlineStr">
        <is>
          <t>TABOCAS DO BREJO VELHO</t>
        </is>
      </c>
      <c r="B2723" s="26" t="n">
        <v>190</v>
      </c>
      <c r="C2723" s="26" t="n">
        <v>1015</v>
      </c>
      <c r="D2723" s="14" t="inlineStr">
        <is>
          <t>PREDIO ESCOLAR MAGALHAES NETO</t>
        </is>
      </c>
      <c r="E2723" s="14" t="inlineStr">
        <is>
          <t>CENTRO</t>
        </is>
      </c>
      <c r="F2723" s="14" t="inlineStr">
        <is>
          <t>PRACA NOVA -  ZONA URBANA</t>
        </is>
      </c>
      <c r="G2723" s="27" t="inlineStr">
        <is>
          <t>47760-000</t>
        </is>
      </c>
      <c r="H2723" s="15" t="n">
        <v>4</v>
      </c>
      <c r="I2723" s="28" t="inlineStr">
        <is>
          <t>NÃO</t>
        </is>
      </c>
      <c r="J2723" s="29" t="n">
        <v>169.2</v>
      </c>
      <c r="K2723" s="14" t="str">
        <f>IF(J2723="","7. Acima de 2 km",IF(J2723&lt;=50,"1. Até 50 m",IF(J2723&lt;=100,"2. De 50 a 100 m",IF(J2723&lt;=200,"3. De 100 a 200 m",IF(J2723&lt;=300,"4. De 200 a 300 m",IF(J2723&lt;=500,"5. De 300 a 500 m","6. De 500 m a 2 km"))))))</f>
        <v>3. De 100 a 200 m</v>
      </c>
      <c r="L2723" s="26" t="n">
        <v>0</v>
      </c>
      <c r="M2723" s="26" t="n">
        <v>0</v>
      </c>
      <c r="N2723" s="26" t="n">
        <v>2</v>
      </c>
      <c r="O2723" s="26" t="n">
        <v>3</v>
      </c>
      <c r="P2723" s="30" t="n">
        <v>-12.7038655</v>
      </c>
      <c r="Q2723" s="30" t="n">
        <v>-44.0102552</v>
      </c>
      <c r="R2723" s="14" t="inlineStr">
        <is>
          <t>FORUM DESEMBARGADOR DR. GERSON PEREIRA DOS SANTOS, PRAÇA PEDRO JOSE DE AQUINO, S/N, SERRA DOURADA/BA</t>
        </is>
      </c>
      <c r="S2723" s="26">
        <f>IF(A2723=A2722,0,1)</f>
        <v>1</v>
      </c>
      <c r="T2723" s="26">
        <f>IF(COUNTIF($B$4:B2723,B2723)=1,1,0)</f>
        <v>0</v>
      </c>
    </row>
    <row r="2724">
      <c r="A2724" s="14" t="inlineStr">
        <is>
          <t>TABOCAS DO BREJO VELHO</t>
        </is>
      </c>
      <c r="B2724" s="26" t="n">
        <v>190</v>
      </c>
      <c r="C2724" s="26" t="n">
        <v>1031</v>
      </c>
      <c r="D2724" s="14" t="inlineStr">
        <is>
          <t>PREDIO ESCOLAR MANOEL MESSIAS</t>
        </is>
      </c>
      <c r="E2724" s="14" t="inlineStr">
        <is>
          <t>CENTRO</t>
        </is>
      </c>
      <c r="F2724" s="14" t="inlineStr">
        <is>
          <t>PRACA MANOEL MESSIAS -  ZONA URBANA</t>
        </is>
      </c>
      <c r="G2724" s="27" t="inlineStr">
        <is>
          <t>47760-000</t>
        </is>
      </c>
      <c r="H2724" s="15" t="n">
        <v>6</v>
      </c>
      <c r="I2724" s="28" t="inlineStr">
        <is>
          <t>NÃO</t>
        </is>
      </c>
      <c r="J2724" s="29" t="n">
        <v>173.3</v>
      </c>
      <c r="K2724" s="14" t="str">
        <f>IF(J2724="","7. Acima de 2 km",IF(J2724&lt;=50,"1. Até 50 m",IF(J2724&lt;=100,"2. De 50 a 100 m",IF(J2724&lt;=200,"3. De 100 a 200 m",IF(J2724&lt;=300,"4. De 200 a 300 m",IF(J2724&lt;=500,"5. De 300 a 500 m","6. De 500 m a 2 km"))))))</f>
        <v>3. De 100 a 200 m</v>
      </c>
      <c r="L2724" s="26" t="n">
        <v>0</v>
      </c>
      <c r="M2724" s="26" t="n">
        <v>0</v>
      </c>
      <c r="N2724" s="26" t="n">
        <v>1</v>
      </c>
      <c r="O2724" s="26" t="n">
        <v>1</v>
      </c>
      <c r="P2724" s="30" t="n">
        <v>-12.7026571</v>
      </c>
      <c r="Q2724" s="30" t="n">
        <v>-44.0051314</v>
      </c>
      <c r="R2724" s="14" t="inlineStr">
        <is>
          <t>FORUM DESEMBARGADOR DR. GERSON PEREIRA DOS SANTOS, PRAÇA PEDRO JOSE DE AQUINO, S/N, SERRA DOURADA/BA</t>
        </is>
      </c>
      <c r="S2724" s="26">
        <f>IF(A2724=A2723,0,1)</f>
        <v>0</v>
      </c>
      <c r="T2724" s="26">
        <f>IF(COUNTIF($B$4:B2724,B2724)=1,1,0)</f>
        <v>0</v>
      </c>
    </row>
    <row r="2725">
      <c r="A2725" s="14" t="inlineStr">
        <is>
          <t>TABOCAS DO BREJO VELHO</t>
        </is>
      </c>
      <c r="B2725" s="26" t="n">
        <v>190</v>
      </c>
      <c r="C2725" s="26" t="n">
        <v>1040</v>
      </c>
      <c r="D2725" s="14" t="inlineStr">
        <is>
          <t>PREDIO ESCOLAR REINO DA ALEGRIA</t>
        </is>
      </c>
      <c r="E2725" s="14" t="inlineStr">
        <is>
          <t>CENTRO</t>
        </is>
      </c>
      <c r="F2725" s="14" t="inlineStr">
        <is>
          <t>PRACA 21 DE MARCO -  ZONA URBANA</t>
        </is>
      </c>
      <c r="G2725" s="27" t="inlineStr">
        <is>
          <t>47760-000</t>
        </is>
      </c>
      <c r="H2725" s="15" t="n">
        <v>4</v>
      </c>
      <c r="I2725" s="28" t="inlineStr">
        <is>
          <t>NÃO</t>
        </is>
      </c>
      <c r="J2725" s="29" t="n">
        <v>218</v>
      </c>
      <c r="K2725" s="14" t="str">
        <f>IF(J2725="","7. Acima de 2 km",IF(J2725&lt;=50,"1. Até 50 m",IF(J2725&lt;=100,"2. De 50 a 100 m",IF(J2725&lt;=200,"3. De 100 a 200 m",IF(J2725&lt;=300,"4. De 200 a 300 m",IF(J2725&lt;=500,"5. De 300 a 500 m","6. De 500 m a 2 km"))))))</f>
        <v>4. De 200 a 300 m</v>
      </c>
      <c r="L2725" s="26" t="n">
        <v>0</v>
      </c>
      <c r="M2725" s="26" t="n">
        <v>0</v>
      </c>
      <c r="N2725" s="26" t="n">
        <v>0</v>
      </c>
      <c r="O2725" s="26" t="n">
        <v>2</v>
      </c>
      <c r="P2725" s="30" t="n">
        <v>-12.7027309</v>
      </c>
      <c r="Q2725" s="30" t="n">
        <v>-44.0090889</v>
      </c>
      <c r="R2725" s="14" t="inlineStr">
        <is>
          <t>FORUM DESEMBARGADOR DR. GERSON PEREIRA DOS SANTOS, PRAÇA PEDRO JOSE DE AQUINO, S/N, SERRA DOURADA/BA</t>
        </is>
      </c>
      <c r="S2725" s="26">
        <f>IF(A2725=A2724,0,1)</f>
        <v>0</v>
      </c>
      <c r="T2725" s="26">
        <f>IF(COUNTIF($B$4:B2725,B2725)=1,1,0)</f>
        <v>0</v>
      </c>
    </row>
    <row r="2726">
      <c r="A2726" s="14" t="inlineStr">
        <is>
          <t>TABOCAS DO BREJO VELHO</t>
        </is>
      </c>
      <c r="B2726" s="26" t="n">
        <v>190</v>
      </c>
      <c r="C2726" s="26" t="n">
        <v>1074</v>
      </c>
      <c r="D2726" s="14" t="inlineStr">
        <is>
          <t>PREDIO ESCOLAR EURICO GASPAR DUTRA</t>
        </is>
      </c>
      <c r="E2726" s="14" t="inlineStr">
        <is>
          <t>DISTRITO MARIQUITA</t>
        </is>
      </c>
      <c r="F2726" s="14" t="inlineStr">
        <is>
          <t>DISTRITO MARIQUITA -  ZONA RURAL</t>
        </is>
      </c>
      <c r="G2726" s="27" t="inlineStr">
        <is>
          <t>47760-000</t>
        </is>
      </c>
      <c r="H2726" s="15" t="n">
        <v>3</v>
      </c>
      <c r="I2726" s="28" t="inlineStr">
        <is>
          <t>NÃO</t>
        </is>
      </c>
      <c r="J2726" s="29" t="n"/>
      <c r="K2726" s="14" t="str">
        <f>IF(J2726="","7. Acima de 2 km",IF(J2726&lt;=50,"1. Até 50 m",IF(J2726&lt;=100,"2. De 50 a 100 m",IF(J2726&lt;=200,"3. De 100 a 200 m",IF(J2726&lt;=300,"4. De 200 a 300 m",IF(J2726&lt;=500,"5. De 300 a 500 m","6. De 500 m a 2 km"))))))</f>
        <v>7. Acima de 2 km</v>
      </c>
      <c r="L2726" s="26" t="n">
        <v>0</v>
      </c>
      <c r="M2726" s="26" t="n">
        <v>0</v>
      </c>
      <c r="N2726" s="26" t="n">
        <v>0</v>
      </c>
      <c r="O2726" s="26" t="n">
        <v>0</v>
      </c>
      <c r="P2726" s="30" t="n">
        <v>-12.4053968</v>
      </c>
      <c r="Q2726" s="30" t="n">
        <v>-44.23741</v>
      </c>
      <c r="R2726" s="14" t="inlineStr">
        <is>
          <t>FORUM DESEMBARGADOR DR. GERSON PEREIRA DOS SANTOS, PRAÇA PEDRO JOSE DE AQUINO, S/N, SERRA DOURADA/BA</t>
        </is>
      </c>
      <c r="S2726" s="26">
        <f>IF(A2726=A2725,0,1)</f>
        <v>0</v>
      </c>
      <c r="T2726" s="26">
        <f>IF(COUNTIF($B$4:B2726,B2726)=1,1,0)</f>
        <v>0</v>
      </c>
    </row>
    <row r="2727">
      <c r="A2727" s="14" t="inlineStr">
        <is>
          <t>TABOCAS DO BREJO VELHO</t>
        </is>
      </c>
      <c r="B2727" s="26" t="n">
        <v>190</v>
      </c>
      <c r="C2727" s="26" t="n">
        <v>1112</v>
      </c>
      <c r="D2727" s="14" t="inlineStr">
        <is>
          <t>PREDIO ESCOLAR JOAQUIM PEDRO DA SILVA</t>
        </is>
      </c>
      <c r="E2727" s="14" t="inlineStr">
        <is>
          <t>POVOADO BARRA DO PEIXINHO</t>
        </is>
      </c>
      <c r="F2727" s="14" t="inlineStr">
        <is>
          <t>POVOADO BARRA DO PEIXINHO -  ZONA RURAL</t>
        </is>
      </c>
      <c r="G2727" s="27" t="inlineStr">
        <is>
          <t>47760-000</t>
        </is>
      </c>
      <c r="H2727" s="15" t="n">
        <v>5</v>
      </c>
      <c r="I2727" s="28" t="inlineStr">
        <is>
          <t>NÃO</t>
        </is>
      </c>
      <c r="J2727" s="29" t="n"/>
      <c r="K2727" s="14" t="str">
        <f>IF(J2727="","7. Acima de 2 km",IF(J2727&lt;=50,"1. Até 50 m",IF(J2727&lt;=100,"2. De 50 a 100 m",IF(J2727&lt;=200,"3. De 100 a 200 m",IF(J2727&lt;=300,"4. De 200 a 300 m",IF(J2727&lt;=500,"5. De 300 a 500 m","6. De 500 m a 2 km"))))))</f>
        <v>7. Acima de 2 km</v>
      </c>
      <c r="L2727" s="26" t="n">
        <v>0</v>
      </c>
      <c r="M2727" s="26" t="n">
        <v>0</v>
      </c>
      <c r="N2727" s="26" t="n">
        <v>0</v>
      </c>
      <c r="O2727" s="26" t="n">
        <v>0</v>
      </c>
      <c r="P2727" s="30" t="n">
        <v>-12.3594628</v>
      </c>
      <c r="Q2727" s="30" t="n">
        <v>-44.2733706</v>
      </c>
      <c r="R2727" s="14" t="inlineStr">
        <is>
          <t>FORUM DESEMBARGADOR DR. GERSON PEREIRA DOS SANTOS, PRAÇA PEDRO JOSE DE AQUINO, S/N, SERRA DOURADA/BA</t>
        </is>
      </c>
      <c r="S2727" s="26">
        <f>IF(A2727=A2726,0,1)</f>
        <v>0</v>
      </c>
      <c r="T2727" s="26">
        <f>IF(COUNTIF($B$4:B2727,B2727)=1,1,0)</f>
        <v>0</v>
      </c>
    </row>
    <row r="2728">
      <c r="A2728" s="14" t="inlineStr">
        <is>
          <t>TABOCAS DO BREJO VELHO</t>
        </is>
      </c>
      <c r="B2728" s="26" t="n">
        <v>190</v>
      </c>
      <c r="C2728" s="26" t="n">
        <v>1120</v>
      </c>
      <c r="D2728" s="14" t="inlineStr">
        <is>
          <t>PREDIO ESCOLAR SANTA CRUZ</t>
        </is>
      </c>
      <c r="E2728" s="14" t="inlineStr">
        <is>
          <t>POVOADO BREJINHO ITACARAMBI</t>
        </is>
      </c>
      <c r="F2728" s="14" t="inlineStr">
        <is>
          <t>POVOADO BREJINHO ITACARAMBI -  ZONA RURAL</t>
        </is>
      </c>
      <c r="G2728" s="27" t="inlineStr">
        <is>
          <t>47760-000</t>
        </is>
      </c>
      <c r="H2728" s="15" t="n">
        <v>1</v>
      </c>
      <c r="I2728" s="28" t="inlineStr">
        <is>
          <t>NÃO</t>
        </is>
      </c>
      <c r="J2728" s="29" t="n"/>
      <c r="K2728" s="14" t="str">
        <f>IF(J2728="","7. Acima de 2 km",IF(J2728&lt;=50,"1. Até 50 m",IF(J2728&lt;=100,"2. De 50 a 100 m",IF(J2728&lt;=200,"3. De 100 a 200 m",IF(J2728&lt;=300,"4. De 200 a 300 m",IF(J2728&lt;=500,"5. De 300 a 500 m","6. De 500 m a 2 km"))))))</f>
        <v>7. Acima de 2 km</v>
      </c>
      <c r="L2728" s="26" t="n">
        <v>0</v>
      </c>
      <c r="M2728" s="26" t="n">
        <v>0</v>
      </c>
      <c r="N2728" s="26" t="n">
        <v>0</v>
      </c>
      <c r="O2728" s="26" t="n">
        <v>0</v>
      </c>
      <c r="P2728" s="30" t="n">
        <v>-12.4237307</v>
      </c>
      <c r="Q2728" s="30" t="n">
        <v>-44.1717639</v>
      </c>
      <c r="R2728" s="14" t="inlineStr">
        <is>
          <t>FORUM DESEMBARGADOR DR. GERSON PEREIRA DOS SANTOS, PRAÇA PEDRO JOSE DE AQUINO, S/N, SERRA DOURADA/BA</t>
        </is>
      </c>
      <c r="S2728" s="26">
        <f>IF(A2728=A2727,0,1)</f>
        <v>0</v>
      </c>
      <c r="T2728" s="26">
        <f>IF(COUNTIF($B$4:B2728,B2728)=1,1,0)</f>
        <v>0</v>
      </c>
    </row>
    <row r="2729">
      <c r="A2729" s="14" t="inlineStr">
        <is>
          <t>TABOCAS DO BREJO VELHO</t>
        </is>
      </c>
      <c r="B2729" s="26" t="n">
        <v>190</v>
      </c>
      <c r="C2729" s="26" t="n">
        <v>1139</v>
      </c>
      <c r="D2729" s="14" t="inlineStr">
        <is>
          <t>PREDIO ESCOLAR LUCIA GONCALVES DE ARAUJO</t>
        </is>
      </c>
      <c r="E2729" s="14" t="inlineStr">
        <is>
          <t>POVOADO MUCAMBO</t>
        </is>
      </c>
      <c r="F2729" s="14" t="inlineStr">
        <is>
          <t>POVOADO MUCAMBO -  ZONA RURAL</t>
        </is>
      </c>
      <c r="G2729" s="27" t="inlineStr">
        <is>
          <t>47760-000</t>
        </is>
      </c>
      <c r="H2729" s="15" t="n">
        <v>1</v>
      </c>
      <c r="I2729" s="28" t="inlineStr">
        <is>
          <t>NÃO</t>
        </is>
      </c>
      <c r="J2729" s="29" t="n"/>
      <c r="K2729" s="14" t="str">
        <f>IF(J2729="","7. Acima de 2 km",IF(J2729&lt;=50,"1. Até 50 m",IF(J2729&lt;=100,"2. De 50 a 100 m",IF(J2729&lt;=200,"3. De 100 a 200 m",IF(J2729&lt;=300,"4. De 200 a 300 m",IF(J2729&lt;=500,"5. De 300 a 500 m","6. De 500 m a 2 km"))))))</f>
        <v>7. Acima de 2 km</v>
      </c>
      <c r="L2729" s="26" t="n">
        <v>0</v>
      </c>
      <c r="M2729" s="26" t="n">
        <v>0</v>
      </c>
      <c r="N2729" s="26" t="n">
        <v>0</v>
      </c>
      <c r="O2729" s="26" t="n">
        <v>0</v>
      </c>
      <c r="P2729" s="30" t="n">
        <v>-12.4580431</v>
      </c>
      <c r="Q2729" s="30" t="n">
        <v>-44.3067705</v>
      </c>
      <c r="R2729" s="14" t="inlineStr">
        <is>
          <t>FORUM DESEMBARGADOR DR. GERSON PEREIRA DOS SANTOS, PRAÇA PEDRO JOSE DE AQUINO, S/N, SERRA DOURADA/BA</t>
        </is>
      </c>
      <c r="S2729" s="26">
        <f>IF(A2729=A2728,0,1)</f>
        <v>0</v>
      </c>
      <c r="T2729" s="26">
        <f>IF(COUNTIF($B$4:B2729,B2729)=1,1,0)</f>
        <v>0</v>
      </c>
    </row>
    <row r="2730">
      <c r="A2730" s="14" t="inlineStr">
        <is>
          <t>TABOCAS DO BREJO VELHO</t>
        </is>
      </c>
      <c r="B2730" s="26" t="n">
        <v>190</v>
      </c>
      <c r="C2730" s="26" t="n">
        <v>1147</v>
      </c>
      <c r="D2730" s="14" t="inlineStr">
        <is>
          <t>ESCOLA JOSE BONIFACIO</t>
        </is>
      </c>
      <c r="E2730" s="14" t="inlineStr">
        <is>
          <t>POVOADO NEGRA MINA</t>
        </is>
      </c>
      <c r="F2730" s="14" t="inlineStr">
        <is>
          <t>POVOOADO NEGRA MINA -  ZONA RURAL</t>
        </is>
      </c>
      <c r="G2730" s="27" t="inlineStr">
        <is>
          <t>47760-000</t>
        </is>
      </c>
      <c r="H2730" s="15" t="n">
        <v>2</v>
      </c>
      <c r="I2730" s="28" t="inlineStr">
        <is>
          <t>NÃO</t>
        </is>
      </c>
      <c r="J2730" s="29" t="n"/>
      <c r="K2730" s="14" t="str">
        <f>IF(J2730="","7. Acima de 2 km",IF(J2730&lt;=50,"1. Até 50 m",IF(J2730&lt;=100,"2. De 50 a 100 m",IF(J2730&lt;=200,"3. De 100 a 200 m",IF(J2730&lt;=300,"4. De 200 a 300 m",IF(J2730&lt;=500,"5. De 300 a 500 m","6. De 500 m a 2 km"))))))</f>
        <v>7. Acima de 2 km</v>
      </c>
      <c r="L2730" s="26" t="n">
        <v>0</v>
      </c>
      <c r="M2730" s="26" t="n">
        <v>0</v>
      </c>
      <c r="N2730" s="26" t="n">
        <v>0</v>
      </c>
      <c r="O2730" s="26" t="n">
        <v>0</v>
      </c>
      <c r="P2730" s="30" t="n">
        <v>-12.6247313</v>
      </c>
      <c r="Q2730" s="30" t="n">
        <v>-44.2022945</v>
      </c>
      <c r="R2730" s="14" t="inlineStr">
        <is>
          <t>FORUM DESEMBARGADOR DR. GERSON PEREIRA DOS SANTOS, PRAÇA PEDRO JOSE DE AQUINO, S/N, SERRA DOURADA/BA</t>
        </is>
      </c>
      <c r="S2730" s="26">
        <f>IF(A2730=A2729,0,1)</f>
        <v>0</v>
      </c>
      <c r="T2730" s="26">
        <f>IF(COUNTIF($B$4:B2730,B2730)=1,1,0)</f>
        <v>0</v>
      </c>
    </row>
    <row r="2731">
      <c r="A2731" s="14" t="inlineStr">
        <is>
          <t>TABOCAS DO BREJO VELHO</t>
        </is>
      </c>
      <c r="B2731" s="26" t="n">
        <v>190</v>
      </c>
      <c r="C2731" s="26" t="n">
        <v>1155</v>
      </c>
      <c r="D2731" s="14" t="inlineStr">
        <is>
          <t>PREDIO ESCOLAR SAO JORGE</t>
        </is>
      </c>
      <c r="E2731" s="14" t="inlineStr">
        <is>
          <t>POVOADO CABECEIRINHA</t>
        </is>
      </c>
      <c r="F2731" s="14" t="inlineStr">
        <is>
          <t>POVOADO CABECEIRINHA -  ZONA RURAL</t>
        </is>
      </c>
      <c r="G2731" s="27" t="inlineStr">
        <is>
          <t>47760-000</t>
        </is>
      </c>
      <c r="H2731" s="15" t="n">
        <v>3</v>
      </c>
      <c r="I2731" s="28" t="inlineStr">
        <is>
          <t>NÃO</t>
        </is>
      </c>
      <c r="J2731" s="29" t="n"/>
      <c r="K2731" s="14" t="str">
        <f>IF(J2731="","7. Acima de 2 km",IF(J2731&lt;=50,"1. Até 50 m",IF(J2731&lt;=100,"2. De 50 a 100 m",IF(J2731&lt;=200,"3. De 100 a 200 m",IF(J2731&lt;=300,"4. De 200 a 300 m",IF(J2731&lt;=500,"5. De 300 a 500 m","6. De 500 m a 2 km"))))))</f>
        <v>7. Acima de 2 km</v>
      </c>
      <c r="L2731" s="26" t="n">
        <v>0</v>
      </c>
      <c r="M2731" s="26" t="n">
        <v>0</v>
      </c>
      <c r="N2731" s="26" t="n">
        <v>0</v>
      </c>
      <c r="O2731" s="26" t="n">
        <v>0</v>
      </c>
      <c r="P2731" s="30" t="n">
        <v>-12.7345194</v>
      </c>
      <c r="Q2731" s="30" t="n">
        <v>-44.1365506</v>
      </c>
      <c r="R2731" s="14" t="inlineStr">
        <is>
          <t>FORUM DESEMBARGADOR DR. GERSON PEREIRA DOS SANTOS, PRAÇA PEDRO JOSE DE AQUINO, S/N, SERRA DOURADA/BA</t>
        </is>
      </c>
      <c r="S2731" s="26">
        <f>IF(A2731=A2730,0,1)</f>
        <v>0</v>
      </c>
      <c r="T2731" s="26">
        <f>IF(COUNTIF($B$4:B2731,B2731)=1,1,0)</f>
        <v>0</v>
      </c>
    </row>
    <row r="2732">
      <c r="A2732" s="14" t="inlineStr">
        <is>
          <t>TABOCAS DO BREJO VELHO</t>
        </is>
      </c>
      <c r="B2732" s="26" t="n">
        <v>190</v>
      </c>
      <c r="C2732" s="26" t="n">
        <v>1163</v>
      </c>
      <c r="D2732" s="14" t="inlineStr">
        <is>
          <t>PRÉDIO ESCOLAR MUNICIPAL SANTA FÉ</t>
        </is>
      </c>
      <c r="E2732" s="14" t="inlineStr">
        <is>
          <t>POVOADO RODRIGO</t>
        </is>
      </c>
      <c r="F2732" s="14" t="inlineStr">
        <is>
          <t>POVOADO RODRIGO -  ZONA RURAL</t>
        </is>
      </c>
      <c r="G2732" s="27" t="inlineStr">
        <is>
          <t>47760-000</t>
        </is>
      </c>
      <c r="H2732" s="15" t="n">
        <v>1</v>
      </c>
      <c r="I2732" s="28" t="inlineStr">
        <is>
          <t>NÃO</t>
        </is>
      </c>
      <c r="J2732" s="29" t="n"/>
      <c r="K2732" s="14" t="str">
        <f>IF(J2732="","7. Acima de 2 km",IF(J2732&lt;=50,"1. Até 50 m",IF(J2732&lt;=100,"2. De 50 a 100 m",IF(J2732&lt;=200,"3. De 100 a 200 m",IF(J2732&lt;=300,"4. De 200 a 300 m",IF(J2732&lt;=500,"5. De 300 a 500 m","6. De 500 m a 2 km"))))))</f>
        <v>7. Acima de 2 km</v>
      </c>
      <c r="L2732" s="26" t="n">
        <v>0</v>
      </c>
      <c r="M2732" s="26" t="n">
        <v>0</v>
      </c>
      <c r="N2732" s="26" t="n">
        <v>0</v>
      </c>
      <c r="O2732" s="26" t="n">
        <v>0</v>
      </c>
      <c r="P2732" s="30" t="n">
        <v>-12.37573</v>
      </c>
      <c r="Q2732" s="30" t="n">
        <v>-44.0640283</v>
      </c>
      <c r="R2732" s="14" t="inlineStr">
        <is>
          <t>FORUM DESEMBARGADOR DR. GERSON PEREIRA DOS SANTOS, PRAÇA PEDRO JOSE DE AQUINO, S/N, SERRA DOURADA/BA</t>
        </is>
      </c>
      <c r="S2732" s="26">
        <f>IF(A2732=A2731,0,1)</f>
        <v>0</v>
      </c>
      <c r="T2732" s="26">
        <f>IF(COUNTIF($B$4:B2732,B2732)=1,1,0)</f>
        <v>0</v>
      </c>
    </row>
    <row r="2733">
      <c r="A2733" s="14" t="inlineStr">
        <is>
          <t>TABOCAS DO BREJO VELHO</t>
        </is>
      </c>
      <c r="B2733" s="26" t="n">
        <v>190</v>
      </c>
      <c r="C2733" s="26" t="n">
        <v>1171</v>
      </c>
      <c r="D2733" s="14" t="inlineStr">
        <is>
          <t>ESCOLA ARTUR DA COSTA E SILVA</t>
        </is>
      </c>
      <c r="E2733" s="14" t="inlineStr">
        <is>
          <t>POVOADO VARZEA COMPRIDA</t>
        </is>
      </c>
      <c r="F2733" s="14" t="inlineStr">
        <is>
          <t>POVOADO VARZEA COMPRIDA -  ZONA RURAL</t>
        </is>
      </c>
      <c r="G2733" s="27" t="inlineStr">
        <is>
          <t>47760-000</t>
        </is>
      </c>
      <c r="H2733" s="15" t="n">
        <v>1</v>
      </c>
      <c r="I2733" s="28" t="inlineStr">
        <is>
          <t>NÃO</t>
        </is>
      </c>
      <c r="J2733" s="29" t="n"/>
      <c r="K2733" s="14" t="str">
        <f>IF(J2733="","7. Acima de 2 km",IF(J2733&lt;=50,"1. Até 50 m",IF(J2733&lt;=100,"2. De 50 a 100 m",IF(J2733&lt;=200,"3. De 100 a 200 m",IF(J2733&lt;=300,"4. De 200 a 300 m",IF(J2733&lt;=500,"5. De 300 a 500 m","6. De 500 m a 2 km"))))))</f>
        <v>7. Acima de 2 km</v>
      </c>
      <c r="L2733" s="26" t="n">
        <v>0</v>
      </c>
      <c r="M2733" s="26" t="n">
        <v>0</v>
      </c>
      <c r="N2733" s="26" t="n">
        <v>0</v>
      </c>
      <c r="O2733" s="26" t="n">
        <v>0</v>
      </c>
      <c r="P2733" s="30" t="n">
        <v>-12.3896467</v>
      </c>
      <c r="Q2733" s="30" t="n">
        <v>-44.2738391</v>
      </c>
      <c r="R2733" s="14" t="inlineStr">
        <is>
          <t>FORUM DESEMBARGADOR DR. GERSON PEREIRA DOS SANTOS, PRAÇA PEDRO JOSE DE AQUINO, S/N, SERRA DOURADA/BA</t>
        </is>
      </c>
      <c r="S2733" s="26">
        <f>IF(A2733=A2732,0,1)</f>
        <v>0</v>
      </c>
      <c r="T2733" s="26">
        <f>IF(COUNTIF($B$4:B2733,B2733)=1,1,0)</f>
        <v>0</v>
      </c>
    </row>
    <row r="2734">
      <c r="A2734" s="14" t="inlineStr">
        <is>
          <t>TABOCAS DO BREJO VELHO</t>
        </is>
      </c>
      <c r="B2734" s="26" t="n">
        <v>190</v>
      </c>
      <c r="C2734" s="26" t="n">
        <v>1180</v>
      </c>
      <c r="D2734" s="14" t="inlineStr">
        <is>
          <t>ESCOLA MUNICIPAL JOAQUIM CORREIA MENDES</t>
        </is>
      </c>
      <c r="E2734" s="14" t="inlineStr">
        <is>
          <t>POVOADO CARRAPATO</t>
        </is>
      </c>
      <c r="F2734" s="14" t="inlineStr">
        <is>
          <t>POVOADO CARRAPATO -  ZONA RURAL</t>
        </is>
      </c>
      <c r="G2734" s="27" t="inlineStr">
        <is>
          <t>47750-000</t>
        </is>
      </c>
      <c r="H2734" s="15" t="n">
        <v>2</v>
      </c>
      <c r="I2734" s="28" t="inlineStr">
        <is>
          <t>NÃO</t>
        </is>
      </c>
      <c r="J2734" s="29" t="n"/>
      <c r="K2734" s="14" t="str">
        <f>IF(J2734="","7. Acima de 2 km",IF(J2734&lt;=50,"1. Até 50 m",IF(J2734&lt;=100,"2. De 50 a 100 m",IF(J2734&lt;=200,"3. De 100 a 200 m",IF(J2734&lt;=300,"4. De 200 a 300 m",IF(J2734&lt;=500,"5. De 300 a 500 m","6. De 500 m a 2 km"))))))</f>
        <v>7. Acima de 2 km</v>
      </c>
      <c r="L2734" s="26" t="n">
        <v>0</v>
      </c>
      <c r="M2734" s="26" t="n">
        <v>0</v>
      </c>
      <c r="N2734" s="26" t="n">
        <v>0</v>
      </c>
      <c r="O2734" s="26" t="n">
        <v>0</v>
      </c>
      <c r="P2734" s="30" t="n">
        <v>-12.7085239</v>
      </c>
      <c r="Q2734" s="30" t="n">
        <v>-44.06679</v>
      </c>
      <c r="R2734" s="14" t="inlineStr">
        <is>
          <t>FORUM DESEMBARGADOR DR. GERSON PEREIRA DOS SANTOS, PRAÇA PEDRO JOSE DE AQUINO, S/N, SERRA DOURADA/BA</t>
        </is>
      </c>
      <c r="S2734" s="26">
        <f>IF(A2734=A2733,0,1)</f>
        <v>0</v>
      </c>
      <c r="T2734" s="26">
        <f>IF(COUNTIF($B$4:B2734,B2734)=1,1,0)</f>
        <v>0</v>
      </c>
    </row>
    <row r="2735">
      <c r="A2735" s="14" t="inlineStr">
        <is>
          <t>TABOCAS DO BREJO VELHO</t>
        </is>
      </c>
      <c r="B2735" s="26" t="n">
        <v>190</v>
      </c>
      <c r="C2735" s="26" t="n">
        <v>1198</v>
      </c>
      <c r="D2735" s="14" t="inlineStr">
        <is>
          <t>ESCOLA JOSE ANTONIO DOS REIS</t>
        </is>
      </c>
      <c r="E2735" s="14" t="inlineStr">
        <is>
          <t>POVOADO OLHO D'ÁGUA DO CEDRO</t>
        </is>
      </c>
      <c r="F2735" s="14" t="inlineStr">
        <is>
          <t>POVOADO OLHO D'AGUA DO CEDRO -  ZONA RURAL</t>
        </is>
      </c>
      <c r="G2735" s="27" t="inlineStr">
        <is>
          <t>47760-000</t>
        </is>
      </c>
      <c r="H2735" s="15" t="n">
        <v>2</v>
      </c>
      <c r="I2735" s="28" t="inlineStr">
        <is>
          <t>NÃO</t>
        </is>
      </c>
      <c r="J2735" s="29" t="n"/>
      <c r="K2735" s="14" t="str">
        <f>IF(J2735="","7. Acima de 2 km",IF(J2735&lt;=50,"1. Até 50 m",IF(J2735&lt;=100,"2. De 50 a 100 m",IF(J2735&lt;=200,"3. De 100 a 200 m",IF(J2735&lt;=300,"4. De 200 a 300 m",IF(J2735&lt;=500,"5. De 300 a 500 m","6. De 500 m a 2 km"))))))</f>
        <v>7. Acima de 2 km</v>
      </c>
      <c r="L2735" s="26" t="n">
        <v>0</v>
      </c>
      <c r="M2735" s="26" t="n">
        <v>0</v>
      </c>
      <c r="N2735" s="26" t="n">
        <v>0</v>
      </c>
      <c r="O2735" s="26" t="n">
        <v>0</v>
      </c>
      <c r="P2735" s="30" t="n">
        <v>-12.6829548</v>
      </c>
      <c r="Q2735" s="30" t="n">
        <v>-43.965356</v>
      </c>
      <c r="R2735" s="14" t="inlineStr">
        <is>
          <t>FORUM DESEMBARGADOR DR. GERSON PEREIRA DOS SANTOS, PRAÇA PEDRO JOSE DE AQUINO, S/N, SERRA DOURADA/BA</t>
        </is>
      </c>
      <c r="S2735" s="26">
        <f>IF(A2735=A2734,0,1)</f>
        <v>0</v>
      </c>
      <c r="T2735" s="26">
        <f>IF(COUNTIF($B$4:B2735,B2735)=1,1,0)</f>
        <v>0</v>
      </c>
    </row>
    <row r="2736">
      <c r="A2736" s="14" t="inlineStr">
        <is>
          <t>TABOCAS DO BREJO VELHO</t>
        </is>
      </c>
      <c r="B2736" s="26" t="n">
        <v>190</v>
      </c>
      <c r="C2736" s="26" t="n">
        <v>1201</v>
      </c>
      <c r="D2736" s="14" t="inlineStr">
        <is>
          <t>ESCOLA MUNICIPAL TARCÍSIO AUGUSTO DA SILVA</t>
        </is>
      </c>
      <c r="E2736" s="14" t="inlineStr">
        <is>
          <t>POVOADO CAMARINHA</t>
        </is>
      </c>
      <c r="F2736" s="14" t="inlineStr">
        <is>
          <t>POVOADO CAMARINHA -  ZONA RURAL</t>
        </is>
      </c>
      <c r="G2736" s="27" t="inlineStr">
        <is>
          <t>47760-000</t>
        </is>
      </c>
      <c r="H2736" s="15" t="n">
        <v>2</v>
      </c>
      <c r="I2736" s="28" t="inlineStr">
        <is>
          <t>NÃO</t>
        </is>
      </c>
      <c r="J2736" s="29" t="n"/>
      <c r="K2736" s="14" t="str">
        <f>IF(J2736="","7. Acima de 2 km",IF(J2736&lt;=50,"1. Até 50 m",IF(J2736&lt;=100,"2. De 50 a 100 m",IF(J2736&lt;=200,"3. De 100 a 200 m",IF(J2736&lt;=300,"4. De 200 a 300 m",IF(J2736&lt;=500,"5. De 300 a 500 m","6. De 500 m a 2 km"))))))</f>
        <v>7. Acima de 2 km</v>
      </c>
      <c r="L2736" s="26" t="n">
        <v>0</v>
      </c>
      <c r="M2736" s="26" t="n">
        <v>0</v>
      </c>
      <c r="N2736" s="26" t="n">
        <v>0</v>
      </c>
      <c r="O2736" s="26" t="n">
        <v>0</v>
      </c>
      <c r="P2736" s="30" t="n">
        <v>-12.3636747</v>
      </c>
      <c r="Q2736" s="30" t="n">
        <v>-44.2299325</v>
      </c>
      <c r="R2736" s="14" t="inlineStr">
        <is>
          <t>FORUM DESEMBARGADOR DR. GERSON PEREIRA DOS SANTOS, PRAÇA PEDRO JOSE DE AQUINO, S/N, SERRA DOURADA/BA</t>
        </is>
      </c>
      <c r="S2736" s="26">
        <f>IF(A2736=A2735,0,1)</f>
        <v>0</v>
      </c>
      <c r="T2736" s="26">
        <f>IF(COUNTIF($B$4:B2736,B2736)=1,1,0)</f>
        <v>0</v>
      </c>
    </row>
    <row r="2737">
      <c r="A2737" s="14" t="inlineStr">
        <is>
          <t>TABOCAS DO BREJO VELHO</t>
        </is>
      </c>
      <c r="B2737" s="26" t="n">
        <v>190</v>
      </c>
      <c r="C2737" s="26" t="n">
        <v>1236</v>
      </c>
      <c r="D2737" s="14" t="inlineStr">
        <is>
          <t>PRÉDIO ESCOLAR MUNICIPAL RUI BARBOSA</t>
        </is>
      </c>
      <c r="E2737" s="14" t="inlineStr">
        <is>
          <t>POVOADO VEREDA</t>
        </is>
      </c>
      <c r="F2737" s="14" t="inlineStr">
        <is>
          <t>POVOADO VEREDA -  ZONA RURAL</t>
        </is>
      </c>
      <c r="G2737" s="27" t="inlineStr">
        <is>
          <t>47760-000</t>
        </is>
      </c>
      <c r="H2737" s="15" t="n">
        <v>2</v>
      </c>
      <c r="I2737" s="28" t="inlineStr">
        <is>
          <t>NÃO</t>
        </is>
      </c>
      <c r="J2737" s="29" t="n"/>
      <c r="K2737" s="14" t="str">
        <f>IF(J2737="","7. Acima de 2 km",IF(J2737&lt;=50,"1. Até 50 m",IF(J2737&lt;=100,"2. De 50 a 100 m",IF(J2737&lt;=200,"3. De 100 a 200 m",IF(J2737&lt;=300,"4. De 200 a 300 m",IF(J2737&lt;=500,"5. De 300 a 500 m","6. De 500 m a 2 km"))))))</f>
        <v>7. Acima de 2 km</v>
      </c>
      <c r="L2737" s="26" t="n">
        <v>0</v>
      </c>
      <c r="M2737" s="26" t="n">
        <v>0</v>
      </c>
      <c r="N2737" s="26" t="n">
        <v>0</v>
      </c>
      <c r="O2737" s="26" t="n">
        <v>0</v>
      </c>
      <c r="P2737" s="30" t="n">
        <v>-12.618873</v>
      </c>
      <c r="Q2737" s="30" t="n">
        <v>-44.1642788</v>
      </c>
      <c r="R2737" s="14" t="inlineStr">
        <is>
          <t>FORUM DESEMBARGADOR DR. GERSON PEREIRA DOS SANTOS, PRAÇA PEDRO JOSE DE AQUINO, S/N, SERRA DOURADA/BA</t>
        </is>
      </c>
      <c r="S2737" s="26">
        <f>IF(A2737=A2736,0,1)</f>
        <v>0</v>
      </c>
      <c r="T2737" s="26">
        <f>IF(COUNTIF($B$4:B2737,B2737)=1,1,0)</f>
        <v>0</v>
      </c>
    </row>
    <row r="2738">
      <c r="A2738" s="14" t="inlineStr">
        <is>
          <t>TEIXEIRA DE FREITAS</t>
        </is>
      </c>
      <c r="B2738" s="26" t="n">
        <v>183</v>
      </c>
      <c r="C2738" s="26" t="n">
        <v>1015</v>
      </c>
      <c r="D2738" s="14" t="inlineStr">
        <is>
          <t>COLÉGIO ESTADUAL MACHADO DE ASSIS - CEMAS</t>
        </is>
      </c>
      <c r="E2738" s="14" t="inlineStr">
        <is>
          <t>SÃO LOURENÇO</t>
        </is>
      </c>
      <c r="F2738" s="14" t="inlineStr">
        <is>
          <t xml:space="preserve">PRAÇA DA REPÚBLICA, S/N - SÃO LOURENÇO </t>
        </is>
      </c>
      <c r="G2738" s="27" t="inlineStr">
        <is>
          <t>45993-072</t>
        </is>
      </c>
      <c r="H2738" s="15" t="n">
        <v>10</v>
      </c>
      <c r="I2738" s="28" t="inlineStr">
        <is>
          <t>NÃO</t>
        </is>
      </c>
      <c r="J2738" s="29" t="n">
        <v>870.2</v>
      </c>
      <c r="K2738" s="14" t="str">
        <f>IF(J2738="","7. Acima de 2 km",IF(J2738&lt;=50,"1. Até 50 m",IF(J2738&lt;=100,"2. De 50 a 100 m",IF(J2738&lt;=200,"3. De 100 a 200 m",IF(J2738&lt;=300,"4. De 200 a 300 m",IF(J2738&lt;=500,"5. De 300 a 500 m","6. De 500 m a 2 km"))))))</f>
        <v>6. De 500 m a 2 km</v>
      </c>
      <c r="L2738" s="26" t="n">
        <v>0</v>
      </c>
      <c r="M2738" s="26" t="n">
        <v>0</v>
      </c>
      <c r="N2738" s="26" t="n">
        <v>0</v>
      </c>
      <c r="O2738" s="26" t="n">
        <v>0</v>
      </c>
      <c r="P2738" s="30" t="n">
        <v>-17.5457733</v>
      </c>
      <c r="Q2738" s="30" t="n">
        <v>-39.750915</v>
      </c>
      <c r="R2738" s="14" t="inlineStr">
        <is>
          <t>AVENIDA UIRAPURU, 1816, MONTE CASTELO, TEIXEIRA DE FREITAS/BA</t>
        </is>
      </c>
      <c r="S2738" s="26">
        <f>IF(A2738=A2737,0,1)</f>
        <v>1</v>
      </c>
      <c r="T2738" s="26">
        <f>IF(COUNTIF($B$4:B2738,B2738)=1,1,0)</f>
        <v>1</v>
      </c>
    </row>
    <row r="2739">
      <c r="A2739" s="14" t="inlineStr">
        <is>
          <t>TEIXEIRA DE FREITAS</t>
        </is>
      </c>
      <c r="B2739" s="26" t="n">
        <v>183</v>
      </c>
      <c r="C2739" s="26" t="n">
        <v>1023</v>
      </c>
      <c r="D2739" s="14" t="inlineStr">
        <is>
          <t>COLÉGIO ESTADUAL DE TEMPO INTEGRAL RUY BARBOSA</t>
        </is>
      </c>
      <c r="E2739" s="14" t="inlineStr">
        <is>
          <t>SAO JOSÉ</t>
        </is>
      </c>
      <c r="F2739" s="14" t="inlineStr">
        <is>
          <t>AVENIDA PRESIDENTE GETÚLIO VARGAS, 1732 - SÃO JOSÉ</t>
        </is>
      </c>
      <c r="G2739" s="27" t="inlineStr">
        <is>
          <t>45988-074</t>
        </is>
      </c>
      <c r="H2739" s="15" t="n">
        <v>29</v>
      </c>
      <c r="I2739" s="28" t="inlineStr">
        <is>
          <t>NÃO</t>
        </is>
      </c>
      <c r="J2739" s="29" t="n">
        <v>241.2</v>
      </c>
      <c r="K2739" s="14" t="str">
        <f>IF(J2739="","7. Acima de 2 km",IF(J2739&lt;=50,"1. Até 50 m",IF(J2739&lt;=100,"2. De 50 a 100 m",IF(J2739&lt;=200,"3. De 100 a 200 m",IF(J2739&lt;=300,"4. De 200 a 300 m",IF(J2739&lt;=500,"5. De 300 a 500 m","6. De 500 m a 2 km"))))))</f>
        <v>4. De 200 a 300 m</v>
      </c>
      <c r="L2739" s="26" t="n">
        <v>0</v>
      </c>
      <c r="M2739" s="26" t="n">
        <v>0</v>
      </c>
      <c r="N2739" s="26" t="n">
        <v>0</v>
      </c>
      <c r="O2739" s="26" t="n">
        <v>1</v>
      </c>
      <c r="P2739" s="30" t="n">
        <v>-17.5359168</v>
      </c>
      <c r="Q2739" s="30" t="n">
        <v>-39.7264435</v>
      </c>
      <c r="R2739" s="14" t="inlineStr">
        <is>
          <t>AVENIDA UIRAPURU, 1816, MONTE CASTELO, TEIXEIRA DE FREITAS/BA</t>
        </is>
      </c>
      <c r="S2739" s="26">
        <f>IF(A2739=A2738,0,1)</f>
        <v>0</v>
      </c>
      <c r="T2739" s="26">
        <f>IF(COUNTIF($B$4:B2739,B2739)=1,1,0)</f>
        <v>0</v>
      </c>
    </row>
    <row r="2740">
      <c r="A2740" s="14" t="inlineStr">
        <is>
          <t>TEIXEIRA DE FREITAS</t>
        </is>
      </c>
      <c r="B2740" s="26" t="n">
        <v>183</v>
      </c>
      <c r="C2740" s="26" t="n">
        <v>1031</v>
      </c>
      <c r="D2740" s="14" t="inlineStr">
        <is>
          <t xml:space="preserve">IGREJA BATISTA CENTRAL </t>
        </is>
      </c>
      <c r="E2740" s="14" t="inlineStr">
        <is>
          <t>CENTRO</t>
        </is>
      </c>
      <c r="F2740" s="14" t="inlineStr">
        <is>
          <t>AVENIDA MARECHAL CASTELO BRANCO, 142 - CENTRO</t>
        </is>
      </c>
      <c r="G2740" s="27" t="inlineStr">
        <is>
          <t>45985-160</t>
        </is>
      </c>
      <c r="H2740" s="15" t="n">
        <v>11</v>
      </c>
      <c r="I2740" s="28" t="inlineStr">
        <is>
          <t>NÃO</t>
        </is>
      </c>
      <c r="J2740" s="29" t="n">
        <v>379.5</v>
      </c>
      <c r="K2740" s="14" t="str">
        <f>IF(J2740="","7. Acima de 2 km",IF(J2740&lt;=50,"1. Até 50 m",IF(J2740&lt;=100,"2. De 50 a 100 m",IF(J2740&lt;=200,"3. De 100 a 200 m",IF(J2740&lt;=300,"4. De 200 a 300 m",IF(J2740&lt;=500,"5. De 300 a 500 m","6. De 500 m a 2 km"))))))</f>
        <v>5. De 300 a 500 m</v>
      </c>
      <c r="L2740" s="26" t="n">
        <v>0</v>
      </c>
      <c r="M2740" s="26" t="n">
        <v>0</v>
      </c>
      <c r="N2740" s="26" t="n">
        <v>0</v>
      </c>
      <c r="O2740" s="26" t="n">
        <v>0</v>
      </c>
      <c r="P2740" s="30" t="n">
        <v>-17.5381238</v>
      </c>
      <c r="Q2740" s="30" t="n">
        <v>-39.7387249</v>
      </c>
      <c r="R2740" s="14" t="inlineStr">
        <is>
          <t>AVENIDA UIRAPURU, 1816, MONTE CASTELO, TEIXEIRA DE FREITAS/BA</t>
        </is>
      </c>
      <c r="S2740" s="26">
        <f>IF(A2740=A2739,0,1)</f>
        <v>0</v>
      </c>
      <c r="T2740" s="26">
        <f>IF(COUNTIF($B$4:B2740,B2740)=1,1,0)</f>
        <v>0</v>
      </c>
    </row>
    <row r="2741">
      <c r="A2741" s="14" t="inlineStr">
        <is>
          <t>TEIXEIRA DE FREITAS</t>
        </is>
      </c>
      <c r="B2741" s="26" t="n">
        <v>183</v>
      </c>
      <c r="C2741" s="26" t="n">
        <v>1058</v>
      </c>
      <c r="D2741" s="14" t="inlineStr">
        <is>
          <t>ESCOLA MUNICIPAL DE TEMPO INTEGRAL RACHEL DE QUEIROZ</t>
        </is>
      </c>
      <c r="E2741" s="14" t="inlineStr">
        <is>
          <t>CENTRO</t>
        </is>
      </c>
      <c r="F2741" s="14" t="inlineStr">
        <is>
          <t xml:space="preserve">RUA NILO PECANHA, 109 - CENTRO </t>
        </is>
      </c>
      <c r="G2741" s="27" t="inlineStr">
        <is>
          <t>45985-232</t>
        </is>
      </c>
      <c r="H2741" s="15" t="n">
        <v>7</v>
      </c>
      <c r="I2741" s="28" t="inlineStr">
        <is>
          <t>NÃO</t>
        </is>
      </c>
      <c r="J2741" s="29" t="n">
        <v>400.7</v>
      </c>
      <c r="K2741" s="14" t="str">
        <f>IF(J2741="","7. Acima de 2 km",IF(J2741&lt;=50,"1. Até 50 m",IF(J2741&lt;=100,"2. De 50 a 100 m",IF(J2741&lt;=200,"3. De 100 a 200 m",IF(J2741&lt;=300,"4. De 200 a 300 m",IF(J2741&lt;=500,"5. De 300 a 500 m","6. De 500 m a 2 km"))))))</f>
        <v>5. De 300 a 500 m</v>
      </c>
      <c r="L2741" s="26" t="n">
        <v>0</v>
      </c>
      <c r="M2741" s="26" t="n">
        <v>0</v>
      </c>
      <c r="N2741" s="26" t="n">
        <v>0</v>
      </c>
      <c r="O2741" s="26" t="n">
        <v>0</v>
      </c>
      <c r="P2741" s="30" t="n">
        <v>-17.5366817</v>
      </c>
      <c r="Q2741" s="30" t="n">
        <v>-39.7487933</v>
      </c>
      <c r="R2741" s="14" t="inlineStr">
        <is>
          <t>AVENIDA UIRAPURU, 1816, MONTE CASTELO, TEIXEIRA DE FREITAS/BA</t>
        </is>
      </c>
      <c r="S2741" s="26">
        <f>IF(A2741=A2740,0,1)</f>
        <v>0</v>
      </c>
      <c r="T2741" s="26">
        <f>IF(COUNTIF($B$4:B2741,B2741)=1,1,0)</f>
        <v>0</v>
      </c>
    </row>
    <row r="2742">
      <c r="A2742" s="14" t="inlineStr">
        <is>
          <t>TEIXEIRA DE FREITAS</t>
        </is>
      </c>
      <c r="B2742" s="26" t="n">
        <v>183</v>
      </c>
      <c r="C2742" s="26" t="n">
        <v>1074</v>
      </c>
      <c r="D2742" s="14" t="inlineStr">
        <is>
          <t>ESCOLA MUNICIPAL DE 1. GRAU MANOEL CARDOSO NETO</t>
        </is>
      </c>
      <c r="E2742" s="14" t="inlineStr">
        <is>
          <t>CENTRO</t>
        </is>
      </c>
      <c r="F2742" s="14" t="inlineStr">
        <is>
          <t xml:space="preserve">RUA IPIRANGA, 26 - CENTRO </t>
        </is>
      </c>
      <c r="G2742" s="27" t="inlineStr">
        <is>
          <t>45985-098</t>
        </is>
      </c>
      <c r="H2742" s="15" t="n">
        <v>6</v>
      </c>
      <c r="I2742" s="28" t="inlineStr">
        <is>
          <t>NÃO</t>
        </is>
      </c>
      <c r="J2742" s="29" t="n">
        <v>145.5</v>
      </c>
      <c r="K2742" s="14" t="str">
        <f>IF(J2742="","7. Acima de 2 km",IF(J2742&lt;=50,"1. Até 50 m",IF(J2742&lt;=100,"2. De 50 a 100 m",IF(J2742&lt;=200,"3. De 100 a 200 m",IF(J2742&lt;=300,"4. De 200 a 300 m",IF(J2742&lt;=500,"5. De 300 a 500 m","6. De 500 m a 2 km"))))))</f>
        <v>3. De 100 a 200 m</v>
      </c>
      <c r="L2742" s="26" t="n">
        <v>0</v>
      </c>
      <c r="M2742" s="26" t="n">
        <v>0</v>
      </c>
      <c r="N2742" s="26" t="n">
        <v>1</v>
      </c>
      <c r="O2742" s="26" t="n">
        <v>2</v>
      </c>
      <c r="P2742" s="30" t="n">
        <v>-17.5335247</v>
      </c>
      <c r="Q2742" s="30" t="n">
        <v>-39.7446917</v>
      </c>
      <c r="R2742" s="14" t="inlineStr">
        <is>
          <t>AVENIDA UIRAPURU, 1816, MONTE CASTELO, TEIXEIRA DE FREITAS/BA</t>
        </is>
      </c>
      <c r="S2742" s="26">
        <f>IF(A2742=A2741,0,1)</f>
        <v>0</v>
      </c>
      <c r="T2742" s="26">
        <f>IF(COUNTIF($B$4:B2742,B2742)=1,1,0)</f>
        <v>0</v>
      </c>
    </row>
    <row r="2743">
      <c r="A2743" s="14" t="inlineStr">
        <is>
          <t>TEIXEIRA DE FREITAS</t>
        </is>
      </c>
      <c r="B2743" s="26" t="n">
        <v>183</v>
      </c>
      <c r="C2743" s="26" t="n">
        <v>1090</v>
      </c>
      <c r="D2743" s="14" t="inlineStr">
        <is>
          <t xml:space="preserve">COLÉGIO ANCHIETA OBJETIVO </t>
        </is>
      </c>
      <c r="E2743" s="14" t="inlineStr">
        <is>
          <t>CENTRO</t>
        </is>
      </c>
      <c r="F2743" s="14" t="inlineStr">
        <is>
          <t>RUA PEDRO MEDEIROS GUERRA, 144 - ZONA URBANA</t>
        </is>
      </c>
      <c r="G2743" s="27" t="inlineStr">
        <is>
          <t>45995-000</t>
        </is>
      </c>
      <c r="H2743" s="15" t="n">
        <v>6</v>
      </c>
      <c r="I2743" s="28" t="inlineStr">
        <is>
          <t>NÃO</t>
        </is>
      </c>
      <c r="J2743" s="29" t="n">
        <v>380.1</v>
      </c>
      <c r="K2743" s="14" t="str">
        <f>IF(J2743="","7. Acima de 2 km",IF(J2743&lt;=50,"1. Até 50 m",IF(J2743&lt;=100,"2. De 50 a 100 m",IF(J2743&lt;=200,"3. De 100 a 200 m",IF(J2743&lt;=300,"4. De 200 a 300 m",IF(J2743&lt;=500,"5. De 300 a 500 m","6. De 500 m a 2 km"))))))</f>
        <v>5. De 300 a 500 m</v>
      </c>
      <c r="L2743" s="26" t="n">
        <v>0</v>
      </c>
      <c r="M2743" s="26" t="n">
        <v>0</v>
      </c>
      <c r="N2743" s="26" t="n">
        <v>0</v>
      </c>
      <c r="O2743" s="26" t="n">
        <v>0</v>
      </c>
      <c r="P2743" s="30" t="n">
        <v>-17.531588</v>
      </c>
      <c r="Q2743" s="30" t="n">
        <v>-39.7456523</v>
      </c>
      <c r="R2743" s="14" t="inlineStr">
        <is>
          <t>AVENIDA UIRAPURU, 1816, MONTE CASTELO, TEIXEIRA DE FREITAS/BA</t>
        </is>
      </c>
      <c r="S2743" s="26">
        <f>IF(A2743=A2742,0,1)</f>
        <v>0</v>
      </c>
      <c r="T2743" s="26">
        <f>IF(COUNTIF($B$4:B2743,B2743)=1,1,0)</f>
        <v>0</v>
      </c>
    </row>
    <row r="2744">
      <c r="A2744" s="14" t="inlineStr">
        <is>
          <t>TEIXEIRA DE FREITAS</t>
        </is>
      </c>
      <c r="B2744" s="26" t="n">
        <v>183</v>
      </c>
      <c r="C2744" s="26" t="n">
        <v>1104</v>
      </c>
      <c r="D2744" s="14" t="inlineStr">
        <is>
          <t xml:space="preserve">COLÉGIO ESTADUAL PROFESSOR RÔMULO GALVÃO </t>
        </is>
      </c>
      <c r="E2744" s="14" t="inlineStr">
        <is>
          <t>MONTE CASTELO</t>
        </is>
      </c>
      <c r="F2744" s="14" t="inlineStr">
        <is>
          <t xml:space="preserve">AVENIDA SANTA IZABEL, 37 - MONTE CASTELO </t>
        </is>
      </c>
      <c r="G2744" s="27" t="inlineStr">
        <is>
          <t>45990-114</t>
        </is>
      </c>
      <c r="H2744" s="15" t="n">
        <v>14</v>
      </c>
      <c r="I2744" s="28" t="inlineStr">
        <is>
          <t>NÃO</t>
        </is>
      </c>
      <c r="J2744" s="29" t="n">
        <v>347.5</v>
      </c>
      <c r="K2744" s="14" t="str">
        <f>IF(J2744="","7. Acima de 2 km",IF(J2744&lt;=50,"1. Até 50 m",IF(J2744&lt;=100,"2. De 50 a 100 m",IF(J2744&lt;=200,"3. De 100 a 200 m",IF(J2744&lt;=300,"4. De 200 a 300 m",IF(J2744&lt;=500,"5. De 300 a 500 m","6. De 500 m a 2 km"))))))</f>
        <v>5. De 300 a 500 m</v>
      </c>
      <c r="L2744" s="26" t="n">
        <v>0</v>
      </c>
      <c r="M2744" s="26" t="n">
        <v>0</v>
      </c>
      <c r="N2744" s="26" t="n">
        <v>0</v>
      </c>
      <c r="O2744" s="26" t="n">
        <v>0</v>
      </c>
      <c r="P2744" s="30" t="n">
        <v>-17.5366432</v>
      </c>
      <c r="Q2744" s="30" t="n">
        <v>-39.7252799</v>
      </c>
      <c r="R2744" s="14" t="inlineStr">
        <is>
          <t>AVENIDA UIRAPURU, 1816, MONTE CASTELO, TEIXEIRA DE FREITAS/BA</t>
        </is>
      </c>
      <c r="S2744" s="26">
        <f>IF(A2744=A2743,0,1)</f>
        <v>0</v>
      </c>
      <c r="T2744" s="26">
        <f>IF(COUNTIF($B$4:B2744,B2744)=1,1,0)</f>
        <v>0</v>
      </c>
    </row>
    <row r="2745">
      <c r="A2745" s="14" t="inlineStr">
        <is>
          <t>TEIXEIRA DE FREITAS</t>
        </is>
      </c>
      <c r="B2745" s="26" t="n">
        <v>183</v>
      </c>
      <c r="C2745" s="26" t="n">
        <v>1112</v>
      </c>
      <c r="D2745" s="14" t="inlineStr">
        <is>
          <t>COLÉGIO ESTADUAL HENRIQUE BRITO</t>
        </is>
      </c>
      <c r="E2745" s="14" t="inlineStr">
        <is>
          <t>CENTRO</t>
        </is>
      </c>
      <c r="F2745" s="14" t="inlineStr">
        <is>
          <t>RUA MIN. MÁRIO ANDREAZZA, S/N - ZONA URBANA</t>
        </is>
      </c>
      <c r="G2745" s="27" t="inlineStr">
        <is>
          <t>45995-000</t>
        </is>
      </c>
      <c r="H2745" s="15" t="n">
        <v>8</v>
      </c>
      <c r="I2745" s="28" t="inlineStr">
        <is>
          <t>NÃO</t>
        </is>
      </c>
      <c r="J2745" s="29" t="n">
        <v>389</v>
      </c>
      <c r="K2745" s="14" t="str">
        <f>IF(J2745="","7. Acima de 2 km",IF(J2745&lt;=50,"1. Até 50 m",IF(J2745&lt;=100,"2. De 50 a 100 m",IF(J2745&lt;=200,"3. De 100 a 200 m",IF(J2745&lt;=300,"4. De 200 a 300 m",IF(J2745&lt;=500,"5. De 300 a 500 m","6. De 500 m a 2 km"))))))</f>
        <v>5. De 300 a 500 m</v>
      </c>
      <c r="L2745" s="26" t="n">
        <v>0</v>
      </c>
      <c r="M2745" s="26" t="n">
        <v>0</v>
      </c>
      <c r="N2745" s="26" t="n">
        <v>0</v>
      </c>
      <c r="O2745" s="26" t="n">
        <v>0</v>
      </c>
      <c r="P2745" s="30" t="n">
        <v>-17.5330267</v>
      </c>
      <c r="Q2745" s="30" t="n">
        <v>-39.740631</v>
      </c>
      <c r="R2745" s="14" t="inlineStr">
        <is>
          <t>AVENIDA UIRAPURU, 1816, MONTE CASTELO, TEIXEIRA DE FREITAS/BA</t>
        </is>
      </c>
      <c r="S2745" s="26">
        <f>IF(A2745=A2744,0,1)</f>
        <v>0</v>
      </c>
      <c r="T2745" s="26">
        <f>IF(COUNTIF($B$4:B2745,B2745)=1,1,0)</f>
        <v>0</v>
      </c>
    </row>
    <row r="2746">
      <c r="A2746" s="14" t="inlineStr">
        <is>
          <t>TEIXEIRA DE FREITAS</t>
        </is>
      </c>
      <c r="B2746" s="26" t="n">
        <v>183</v>
      </c>
      <c r="C2746" s="26" t="n">
        <v>1139</v>
      </c>
      <c r="D2746" s="14" t="inlineStr">
        <is>
          <t>UNIVERSIDADE FEDERAL DO SUL DA BAHIA - UFSB</t>
        </is>
      </c>
      <c r="E2746" s="14" t="inlineStr">
        <is>
          <t>MONTE CASTELO</t>
        </is>
      </c>
      <c r="F2746" s="14" t="inlineStr">
        <is>
          <t>PRAÇA JOANA ANGÉLICA, S/N - ZONA URBANA</t>
        </is>
      </c>
      <c r="G2746" s="27" t="inlineStr">
        <is>
          <t>45995-000</t>
        </is>
      </c>
      <c r="H2746" s="15" t="n">
        <v>12</v>
      </c>
      <c r="I2746" s="28" t="inlineStr">
        <is>
          <t>NÃO</t>
        </is>
      </c>
      <c r="J2746" s="29" t="n">
        <v>775.7</v>
      </c>
      <c r="K2746" s="14" t="str">
        <f>IF(J2746="","7. Acima de 2 km",IF(J2746&lt;=50,"1. Até 50 m",IF(J2746&lt;=100,"2. De 50 a 100 m",IF(J2746&lt;=200,"3. De 100 a 200 m",IF(J2746&lt;=300,"4. De 200 a 300 m",IF(J2746&lt;=500,"5. De 300 a 500 m","6. De 500 m a 2 km"))))))</f>
        <v>6. De 500 m a 2 km</v>
      </c>
      <c r="L2746" s="26" t="n">
        <v>0</v>
      </c>
      <c r="M2746" s="26" t="n">
        <v>0</v>
      </c>
      <c r="N2746" s="26" t="n">
        <v>0</v>
      </c>
      <c r="O2746" s="26" t="n">
        <v>0</v>
      </c>
      <c r="P2746" s="30" t="n">
        <v>-17.5331805</v>
      </c>
      <c r="Q2746" s="30" t="n">
        <v>-39.7222527</v>
      </c>
      <c r="R2746" s="14" t="inlineStr">
        <is>
          <t>AVENIDA UIRAPURU, 1816, MONTE CASTELO, TEIXEIRA DE FREITAS/BA</t>
        </is>
      </c>
      <c r="S2746" s="26">
        <f>IF(A2746=A2745,0,1)</f>
        <v>0</v>
      </c>
      <c r="T2746" s="26">
        <f>IF(COUNTIF($B$4:B2746,B2746)=1,1,0)</f>
        <v>0</v>
      </c>
    </row>
    <row r="2747">
      <c r="A2747" s="14" t="inlineStr">
        <is>
          <t>TEIXEIRA DE FREITAS</t>
        </is>
      </c>
      <c r="B2747" s="26" t="n">
        <v>183</v>
      </c>
      <c r="C2747" s="26" t="n">
        <v>1147</v>
      </c>
      <c r="D2747" s="14" t="inlineStr">
        <is>
          <t>ESCOLA MUNICIPAL JOSE FELIX CORREIA</t>
        </is>
      </c>
      <c r="E2747" s="14" t="inlineStr">
        <is>
          <t>NOVA AMÉRICA</t>
        </is>
      </c>
      <c r="F2747" s="14" t="inlineStr">
        <is>
          <t xml:space="preserve">RUA NOVA AMÉRICA, 200 - NOVA AMÉRICA </t>
        </is>
      </c>
      <c r="G2747" s="27" t="inlineStr">
        <is>
          <t>45988-475</t>
        </is>
      </c>
      <c r="H2747" s="15" t="n">
        <v>10</v>
      </c>
      <c r="I2747" s="28" t="inlineStr">
        <is>
          <t>NÃO</t>
        </is>
      </c>
      <c r="J2747" s="29" t="n">
        <v>492.9</v>
      </c>
      <c r="K2747" s="14" t="str">
        <f>IF(J2747="","7. Acima de 2 km",IF(J2747&lt;=50,"1. Até 50 m",IF(J2747&lt;=100,"2. De 50 a 100 m",IF(J2747&lt;=200,"3. De 100 a 200 m",IF(J2747&lt;=300,"4. De 200 a 300 m",IF(J2747&lt;=500,"5. De 300 a 500 m","6. De 500 m a 2 km"))))))</f>
        <v>5. De 300 a 500 m</v>
      </c>
      <c r="L2747" s="26" t="n">
        <v>0</v>
      </c>
      <c r="M2747" s="26" t="n">
        <v>0</v>
      </c>
      <c r="N2747" s="26" t="n">
        <v>0</v>
      </c>
      <c r="O2747" s="26" t="n">
        <v>0</v>
      </c>
      <c r="P2747" s="30" t="n">
        <v>-17.5265817</v>
      </c>
      <c r="Q2747" s="30" t="n">
        <v>-39.7062667</v>
      </c>
      <c r="R2747" s="14" t="inlineStr">
        <is>
          <t>AVENIDA UIRAPURU, 1816, MONTE CASTELO, TEIXEIRA DE FREITAS/BA</t>
        </is>
      </c>
      <c r="S2747" s="26">
        <f>IF(A2747=A2746,0,1)</f>
        <v>0</v>
      </c>
      <c r="T2747" s="26">
        <f>IF(COUNTIF($B$4:B2747,B2747)=1,1,0)</f>
        <v>0</v>
      </c>
    </row>
    <row r="2748">
      <c r="A2748" s="14" t="inlineStr">
        <is>
          <t>TEIXEIRA DE FREITAS</t>
        </is>
      </c>
      <c r="B2748" s="26" t="n">
        <v>183</v>
      </c>
      <c r="C2748" s="26" t="n">
        <v>1163</v>
      </c>
      <c r="D2748" s="14" t="inlineStr">
        <is>
          <t>ESCOLA MUNICIPAL JOAQUIM MUNIZ DE ALMEIDA NETO</t>
        </is>
      </c>
      <c r="E2748" s="14" t="inlineStr">
        <is>
          <t>SANTA RITA</t>
        </is>
      </c>
      <c r="F2748" s="14" t="inlineStr">
        <is>
          <t>AV. PRES. GETULIO VARGAS, S/N - ZONA URBANA</t>
        </is>
      </c>
      <c r="G2748" s="27" t="inlineStr">
        <is>
          <t>45995-000</t>
        </is>
      </c>
      <c r="H2748" s="15" t="n">
        <v>10</v>
      </c>
      <c r="I2748" s="28" t="inlineStr">
        <is>
          <t>NÃO</t>
        </is>
      </c>
      <c r="J2748" s="29" t="n">
        <v>101.2</v>
      </c>
      <c r="K2748" s="14" t="str">
        <f>IF(J2748="","7. Acima de 2 km",IF(J2748&lt;=50,"1. Até 50 m",IF(J2748&lt;=100,"2. De 50 a 100 m",IF(J2748&lt;=200,"3. De 100 a 200 m",IF(J2748&lt;=300,"4. De 200 a 300 m",IF(J2748&lt;=500,"5. De 300 a 500 m","6. De 500 m a 2 km"))))))</f>
        <v>3. De 100 a 200 m</v>
      </c>
      <c r="L2748" s="26" t="n">
        <v>0</v>
      </c>
      <c r="M2748" s="26" t="n">
        <v>0</v>
      </c>
      <c r="N2748" s="26" t="n">
        <v>1</v>
      </c>
      <c r="O2748" s="26" t="n">
        <v>1</v>
      </c>
      <c r="P2748" s="30" t="n">
        <v>-17.5304331</v>
      </c>
      <c r="Q2748" s="30" t="n">
        <v>-39.7571361</v>
      </c>
      <c r="R2748" s="14" t="inlineStr">
        <is>
          <t>AVENIDA UIRAPURU, 1816, MONTE CASTELO, TEIXEIRA DE FREITAS/BA</t>
        </is>
      </c>
      <c r="S2748" s="26">
        <f>IF(A2748=A2747,0,1)</f>
        <v>0</v>
      </c>
      <c r="T2748" s="26">
        <f>IF(COUNTIF($B$4:B2748,B2748)=1,1,0)</f>
        <v>0</v>
      </c>
    </row>
    <row r="2749">
      <c r="A2749" s="14" t="inlineStr">
        <is>
          <t>TEIXEIRA DE FREITAS</t>
        </is>
      </c>
      <c r="B2749" s="26" t="n">
        <v>183</v>
      </c>
      <c r="C2749" s="26" t="n">
        <v>1180</v>
      </c>
      <c r="D2749" s="14" t="inlineStr">
        <is>
          <t xml:space="preserve">ESCOLA MUNICIPAL EM TEMPO INTEGRAL GILBERTO DA SILVA CARDOSO </t>
        </is>
      </c>
      <c r="E2749" s="14" t="inlineStr">
        <is>
          <t>MONTE CASTELO</t>
        </is>
      </c>
      <c r="F2749" s="14" t="inlineStr">
        <is>
          <t xml:space="preserve">RUA DA JUVENTUDE, 223 - MONTE CASTELO </t>
        </is>
      </c>
      <c r="G2749" s="27" t="inlineStr">
        <is>
          <t>45990-045</t>
        </is>
      </c>
      <c r="H2749" s="15" t="n">
        <v>10</v>
      </c>
      <c r="I2749" s="28" t="inlineStr">
        <is>
          <t>NÃO</t>
        </is>
      </c>
      <c r="J2749" s="29" t="n">
        <v>633.3</v>
      </c>
      <c r="K2749" s="14" t="str">
        <f>IF(J2749="","7. Acima de 2 km",IF(J2749&lt;=50,"1. Até 50 m",IF(J2749&lt;=100,"2. De 50 a 100 m",IF(J2749&lt;=200,"3. De 100 a 200 m",IF(J2749&lt;=300,"4. De 200 a 300 m",IF(J2749&lt;=500,"5. De 300 a 500 m","6. De 500 m a 2 km"))))))</f>
        <v>6. De 500 m a 2 km</v>
      </c>
      <c r="L2749" s="26" t="n">
        <v>0</v>
      </c>
      <c r="M2749" s="26" t="n">
        <v>0</v>
      </c>
      <c r="N2749" s="26" t="n">
        <v>0</v>
      </c>
      <c r="O2749" s="26" t="n">
        <v>0</v>
      </c>
      <c r="P2749" s="30" t="n">
        <v>-17.537418</v>
      </c>
      <c r="Q2749" s="30" t="n">
        <v>-39.7164277</v>
      </c>
      <c r="R2749" s="14" t="inlineStr">
        <is>
          <t>AVENIDA UIRAPURU, 1816, MONTE CASTELO, TEIXEIRA DE FREITAS/BA</t>
        </is>
      </c>
      <c r="S2749" s="26">
        <f>IF(A2749=A2748,0,1)</f>
        <v>0</v>
      </c>
      <c r="T2749" s="26">
        <f>IF(COUNTIF($B$4:B2749,B2749)=1,1,0)</f>
        <v>0</v>
      </c>
    </row>
    <row r="2750">
      <c r="A2750" s="14" t="inlineStr">
        <is>
          <t>TEIXEIRA DE FREITAS</t>
        </is>
      </c>
      <c r="B2750" s="26" t="n">
        <v>183</v>
      </c>
      <c r="C2750" s="26" t="n">
        <v>1198</v>
      </c>
      <c r="D2750" s="14" t="inlineStr">
        <is>
          <t>ESCOLA MUNICIPAL BRAZ PEREIRA DO NASCIMENTO</t>
        </is>
      </c>
      <c r="E2750" s="14" t="inlineStr">
        <is>
          <t>WILSON BRITO</t>
        </is>
      </c>
      <c r="F2750" s="14" t="inlineStr">
        <is>
          <t>RUA FLAVIANO GUIMARAES, 299 - ZONA URBANA</t>
        </is>
      </c>
      <c r="G2750" s="27" t="inlineStr">
        <is>
          <t>45987-028</t>
        </is>
      </c>
      <c r="H2750" s="15" t="n">
        <v>4</v>
      </c>
      <c r="I2750" s="28" t="inlineStr">
        <is>
          <t>NÃO</t>
        </is>
      </c>
      <c r="J2750" s="29" t="n">
        <v>358.1</v>
      </c>
      <c r="K2750" s="14" t="str">
        <f>IF(J2750="","7. Acima de 2 km",IF(J2750&lt;=50,"1. Até 50 m",IF(J2750&lt;=100,"2. De 50 a 100 m",IF(J2750&lt;=200,"3. De 100 a 200 m",IF(J2750&lt;=300,"4. De 200 a 300 m",IF(J2750&lt;=500,"5. De 300 a 500 m","6. De 500 m a 2 km"))))))</f>
        <v>5. De 300 a 500 m</v>
      </c>
      <c r="L2750" s="26" t="n">
        <v>0</v>
      </c>
      <c r="M2750" s="26" t="n">
        <v>0</v>
      </c>
      <c r="N2750" s="26" t="n">
        <v>0</v>
      </c>
      <c r="O2750" s="26" t="n">
        <v>0</v>
      </c>
      <c r="P2750" s="30" t="n">
        <v>-17.5354624</v>
      </c>
      <c r="Q2750" s="30" t="n">
        <v>-39.7389994</v>
      </c>
      <c r="R2750" s="14" t="inlineStr">
        <is>
          <t>AVENIDA UIRAPURU, 1816, MONTE CASTELO, TEIXEIRA DE FREITAS/BA</t>
        </is>
      </c>
      <c r="S2750" s="26">
        <f>IF(A2750=A2749,0,1)</f>
        <v>0</v>
      </c>
      <c r="T2750" s="26">
        <f>IF(COUNTIF($B$4:B2750,B2750)=1,1,0)</f>
        <v>0</v>
      </c>
    </row>
    <row r="2751">
      <c r="A2751" s="14" t="inlineStr">
        <is>
          <t>TEIXEIRA DE FREITAS</t>
        </is>
      </c>
      <c r="B2751" s="26" t="n">
        <v>183</v>
      </c>
      <c r="C2751" s="26" t="n">
        <v>1201</v>
      </c>
      <c r="D2751" s="14" t="inlineStr">
        <is>
          <t>COLÉGIO DA POLÍCIA MILITAR ANÍZIO TEIXEIRA</t>
        </is>
      </c>
      <c r="E2751" s="14" t="inlineStr">
        <is>
          <t>BELA VISTA</t>
        </is>
      </c>
      <c r="F2751" s="14" t="inlineStr">
        <is>
          <t>AVENIDA PROFETA ISSA, N 767, BAIRRO MONTE CASTELO</t>
        </is>
      </c>
      <c r="G2751" s="27" t="inlineStr">
        <is>
          <t>45990-160</t>
        </is>
      </c>
      <c r="H2751" s="15" t="n">
        <v>10</v>
      </c>
      <c r="I2751" s="28" t="inlineStr">
        <is>
          <t>NÃO</t>
        </is>
      </c>
      <c r="J2751" s="29" t="n">
        <v>332.1</v>
      </c>
      <c r="K2751" s="14" t="str">
        <f>IF(J2751="","7. Acima de 2 km",IF(J2751&lt;=50,"1. Até 50 m",IF(J2751&lt;=100,"2. De 50 a 100 m",IF(J2751&lt;=200,"3. De 100 a 200 m",IF(J2751&lt;=300,"4. De 200 a 300 m",IF(J2751&lt;=500,"5. De 300 a 500 m","6. De 500 m a 2 km"))))))</f>
        <v>5. De 300 a 500 m</v>
      </c>
      <c r="L2751" s="26" t="n">
        <v>0</v>
      </c>
      <c r="M2751" s="26" t="n">
        <v>0</v>
      </c>
      <c r="N2751" s="26" t="n">
        <v>0</v>
      </c>
      <c r="O2751" s="26" t="n">
        <v>0</v>
      </c>
      <c r="P2751" s="30" t="n">
        <v>-17.5419108</v>
      </c>
      <c r="Q2751" s="30" t="n">
        <v>-39.7195381</v>
      </c>
      <c r="R2751" s="14" t="inlineStr">
        <is>
          <t>AVENIDA UIRAPURU, 1816, MONTE CASTELO, TEIXEIRA DE FREITAS/BA</t>
        </is>
      </c>
      <c r="S2751" s="26">
        <f>IF(A2751=A2750,0,1)</f>
        <v>0</v>
      </c>
      <c r="T2751" s="26">
        <f>IF(COUNTIF($B$4:B2751,B2751)=1,1,0)</f>
        <v>0</v>
      </c>
    </row>
    <row r="2752">
      <c r="A2752" s="14" t="inlineStr">
        <is>
          <t>TEIXEIRA DE FREITAS</t>
        </is>
      </c>
      <c r="B2752" s="26" t="n">
        <v>183</v>
      </c>
      <c r="C2752" s="26" t="n">
        <v>1210</v>
      </c>
      <c r="D2752" s="14" t="inlineStr">
        <is>
          <t>ESCOLA MUNICIPAL PROFESSORA MARCELA NOLASCO VENEZIA</t>
        </is>
      </c>
      <c r="E2752" s="14" t="inlineStr">
        <is>
          <t>REDENCÃO</t>
        </is>
      </c>
      <c r="F2752" s="14" t="inlineStr">
        <is>
          <t xml:space="preserve">RUA JOSÉ MOURA, N 150 - REDENÇÃO </t>
        </is>
      </c>
      <c r="G2752" s="27" t="inlineStr">
        <is>
          <t>45994-003</t>
        </is>
      </c>
      <c r="H2752" s="15" t="n">
        <v>8</v>
      </c>
      <c r="I2752" s="28" t="inlineStr">
        <is>
          <t>NÃO</t>
        </is>
      </c>
      <c r="J2752" s="29" t="n">
        <v>689.3</v>
      </c>
      <c r="K2752" s="14" t="str">
        <f>IF(J2752="","7. Acima de 2 km",IF(J2752&lt;=50,"1. Até 50 m",IF(J2752&lt;=100,"2. De 50 a 100 m",IF(J2752&lt;=200,"3. De 100 a 200 m",IF(J2752&lt;=300,"4. De 200 a 300 m",IF(J2752&lt;=500,"5. De 300 a 500 m","6. De 500 m a 2 km"))))))</f>
        <v>6. De 500 m a 2 km</v>
      </c>
      <c r="L2752" s="26" t="n">
        <v>0</v>
      </c>
      <c r="M2752" s="26" t="n">
        <v>0</v>
      </c>
      <c r="N2752" s="26" t="n">
        <v>0</v>
      </c>
      <c r="O2752" s="26" t="n">
        <v>0</v>
      </c>
      <c r="P2752" s="30" t="n">
        <v>-17.5361383</v>
      </c>
      <c r="Q2752" s="30" t="n">
        <v>-39.752725</v>
      </c>
      <c r="R2752" s="14" t="inlineStr">
        <is>
          <t>AVENIDA UIRAPURU, 1816, MONTE CASTELO, TEIXEIRA DE FREITAS/BA</t>
        </is>
      </c>
      <c r="S2752" s="26">
        <f>IF(A2752=A2751,0,1)</f>
        <v>0</v>
      </c>
      <c r="T2752" s="26">
        <f>IF(COUNTIF($B$4:B2752,B2752)=1,1,0)</f>
        <v>0</v>
      </c>
    </row>
    <row r="2753">
      <c r="A2753" s="14" t="inlineStr">
        <is>
          <t>TEIXEIRA DE FREITAS</t>
        </is>
      </c>
      <c r="B2753" s="26" t="n">
        <v>183</v>
      </c>
      <c r="C2753" s="26" t="n">
        <v>1244</v>
      </c>
      <c r="D2753" s="14" t="inlineStr">
        <is>
          <t>ESCOLA MUNICIPAL JESUÍNO MARTINS DE SOUZA</t>
        </is>
      </c>
      <c r="E2753" s="14" t="inlineStr">
        <is>
          <t>DISTRITO CACHOEIRA DO MATO</t>
        </is>
      </c>
      <c r="F2753" s="14" t="inlineStr">
        <is>
          <t xml:space="preserve">RUA 2 DE JULHO, S/N - ZONA RURAL  - CACHOEIRA DO MATO </t>
        </is>
      </c>
      <c r="G2753" s="27" t="inlineStr">
        <is>
          <t>45995-000</t>
        </is>
      </c>
      <c r="H2753" s="15" t="n">
        <v>4</v>
      </c>
      <c r="I2753" s="28" t="inlineStr">
        <is>
          <t>NÃO</t>
        </is>
      </c>
      <c r="J2753" s="29" t="n"/>
      <c r="K2753" s="14" t="str">
        <f>IF(J2753="","7. Acima de 2 km",IF(J2753&lt;=50,"1. Até 50 m",IF(J2753&lt;=100,"2. De 50 a 100 m",IF(J2753&lt;=200,"3. De 100 a 200 m",IF(J2753&lt;=300,"4. De 200 a 300 m",IF(J2753&lt;=500,"5. De 300 a 500 m","6. De 500 m a 2 km"))))))</f>
        <v>7. Acima de 2 km</v>
      </c>
      <c r="L2753" s="26" t="n">
        <v>0</v>
      </c>
      <c r="M2753" s="26" t="n">
        <v>0</v>
      </c>
      <c r="N2753" s="26" t="n">
        <v>0</v>
      </c>
      <c r="O2753" s="26" t="n">
        <v>0</v>
      </c>
      <c r="P2753" s="30" t="n">
        <v>-17.31113</v>
      </c>
      <c r="Q2753" s="30" t="n">
        <v>-39.9726133</v>
      </c>
      <c r="R2753" s="14" t="inlineStr">
        <is>
          <t>AVENIDA UIRAPURU, 1816, MONTE CASTELO, TEIXEIRA DE FREITAS/BA</t>
        </is>
      </c>
      <c r="S2753" s="26">
        <f>IF(A2753=A2752,0,1)</f>
        <v>0</v>
      </c>
      <c r="T2753" s="26">
        <f>IF(COUNTIF($B$4:B2753,B2753)=1,1,0)</f>
        <v>0</v>
      </c>
    </row>
    <row r="2754">
      <c r="A2754" s="14" t="inlineStr">
        <is>
          <t>TEIXEIRA DE FREITAS</t>
        </is>
      </c>
      <c r="B2754" s="26" t="n">
        <v>183</v>
      </c>
      <c r="C2754" s="26" t="n">
        <v>1260</v>
      </c>
      <c r="D2754" s="14" t="inlineStr">
        <is>
          <t>ESCOLA MUNICIPAL NOVOS TEMPOS</t>
        </is>
      </c>
      <c r="E2754" s="14" t="inlineStr">
        <is>
          <t>POVOADO JARDIM NOVO</t>
        </is>
      </c>
      <c r="F2754" s="14" t="inlineStr">
        <is>
          <t>AVENIDA BRASÍLIA, S/N - ZONA RURAL</t>
        </is>
      </c>
      <c r="G2754" s="27" t="inlineStr">
        <is>
          <t>45995-000</t>
        </is>
      </c>
      <c r="H2754" s="15" t="n">
        <v>2</v>
      </c>
      <c r="I2754" s="28" t="inlineStr">
        <is>
          <t>NÃO</t>
        </is>
      </c>
      <c r="J2754" s="29" t="n"/>
      <c r="K2754" s="14" t="str">
        <f>IF(J2754="","7. Acima de 2 km",IF(J2754&lt;=50,"1. Até 50 m",IF(J2754&lt;=100,"2. De 50 a 100 m",IF(J2754&lt;=200,"3. De 100 a 200 m",IF(J2754&lt;=300,"4. De 200 a 300 m",IF(J2754&lt;=500,"5. De 300 a 500 m","6. De 500 m a 2 km"))))))</f>
        <v>7. Acima de 2 km</v>
      </c>
      <c r="L2754" s="26" t="n">
        <v>0</v>
      </c>
      <c r="M2754" s="26" t="n">
        <v>0</v>
      </c>
      <c r="N2754" s="26" t="n">
        <v>0</v>
      </c>
      <c r="O2754" s="26" t="n">
        <v>0</v>
      </c>
      <c r="P2754" s="30" t="n">
        <v>-17.3697117</v>
      </c>
      <c r="Q2754" s="30" t="n">
        <v>-39.7988717</v>
      </c>
      <c r="R2754" s="14" t="inlineStr">
        <is>
          <t>AVENIDA UIRAPURU, 1816, MONTE CASTELO, TEIXEIRA DE FREITAS/BA</t>
        </is>
      </c>
      <c r="S2754" s="26">
        <f>IF(A2754=A2753,0,1)</f>
        <v>0</v>
      </c>
      <c r="T2754" s="26">
        <f>IF(COUNTIF($B$4:B2754,B2754)=1,1,0)</f>
        <v>0</v>
      </c>
    </row>
    <row r="2755">
      <c r="A2755" s="14" t="inlineStr">
        <is>
          <t>TEIXEIRA DE FREITAS</t>
        </is>
      </c>
      <c r="B2755" s="26" t="n">
        <v>183</v>
      </c>
      <c r="C2755" s="26" t="n">
        <v>1279</v>
      </c>
      <c r="D2755" s="14" t="inlineStr">
        <is>
          <t>GRUPO ESCOLAR MUNICIPAL</t>
        </is>
      </c>
      <c r="E2755" s="14" t="inlineStr">
        <is>
          <t>POVOADO VILA MARINHA</t>
        </is>
      </c>
      <c r="F2755" s="14" t="inlineStr">
        <is>
          <t>RUA PRINCIPAL, S/N - ZONA RURAL</t>
        </is>
      </c>
      <c r="G2755" s="27" t="inlineStr">
        <is>
          <t>45995-000</t>
        </is>
      </c>
      <c r="H2755" s="15" t="n">
        <v>1</v>
      </c>
      <c r="I2755" s="28" t="inlineStr">
        <is>
          <t>NÃO</t>
        </is>
      </c>
      <c r="J2755" s="29" t="n"/>
      <c r="K2755" s="14" t="str">
        <f>IF(J2755="","7. Acima de 2 km",IF(J2755&lt;=50,"1. Até 50 m",IF(J2755&lt;=100,"2. De 50 a 100 m",IF(J2755&lt;=200,"3. De 100 a 200 m",IF(J2755&lt;=300,"4. De 200 a 300 m",IF(J2755&lt;=500,"5. De 300 a 500 m","6. De 500 m a 2 km"))))))</f>
        <v>7. Acima de 2 km</v>
      </c>
      <c r="L2755" s="26" t="n">
        <v>0</v>
      </c>
      <c r="M2755" s="26" t="n">
        <v>0</v>
      </c>
      <c r="N2755" s="26" t="n">
        <v>0</v>
      </c>
      <c r="O2755" s="26" t="n">
        <v>0</v>
      </c>
      <c r="P2755" s="30" t="n">
        <v>-17.432865</v>
      </c>
      <c r="Q2755" s="30" t="n">
        <v>-39.796835</v>
      </c>
      <c r="R2755" s="14" t="inlineStr">
        <is>
          <t>AVENIDA UIRAPURU, 1816, MONTE CASTELO, TEIXEIRA DE FREITAS/BA</t>
        </is>
      </c>
      <c r="S2755" s="26">
        <f>IF(A2755=A2754,0,1)</f>
        <v>0</v>
      </c>
      <c r="T2755" s="26">
        <f>IF(COUNTIF($B$4:B2755,B2755)=1,1,0)</f>
        <v>0</v>
      </c>
    </row>
    <row r="2756">
      <c r="A2756" s="14" t="inlineStr">
        <is>
          <t>TEIXEIRA DE FREITAS</t>
        </is>
      </c>
      <c r="B2756" s="26" t="n">
        <v>183</v>
      </c>
      <c r="C2756" s="26" t="n">
        <v>1287</v>
      </c>
      <c r="D2756" s="14" t="inlineStr">
        <is>
          <t>GRUPO ESCOLAR MUNICIPAL NILSON FERNANDES</t>
        </is>
      </c>
      <c r="E2756" s="14" t="inlineStr">
        <is>
          <t>POVOADO SANTO ANTONIO</t>
        </is>
      </c>
      <c r="F2756" s="14" t="inlineStr">
        <is>
          <t>AVENIDA GETULIO VARGAS, S/N - ZONA RURAL</t>
        </is>
      </c>
      <c r="G2756" s="27" t="inlineStr">
        <is>
          <t>45995-000</t>
        </is>
      </c>
      <c r="H2756" s="15" t="n">
        <v>11</v>
      </c>
      <c r="I2756" s="28" t="inlineStr">
        <is>
          <t>NÃO</t>
        </is>
      </c>
      <c r="J2756" s="29" t="n"/>
      <c r="K2756" s="14" t="str">
        <f>IF(J2756="","7. Acima de 2 km",IF(J2756&lt;=50,"1. Até 50 m",IF(J2756&lt;=100,"2. De 50 a 100 m",IF(J2756&lt;=200,"3. De 100 a 200 m",IF(J2756&lt;=300,"4. De 200 a 300 m",IF(J2756&lt;=500,"5. De 300 a 500 m","6. De 500 m a 2 km"))))))</f>
        <v>7. Acima de 2 km</v>
      </c>
      <c r="L2756" s="26" t="n">
        <v>0</v>
      </c>
      <c r="M2756" s="26" t="n">
        <v>0</v>
      </c>
      <c r="N2756" s="26" t="n">
        <v>0</v>
      </c>
      <c r="O2756" s="26" t="n">
        <v>0</v>
      </c>
      <c r="P2756" s="30" t="n">
        <v>-17.3488433</v>
      </c>
      <c r="Q2756" s="30" t="n">
        <v>-39.698295</v>
      </c>
      <c r="R2756" s="14" t="inlineStr">
        <is>
          <t>AVENIDA UIRAPURU, 1816, MONTE CASTELO, TEIXEIRA DE FREITAS/BA</t>
        </is>
      </c>
      <c r="S2756" s="26">
        <f>IF(A2756=A2755,0,1)</f>
        <v>0</v>
      </c>
      <c r="T2756" s="26">
        <f>IF(COUNTIF($B$4:B2756,B2756)=1,1,0)</f>
        <v>0</v>
      </c>
    </row>
    <row r="2757">
      <c r="A2757" s="14" t="inlineStr">
        <is>
          <t>TEIXEIRA DE FREITAS</t>
        </is>
      </c>
      <c r="B2757" s="26" t="n">
        <v>183</v>
      </c>
      <c r="C2757" s="26" t="n">
        <v>1317</v>
      </c>
      <c r="D2757" s="14" t="inlineStr">
        <is>
          <t xml:space="preserve">ESCOLA MUNICIPAL BELA VISTA </t>
        </is>
      </c>
      <c r="E2757" s="14" t="inlineStr">
        <is>
          <t>BELA VISTA</t>
        </is>
      </c>
      <c r="F2757" s="14" t="inlineStr">
        <is>
          <t xml:space="preserve">RUA ITÁLIA, 588 - BELA VISTA </t>
        </is>
      </c>
      <c r="G2757" s="27" t="inlineStr">
        <is>
          <t>45990-120</t>
        </is>
      </c>
      <c r="H2757" s="15" t="n">
        <v>6</v>
      </c>
      <c r="I2757" s="28" t="inlineStr">
        <is>
          <t>NÃO</t>
        </is>
      </c>
      <c r="J2757" s="29" t="n">
        <v>531.3</v>
      </c>
      <c r="K2757" s="14" t="str">
        <f>IF(J2757="","7. Acima de 2 km",IF(J2757&lt;=50,"1. Até 50 m",IF(J2757&lt;=100,"2. De 50 a 100 m",IF(J2757&lt;=200,"3. De 100 a 200 m",IF(J2757&lt;=300,"4. De 200 a 300 m",IF(J2757&lt;=500,"5. De 300 a 500 m","6. De 500 m a 2 km"))))))</f>
        <v>6. De 500 m a 2 km</v>
      </c>
      <c r="L2757" s="26" t="n">
        <v>0</v>
      </c>
      <c r="M2757" s="26" t="n">
        <v>0</v>
      </c>
      <c r="N2757" s="26" t="n">
        <v>0</v>
      </c>
      <c r="O2757" s="26" t="n">
        <v>0</v>
      </c>
      <c r="P2757" s="30" t="n">
        <v>-17.5409861</v>
      </c>
      <c r="Q2757" s="30" t="n">
        <v>-39.7262956</v>
      </c>
      <c r="R2757" s="14" t="inlineStr">
        <is>
          <t>AVENIDA UIRAPURU, 1816, MONTE CASTELO, TEIXEIRA DE FREITAS/BA</t>
        </is>
      </c>
      <c r="S2757" s="26">
        <f>IF(A2757=A2756,0,1)</f>
        <v>0</v>
      </c>
      <c r="T2757" s="26">
        <f>IF(COUNTIF($B$4:B2757,B2757)=1,1,0)</f>
        <v>0</v>
      </c>
    </row>
    <row r="2758">
      <c r="A2758" s="14" t="inlineStr">
        <is>
          <t>TEIXEIRA DE FREITAS</t>
        </is>
      </c>
      <c r="B2758" s="26" t="n">
        <v>183</v>
      </c>
      <c r="C2758" s="26" t="n">
        <v>1325</v>
      </c>
      <c r="D2758" s="14" t="inlineStr">
        <is>
          <t>GRUPO ESCOLAR MUNICIPAL D. PEDRO II</t>
        </is>
      </c>
      <c r="E2758" s="14" t="inlineStr">
        <is>
          <t>POVOADO DUQUE DE CAXIAS</t>
        </is>
      </c>
      <c r="F2758" s="14" t="inlineStr">
        <is>
          <t>RUA BENEDITO COSTA, 30 - ZONA RURAL</t>
        </is>
      </c>
      <c r="G2758" s="27" t="inlineStr">
        <is>
          <t>45996-899</t>
        </is>
      </c>
      <c r="H2758" s="15" t="n">
        <v>6</v>
      </c>
      <c r="I2758" s="28" t="inlineStr">
        <is>
          <t>NÃO</t>
        </is>
      </c>
      <c r="J2758" s="29" t="n"/>
      <c r="K2758" s="14" t="str">
        <f>IF(J2758="","7. Acima de 2 km",IF(J2758&lt;=50,"1. Até 50 m",IF(J2758&lt;=100,"2. De 50 a 100 m",IF(J2758&lt;=200,"3. De 100 a 200 m",IF(J2758&lt;=300,"4. De 200 a 300 m",IF(J2758&lt;=500,"5. De 300 a 500 m","6. De 500 m a 2 km"))))))</f>
        <v>7. Acima de 2 km</v>
      </c>
      <c r="L2758" s="26" t="n">
        <v>0</v>
      </c>
      <c r="M2758" s="26" t="n">
        <v>0</v>
      </c>
      <c r="N2758" s="26" t="n">
        <v>0</v>
      </c>
      <c r="O2758" s="26" t="n">
        <v>0</v>
      </c>
      <c r="P2758" s="30" t="n">
        <v>-17.5128851</v>
      </c>
      <c r="Q2758" s="30" t="n">
        <v>-39.8490689</v>
      </c>
      <c r="R2758" s="14" t="inlineStr">
        <is>
          <t>AVENIDA UIRAPURU, 1816, MONTE CASTELO, TEIXEIRA DE FREITAS/BA</t>
        </is>
      </c>
      <c r="S2758" s="26">
        <f>IF(A2758=A2757,0,1)</f>
        <v>0</v>
      </c>
      <c r="T2758" s="26">
        <f>IF(COUNTIF($B$4:B2758,B2758)=1,1,0)</f>
        <v>0</v>
      </c>
    </row>
    <row r="2759">
      <c r="A2759" s="14" t="inlineStr">
        <is>
          <t>TEIXEIRA DE FREITAS</t>
        </is>
      </c>
      <c r="B2759" s="26" t="n">
        <v>183</v>
      </c>
      <c r="C2759" s="26" t="n">
        <v>1341</v>
      </c>
      <c r="D2759" s="14" t="inlineStr">
        <is>
          <t>ESCOLA MUNICIPAL PROFESSOR MOABH CRISTAL FELIX</t>
        </is>
      </c>
      <c r="E2759" s="14" t="inlineStr">
        <is>
          <t>VILA CARAIPE</t>
        </is>
      </c>
      <c r="F2759" s="14" t="inlineStr">
        <is>
          <t xml:space="preserve">RUA MAURÍCIO NASSAU, 55 - VILA CARAÍPE </t>
        </is>
      </c>
      <c r="G2759" s="27" t="inlineStr">
        <is>
          <t>45990-404</t>
        </is>
      </c>
      <c r="H2759" s="15" t="n">
        <v>6</v>
      </c>
      <c r="I2759" s="28" t="inlineStr">
        <is>
          <t>NÃO</t>
        </is>
      </c>
      <c r="J2759" s="29" t="n">
        <v>311.7</v>
      </c>
      <c r="K2759" s="14" t="str">
        <f>IF(J2759="","7. Acima de 2 km",IF(J2759&lt;=50,"1. Até 50 m",IF(J2759&lt;=100,"2. De 50 a 100 m",IF(J2759&lt;=200,"3. De 100 a 200 m",IF(J2759&lt;=300,"4. De 200 a 300 m",IF(J2759&lt;=500,"5. De 300 a 500 m","6. De 500 m a 2 km"))))))</f>
        <v>5. De 300 a 500 m</v>
      </c>
      <c r="L2759" s="26" t="n">
        <v>0</v>
      </c>
      <c r="M2759" s="26" t="n">
        <v>0</v>
      </c>
      <c r="N2759" s="26" t="n">
        <v>0</v>
      </c>
      <c r="O2759" s="26" t="n">
        <v>0</v>
      </c>
      <c r="P2759" s="30" t="n">
        <v>-17.5458459</v>
      </c>
      <c r="Q2759" s="30" t="n">
        <v>-39.7344164</v>
      </c>
      <c r="R2759" s="14" t="inlineStr">
        <is>
          <t>AVENIDA UIRAPURU, 1816, MONTE CASTELO, TEIXEIRA DE FREITAS/BA</t>
        </is>
      </c>
      <c r="S2759" s="26">
        <f>IF(A2759=A2758,0,1)</f>
        <v>0</v>
      </c>
      <c r="T2759" s="26">
        <f>IF(COUNTIF($B$4:B2759,B2759)=1,1,0)</f>
        <v>0</v>
      </c>
    </row>
    <row r="2760">
      <c r="A2760" s="14" t="inlineStr">
        <is>
          <t>TEIXEIRA DE FREITAS</t>
        </is>
      </c>
      <c r="B2760" s="26" t="n">
        <v>183</v>
      </c>
      <c r="C2760" s="26" t="n">
        <v>1350</v>
      </c>
      <c r="D2760" s="14" t="inlineStr">
        <is>
          <t>ESCOLA MUNICIPAL DE 1 GRAU PEDRO AGRIZZI NETO</t>
        </is>
      </c>
      <c r="E2760" s="14" t="inlineStr">
        <is>
          <t>JERUSALÉM</t>
        </is>
      </c>
      <c r="F2760" s="14" t="inlineStr">
        <is>
          <t>RUA INACIO MONTEIRO, S/N - ZONA URBANA</t>
        </is>
      </c>
      <c r="G2760" s="27" t="inlineStr">
        <is>
          <t>45995-000</t>
        </is>
      </c>
      <c r="H2760" s="15" t="n">
        <v>11</v>
      </c>
      <c r="I2760" s="28" t="inlineStr">
        <is>
          <t>NÃO</t>
        </is>
      </c>
      <c r="J2760" s="29" t="n">
        <v>477.8</v>
      </c>
      <c r="K2760" s="14" t="str">
        <f>IF(J2760="","7. Acima de 2 km",IF(J2760&lt;=50,"1. Até 50 m",IF(J2760&lt;=100,"2. De 50 a 100 m",IF(J2760&lt;=200,"3. De 100 a 200 m",IF(J2760&lt;=300,"4. De 200 a 300 m",IF(J2760&lt;=500,"5. De 300 a 500 m","6. De 500 m a 2 km"))))))</f>
        <v>5. De 300 a 500 m</v>
      </c>
      <c r="L2760" s="26" t="n">
        <v>0</v>
      </c>
      <c r="M2760" s="26" t="n">
        <v>0</v>
      </c>
      <c r="N2760" s="26" t="n">
        <v>0</v>
      </c>
      <c r="O2760" s="26" t="n">
        <v>0</v>
      </c>
      <c r="P2760" s="30" t="n">
        <v>-17.5458455</v>
      </c>
      <c r="Q2760" s="30" t="n">
        <v>-39.7127632</v>
      </c>
      <c r="R2760" s="14" t="inlineStr">
        <is>
          <t>AVENIDA UIRAPURU, 1816, MONTE CASTELO, TEIXEIRA DE FREITAS/BA</t>
        </is>
      </c>
      <c r="S2760" s="26">
        <f>IF(A2760=A2759,0,1)</f>
        <v>0</v>
      </c>
      <c r="T2760" s="26">
        <f>IF(COUNTIF($B$4:B2760,B2760)=1,1,0)</f>
        <v>0</v>
      </c>
    </row>
    <row r="2761">
      <c r="A2761" s="14" t="inlineStr">
        <is>
          <t>TEIXEIRA DE FREITAS</t>
        </is>
      </c>
      <c r="B2761" s="26" t="n">
        <v>183</v>
      </c>
      <c r="C2761" s="26" t="n">
        <v>1368</v>
      </c>
      <c r="D2761" s="14" t="inlineStr">
        <is>
          <t>UNIVERSIDADE DO ESTADO DA BAHIA - UNEB</t>
        </is>
      </c>
      <c r="E2761" s="14" t="inlineStr">
        <is>
          <t>KAIKAN</t>
        </is>
      </c>
      <c r="F2761" s="14" t="inlineStr">
        <is>
          <t>AVENIDA KAIKAN, S/N - KAIKAN</t>
        </is>
      </c>
      <c r="G2761" s="27" t="inlineStr">
        <is>
          <t>45992-255</t>
        </is>
      </c>
      <c r="H2761" s="15" t="n">
        <v>12</v>
      </c>
      <c r="I2761" s="28" t="inlineStr">
        <is>
          <t>SIM</t>
        </is>
      </c>
      <c r="J2761" s="29" t="n">
        <v>51.8</v>
      </c>
      <c r="K2761" s="14" t="str">
        <f>IF(J2761="","7. Acima de 2 km",IF(J2761&lt;=50,"1. Até 50 m",IF(J2761&lt;=100,"2. De 50 a 100 m",IF(J2761&lt;=200,"3. De 100 a 200 m",IF(J2761&lt;=300,"4. De 200 a 300 m",IF(J2761&lt;=500,"5. De 300 a 500 m","6. De 500 m a 2 km"))))))</f>
        <v>2. De 50 a 100 m</v>
      </c>
      <c r="L2761" s="26" t="n">
        <v>0</v>
      </c>
      <c r="M2761" s="26" t="n">
        <v>1</v>
      </c>
      <c r="N2761" s="26" t="n">
        <v>1</v>
      </c>
      <c r="O2761" s="26" t="n">
        <v>1</v>
      </c>
      <c r="P2761" s="30" t="n">
        <v>-17.555355</v>
      </c>
      <c r="Q2761" s="30" t="n">
        <v>-39.7431817</v>
      </c>
      <c r="R2761" s="14" t="inlineStr">
        <is>
          <t>AVENIDA UIRAPURU, 1816, MONTE CASTELO, TEIXEIRA DE FREITAS/BA</t>
        </is>
      </c>
      <c r="S2761" s="26">
        <f>IF(A2761=A2760,0,1)</f>
        <v>0</v>
      </c>
      <c r="T2761" s="26">
        <f>IF(COUNTIF($B$4:B2761,B2761)=1,1,0)</f>
        <v>0</v>
      </c>
    </row>
    <row r="2762">
      <c r="A2762" s="14" t="inlineStr">
        <is>
          <t>TEIXEIRA DE FREITAS</t>
        </is>
      </c>
      <c r="B2762" s="26" t="n">
        <v>183</v>
      </c>
      <c r="C2762" s="26" t="n">
        <v>1376</v>
      </c>
      <c r="D2762" s="14" t="inlineStr">
        <is>
          <t>ESCOLA MUNICIPAL AMIGOS DE ARACRUZ</t>
        </is>
      </c>
      <c r="E2762" s="14" t="inlineStr">
        <is>
          <t>LIBERDADE</t>
        </is>
      </c>
      <c r="F2762" s="14" t="inlineStr">
        <is>
          <t>RUA COREIA DO SUL, N 31- ZONA URBANA</t>
        </is>
      </c>
      <c r="G2762" s="27" t="inlineStr">
        <is>
          <t>45993-413</t>
        </is>
      </c>
      <c r="H2762" s="15" t="n">
        <v>10</v>
      </c>
      <c r="I2762" s="28" t="inlineStr">
        <is>
          <t>NÃO</t>
        </is>
      </c>
      <c r="J2762" s="29" t="n">
        <v>287.2</v>
      </c>
      <c r="K2762" s="14" t="str">
        <f>IF(J2762="","7. Acima de 2 km",IF(J2762&lt;=50,"1. Até 50 m",IF(J2762&lt;=100,"2. De 50 a 100 m",IF(J2762&lt;=200,"3. De 100 a 200 m",IF(J2762&lt;=300,"4. De 200 a 300 m",IF(J2762&lt;=500,"5. De 300 a 500 m","6. De 500 m a 2 km"))))))</f>
        <v>4. De 200 a 300 m</v>
      </c>
      <c r="L2762" s="26" t="n">
        <v>0</v>
      </c>
      <c r="M2762" s="26" t="n">
        <v>0</v>
      </c>
      <c r="N2762" s="26" t="n">
        <v>0</v>
      </c>
      <c r="O2762" s="26" t="n">
        <v>1</v>
      </c>
      <c r="P2762" s="30" t="n">
        <v>-17.5553783</v>
      </c>
      <c r="Q2762" s="30" t="n">
        <v>-39.7513683</v>
      </c>
      <c r="R2762" s="14" t="inlineStr">
        <is>
          <t>AVENIDA UIRAPURU, 1816, MONTE CASTELO, TEIXEIRA DE FREITAS/BA</t>
        </is>
      </c>
      <c r="S2762" s="26">
        <f>IF(A2762=A2761,0,1)</f>
        <v>0</v>
      </c>
      <c r="T2762" s="26">
        <f>IF(COUNTIF($B$4:B2762,B2762)=1,1,0)</f>
        <v>0</v>
      </c>
    </row>
    <row r="2763">
      <c r="A2763" s="14" t="inlineStr">
        <is>
          <t>TEIXEIRA DE FREITAS</t>
        </is>
      </c>
      <c r="B2763" s="26" t="n">
        <v>183</v>
      </c>
      <c r="C2763" s="26" t="n">
        <v>1392</v>
      </c>
      <c r="D2763" s="14" t="inlineStr">
        <is>
          <t>ESCOLA MUNICIPAL CLÉLIA DAS GRAÇAS FIGUEIREDO PINTO -MCPM</t>
        </is>
      </c>
      <c r="E2763" s="14" t="inlineStr">
        <is>
          <t>SANTA RITA</t>
        </is>
      </c>
      <c r="F2763" s="14" t="inlineStr">
        <is>
          <t>RUA JOANA ANGELICA , S/N - ZONA URBANA</t>
        </is>
      </c>
      <c r="G2763" s="27" t="inlineStr">
        <is>
          <t>45985-303</t>
        </is>
      </c>
      <c r="H2763" s="15" t="n">
        <v>11</v>
      </c>
      <c r="I2763" s="28" t="inlineStr">
        <is>
          <t>NÃO</t>
        </is>
      </c>
      <c r="J2763" s="29" t="n">
        <v>659.9</v>
      </c>
      <c r="K2763" s="14" t="str">
        <f>IF(J2763="","7. Acima de 2 km",IF(J2763&lt;=50,"1. Até 50 m",IF(J2763&lt;=100,"2. De 50 a 100 m",IF(J2763&lt;=200,"3. De 100 a 200 m",IF(J2763&lt;=300,"4. De 200 a 300 m",IF(J2763&lt;=500,"5. De 300 a 500 m","6. De 500 m a 2 km"))))))</f>
        <v>6. De 500 m a 2 km</v>
      </c>
      <c r="L2763" s="26" t="n">
        <v>0</v>
      </c>
      <c r="M2763" s="26" t="n">
        <v>0</v>
      </c>
      <c r="N2763" s="26" t="n">
        <v>0</v>
      </c>
      <c r="O2763" s="26" t="n">
        <v>0</v>
      </c>
      <c r="P2763" s="30" t="n">
        <v>-17.5304239</v>
      </c>
      <c r="Q2763" s="30" t="n">
        <v>-39.7502409</v>
      </c>
      <c r="R2763" s="14" t="inlineStr">
        <is>
          <t>AVENIDA UIRAPURU, 1816, MONTE CASTELO, TEIXEIRA DE FREITAS/BA</t>
        </is>
      </c>
      <c r="S2763" s="26">
        <f>IF(A2763=A2762,0,1)</f>
        <v>0</v>
      </c>
      <c r="T2763" s="26">
        <f>IF(COUNTIF($B$4:B2763,B2763)=1,1,0)</f>
        <v>0</v>
      </c>
    </row>
    <row r="2764">
      <c r="A2764" s="14" t="inlineStr">
        <is>
          <t>TEIXEIRA DE FREITAS</t>
        </is>
      </c>
      <c r="B2764" s="26" t="n">
        <v>183</v>
      </c>
      <c r="C2764" s="26" t="n">
        <v>1406</v>
      </c>
      <c r="D2764" s="14" t="inlineStr">
        <is>
          <t>CENTRO TERRITORIAL DE EDUCAÇÃO PROFISSIONAL DO EXTREMO SUL - CETEPS</t>
        </is>
      </c>
      <c r="E2764" s="14" t="inlineStr">
        <is>
          <t>JARDIM CARAIPE</t>
        </is>
      </c>
      <c r="F2764" s="14" t="inlineStr">
        <is>
          <t xml:space="preserve">AVENIDA BEIRA VALE, N 38 - JARDIM CARAÍPE </t>
        </is>
      </c>
      <c r="G2764" s="27" t="inlineStr">
        <is>
          <t>45990-762</t>
        </is>
      </c>
      <c r="H2764" s="15" t="n">
        <v>9</v>
      </c>
      <c r="I2764" s="28" t="inlineStr">
        <is>
          <t>NÃO</t>
        </is>
      </c>
      <c r="J2764" s="29" t="n">
        <v>108.3</v>
      </c>
      <c r="K2764" s="14" t="str">
        <f>IF(J2764="","7. Acima de 2 km",IF(J2764&lt;=50,"1. Até 50 m",IF(J2764&lt;=100,"2. De 50 a 100 m",IF(J2764&lt;=200,"3. De 100 a 200 m",IF(J2764&lt;=300,"4. De 200 a 300 m",IF(J2764&lt;=500,"5. De 300 a 500 m","6. De 500 m a 2 km"))))))</f>
        <v>3. De 100 a 200 m</v>
      </c>
      <c r="L2764" s="26" t="n">
        <v>0</v>
      </c>
      <c r="M2764" s="26" t="n">
        <v>0</v>
      </c>
      <c r="N2764" s="26" t="n">
        <v>2</v>
      </c>
      <c r="O2764" s="26" t="n">
        <v>2</v>
      </c>
      <c r="P2764" s="30" t="n">
        <v>-17.5468891</v>
      </c>
      <c r="Q2764" s="30" t="n">
        <v>-39.74141</v>
      </c>
      <c r="R2764" s="14" t="inlineStr">
        <is>
          <t>AVENIDA UIRAPURU, 1816, MONTE CASTELO, TEIXEIRA DE FREITAS/BA</t>
        </is>
      </c>
      <c r="S2764" s="26">
        <f>IF(A2764=A2763,0,1)</f>
        <v>0</v>
      </c>
      <c r="T2764" s="26">
        <f>IF(COUNTIF($B$4:B2764,B2764)=1,1,0)</f>
        <v>0</v>
      </c>
    </row>
    <row r="2765">
      <c r="A2765" s="14" t="inlineStr">
        <is>
          <t>TEIXEIRA DE FREITAS</t>
        </is>
      </c>
      <c r="B2765" s="26" t="n">
        <v>183</v>
      </c>
      <c r="C2765" s="26" t="n">
        <v>1414</v>
      </c>
      <c r="D2765" s="14" t="inlineStr">
        <is>
          <t>ESCOLA MUNICIPAL DE 1. GRAU SAO GERALDO</t>
        </is>
      </c>
      <c r="E2765" s="14" t="inlineStr">
        <is>
          <t>TANCREDO NEVES</t>
        </is>
      </c>
      <c r="F2765" s="14" t="inlineStr">
        <is>
          <t>RUA EDITORIAL, 70- ZONA URBANA</t>
        </is>
      </c>
      <c r="G2765" s="27" t="inlineStr">
        <is>
          <t>45995-000</t>
        </is>
      </c>
      <c r="H2765" s="15" t="n">
        <v>13</v>
      </c>
      <c r="I2765" s="28" t="inlineStr">
        <is>
          <t>NÃO</t>
        </is>
      </c>
      <c r="J2765" s="29" t="n">
        <v>841.8</v>
      </c>
      <c r="K2765" s="14" t="str">
        <f>IF(J2765="","7. Acima de 2 km",IF(J2765&lt;=50,"1. Até 50 m",IF(J2765&lt;=100,"2. De 50 a 100 m",IF(J2765&lt;=200,"3. De 100 a 200 m",IF(J2765&lt;=300,"4. De 200 a 300 m",IF(J2765&lt;=500,"5. De 300 a 500 m","6. De 500 m a 2 km"))))))</f>
        <v>6. De 500 m a 2 km</v>
      </c>
      <c r="L2765" s="26" t="n">
        <v>0</v>
      </c>
      <c r="M2765" s="26" t="n">
        <v>0</v>
      </c>
      <c r="N2765" s="26" t="n">
        <v>0</v>
      </c>
      <c r="O2765" s="26" t="n">
        <v>0</v>
      </c>
      <c r="P2765" s="30" t="n">
        <v>-17.5422634</v>
      </c>
      <c r="Q2765" s="30" t="n">
        <v>-39.7535206</v>
      </c>
      <c r="R2765" s="14" t="inlineStr">
        <is>
          <t>AVENIDA UIRAPURU, 1816, MONTE CASTELO, TEIXEIRA DE FREITAS/BA</t>
        </is>
      </c>
      <c r="S2765" s="26">
        <f>IF(A2765=A2764,0,1)</f>
        <v>0</v>
      </c>
      <c r="T2765" s="26">
        <f>IF(COUNTIF($B$4:B2765,B2765)=1,1,0)</f>
        <v>0</v>
      </c>
    </row>
    <row r="2766">
      <c r="A2766" s="14" t="inlineStr">
        <is>
          <t>TEIXEIRA DE FREITAS</t>
        </is>
      </c>
      <c r="B2766" s="26" t="n">
        <v>183</v>
      </c>
      <c r="C2766" s="26" t="n">
        <v>1422</v>
      </c>
      <c r="D2766" s="14" t="inlineStr">
        <is>
          <t xml:space="preserve">ESCOLA MUNICIPAL ANTÔNIA GOMES ROCHA CABRAL </t>
        </is>
      </c>
      <c r="E2766" s="14" t="inlineStr">
        <is>
          <t>ULISSES GUIMARÃES</t>
        </is>
      </c>
      <c r="F2766" s="14" t="inlineStr">
        <is>
          <t xml:space="preserve">RUA VATICANO, 56-A, ULISSES GUIMARÃES </t>
        </is>
      </c>
      <c r="G2766" s="27" t="inlineStr">
        <is>
          <t>45994-761</t>
        </is>
      </c>
      <c r="H2766" s="15" t="n">
        <v>9</v>
      </c>
      <c r="I2766" s="28" t="inlineStr">
        <is>
          <t>NÃO</t>
        </is>
      </c>
      <c r="J2766" s="29" t="n"/>
      <c r="K2766" s="14" t="str">
        <f>IF(J2766="","7. Acima de 2 km",IF(J2766&lt;=50,"1. Até 50 m",IF(J2766&lt;=100,"2. De 50 a 100 m",IF(J2766&lt;=200,"3. De 100 a 200 m",IF(J2766&lt;=300,"4. De 200 a 300 m",IF(J2766&lt;=500,"5. De 300 a 500 m","6. De 500 m a 2 km"))))))</f>
        <v>7. Acima de 2 km</v>
      </c>
      <c r="L2766" s="26" t="n">
        <v>0</v>
      </c>
      <c r="M2766" s="26" t="n">
        <v>0</v>
      </c>
      <c r="N2766" s="26" t="n">
        <v>0</v>
      </c>
      <c r="O2766" s="26" t="n">
        <v>0</v>
      </c>
      <c r="P2766" s="30" t="n">
        <v>-17.53438</v>
      </c>
      <c r="Q2766" s="30" t="n">
        <v>-39.7733617</v>
      </c>
      <c r="R2766" s="14" t="inlineStr">
        <is>
          <t>AVENIDA UIRAPURU, 1816, MONTE CASTELO, TEIXEIRA DE FREITAS/BA</t>
        </is>
      </c>
      <c r="S2766" s="26">
        <f>IF(A2766=A2765,0,1)</f>
        <v>0</v>
      </c>
      <c r="T2766" s="26">
        <f>IF(COUNTIF($B$4:B2766,B2766)=1,1,0)</f>
        <v>0</v>
      </c>
    </row>
    <row r="2767">
      <c r="A2767" s="14" t="inlineStr">
        <is>
          <t>TEIXEIRA DE FREITAS</t>
        </is>
      </c>
      <c r="B2767" s="26" t="n">
        <v>183</v>
      </c>
      <c r="C2767" s="26" t="n">
        <v>1457</v>
      </c>
      <c r="D2767" s="14" t="inlineStr">
        <is>
          <t>ESCOLA MUNICIPAL VILA VARGAS</t>
        </is>
      </c>
      <c r="E2767" s="14" t="inlineStr">
        <is>
          <t>SÃO LOURENÇO</t>
        </is>
      </c>
      <c r="F2767" s="14" t="inlineStr">
        <is>
          <t>RUA AURELINO J. OLIVEIRA, 97 - ZONA URBANA</t>
        </is>
      </c>
      <c r="G2767" s="27" t="inlineStr">
        <is>
          <t>45995-000</t>
        </is>
      </c>
      <c r="H2767" s="15" t="n">
        <v>8</v>
      </c>
      <c r="I2767" s="28" t="inlineStr">
        <is>
          <t>NÃO</t>
        </is>
      </c>
      <c r="J2767" s="29" t="n">
        <v>216.3</v>
      </c>
      <c r="K2767" s="14" t="str">
        <f>IF(J2767="","7. Acima de 2 km",IF(J2767&lt;=50,"1. Até 50 m",IF(J2767&lt;=100,"2. De 50 a 100 m",IF(J2767&lt;=200,"3. De 100 a 200 m",IF(J2767&lt;=300,"4. De 200 a 300 m",IF(J2767&lt;=500,"5. De 300 a 500 m","6. De 500 m a 2 km"))))))</f>
        <v>4. De 200 a 300 m</v>
      </c>
      <c r="L2767" s="26" t="n">
        <v>0</v>
      </c>
      <c r="M2767" s="26" t="n">
        <v>0</v>
      </c>
      <c r="N2767" s="26" t="n">
        <v>0</v>
      </c>
      <c r="O2767" s="26" t="n">
        <v>2</v>
      </c>
      <c r="P2767" s="30" t="n">
        <v>-17.5413916</v>
      </c>
      <c r="Q2767" s="30" t="n">
        <v>-39.7462707</v>
      </c>
      <c r="R2767" s="14" t="inlineStr">
        <is>
          <t>AVENIDA UIRAPURU, 1816, MONTE CASTELO, TEIXEIRA DE FREITAS/BA</t>
        </is>
      </c>
      <c r="S2767" s="26">
        <f>IF(A2767=A2766,0,1)</f>
        <v>0</v>
      </c>
      <c r="T2767" s="26">
        <f>IF(COUNTIF($B$4:B2767,B2767)=1,1,0)</f>
        <v>0</v>
      </c>
    </row>
    <row r="2768">
      <c r="A2768" s="14" t="inlineStr">
        <is>
          <t>TEIXEIRA DE FREITAS</t>
        </is>
      </c>
      <c r="B2768" s="26" t="n">
        <v>183</v>
      </c>
      <c r="C2768" s="26" t="n">
        <v>1473</v>
      </c>
      <c r="D2768" s="14" t="inlineStr">
        <is>
          <t>ESCOLA MUNICIPAL SÃO LOURENÇO</t>
        </is>
      </c>
      <c r="E2768" s="14" t="inlineStr">
        <is>
          <t>SÃO LOURENÇO</t>
        </is>
      </c>
      <c r="F2768" s="14" t="inlineStr">
        <is>
          <t xml:space="preserve">RUA GENERAL TUDE, 150  SÃO LOURENÇO </t>
        </is>
      </c>
      <c r="G2768" s="27" t="inlineStr">
        <is>
          <t>45992-171</t>
        </is>
      </c>
      <c r="H2768" s="15" t="n">
        <v>8</v>
      </c>
      <c r="I2768" s="28" t="inlineStr">
        <is>
          <t>NÃO</t>
        </is>
      </c>
      <c r="J2768" s="29" t="n">
        <v>612.3</v>
      </c>
      <c r="K2768" s="14" t="str">
        <f>IF(J2768="","7. Acima de 2 km",IF(J2768&lt;=50,"1. Até 50 m",IF(J2768&lt;=100,"2. De 50 a 100 m",IF(J2768&lt;=200,"3. De 100 a 200 m",IF(J2768&lt;=300,"4. De 200 a 300 m",IF(J2768&lt;=500,"5. De 300 a 500 m","6. De 500 m a 2 km"))))))</f>
        <v>6. De 500 m a 2 km</v>
      </c>
      <c r="L2768" s="26" t="n">
        <v>0</v>
      </c>
      <c r="M2768" s="26" t="n">
        <v>0</v>
      </c>
      <c r="N2768" s="26" t="n">
        <v>0</v>
      </c>
      <c r="O2768" s="26" t="n">
        <v>0</v>
      </c>
      <c r="P2768" s="30" t="n">
        <v>-17.5501267</v>
      </c>
      <c r="Q2768" s="30" t="n">
        <v>-39.7500301</v>
      </c>
      <c r="R2768" s="14" t="inlineStr">
        <is>
          <t>AVENIDA UIRAPURU, 1816, MONTE CASTELO, TEIXEIRA DE FREITAS/BA</t>
        </is>
      </c>
      <c r="S2768" s="26">
        <f>IF(A2768=A2767,0,1)</f>
        <v>0</v>
      </c>
      <c r="T2768" s="26">
        <f>IF(COUNTIF($B$4:B2768,B2768)=1,1,0)</f>
        <v>0</v>
      </c>
    </row>
    <row r="2769">
      <c r="A2769" s="14" t="inlineStr">
        <is>
          <t>TEIXEIRA DE FREITAS</t>
        </is>
      </c>
      <c r="B2769" s="26" t="n">
        <v>183</v>
      </c>
      <c r="C2769" s="26" t="n">
        <v>1481</v>
      </c>
      <c r="D2769" s="14" t="inlineStr">
        <is>
          <t>ESCOLA MUNICIPAL GESSÉ INÁCIO DO NASCIMENTO</t>
        </is>
      </c>
      <c r="E2769" s="14" t="inlineStr">
        <is>
          <t>REDENCÃO</t>
        </is>
      </c>
      <c r="F2769" s="14" t="inlineStr">
        <is>
          <t xml:space="preserve">RUA GOVERNADOR VITAL BATISTA SOARES, S/N - REDENÇÃO </t>
        </is>
      </c>
      <c r="G2769" s="27" t="inlineStr">
        <is>
          <t>45994-009</t>
        </is>
      </c>
      <c r="H2769" s="15" t="n">
        <v>7</v>
      </c>
      <c r="I2769" s="28" t="inlineStr">
        <is>
          <t>NÃO</t>
        </is>
      </c>
      <c r="J2769" s="29" t="n">
        <v>659.4</v>
      </c>
      <c r="K2769" s="14" t="str">
        <f>IF(J2769="","7. Acima de 2 km",IF(J2769&lt;=50,"1. Até 50 m",IF(J2769&lt;=100,"2. De 50 a 100 m",IF(J2769&lt;=200,"3. De 100 a 200 m",IF(J2769&lt;=300,"4. De 200 a 300 m",IF(J2769&lt;=500,"5. De 300 a 500 m","6. De 500 m a 2 km"))))))</f>
        <v>6. De 500 m a 2 km</v>
      </c>
      <c r="L2769" s="26" t="n">
        <v>0</v>
      </c>
      <c r="M2769" s="26" t="n">
        <v>0</v>
      </c>
      <c r="N2769" s="26" t="n">
        <v>0</v>
      </c>
      <c r="O2769" s="26" t="n">
        <v>0</v>
      </c>
      <c r="P2769" s="30" t="n">
        <v>-17.5365054</v>
      </c>
      <c r="Q2769" s="30" t="n">
        <v>-39.7540042</v>
      </c>
      <c r="R2769" s="14" t="inlineStr">
        <is>
          <t>AVENIDA UIRAPURU, 1816, MONTE CASTELO, TEIXEIRA DE FREITAS/BA</t>
        </is>
      </c>
      <c r="S2769" s="26">
        <f>IF(A2769=A2768,0,1)</f>
        <v>0</v>
      </c>
      <c r="T2769" s="26">
        <f>IF(COUNTIF($B$4:B2769,B2769)=1,1,0)</f>
        <v>0</v>
      </c>
    </row>
    <row r="2770">
      <c r="A2770" s="14" t="inlineStr">
        <is>
          <t>TEIXEIRA DE FREITAS</t>
        </is>
      </c>
      <c r="B2770" s="26" t="n">
        <v>183</v>
      </c>
      <c r="C2770" s="26" t="n">
        <v>1490</v>
      </c>
      <c r="D2770" s="14" t="inlineStr">
        <is>
          <t>ESCOLA MUNICIPAL ANTONIO CHICON SOBRINHO</t>
        </is>
      </c>
      <c r="E2770" s="14" t="inlineStr">
        <is>
          <t>JARDIM CARAIPE</t>
        </is>
      </c>
      <c r="F2770" s="14" t="inlineStr">
        <is>
          <t>AV. SÃO PAULO, 1572 - ZONA URBANA</t>
        </is>
      </c>
      <c r="G2770" s="27" t="inlineStr">
        <is>
          <t>45990-710</t>
        </is>
      </c>
      <c r="H2770" s="15" t="n">
        <v>7</v>
      </c>
      <c r="I2770" s="28" t="inlineStr">
        <is>
          <t>NÃO</t>
        </is>
      </c>
      <c r="J2770" s="29" t="n">
        <v>548.2</v>
      </c>
      <c r="K2770" s="14" t="str">
        <f>IF(J2770="","7. Acima de 2 km",IF(J2770&lt;=50,"1. Até 50 m",IF(J2770&lt;=100,"2. De 50 a 100 m",IF(J2770&lt;=200,"3. De 100 a 200 m",IF(J2770&lt;=300,"4. De 200 a 300 m",IF(J2770&lt;=500,"5. De 300 a 500 m","6. De 500 m a 2 km"))))))</f>
        <v>6. De 500 m a 2 km</v>
      </c>
      <c r="L2770" s="26" t="n">
        <v>0</v>
      </c>
      <c r="M2770" s="26" t="n">
        <v>0</v>
      </c>
      <c r="N2770" s="26" t="n">
        <v>0</v>
      </c>
      <c r="O2770" s="26" t="n">
        <v>0</v>
      </c>
      <c r="P2770" s="30" t="n">
        <v>-17.5508804</v>
      </c>
      <c r="Q2770" s="30" t="n">
        <v>-39.734532</v>
      </c>
      <c r="R2770" s="14" t="inlineStr">
        <is>
          <t>AVENIDA UIRAPURU, 1816, MONTE CASTELO, TEIXEIRA DE FREITAS/BA</t>
        </is>
      </c>
      <c r="S2770" s="26">
        <f>IF(A2770=A2769,0,1)</f>
        <v>0</v>
      </c>
      <c r="T2770" s="26">
        <f>IF(COUNTIF($B$4:B2770,B2770)=1,1,0)</f>
        <v>0</v>
      </c>
    </row>
    <row r="2771">
      <c r="A2771" s="14" t="inlineStr">
        <is>
          <t>TEIXEIRA DE FREITAS</t>
        </is>
      </c>
      <c r="B2771" s="26" t="n">
        <v>183</v>
      </c>
      <c r="C2771" s="26" t="n">
        <v>1503</v>
      </c>
      <c r="D2771" s="14" t="inlineStr">
        <is>
          <t>ESCOLA MUNICIPAL PROFESSORA GENI ABUTRABE GUERRA PESSOA</t>
        </is>
      </c>
      <c r="E2771" s="14" t="inlineStr">
        <is>
          <t>COLINA VERDE</t>
        </is>
      </c>
      <c r="F2771" s="14" t="inlineStr">
        <is>
          <t xml:space="preserve">RUA RAQUEL DE QUEIROZ, 550 - COLINA VERDE </t>
        </is>
      </c>
      <c r="G2771" s="27" t="inlineStr">
        <is>
          <t>45987-376</t>
        </is>
      </c>
      <c r="H2771" s="15" t="n">
        <v>9</v>
      </c>
      <c r="I2771" s="28" t="inlineStr">
        <is>
          <t>NÃO</t>
        </is>
      </c>
      <c r="J2771" s="29" t="n">
        <v>1319.4</v>
      </c>
      <c r="K2771" s="14" t="str">
        <f>IF(J2771="","7. Acima de 2 km",IF(J2771&lt;=50,"1. Até 50 m",IF(J2771&lt;=100,"2. De 50 a 100 m",IF(J2771&lt;=200,"3. De 100 a 200 m",IF(J2771&lt;=300,"4. De 200 a 300 m",IF(J2771&lt;=500,"5. De 300 a 500 m","6. De 500 m a 2 km"))))))</f>
        <v>6. De 500 m a 2 km</v>
      </c>
      <c r="L2771" s="26" t="n">
        <v>0</v>
      </c>
      <c r="M2771" s="26" t="n">
        <v>0</v>
      </c>
      <c r="N2771" s="26" t="n">
        <v>0</v>
      </c>
      <c r="O2771" s="26" t="n">
        <v>0</v>
      </c>
      <c r="P2771" s="30" t="n">
        <v>-17.523825</v>
      </c>
      <c r="Q2771" s="30" t="n">
        <v>-39.7397883</v>
      </c>
      <c r="R2771" s="14" t="inlineStr">
        <is>
          <t>AVENIDA UIRAPURU, 1816, MONTE CASTELO, TEIXEIRA DE FREITAS/BA</t>
        </is>
      </c>
      <c r="S2771" s="26">
        <f>IF(A2771=A2770,0,1)</f>
        <v>0</v>
      </c>
      <c r="T2771" s="26">
        <f>IF(COUNTIF($B$4:B2771,B2771)=1,1,0)</f>
        <v>0</v>
      </c>
    </row>
    <row r="2772">
      <c r="A2772" s="14" t="inlineStr">
        <is>
          <t>TEIXEIRA DE FREITAS</t>
        </is>
      </c>
      <c r="B2772" s="26" t="n">
        <v>183</v>
      </c>
      <c r="C2772" s="26" t="n">
        <v>1511</v>
      </c>
      <c r="D2772" s="14" t="inlineStr">
        <is>
          <t xml:space="preserve">ESCOLA MUNICIPAL RECREIO </t>
        </is>
      </c>
      <c r="E2772" s="14" t="inlineStr">
        <is>
          <t>BELA VISTA</t>
        </is>
      </c>
      <c r="F2772" s="14" t="inlineStr">
        <is>
          <t xml:space="preserve">RUA ARAGUAIA, 248 - BELA VISTA </t>
        </is>
      </c>
      <c r="G2772" s="27" t="inlineStr">
        <is>
          <t>45997-013</t>
        </is>
      </c>
      <c r="H2772" s="15" t="n">
        <v>4</v>
      </c>
      <c r="I2772" s="28" t="inlineStr">
        <is>
          <t>NÃO</t>
        </is>
      </c>
      <c r="J2772" s="29" t="n">
        <v>424.3</v>
      </c>
      <c r="K2772" s="14" t="str">
        <f>IF(J2772="","7. Acima de 2 km",IF(J2772&lt;=50,"1. Até 50 m",IF(J2772&lt;=100,"2. De 50 a 100 m",IF(J2772&lt;=200,"3. De 100 a 200 m",IF(J2772&lt;=300,"4. De 200 a 300 m",IF(J2772&lt;=500,"5. De 300 a 500 m","6. De 500 m a 2 km"))))))</f>
        <v>5. De 300 a 500 m</v>
      </c>
      <c r="L2772" s="26" t="n">
        <v>0</v>
      </c>
      <c r="M2772" s="26" t="n">
        <v>0</v>
      </c>
      <c r="N2772" s="26" t="n">
        <v>0</v>
      </c>
      <c r="O2772" s="26" t="n">
        <v>0</v>
      </c>
      <c r="P2772" s="30" t="n">
        <v>-17.5415522</v>
      </c>
      <c r="Q2772" s="30" t="n">
        <v>-39.737019</v>
      </c>
      <c r="R2772" s="14" t="inlineStr">
        <is>
          <t>AVENIDA UIRAPURU, 1816, MONTE CASTELO, TEIXEIRA DE FREITAS/BA</t>
        </is>
      </c>
      <c r="S2772" s="26">
        <f>IF(A2772=A2771,0,1)</f>
        <v>0</v>
      </c>
      <c r="T2772" s="26">
        <f>IF(COUNTIF($B$4:B2772,B2772)=1,1,0)</f>
        <v>0</v>
      </c>
    </row>
    <row r="2773">
      <c r="A2773" s="14" t="inlineStr">
        <is>
          <t>TEIXEIRA DE FREITAS</t>
        </is>
      </c>
      <c r="B2773" s="26" t="n">
        <v>183</v>
      </c>
      <c r="C2773" s="26" t="n">
        <v>1520</v>
      </c>
      <c r="D2773" s="14" t="inlineStr">
        <is>
          <t>ESCOLA MUNICIPAL VEREADOR GENIVALDO BISPO DE OLIVEIRA</t>
        </is>
      </c>
      <c r="E2773" s="14" t="inlineStr">
        <is>
          <t>LUÍS EDUARDO MAGALHÃES</t>
        </is>
      </c>
      <c r="F2773" s="14" t="inlineStr">
        <is>
          <t xml:space="preserve">AVENIDA AURÉLIO VIANA, 900 - LUIZ EDUARDO MAGALHÃES </t>
        </is>
      </c>
      <c r="G2773" s="27" t="inlineStr">
        <is>
          <t>45994-150</t>
        </is>
      </c>
      <c r="H2773" s="15" t="n">
        <v>8</v>
      </c>
      <c r="I2773" s="28" t="inlineStr">
        <is>
          <t>NÃO</t>
        </is>
      </c>
      <c r="J2773" s="29" t="n">
        <v>841.4</v>
      </c>
      <c r="K2773" s="14" t="str">
        <f>IF(J2773="","7. Acima de 2 km",IF(J2773&lt;=50,"1. Até 50 m",IF(J2773&lt;=100,"2. De 50 a 100 m",IF(J2773&lt;=200,"3. De 100 a 200 m",IF(J2773&lt;=300,"4. De 200 a 300 m",IF(J2773&lt;=500,"5. De 300 a 500 m","6. De 500 m a 2 km"))))))</f>
        <v>6. De 500 m a 2 km</v>
      </c>
      <c r="L2773" s="26" t="n">
        <v>0</v>
      </c>
      <c r="M2773" s="26" t="n">
        <v>0</v>
      </c>
      <c r="N2773" s="26" t="n">
        <v>0</v>
      </c>
      <c r="O2773" s="26" t="n">
        <v>0</v>
      </c>
      <c r="P2773" s="30" t="n">
        <v>-17.5378367</v>
      </c>
      <c r="Q2773" s="30" t="n">
        <v>-39.7599283</v>
      </c>
      <c r="R2773" s="14" t="inlineStr">
        <is>
          <t>AVENIDA UIRAPURU, 1816, MONTE CASTELO, TEIXEIRA DE FREITAS/BA</t>
        </is>
      </c>
      <c r="S2773" s="26">
        <f>IF(A2773=A2772,0,1)</f>
        <v>0</v>
      </c>
      <c r="T2773" s="26">
        <f>IF(COUNTIF($B$4:B2773,B2773)=1,1,0)</f>
        <v>0</v>
      </c>
    </row>
    <row r="2774">
      <c r="A2774" s="14" t="inlineStr">
        <is>
          <t>TEIXEIRA DE FREITAS</t>
        </is>
      </c>
      <c r="B2774" s="26" t="n">
        <v>183</v>
      </c>
      <c r="C2774" s="26" t="n">
        <v>1546</v>
      </c>
      <c r="D2774" s="14" t="inlineStr">
        <is>
          <t>ESCOLA PROFESSORA DELCI RODRIGUES DE AGUILAR</t>
        </is>
      </c>
      <c r="E2774" s="14" t="inlineStr">
        <is>
          <t>SANTA RITA</t>
        </is>
      </c>
      <c r="F2774" s="14" t="inlineStr">
        <is>
          <t>RUA FIDELCINO DE SOUZA, S/N - ZONA URBANA</t>
        </is>
      </c>
      <c r="G2774" s="27" t="inlineStr">
        <is>
          <t>45985-318</t>
        </is>
      </c>
      <c r="H2774" s="15" t="n">
        <v>3</v>
      </c>
      <c r="I2774" s="28" t="inlineStr">
        <is>
          <t>NÃO</t>
        </is>
      </c>
      <c r="J2774" s="29" t="n">
        <v>606.7</v>
      </c>
      <c r="K2774" s="14" t="str">
        <f>IF(J2774="","7. Acima de 2 km",IF(J2774&lt;=50,"1. Até 50 m",IF(J2774&lt;=100,"2. De 50 a 100 m",IF(J2774&lt;=200,"3. De 100 a 200 m",IF(J2774&lt;=300,"4. De 200 a 300 m",IF(J2774&lt;=500,"5. De 300 a 500 m","6. De 500 m a 2 km"))))))</f>
        <v>6. De 500 m a 2 km</v>
      </c>
      <c r="L2774" s="26" t="n">
        <v>0</v>
      </c>
      <c r="M2774" s="26" t="n">
        <v>0</v>
      </c>
      <c r="N2774" s="26" t="n">
        <v>0</v>
      </c>
      <c r="O2774" s="26" t="n">
        <v>0</v>
      </c>
      <c r="P2774" s="30" t="n">
        <v>-17.5311083</v>
      </c>
      <c r="Q2774" s="30" t="n">
        <v>-39.7507083</v>
      </c>
      <c r="R2774" s="14" t="inlineStr">
        <is>
          <t>AVENIDA UIRAPURU, 1816, MONTE CASTELO, TEIXEIRA DE FREITAS/BA</t>
        </is>
      </c>
      <c r="S2774" s="26">
        <f>IF(A2774=A2773,0,1)</f>
        <v>0</v>
      </c>
      <c r="T2774" s="26">
        <f>IF(COUNTIF($B$4:B2774,B2774)=1,1,0)</f>
        <v>0</v>
      </c>
    </row>
    <row r="2775">
      <c r="A2775" s="14" t="inlineStr">
        <is>
          <t>TEIXEIRA DE FREITAS</t>
        </is>
      </c>
      <c r="B2775" s="26" t="n">
        <v>183</v>
      </c>
      <c r="C2775" s="26" t="n">
        <v>1554</v>
      </c>
      <c r="D2775" s="14" t="inlineStr">
        <is>
          <t>ESCOLA AMIGOS DA NATUREZA</t>
        </is>
      </c>
      <c r="E2775" s="14" t="inlineStr">
        <is>
          <t>LIBERDADE</t>
        </is>
      </c>
      <c r="F2775" s="14" t="inlineStr">
        <is>
          <t>RUA ARMÊNIA, N 70 - ZONA URBANA</t>
        </is>
      </c>
      <c r="G2775" s="27" t="inlineStr">
        <is>
          <t>45993-413</t>
        </is>
      </c>
      <c r="H2775" s="15" t="n">
        <v>7</v>
      </c>
      <c r="I2775" s="28" t="inlineStr">
        <is>
          <t>NÃO</t>
        </is>
      </c>
      <c r="J2775" s="29" t="n">
        <v>282.4</v>
      </c>
      <c r="K2775" s="14" t="str">
        <f>IF(J2775="","7. Acima de 2 km",IF(J2775&lt;=50,"1. Até 50 m",IF(J2775&lt;=100,"2. De 50 a 100 m",IF(J2775&lt;=200,"3. De 100 a 200 m",IF(J2775&lt;=300,"4. De 200 a 300 m",IF(J2775&lt;=500,"5. De 300 a 500 m","6. De 500 m a 2 km"))))))</f>
        <v>4. De 200 a 300 m</v>
      </c>
      <c r="L2775" s="26" t="n">
        <v>0</v>
      </c>
      <c r="M2775" s="26" t="n">
        <v>0</v>
      </c>
      <c r="N2775" s="26" t="n">
        <v>0</v>
      </c>
      <c r="O2775" s="26" t="n">
        <v>1</v>
      </c>
      <c r="P2775" s="30" t="n">
        <v>-17.5556039</v>
      </c>
      <c r="Q2775" s="30" t="n">
        <v>-39.7510395</v>
      </c>
      <c r="R2775" s="14" t="inlineStr">
        <is>
          <t>AVENIDA UIRAPURU, 1816, MONTE CASTELO, TEIXEIRA DE FREITAS/BA</t>
        </is>
      </c>
      <c r="S2775" s="26">
        <f>IF(A2775=A2774,0,1)</f>
        <v>0</v>
      </c>
      <c r="T2775" s="26">
        <f>IF(COUNTIF($B$4:B2775,B2775)=1,1,0)</f>
        <v>0</v>
      </c>
    </row>
    <row r="2776">
      <c r="A2776" s="14" t="inlineStr">
        <is>
          <t>TEIXEIRA DE FREITAS</t>
        </is>
      </c>
      <c r="B2776" s="26" t="n">
        <v>183</v>
      </c>
      <c r="C2776" s="26" t="n">
        <v>1570</v>
      </c>
      <c r="D2776" s="14" t="inlineStr">
        <is>
          <t>ESCOLA MUNICIPAL SHENEIDER CORDEIRO CORREIA</t>
        </is>
      </c>
      <c r="E2776" s="14" t="inlineStr">
        <is>
          <t>NOVA AMÉRICA</t>
        </is>
      </c>
      <c r="F2776" s="14" t="inlineStr">
        <is>
          <t xml:space="preserve">RUA NOVA AMÉRICA S/N - NOVA AMÉRICA </t>
        </is>
      </c>
      <c r="G2776" s="27" t="inlineStr">
        <is>
          <t>45988-475</t>
        </is>
      </c>
      <c r="H2776" s="15" t="n">
        <v>4</v>
      </c>
      <c r="I2776" s="28" t="inlineStr">
        <is>
          <t>NÃO</t>
        </is>
      </c>
      <c r="J2776" s="29" t="n">
        <v>484.4</v>
      </c>
      <c r="K2776" s="14" t="str">
        <f>IF(J2776="","7. Acima de 2 km",IF(J2776&lt;=50,"1. Até 50 m",IF(J2776&lt;=100,"2. De 50 a 100 m",IF(J2776&lt;=200,"3. De 100 a 200 m",IF(J2776&lt;=300,"4. De 200 a 300 m",IF(J2776&lt;=500,"5. De 300 a 500 m","6. De 500 m a 2 km"))))))</f>
        <v>5. De 300 a 500 m</v>
      </c>
      <c r="L2776" s="26" t="n">
        <v>0</v>
      </c>
      <c r="M2776" s="26" t="n">
        <v>0</v>
      </c>
      <c r="N2776" s="26" t="n">
        <v>0</v>
      </c>
      <c r="O2776" s="26" t="n">
        <v>0</v>
      </c>
      <c r="P2776" s="30" t="n">
        <v>-17.52669</v>
      </c>
      <c r="Q2776" s="30" t="n">
        <v>-39.7057367</v>
      </c>
      <c r="R2776" s="14" t="inlineStr">
        <is>
          <t>AVENIDA UIRAPURU, 1816, MONTE CASTELO, TEIXEIRA DE FREITAS/BA</t>
        </is>
      </c>
      <c r="S2776" s="26">
        <f>IF(A2776=A2775,0,1)</f>
        <v>0</v>
      </c>
      <c r="T2776" s="26">
        <f>IF(COUNTIF($B$4:B2776,B2776)=1,1,0)</f>
        <v>0</v>
      </c>
    </row>
    <row r="2777">
      <c r="A2777" s="14" t="inlineStr">
        <is>
          <t>TEIXEIRA DE FREITAS</t>
        </is>
      </c>
      <c r="B2777" s="26" t="n">
        <v>183</v>
      </c>
      <c r="C2777" s="26" t="n">
        <v>1589</v>
      </c>
      <c r="D2777" s="14" t="inlineStr">
        <is>
          <t>ESCOLA MUNICIPAL SOLIDARIEDADE</t>
        </is>
      </c>
      <c r="E2777" s="14" t="inlineStr">
        <is>
          <t>BONADIMAN</t>
        </is>
      </c>
      <c r="F2777" s="14" t="inlineStr">
        <is>
          <t>RUA NOVA VENÉCIA, S/N - ZONA URBANA</t>
        </is>
      </c>
      <c r="G2777" s="27" t="inlineStr">
        <is>
          <t>45992-566</t>
        </is>
      </c>
      <c r="H2777" s="15" t="n">
        <v>5</v>
      </c>
      <c r="I2777" s="28" t="inlineStr">
        <is>
          <t>NÃO</t>
        </is>
      </c>
      <c r="J2777" s="29" t="n">
        <v>371.9</v>
      </c>
      <c r="K2777" s="14" t="str">
        <f>IF(J2777="","7. Acima de 2 km",IF(J2777&lt;=50,"1. Até 50 m",IF(J2777&lt;=100,"2. De 50 a 100 m",IF(J2777&lt;=200,"3. De 100 a 200 m",IF(J2777&lt;=300,"4. De 200 a 300 m",IF(J2777&lt;=500,"5. De 300 a 500 m","6. De 500 m a 2 km"))))))</f>
        <v>5. De 300 a 500 m</v>
      </c>
      <c r="L2777" s="26" t="n">
        <v>0</v>
      </c>
      <c r="M2777" s="26" t="n">
        <v>0</v>
      </c>
      <c r="N2777" s="26" t="n">
        <v>0</v>
      </c>
      <c r="O2777" s="26" t="n">
        <v>0</v>
      </c>
      <c r="P2777" s="30" t="n">
        <v>-17.5568567</v>
      </c>
      <c r="Q2777" s="30" t="n">
        <v>-39.7400167</v>
      </c>
      <c r="R2777" s="14" t="inlineStr">
        <is>
          <t>AVENIDA UIRAPURU, 1816, MONTE CASTELO, TEIXEIRA DE FREITAS/BA</t>
        </is>
      </c>
      <c r="S2777" s="26">
        <f>IF(A2777=A2776,0,1)</f>
        <v>0</v>
      </c>
      <c r="T2777" s="26">
        <f>IF(COUNTIF($B$4:B2777,B2777)=1,1,0)</f>
        <v>0</v>
      </c>
    </row>
    <row r="2778">
      <c r="A2778" s="14" t="inlineStr">
        <is>
          <t>TEIXEIRA DE FREITAS</t>
        </is>
      </c>
      <c r="B2778" s="26" t="n">
        <v>183</v>
      </c>
      <c r="C2778" s="26" t="n">
        <v>1597</v>
      </c>
      <c r="D2778" s="14" t="inlineStr">
        <is>
          <t>ESCOLA MUNICIPAL ALCENOR ALVES BARBOSA</t>
        </is>
      </c>
      <c r="E2778" s="14" t="inlineStr">
        <is>
          <t>CASTELINHO</t>
        </is>
      </c>
      <c r="F2778" s="14" t="inlineStr">
        <is>
          <t xml:space="preserve">RUA GRAVOLANDIA, S/N - CASTELINHO </t>
        </is>
      </c>
      <c r="G2778" s="27" t="inlineStr">
        <is>
          <t>45989-097</t>
        </is>
      </c>
      <c r="H2778" s="15" t="n">
        <v>2</v>
      </c>
      <c r="I2778" s="28" t="inlineStr">
        <is>
          <t>NÃO</t>
        </is>
      </c>
      <c r="J2778" s="29" t="n">
        <v>248.8</v>
      </c>
      <c r="K2778" s="14" t="str">
        <f>IF(J2778="","7. Acima de 2 km",IF(J2778&lt;=50,"1. Até 50 m",IF(J2778&lt;=100,"2. De 50 a 100 m",IF(J2778&lt;=200,"3. De 100 a 200 m",IF(J2778&lt;=300,"4. De 200 a 300 m",IF(J2778&lt;=500,"5. De 300 a 500 m","6. De 500 m a 2 km"))))))</f>
        <v>4. De 200 a 300 m</v>
      </c>
      <c r="L2778" s="26" t="n">
        <v>0</v>
      </c>
      <c r="M2778" s="26" t="n">
        <v>0</v>
      </c>
      <c r="N2778" s="26" t="n">
        <v>0</v>
      </c>
      <c r="O2778" s="26" t="n">
        <v>2</v>
      </c>
      <c r="P2778" s="30" t="n">
        <v>-17.539682</v>
      </c>
      <c r="Q2778" s="30" t="n">
        <v>-39.7101299</v>
      </c>
      <c r="R2778" s="14" t="inlineStr">
        <is>
          <t>AVENIDA UIRAPURU, 1816, MONTE CASTELO, TEIXEIRA DE FREITAS/BA</t>
        </is>
      </c>
      <c r="S2778" s="26">
        <f>IF(A2778=A2777,0,1)</f>
        <v>0</v>
      </c>
      <c r="T2778" s="26">
        <f>IF(COUNTIF($B$4:B2778,B2778)=1,1,0)</f>
        <v>0</v>
      </c>
    </row>
    <row r="2779">
      <c r="A2779" s="14" t="inlineStr">
        <is>
          <t>TEIXEIRA DE FREITAS</t>
        </is>
      </c>
      <c r="B2779" s="26" t="n">
        <v>183</v>
      </c>
      <c r="C2779" s="26" t="n">
        <v>1600</v>
      </c>
      <c r="D2779" s="14" t="inlineStr">
        <is>
          <t>CRECHE MUNICIPAL EMANUELLE MATOS RODRIGUES</t>
        </is>
      </c>
      <c r="E2779" s="14" t="inlineStr">
        <is>
          <t>estância biquine</t>
        </is>
      </c>
      <c r="F2779" s="14" t="inlineStr">
        <is>
          <t>RUA NOVA LÍDICE, S/N</t>
        </is>
      </c>
      <c r="G2779" s="27" t="inlineStr">
        <is>
          <t>45986-032</t>
        </is>
      </c>
      <c r="H2779" s="15" t="n">
        <v>1</v>
      </c>
      <c r="I2779" s="28" t="inlineStr">
        <is>
          <t>NÃO</t>
        </is>
      </c>
      <c r="J2779" s="29" t="n">
        <v>1213.8</v>
      </c>
      <c r="K2779" s="14" t="str">
        <f>IF(J2779="","7. Acima de 2 km",IF(J2779&lt;=50,"1. Até 50 m",IF(J2779&lt;=100,"2. De 50 a 100 m",IF(J2779&lt;=200,"3. De 100 a 200 m",IF(J2779&lt;=300,"4. De 200 a 300 m",IF(J2779&lt;=500,"5. De 300 a 500 m","6. De 500 m a 2 km"))))))</f>
        <v>6. De 500 m a 2 km</v>
      </c>
      <c r="L2779" s="26" t="n">
        <v>0</v>
      </c>
      <c r="M2779" s="26" t="n">
        <v>0</v>
      </c>
      <c r="N2779" s="26" t="n">
        <v>0</v>
      </c>
      <c r="O2779" s="26" t="n">
        <v>0</v>
      </c>
      <c r="P2779" s="30" t="n">
        <v>-17.52542</v>
      </c>
      <c r="Q2779" s="30" t="n">
        <v>-39.7662402</v>
      </c>
      <c r="R2779" s="14" t="inlineStr">
        <is>
          <t>AVENIDA UIRAPURU, 1816, MONTE CASTELO, TEIXEIRA DE FREITAS/BA</t>
        </is>
      </c>
      <c r="S2779" s="26">
        <f>IF(A2779=A2778,0,1)</f>
        <v>0</v>
      </c>
      <c r="T2779" s="26">
        <f>IF(COUNTIF($B$4:B2779,B2779)=1,1,0)</f>
        <v>0</v>
      </c>
    </row>
    <row r="2780">
      <c r="A2780" s="14" t="inlineStr">
        <is>
          <t>TEIXEIRA DE FREITAS</t>
        </is>
      </c>
      <c r="B2780" s="26" t="n">
        <v>183</v>
      </c>
      <c r="C2780" s="26" t="n">
        <v>1619</v>
      </c>
      <c r="D2780" s="14" t="inlineStr">
        <is>
          <t>ESCOLA MUNICIPAL ALFREDO FÉLIX CORREIA</t>
        </is>
      </c>
      <c r="E2780" s="14" t="inlineStr">
        <is>
          <t>ACAMPAMENTO BELA MANHÃ</t>
        </is>
      </c>
      <c r="F2780" s="14" t="inlineStr">
        <is>
          <t>ACAMPAMENTO BELA MANHÃ - ZONA RURAL</t>
        </is>
      </c>
      <c r="G2780" s="27" t="inlineStr">
        <is>
          <t>45995-000</t>
        </is>
      </c>
      <c r="H2780" s="15" t="n">
        <v>1</v>
      </c>
      <c r="I2780" s="28" t="inlineStr">
        <is>
          <t>NÃO</t>
        </is>
      </c>
      <c r="J2780" s="29" t="n"/>
      <c r="K2780" s="14" t="str">
        <f>IF(J2780="","7. Acima de 2 km",IF(J2780&lt;=50,"1. Até 50 m",IF(J2780&lt;=100,"2. De 50 a 100 m",IF(J2780&lt;=200,"3. De 100 a 200 m",IF(J2780&lt;=300,"4. De 200 a 300 m",IF(J2780&lt;=500,"5. De 300 a 500 m","6. De 500 m a 2 km"))))))</f>
        <v>7. Acima de 2 km</v>
      </c>
      <c r="L2780" s="26" t="n">
        <v>0</v>
      </c>
      <c r="M2780" s="26" t="n">
        <v>0</v>
      </c>
      <c r="N2780" s="26" t="n">
        <v>0</v>
      </c>
      <c r="O2780" s="26" t="n">
        <v>0</v>
      </c>
      <c r="P2780" s="30" t="n">
        <v>-17.489905</v>
      </c>
      <c r="Q2780" s="30" t="n">
        <v>-39.6527667</v>
      </c>
      <c r="R2780" s="14" t="inlineStr">
        <is>
          <t>AVENIDA UIRAPURU, 1816, MONTE CASTELO, TEIXEIRA DE FREITAS/BA</t>
        </is>
      </c>
      <c r="S2780" s="26">
        <f>IF(A2780=A2779,0,1)</f>
        <v>0</v>
      </c>
      <c r="T2780" s="26">
        <f>IF(COUNTIF($B$4:B2780,B2780)=1,1,0)</f>
        <v>0</v>
      </c>
    </row>
    <row r="2781">
      <c r="A2781" s="14" t="inlineStr">
        <is>
          <t>TEIXEIRA DE FREITAS</t>
        </is>
      </c>
      <c r="B2781" s="26" t="n">
        <v>183</v>
      </c>
      <c r="C2781" s="26" t="n">
        <v>1627</v>
      </c>
      <c r="D2781" s="14" t="inlineStr">
        <is>
          <t>ONG PASPAS - PROFISSIONAIS DA ÁREA SOCIAL PROMOVENDO AÇÕES SOCIAIS</t>
        </is>
      </c>
      <c r="E2781" s="14" t="inlineStr">
        <is>
          <t>TANCREDO NEVES</t>
        </is>
      </c>
      <c r="F2781" s="14" t="inlineStr">
        <is>
          <t xml:space="preserve">RUA JOÃO AMARO GOMES, 775 TANCREDO NEVES </t>
        </is>
      </c>
      <c r="G2781" s="27" t="inlineStr">
        <is>
          <t>45993-261</t>
        </is>
      </c>
      <c r="H2781" s="15" t="n">
        <v>1</v>
      </c>
      <c r="I2781" s="28" t="inlineStr">
        <is>
          <t>NÃO</t>
        </is>
      </c>
      <c r="J2781" s="29" t="n">
        <v>819.9</v>
      </c>
      <c r="K2781" s="14" t="str">
        <f>IF(J2781="","7. Acima de 2 km",IF(J2781&lt;=50,"1. Até 50 m",IF(J2781&lt;=100,"2. De 50 a 100 m",IF(J2781&lt;=200,"3. De 100 a 200 m",IF(J2781&lt;=300,"4. De 200 a 300 m",IF(J2781&lt;=500,"5. De 300 a 500 m","6. De 500 m a 2 km"))))))</f>
        <v>6. De 500 m a 2 km</v>
      </c>
      <c r="L2781" s="26" t="n">
        <v>0</v>
      </c>
      <c r="M2781" s="26" t="n">
        <v>0</v>
      </c>
      <c r="N2781" s="26" t="n">
        <v>0</v>
      </c>
      <c r="O2781" s="26" t="n">
        <v>0</v>
      </c>
      <c r="P2781" s="30" t="n">
        <v>-17.5434383</v>
      </c>
      <c r="Q2781" s="30" t="n">
        <v>-39.7526367</v>
      </c>
      <c r="R2781" s="14" t="inlineStr">
        <is>
          <t>AVENIDA UIRAPURU, 1816, MONTE CASTELO, TEIXEIRA DE FREITAS/BA</t>
        </is>
      </c>
      <c r="S2781" s="26">
        <f>IF(A2781=A2780,0,1)</f>
        <v>0</v>
      </c>
      <c r="T2781" s="26">
        <f>IF(COUNTIF($B$4:B2781,B2781)=1,1,0)</f>
        <v>0</v>
      </c>
    </row>
    <row r="2782">
      <c r="A2782" s="14" t="inlineStr">
        <is>
          <t>TEIXEIRA DE FREITAS</t>
        </is>
      </c>
      <c r="B2782" s="26" t="n">
        <v>183</v>
      </c>
      <c r="C2782" s="26" t="n">
        <v>1635</v>
      </c>
      <c r="D2782" s="14" t="inlineStr">
        <is>
          <t>CONJUNTO PENAL DE TEIXEIRA DE FREITAS</t>
        </is>
      </c>
      <c r="E2782" s="14" t="inlineStr">
        <is>
          <t>KAIKAN</t>
        </is>
      </c>
      <c r="F2782" s="14" t="inlineStr">
        <is>
          <t>CONJUNTO PENAL DE TEIXEIRA DE FREITAS</t>
        </is>
      </c>
      <c r="G2782" s="27" t="inlineStr">
        <is>
          <t>45995-000</t>
        </is>
      </c>
      <c r="H2782" s="15" t="n">
        <v>1</v>
      </c>
      <c r="I2782" s="28" t="inlineStr">
        <is>
          <t>SIM</t>
        </is>
      </c>
      <c r="J2782" s="29" t="n">
        <v>5.1</v>
      </c>
      <c r="K2782" s="14" t="str">
        <f>IF(J2782="","7. Acima de 2 km",IF(J2782&lt;=50,"1. Até 50 m",IF(J2782&lt;=100,"2. De 50 a 100 m",IF(J2782&lt;=200,"3. De 100 a 200 m",IF(J2782&lt;=300,"4. De 200 a 300 m",IF(J2782&lt;=500,"5. De 300 a 500 m","6. De 500 m a 2 km"))))))</f>
        <v>1. Até 50 m</v>
      </c>
      <c r="L2782" s="26" t="n">
        <v>2</v>
      </c>
      <c r="M2782" s="26" t="n">
        <v>3</v>
      </c>
      <c r="N2782" s="26" t="n">
        <v>6</v>
      </c>
      <c r="O2782" s="26" t="n">
        <v>8</v>
      </c>
      <c r="P2782" s="30" t="n">
        <v>-17.5658738</v>
      </c>
      <c r="Q2782" s="30" t="n">
        <v>-39.7379303</v>
      </c>
      <c r="R2782" s="14" t="inlineStr">
        <is>
          <t>AVENIDA UIRAPURU, 1816, MONTE CASTELO, TEIXEIRA DE FREITAS/BA</t>
        </is>
      </c>
      <c r="S2782" s="26">
        <f>IF(A2782=A2781,0,1)</f>
        <v>0</v>
      </c>
      <c r="T2782" s="26">
        <f>IF(COUNTIF($B$4:B2782,B2782)=1,1,0)</f>
        <v>0</v>
      </c>
    </row>
    <row r="2783">
      <c r="A2783" s="14" t="inlineStr">
        <is>
          <t>UBAÍRA</t>
        </is>
      </c>
      <c r="B2783" s="26" t="n">
        <v>38</v>
      </c>
      <c r="C2783" s="26" t="n">
        <v>1015</v>
      </c>
      <c r="D2783" s="14" t="inlineStr">
        <is>
          <t>GRUPO ESCOLAR ANISIO TEIXEIRA</t>
        </is>
      </c>
      <c r="E2783" s="14" t="inlineStr">
        <is>
          <t>CENTRO</t>
        </is>
      </c>
      <c r="F2783" s="14" t="inlineStr">
        <is>
          <t>PRACA DOS TRES PODERES - ZONA URBANA</t>
        </is>
      </c>
      <c r="G2783" s="27" t="inlineStr">
        <is>
          <t>45310-000</t>
        </is>
      </c>
      <c r="H2783" s="15" t="n">
        <v>6</v>
      </c>
      <c r="I2783" s="28" t="inlineStr">
        <is>
          <t>SIM</t>
        </is>
      </c>
      <c r="J2783" s="29" t="n">
        <v>40.5</v>
      </c>
      <c r="K2783" s="14" t="str">
        <f>IF(J2783="","7. Acima de 2 km",IF(J2783&lt;=50,"1. Até 50 m",IF(J2783&lt;=100,"2. De 50 a 100 m",IF(J2783&lt;=200,"3. De 100 a 200 m",IF(J2783&lt;=300,"4. De 200 a 300 m",IF(J2783&lt;=500,"5. De 300 a 500 m","6. De 500 m a 2 km"))))))</f>
        <v>1. Até 50 m</v>
      </c>
      <c r="L2783" s="26" t="n">
        <v>1</v>
      </c>
      <c r="M2783" s="26" t="n">
        <v>1</v>
      </c>
      <c r="N2783" s="26" t="n">
        <v>4</v>
      </c>
      <c r="O2783" s="26" t="n">
        <v>4</v>
      </c>
      <c r="P2783" s="30" t="n">
        <v>-13.2700515</v>
      </c>
      <c r="Q2783" s="30" t="n">
        <v>-39.6625281</v>
      </c>
      <c r="R2783" s="14" t="inlineStr">
        <is>
          <t>FÓRUM DES. DUARTE GUIMARÃES, PRAÇA DOS TRÊS PODERES S/N, CENTRO, UBAÍRA/BA</t>
        </is>
      </c>
      <c r="S2783" s="26">
        <f>IF(A2783=A2782,0,1)</f>
        <v>1</v>
      </c>
      <c r="T2783" s="26">
        <f>IF(COUNTIF($B$4:B2783,B2783)=1,1,0)</f>
        <v>1</v>
      </c>
    </row>
    <row r="2784">
      <c r="A2784" s="14" t="inlineStr">
        <is>
          <t>UBAÍRA</t>
        </is>
      </c>
      <c r="B2784" s="26" t="n">
        <v>38</v>
      </c>
      <c r="C2784" s="26" t="n">
        <v>1023</v>
      </c>
      <c r="D2784" s="14" t="inlineStr">
        <is>
          <t>ESCOLA MUNICIPAL RODRIGO DE SOUZA</t>
        </is>
      </c>
      <c r="E2784" s="14" t="inlineStr">
        <is>
          <t>CENTRO</t>
        </is>
      </c>
      <c r="F2784" s="14" t="inlineStr">
        <is>
          <t>PRACA DOS TRES PODERES - ZONA URBANA</t>
        </is>
      </c>
      <c r="G2784" s="27" t="inlineStr">
        <is>
          <t>45310-000</t>
        </is>
      </c>
      <c r="H2784" s="15" t="n">
        <v>7</v>
      </c>
      <c r="I2784" s="28" t="inlineStr">
        <is>
          <t>SIM</t>
        </is>
      </c>
      <c r="J2784" s="29" t="n">
        <v>56</v>
      </c>
      <c r="K2784" s="14" t="str">
        <f>IF(J2784="","7. Acima de 2 km",IF(J2784&lt;=50,"1. Até 50 m",IF(J2784&lt;=100,"2. De 50 a 100 m",IF(J2784&lt;=200,"3. De 100 a 200 m",IF(J2784&lt;=300,"4. De 200 a 300 m",IF(J2784&lt;=500,"5. De 300 a 500 m","6. De 500 m a 2 km"))))))</f>
        <v>2. De 50 a 100 m</v>
      </c>
      <c r="L2784" s="26" t="n">
        <v>0</v>
      </c>
      <c r="M2784" s="26" t="n">
        <v>1</v>
      </c>
      <c r="N2784" s="26" t="n">
        <v>4</v>
      </c>
      <c r="O2784" s="26" t="n">
        <v>4</v>
      </c>
      <c r="P2784" s="30" t="n">
        <v>-13.2701897</v>
      </c>
      <c r="Q2784" s="30" t="n">
        <v>-39.662441</v>
      </c>
      <c r="R2784" s="14" t="inlineStr">
        <is>
          <t>FÓRUM DES. DUARTE GUIMARÃES, PRAÇA DOS TRÊS PODERES S/N, CENTRO, UBAÍRA/BA</t>
        </is>
      </c>
      <c r="S2784" s="26">
        <f>IF(A2784=A2783,0,1)</f>
        <v>0</v>
      </c>
      <c r="T2784" s="26">
        <f>IF(COUNTIF($B$4:B2784,B2784)=1,1,0)</f>
        <v>0</v>
      </c>
    </row>
    <row r="2785">
      <c r="A2785" s="14" t="inlineStr">
        <is>
          <t>UBAÍRA</t>
        </is>
      </c>
      <c r="B2785" s="26" t="n">
        <v>38</v>
      </c>
      <c r="C2785" s="26" t="n">
        <v>1058</v>
      </c>
      <c r="D2785" s="14" t="inlineStr">
        <is>
          <t>COLÉGIO MUNICIPAL NATUR DE ASSIS FILHO</t>
        </is>
      </c>
      <c r="E2785" s="14" t="inlineStr">
        <is>
          <t>AREIA DE CIMA</t>
        </is>
      </c>
      <c r="F2785" s="14" t="inlineStr">
        <is>
          <t>RUA EMIDIO RAMOS, S/N - ZONA URBANA</t>
        </is>
      </c>
      <c r="G2785" s="27" t="inlineStr">
        <is>
          <t>45310-000</t>
        </is>
      </c>
      <c r="H2785" s="15" t="n">
        <v>12</v>
      </c>
      <c r="I2785" s="28" t="inlineStr">
        <is>
          <t>NÃO</t>
        </is>
      </c>
      <c r="J2785" s="29" t="n">
        <v>520.5</v>
      </c>
      <c r="K2785" s="14" t="str">
        <f>IF(J2785="","7. Acima de 2 km",IF(J2785&lt;=50,"1. Até 50 m",IF(J2785&lt;=100,"2. De 50 a 100 m",IF(J2785&lt;=200,"3. De 100 a 200 m",IF(J2785&lt;=300,"4. De 200 a 300 m",IF(J2785&lt;=500,"5. De 300 a 500 m","6. De 500 m a 2 km"))))))</f>
        <v>6. De 500 m a 2 km</v>
      </c>
      <c r="L2785" s="26" t="n">
        <v>0</v>
      </c>
      <c r="M2785" s="26" t="n">
        <v>0</v>
      </c>
      <c r="N2785" s="26" t="n">
        <v>0</v>
      </c>
      <c r="O2785" s="26" t="n">
        <v>0</v>
      </c>
      <c r="P2785" s="30" t="n">
        <v>-13.265137</v>
      </c>
      <c r="Q2785" s="30" t="n">
        <v>-39.6665289</v>
      </c>
      <c r="R2785" s="14" t="inlineStr">
        <is>
          <t>FÓRUM DES. DUARTE GUIMARÃES, PRAÇA DOS TRÊS PODERES S/N, CENTRO, UBAÍRA/BA</t>
        </is>
      </c>
      <c r="S2785" s="26">
        <f>IF(A2785=A2784,0,1)</f>
        <v>0</v>
      </c>
      <c r="T2785" s="26">
        <f>IF(COUNTIF($B$4:B2785,B2785)=1,1,0)</f>
        <v>0</v>
      </c>
    </row>
    <row r="2786">
      <c r="A2786" s="14" t="inlineStr">
        <is>
          <t>UBAÍRA</t>
        </is>
      </c>
      <c r="B2786" s="26" t="n">
        <v>38</v>
      </c>
      <c r="C2786" s="26" t="n">
        <v>1066</v>
      </c>
      <c r="D2786" s="14" t="inlineStr">
        <is>
          <t>ESCOLA MUNICIPALIZADA MONSENHOR ELISEU DIAS MOTA</t>
        </is>
      </c>
      <c r="E2786" s="14" t="inlineStr">
        <is>
          <t>AREIA DE CIMA</t>
        </is>
      </c>
      <c r="F2786" s="14" t="inlineStr">
        <is>
          <t>RUA DR. JOSÉ GONCALVES, S/N - ZONA URBANA</t>
        </is>
      </c>
      <c r="G2786" s="27" t="inlineStr">
        <is>
          <t>45310-000</t>
        </is>
      </c>
      <c r="H2786" s="15" t="n">
        <v>3</v>
      </c>
      <c r="I2786" s="28" t="inlineStr">
        <is>
          <t>NÃO</t>
        </is>
      </c>
      <c r="J2786" s="29" t="n">
        <v>553.1</v>
      </c>
      <c r="K2786" s="14" t="str">
        <f>IF(J2786="","7. Acima de 2 km",IF(J2786&lt;=50,"1. Até 50 m",IF(J2786&lt;=100,"2. De 50 a 100 m",IF(J2786&lt;=200,"3. De 100 a 200 m",IF(J2786&lt;=300,"4. De 200 a 300 m",IF(J2786&lt;=500,"5. De 300 a 500 m","6. De 500 m a 2 km"))))))</f>
        <v>6. De 500 m a 2 km</v>
      </c>
      <c r="L2786" s="26" t="n">
        <v>0</v>
      </c>
      <c r="M2786" s="26" t="n">
        <v>0</v>
      </c>
      <c r="N2786" s="26" t="n">
        <v>0</v>
      </c>
      <c r="O2786" s="26" t="n">
        <v>0</v>
      </c>
      <c r="P2786" s="30" t="n">
        <v>-13.264839</v>
      </c>
      <c r="Q2786" s="30" t="n">
        <v>-39.666925</v>
      </c>
      <c r="R2786" s="14" t="inlineStr">
        <is>
          <t>FÓRUM DES. DUARTE GUIMARÃES, PRAÇA DOS TRÊS PODERES S/N, CENTRO, UBAÍRA/BA</t>
        </is>
      </c>
      <c r="S2786" s="26">
        <f>IF(A2786=A2785,0,1)</f>
        <v>0</v>
      </c>
      <c r="T2786" s="26">
        <f>IF(COUNTIF($B$4:B2786,B2786)=1,1,0)</f>
        <v>0</v>
      </c>
    </row>
    <row r="2787">
      <c r="A2787" s="14" t="inlineStr">
        <is>
          <t>UBAÍRA</t>
        </is>
      </c>
      <c r="B2787" s="26" t="n">
        <v>38</v>
      </c>
      <c r="C2787" s="26" t="n">
        <v>1082</v>
      </c>
      <c r="D2787" s="14" t="inlineStr">
        <is>
          <t>COLEGIO MUNICIPAL AURINO FAUSTO DOS SANTOS</t>
        </is>
      </c>
      <c r="E2787" s="14" t="inlineStr">
        <is>
          <t>POVOADO DE PATIOBA</t>
        </is>
      </c>
      <c r="F2787" s="14" t="inlineStr">
        <is>
          <t>POVOADO DE PATIOBA - ZONA RURAL</t>
        </is>
      </c>
      <c r="G2787" s="27" t="inlineStr">
        <is>
          <t>45310-000</t>
        </is>
      </c>
      <c r="H2787" s="15" t="n">
        <v>4</v>
      </c>
      <c r="I2787" s="28" t="inlineStr">
        <is>
          <t>NÃO</t>
        </is>
      </c>
      <c r="J2787" s="29" t="n"/>
      <c r="K2787" s="14" t="str">
        <f>IF(J2787="","7. Acima de 2 km",IF(J2787&lt;=50,"1. Até 50 m",IF(J2787&lt;=100,"2. De 50 a 100 m",IF(J2787&lt;=200,"3. De 100 a 200 m",IF(J2787&lt;=300,"4. De 200 a 300 m",IF(J2787&lt;=500,"5. De 300 a 500 m","6. De 500 m a 2 km"))))))</f>
        <v>7. Acima de 2 km</v>
      </c>
      <c r="L2787" s="26" t="n">
        <v>0</v>
      </c>
      <c r="M2787" s="26" t="n">
        <v>0</v>
      </c>
      <c r="N2787" s="26" t="n">
        <v>0</v>
      </c>
      <c r="O2787" s="26" t="n">
        <v>0</v>
      </c>
      <c r="P2787" s="30" t="n">
        <v>-13.2514997</v>
      </c>
      <c r="Q2787" s="30" t="n">
        <v>-39.7157961</v>
      </c>
      <c r="R2787" s="14" t="inlineStr">
        <is>
          <t>FÓRUM DES. DUARTE GUIMARÃES, PRAÇA DOS TRÊS PODERES S/N, CENTRO, UBAÍRA/BA</t>
        </is>
      </c>
      <c r="S2787" s="26">
        <f>IF(A2787=A2786,0,1)</f>
        <v>0</v>
      </c>
      <c r="T2787" s="26">
        <f>IF(COUNTIF($B$4:B2787,B2787)=1,1,0)</f>
        <v>0</v>
      </c>
    </row>
    <row r="2788">
      <c r="A2788" s="14" t="inlineStr">
        <is>
          <t>UBAÍRA</t>
        </is>
      </c>
      <c r="B2788" s="26" t="n">
        <v>38</v>
      </c>
      <c r="C2788" s="26" t="n">
        <v>1104</v>
      </c>
      <c r="D2788" s="14" t="inlineStr">
        <is>
          <t>ESCOLA MUNICIPAL GENERAL PINTO</t>
        </is>
      </c>
      <c r="E2788" s="14" t="inlineStr">
        <is>
          <t>DISTRITO ENGENHEIRO FRANÇA</t>
        </is>
      </c>
      <c r="F2788" s="14" t="inlineStr">
        <is>
          <t>DISTRITO ENGENHEIRO FRANCA - ZONA RURAL</t>
        </is>
      </c>
      <c r="G2788" s="27" t="inlineStr">
        <is>
          <t>45310-000</t>
        </is>
      </c>
      <c r="H2788" s="15" t="n">
        <v>2</v>
      </c>
      <c r="I2788" s="28" t="inlineStr">
        <is>
          <t>NÃO</t>
        </is>
      </c>
      <c r="J2788" s="29" t="n"/>
      <c r="K2788" s="14" t="str">
        <f>IF(J2788="","7. Acima de 2 km",IF(J2788&lt;=50,"1. Até 50 m",IF(J2788&lt;=100,"2. De 50 a 100 m",IF(J2788&lt;=200,"3. De 100 a 200 m",IF(J2788&lt;=300,"4. De 200 a 300 m",IF(J2788&lt;=500,"5. De 300 a 500 m","6. De 500 m a 2 km"))))))</f>
        <v>7. Acima de 2 km</v>
      </c>
      <c r="L2788" s="26" t="n">
        <v>0</v>
      </c>
      <c r="M2788" s="26" t="n">
        <v>0</v>
      </c>
      <c r="N2788" s="26" t="n">
        <v>0</v>
      </c>
      <c r="O2788" s="26" t="n">
        <v>0</v>
      </c>
      <c r="P2788" s="30" t="n">
        <v>-13.239174</v>
      </c>
      <c r="Q2788" s="30" t="n">
        <v>-39.7552905</v>
      </c>
      <c r="R2788" s="14" t="inlineStr">
        <is>
          <t>FÓRUM DES. DUARTE GUIMARÃES, PRAÇA DOS TRÊS PODERES S/N, CENTRO, UBAÍRA/BA</t>
        </is>
      </c>
      <c r="S2788" s="26">
        <f>IF(A2788=A2787,0,1)</f>
        <v>0</v>
      </c>
      <c r="T2788" s="26">
        <f>IF(COUNTIF($B$4:B2788,B2788)=1,1,0)</f>
        <v>0</v>
      </c>
    </row>
    <row r="2789">
      <c r="A2789" s="14" t="inlineStr">
        <is>
          <t>UBAÍRA</t>
        </is>
      </c>
      <c r="B2789" s="26" t="n">
        <v>38</v>
      </c>
      <c r="C2789" s="26" t="n">
        <v>1112</v>
      </c>
      <c r="D2789" s="14" t="inlineStr">
        <is>
          <t>ESCOLA MUNICIPAL EUFRAZIO FRANCISCO SAMPAIO</t>
        </is>
      </c>
      <c r="E2789" s="14" t="inlineStr">
        <is>
          <t>POVOADO TRÊS BRAÇOS</t>
        </is>
      </c>
      <c r="F2789" s="14" t="inlineStr">
        <is>
          <t>POVOADO TRÊS BRAÇOS - ZONA RURAL</t>
        </is>
      </c>
      <c r="G2789" s="27" t="inlineStr">
        <is>
          <t>45310-000</t>
        </is>
      </c>
      <c r="H2789" s="15" t="n">
        <v>4</v>
      </c>
      <c r="I2789" s="28" t="inlineStr">
        <is>
          <t>NÃO</t>
        </is>
      </c>
      <c r="J2789" s="29" t="n"/>
      <c r="K2789" s="14" t="str">
        <f>IF(J2789="","7. Acima de 2 km",IF(J2789&lt;=50,"1. Até 50 m",IF(J2789&lt;=100,"2. De 50 a 100 m",IF(J2789&lt;=200,"3. De 100 a 200 m",IF(J2789&lt;=300,"4. De 200 a 300 m",IF(J2789&lt;=500,"5. De 300 a 500 m","6. De 500 m a 2 km"))))))</f>
        <v>7. Acima de 2 km</v>
      </c>
      <c r="L2789" s="26" t="n">
        <v>0</v>
      </c>
      <c r="M2789" s="26" t="n">
        <v>0</v>
      </c>
      <c r="N2789" s="26" t="n">
        <v>0</v>
      </c>
      <c r="O2789" s="26" t="n">
        <v>0</v>
      </c>
      <c r="P2789" s="30" t="n">
        <v>-13.5142718</v>
      </c>
      <c r="Q2789" s="30" t="n">
        <v>-39.694374</v>
      </c>
      <c r="R2789" s="14" t="inlineStr">
        <is>
          <t>FÓRUM DES. DUARTE GUIMARÃES, PRAÇA DOS TRÊS PODERES S/N, CENTRO, UBAÍRA/BA</t>
        </is>
      </c>
      <c r="S2789" s="26">
        <f>IF(A2789=A2788,0,1)</f>
        <v>0</v>
      </c>
      <c r="T2789" s="26">
        <f>IF(COUNTIF($B$4:B2789,B2789)=1,1,0)</f>
        <v>0</v>
      </c>
    </row>
    <row r="2790">
      <c r="A2790" s="14" t="inlineStr">
        <is>
          <t>UBAÍRA</t>
        </is>
      </c>
      <c r="B2790" s="26" t="n">
        <v>38</v>
      </c>
      <c r="C2790" s="26" t="n">
        <v>1120</v>
      </c>
      <c r="D2790" s="14" t="inlineStr">
        <is>
          <t>ESCOLA MUNICIPAL SANTA MARIA</t>
        </is>
      </c>
      <c r="E2790" s="14" t="inlineStr">
        <is>
          <t>POVOADO ALTO DA LAGOINHA</t>
        </is>
      </c>
      <c r="F2790" s="14" t="inlineStr">
        <is>
          <t>POVOADO DE ALTO DA LAGOINHA - ZONA RURAL</t>
        </is>
      </c>
      <c r="G2790" s="27" t="inlineStr">
        <is>
          <t>45310-000</t>
        </is>
      </c>
      <c r="H2790" s="15" t="n">
        <v>4</v>
      </c>
      <c r="I2790" s="28" t="inlineStr">
        <is>
          <t>NÃO</t>
        </is>
      </c>
      <c r="J2790" s="29" t="n"/>
      <c r="K2790" s="14" t="str">
        <f>IF(J2790="","7. Acima de 2 km",IF(J2790&lt;=50,"1. Até 50 m",IF(J2790&lt;=100,"2. De 50 a 100 m",IF(J2790&lt;=200,"3. De 100 a 200 m",IF(J2790&lt;=300,"4. De 200 a 300 m",IF(J2790&lt;=500,"5. De 300 a 500 m","6. De 500 m a 2 km"))))))</f>
        <v>7. Acima de 2 km</v>
      </c>
      <c r="L2790" s="26" t="n">
        <v>0</v>
      </c>
      <c r="M2790" s="26" t="n">
        <v>0</v>
      </c>
      <c r="N2790" s="26" t="n">
        <v>0</v>
      </c>
      <c r="O2790" s="26" t="n">
        <v>0</v>
      </c>
      <c r="P2790" s="30" t="n">
        <v>-13.1634091</v>
      </c>
      <c r="Q2790" s="30" t="n">
        <v>-39.5775068</v>
      </c>
      <c r="R2790" s="14" t="inlineStr">
        <is>
          <t>FÓRUM DES. DUARTE GUIMARÃES, PRAÇA DOS TRÊS PODERES S/N, CENTRO, UBAÍRA/BA</t>
        </is>
      </c>
      <c r="S2790" s="26">
        <f>IF(A2790=A2789,0,1)</f>
        <v>0</v>
      </c>
      <c r="T2790" s="26">
        <f>IF(COUNTIF($B$4:B2790,B2790)=1,1,0)</f>
        <v>0</v>
      </c>
    </row>
    <row r="2791">
      <c r="A2791" s="14" t="inlineStr">
        <is>
          <t>UBAÍRA</t>
        </is>
      </c>
      <c r="B2791" s="26" t="n">
        <v>38</v>
      </c>
      <c r="C2791" s="26" t="n">
        <v>1163</v>
      </c>
      <c r="D2791" s="14" t="inlineStr">
        <is>
          <t>COLÉGIO MUNICIPAL LIVINO FERRARI</t>
        </is>
      </c>
      <c r="E2791" s="14" t="inlineStr">
        <is>
          <t>POVOADO ALTO DA LAGOINHA</t>
        </is>
      </c>
      <c r="F2791" s="14" t="inlineStr">
        <is>
          <t>POVOADO ALTO DA LAGOINHA - ZONA RURAL</t>
        </is>
      </c>
      <c r="G2791" s="27" t="inlineStr">
        <is>
          <t>45310-000</t>
        </is>
      </c>
      <c r="H2791" s="15" t="n">
        <v>6</v>
      </c>
      <c r="I2791" s="28" t="inlineStr">
        <is>
          <t>NÃO</t>
        </is>
      </c>
      <c r="J2791" s="29" t="n"/>
      <c r="K2791" s="14" t="str">
        <f>IF(J2791="","7. Acima de 2 km",IF(J2791&lt;=50,"1. Até 50 m",IF(J2791&lt;=100,"2. De 50 a 100 m",IF(J2791&lt;=200,"3. De 100 a 200 m",IF(J2791&lt;=300,"4. De 200 a 300 m",IF(J2791&lt;=500,"5. De 300 a 500 m","6. De 500 m a 2 km"))))))</f>
        <v>7. Acima de 2 km</v>
      </c>
      <c r="L2791" s="26" t="n">
        <v>0</v>
      </c>
      <c r="M2791" s="26" t="n">
        <v>0</v>
      </c>
      <c r="N2791" s="26" t="n">
        <v>0</v>
      </c>
      <c r="O2791" s="26" t="n">
        <v>0</v>
      </c>
      <c r="P2791" s="30" t="n">
        <v>-13.1635785</v>
      </c>
      <c r="Q2791" s="30" t="n">
        <v>-39.5775468</v>
      </c>
      <c r="R2791" s="14" t="inlineStr">
        <is>
          <t>FÓRUM DES. DUARTE GUIMARÃES, PRAÇA DOS TRÊS PODERES S/N, CENTRO, UBAÍRA/BA</t>
        </is>
      </c>
      <c r="S2791" s="26">
        <f>IF(A2791=A2790,0,1)</f>
        <v>0</v>
      </c>
      <c r="T2791" s="26">
        <f>IF(COUNTIF($B$4:B2791,B2791)=1,1,0)</f>
        <v>0</v>
      </c>
    </row>
    <row r="2792">
      <c r="A2792" s="14" t="inlineStr">
        <is>
          <t>UBAÍRA</t>
        </is>
      </c>
      <c r="B2792" s="26" t="n">
        <v>38</v>
      </c>
      <c r="C2792" s="26" t="n">
        <v>1171</v>
      </c>
      <c r="D2792" s="14" t="inlineStr">
        <is>
          <t>GRUPO ESCOLAR MÁRIO MUNIZ MONTEIRO</t>
        </is>
      </c>
      <c r="E2792" s="14" t="inlineStr">
        <is>
          <t>MONTA</t>
        </is>
      </c>
      <c r="F2792" s="14" t="inlineStr">
        <is>
          <t>LOTEAMENTO JAIRO CARNEIRO - ZONA URBANA</t>
        </is>
      </c>
      <c r="G2792" s="27" t="inlineStr">
        <is>
          <t>45310-000</t>
        </is>
      </c>
      <c r="H2792" s="15" t="n">
        <v>6</v>
      </c>
      <c r="I2792" s="28" t="inlineStr">
        <is>
          <t>NÃO</t>
        </is>
      </c>
      <c r="J2792" s="29" t="n">
        <v>159</v>
      </c>
      <c r="K2792" s="14" t="str">
        <f>IF(J2792="","7. Acima de 2 km",IF(J2792&lt;=50,"1. Até 50 m",IF(J2792&lt;=100,"2. De 50 a 100 m",IF(J2792&lt;=200,"3. De 100 a 200 m",IF(J2792&lt;=300,"4. De 200 a 300 m",IF(J2792&lt;=500,"5. De 300 a 500 m","6. De 500 m a 2 km"))))))</f>
        <v>3. De 100 a 200 m</v>
      </c>
      <c r="L2792" s="26" t="n">
        <v>0</v>
      </c>
      <c r="M2792" s="26" t="n">
        <v>0</v>
      </c>
      <c r="N2792" s="26" t="n">
        <v>2</v>
      </c>
      <c r="O2792" s="26" t="n">
        <v>3</v>
      </c>
      <c r="P2792" s="30" t="n">
        <v>-13.2709999</v>
      </c>
      <c r="Q2792" s="30" t="n">
        <v>-39.6604488</v>
      </c>
      <c r="R2792" s="14" t="inlineStr">
        <is>
          <t>FÓRUM DES. DUARTE GUIMARÃES, PRAÇA DOS TRÊS PODERES S/N, CENTRO, UBAÍRA/BA</t>
        </is>
      </c>
      <c r="S2792" s="26">
        <f>IF(A2792=A2791,0,1)</f>
        <v>0</v>
      </c>
      <c r="T2792" s="26">
        <f>IF(COUNTIF($B$4:B2792,B2792)=1,1,0)</f>
        <v>0</v>
      </c>
    </row>
    <row r="2793">
      <c r="A2793" s="14" t="inlineStr">
        <is>
          <t>UBAÍRA</t>
        </is>
      </c>
      <c r="B2793" s="26" t="n">
        <v>38</v>
      </c>
      <c r="C2793" s="26" t="n">
        <v>1180</v>
      </c>
      <c r="D2793" s="14" t="inlineStr">
        <is>
          <t>GRUPO ESCOLAR LUIS EDUARDO MAGALHAES</t>
        </is>
      </c>
      <c r="E2793" s="14" t="inlineStr">
        <is>
          <t>CÓRREGO</t>
        </is>
      </c>
      <c r="F2793" s="14" t="inlineStr">
        <is>
          <t>RUA DO CORREGO - ZONA URBANA</t>
        </is>
      </c>
      <c r="G2793" s="27" t="inlineStr">
        <is>
          <t>45310-000</t>
        </is>
      </c>
      <c r="H2793" s="15" t="n">
        <v>5</v>
      </c>
      <c r="I2793" s="28" t="inlineStr">
        <is>
          <t>NÃO</t>
        </is>
      </c>
      <c r="J2793" s="29" t="n">
        <v>193.6</v>
      </c>
      <c r="K2793" s="14" t="str">
        <f>IF(J2793="","7. Acima de 2 km",IF(J2793&lt;=50,"1. Até 50 m",IF(J2793&lt;=100,"2. De 50 a 100 m",IF(J2793&lt;=200,"3. De 100 a 200 m",IF(J2793&lt;=300,"4. De 200 a 300 m",IF(J2793&lt;=500,"5. De 300 a 500 m","6. De 500 m a 2 km"))))))</f>
        <v>3. De 100 a 200 m</v>
      </c>
      <c r="L2793" s="26" t="n">
        <v>0</v>
      </c>
      <c r="M2793" s="26" t="n">
        <v>0</v>
      </c>
      <c r="N2793" s="26" t="n">
        <v>1</v>
      </c>
      <c r="O2793" s="26" t="n">
        <v>1</v>
      </c>
      <c r="P2793" s="30" t="n">
        <v>-13.261998</v>
      </c>
      <c r="Q2793" s="30" t="n">
        <v>-39.6622544</v>
      </c>
      <c r="R2793" s="14" t="inlineStr">
        <is>
          <t>FÓRUM DES. DUARTE GUIMARÃES, PRAÇA DOS TRÊS PODERES S/N, CENTRO, UBAÍRA/BA</t>
        </is>
      </c>
      <c r="S2793" s="26">
        <f>IF(A2793=A2792,0,1)</f>
        <v>0</v>
      </c>
      <c r="T2793" s="26">
        <f>IF(COUNTIF($B$4:B2793,B2793)=1,1,0)</f>
        <v>0</v>
      </c>
    </row>
    <row r="2794">
      <c r="A2794" s="14" t="inlineStr">
        <is>
          <t>UBAÍRA</t>
        </is>
      </c>
      <c r="B2794" s="26" t="n">
        <v>38</v>
      </c>
      <c r="C2794" s="26" t="n">
        <v>1198</v>
      </c>
      <c r="D2794" s="14" t="inlineStr">
        <is>
          <t>ESCOLA MUNICIPAL RURAL OTÁVIO MANGABEIRA</t>
        </is>
      </c>
      <c r="E2794" s="14" t="inlineStr">
        <is>
          <t>POVOADO DO RIACHO DE AREIA</t>
        </is>
      </c>
      <c r="F2794" s="14" t="inlineStr">
        <is>
          <t>FAZENDA RIACHO DE AREIA - ZONA RURAL</t>
        </is>
      </c>
      <c r="G2794" s="27" t="inlineStr">
        <is>
          <t>45310-000</t>
        </is>
      </c>
      <c r="H2794" s="15" t="n">
        <v>2</v>
      </c>
      <c r="I2794" s="28" t="inlineStr">
        <is>
          <t>NÃO</t>
        </is>
      </c>
      <c r="J2794" s="29" t="n"/>
      <c r="K2794" s="14" t="str">
        <f>IF(J2794="","7. Acima de 2 km",IF(J2794&lt;=50,"1. Até 50 m",IF(J2794&lt;=100,"2. De 50 a 100 m",IF(J2794&lt;=200,"3. De 100 a 200 m",IF(J2794&lt;=300,"4. De 200 a 300 m",IF(J2794&lt;=500,"5. De 300 a 500 m","6. De 500 m a 2 km"))))))</f>
        <v>7. Acima de 2 km</v>
      </c>
      <c r="L2794" s="26" t="n">
        <v>0</v>
      </c>
      <c r="M2794" s="26" t="n">
        <v>0</v>
      </c>
      <c r="N2794" s="26" t="n">
        <v>0</v>
      </c>
      <c r="O2794" s="26" t="n">
        <v>0</v>
      </c>
      <c r="P2794" s="30" t="n">
        <v>-13.4217836</v>
      </c>
      <c r="Q2794" s="30" t="n">
        <v>-39.6615012</v>
      </c>
      <c r="R2794" s="14" t="inlineStr">
        <is>
          <t>FÓRUM DES. DUARTE GUIMARÃES, PRAÇA DOS TRÊS PODERES S/N, CENTRO, UBAÍRA/BA</t>
        </is>
      </c>
      <c r="S2794" s="26">
        <f>IF(A2794=A2793,0,1)</f>
        <v>0</v>
      </c>
      <c r="T2794" s="26">
        <f>IF(COUNTIF($B$4:B2794,B2794)=1,1,0)</f>
        <v>0</v>
      </c>
    </row>
    <row r="2795">
      <c r="A2795" s="14" t="inlineStr">
        <is>
          <t>UBAÍRA</t>
        </is>
      </c>
      <c r="B2795" s="26" t="n">
        <v>38</v>
      </c>
      <c r="C2795" s="26" t="n">
        <v>1201</v>
      </c>
      <c r="D2795" s="14" t="inlineStr">
        <is>
          <t>ESCOLA MUNICIPAL SÃO ROQUE</t>
        </is>
      </c>
      <c r="E2795" s="14" t="inlineStr">
        <is>
          <t>POVOADO PALMEIRA</t>
        </is>
      </c>
      <c r="F2795" s="14" t="inlineStr">
        <is>
          <t>POVOADO PALMEIRA - ZONA RURAL</t>
        </is>
      </c>
      <c r="G2795" s="27" t="inlineStr">
        <is>
          <t>45310-000</t>
        </is>
      </c>
      <c r="H2795" s="15" t="n">
        <v>1</v>
      </c>
      <c r="I2795" s="28" t="inlineStr">
        <is>
          <t>NÃO</t>
        </is>
      </c>
      <c r="J2795" s="29" t="n"/>
      <c r="K2795" s="14" t="str">
        <f>IF(J2795="","7. Acima de 2 km",IF(J2795&lt;=50,"1. Até 50 m",IF(J2795&lt;=100,"2. De 50 a 100 m",IF(J2795&lt;=200,"3. De 100 a 200 m",IF(J2795&lt;=300,"4. De 200 a 300 m",IF(J2795&lt;=500,"5. De 300 a 500 m","6. De 500 m a 2 km"))))))</f>
        <v>7. Acima de 2 km</v>
      </c>
      <c r="L2795" s="26" t="n">
        <v>0</v>
      </c>
      <c r="M2795" s="26" t="n">
        <v>0</v>
      </c>
      <c r="N2795" s="26" t="n">
        <v>0</v>
      </c>
      <c r="O2795" s="26" t="n">
        <v>0</v>
      </c>
      <c r="P2795" s="30" t="n">
        <v>-13.2283083</v>
      </c>
      <c r="Q2795" s="30" t="n">
        <v>-39.6378607</v>
      </c>
      <c r="R2795" s="14" t="inlineStr">
        <is>
          <t>FÓRUM DES. DUARTE GUIMARÃES, PRAÇA DOS TRÊS PODERES S/N, CENTRO, UBAÍRA/BA</t>
        </is>
      </c>
      <c r="S2795" s="26">
        <f>IF(A2795=A2794,0,1)</f>
        <v>0</v>
      </c>
      <c r="T2795" s="26">
        <f>IF(COUNTIF($B$4:B2795,B2795)=1,1,0)</f>
        <v>0</v>
      </c>
    </row>
    <row r="2796">
      <c r="A2796" s="14" t="inlineStr">
        <is>
          <t>UBAÍRA</t>
        </is>
      </c>
      <c r="B2796" s="26" t="n">
        <v>38</v>
      </c>
      <c r="C2796" s="26" t="n">
        <v>1244</v>
      </c>
      <c r="D2796" s="14" t="inlineStr">
        <is>
          <t>ESCOLA MUNICIPAL ELENICE PINHEIRO SOUZA DE JESUS</t>
        </is>
      </c>
      <c r="E2796" s="14" t="inlineStr">
        <is>
          <t>POVOADO JACUBA</t>
        </is>
      </c>
      <c r="F2796" s="14" t="inlineStr">
        <is>
          <t>POVOADO JACUBA - ZONA RURAL</t>
        </is>
      </c>
      <c r="G2796" s="27" t="inlineStr">
        <is>
          <t>45310-000</t>
        </is>
      </c>
      <c r="H2796" s="15" t="n">
        <v>2</v>
      </c>
      <c r="I2796" s="28" t="inlineStr">
        <is>
          <t>NÃO</t>
        </is>
      </c>
      <c r="J2796" s="29" t="n"/>
      <c r="K2796" s="14" t="str">
        <f>IF(J2796="","7. Acima de 2 km",IF(J2796&lt;=50,"1. Até 50 m",IF(J2796&lt;=100,"2. De 50 a 100 m",IF(J2796&lt;=200,"3. De 100 a 200 m",IF(J2796&lt;=300,"4. De 200 a 300 m",IF(J2796&lt;=500,"5. De 300 a 500 m","6. De 500 m a 2 km"))))))</f>
        <v>7. Acima de 2 km</v>
      </c>
      <c r="L2796" s="26" t="n">
        <v>0</v>
      </c>
      <c r="M2796" s="26" t="n">
        <v>0</v>
      </c>
      <c r="N2796" s="26" t="n">
        <v>0</v>
      </c>
      <c r="O2796" s="26" t="n">
        <v>0</v>
      </c>
      <c r="P2796" s="30" t="n">
        <v>-13.1368138</v>
      </c>
      <c r="Q2796" s="30" t="n">
        <v>-39.6095487</v>
      </c>
      <c r="R2796" s="14" t="inlineStr">
        <is>
          <t>FÓRUM DES. DUARTE GUIMARÃES, PRAÇA DOS TRÊS PODERES S/N, CENTRO, UBAÍRA/BA</t>
        </is>
      </c>
      <c r="S2796" s="26">
        <f>IF(A2796=A2795,0,1)</f>
        <v>0</v>
      </c>
      <c r="T2796" s="26">
        <f>IF(COUNTIF($B$4:B2796,B2796)=1,1,0)</f>
        <v>0</v>
      </c>
    </row>
    <row r="2797">
      <c r="A2797" s="14" t="inlineStr">
        <is>
          <t>UBAÍRA</t>
        </is>
      </c>
      <c r="B2797" s="26" t="n">
        <v>38</v>
      </c>
      <c r="C2797" s="26" t="n">
        <v>1260</v>
      </c>
      <c r="D2797" s="14" t="inlineStr">
        <is>
          <t>ESCOLA MUNICIPAL NOSSA SENHORA DE FÁTIMA</t>
        </is>
      </c>
      <c r="E2797" s="14" t="inlineStr">
        <is>
          <t>BOQUEIRÃO BOA VENTURA</t>
        </is>
      </c>
      <c r="F2797" s="14" t="inlineStr">
        <is>
          <t>POVOADO BOQUEIRÃO DA BOA VENTURA</t>
        </is>
      </c>
      <c r="G2797" s="27" t="inlineStr">
        <is>
          <t>45310-000</t>
        </is>
      </c>
      <c r="H2797" s="15" t="n">
        <v>1</v>
      </c>
      <c r="I2797" s="28" t="inlineStr">
        <is>
          <t>NÃO</t>
        </is>
      </c>
      <c r="J2797" s="29" t="n"/>
      <c r="K2797" s="14" t="str">
        <f>IF(J2797="","7. Acima de 2 km",IF(J2797&lt;=50,"1. Até 50 m",IF(J2797&lt;=100,"2. De 50 a 100 m",IF(J2797&lt;=200,"3. De 100 a 200 m",IF(J2797&lt;=300,"4. De 200 a 300 m",IF(J2797&lt;=500,"5. De 300 a 500 m","6. De 500 m a 2 km"))))))</f>
        <v>7. Acima de 2 km</v>
      </c>
      <c r="L2797" s="26" t="n">
        <v>0</v>
      </c>
      <c r="M2797" s="26" t="n">
        <v>0</v>
      </c>
      <c r="N2797" s="26" t="n">
        <v>0</v>
      </c>
      <c r="O2797" s="26" t="n">
        <v>0</v>
      </c>
      <c r="P2797" s="30" t="n">
        <v>-13.2158128</v>
      </c>
      <c r="Q2797" s="30" t="n">
        <v>-39.6040071</v>
      </c>
      <c r="R2797" s="14" t="inlineStr">
        <is>
          <t>FÓRUM DES. DUARTE GUIMARÃES, PRAÇA DOS TRÊS PODERES S/N, CENTRO, UBAÍRA/BA</t>
        </is>
      </c>
      <c r="S2797" s="26">
        <f>IF(A2797=A2796,0,1)</f>
        <v>0</v>
      </c>
      <c r="T2797" s="26">
        <f>IF(COUNTIF($B$4:B2797,B2797)=1,1,0)</f>
        <v>0</v>
      </c>
    </row>
    <row r="2798">
      <c r="A2798" s="14" t="inlineStr">
        <is>
          <t>UBATÃ</t>
        </is>
      </c>
      <c r="B2798" s="26" t="n">
        <v>134</v>
      </c>
      <c r="C2798" s="26" t="n">
        <v>1066</v>
      </c>
      <c r="D2798" s="14" t="inlineStr">
        <is>
          <t>COLÉGIO MUNICIPAL JOÃO OLÍMPIO DE ARAÚJO</t>
        </is>
      </c>
      <c r="E2798" s="14" t="inlineStr">
        <is>
          <t>DOIS DE JULHO</t>
        </is>
      </c>
      <c r="F2798" s="14" t="inlineStr">
        <is>
          <t>RUA ARNALDO AZEVEDO, S/Nº - ZONA URBANA</t>
        </is>
      </c>
      <c r="G2798" s="27" t="inlineStr">
        <is>
          <t>45550-000</t>
        </is>
      </c>
      <c r="H2798" s="15" t="n">
        <v>4</v>
      </c>
      <c r="I2798" s="28" t="inlineStr">
        <is>
          <t>NÃO</t>
        </is>
      </c>
      <c r="J2798" s="29" t="n">
        <v>433.8</v>
      </c>
      <c r="K2798" s="14" t="str">
        <f>IF(J2798="","7. Acima de 2 km",IF(J2798&lt;=50,"1. Até 50 m",IF(J2798&lt;=100,"2. De 50 a 100 m",IF(J2798&lt;=200,"3. De 100 a 200 m",IF(J2798&lt;=300,"4. De 200 a 300 m",IF(J2798&lt;=500,"5. De 300 a 500 m","6. De 500 m a 2 km"))))))</f>
        <v>5. De 300 a 500 m</v>
      </c>
      <c r="L2798" s="26" t="n">
        <v>0</v>
      </c>
      <c r="M2798" s="26" t="n">
        <v>0</v>
      </c>
      <c r="N2798" s="26" t="n">
        <v>0</v>
      </c>
      <c r="O2798" s="26" t="n">
        <v>0</v>
      </c>
      <c r="P2798" s="30" t="n">
        <v>-14.208112</v>
      </c>
      <c r="Q2798" s="30" t="n">
        <v>-39.526484</v>
      </c>
      <c r="R2798" s="14" t="inlineStr">
        <is>
          <t>RUA HENRIQUE FERREIRA BORGES,122, BAIRRO LOMANTO JÚNIOR, UBATÃ/BAHIA</t>
        </is>
      </c>
      <c r="S2798" s="26">
        <f>IF(A2798=A2797,0,1)</f>
        <v>1</v>
      </c>
      <c r="T2798" s="26">
        <f>IF(COUNTIF($B$4:B2798,B2798)=1,1,0)</f>
        <v>1</v>
      </c>
    </row>
    <row r="2799">
      <c r="A2799" s="14" t="inlineStr">
        <is>
          <t>UBATÃ</t>
        </is>
      </c>
      <c r="B2799" s="26" t="n">
        <v>134</v>
      </c>
      <c r="C2799" s="26" t="n">
        <v>1074</v>
      </c>
      <c r="D2799" s="14" t="inlineStr">
        <is>
          <t>COLÉGIO PREMIUM</t>
        </is>
      </c>
      <c r="E2799" s="14" t="inlineStr">
        <is>
          <t>CENTRO</t>
        </is>
      </c>
      <c r="F2799" s="14" t="inlineStr">
        <is>
          <t>PRAÇA ANIBAL AZEVEDO, N 43 - ZONA URBANA</t>
        </is>
      </c>
      <c r="G2799" s="27" t="inlineStr">
        <is>
          <t>45550-000</t>
        </is>
      </c>
      <c r="H2799" s="15" t="n">
        <v>2</v>
      </c>
      <c r="I2799" s="28" t="inlineStr">
        <is>
          <t>NÃO</t>
        </is>
      </c>
      <c r="J2799" s="29" t="n">
        <v>463.5</v>
      </c>
      <c r="K2799" s="14" t="str">
        <f>IF(J2799="","7. Acima de 2 km",IF(J2799&lt;=50,"1. Até 50 m",IF(J2799&lt;=100,"2. De 50 a 100 m",IF(J2799&lt;=200,"3. De 100 a 200 m",IF(J2799&lt;=300,"4. De 200 a 300 m",IF(J2799&lt;=500,"5. De 300 a 500 m","6. De 500 m a 2 km"))))))</f>
        <v>5. De 300 a 500 m</v>
      </c>
      <c r="L2799" s="26" t="n">
        <v>0</v>
      </c>
      <c r="M2799" s="26" t="n">
        <v>0</v>
      </c>
      <c r="N2799" s="26" t="n">
        <v>0</v>
      </c>
      <c r="O2799" s="26" t="n">
        <v>0</v>
      </c>
      <c r="P2799" s="30" t="n">
        <v>-14.2164118</v>
      </c>
      <c r="Q2799" s="30" t="n">
        <v>-39.5251078</v>
      </c>
      <c r="R2799" s="14" t="inlineStr">
        <is>
          <t>RUA HENRIQUE FERREIRA BORGES,122, BAIRRO LOMANTO JÚNIOR, UBATÃ/BAHIA</t>
        </is>
      </c>
      <c r="S2799" s="26">
        <f>IF(A2799=A2798,0,1)</f>
        <v>0</v>
      </c>
      <c r="T2799" s="26">
        <f>IF(COUNTIF($B$4:B2799,B2799)=1,1,0)</f>
        <v>0</v>
      </c>
    </row>
    <row r="2800">
      <c r="A2800" s="14" t="inlineStr">
        <is>
          <t>UBATÃ</t>
        </is>
      </c>
      <c r="B2800" s="26" t="n">
        <v>134</v>
      </c>
      <c r="C2800" s="26" t="n">
        <v>1082</v>
      </c>
      <c r="D2800" s="14" t="inlineStr">
        <is>
          <t>ESCOLA MUNICIPAL ACM</t>
        </is>
      </c>
      <c r="E2800" s="14" t="inlineStr">
        <is>
          <t>JULIO ADERNE</t>
        </is>
      </c>
      <c r="F2800" s="14" t="inlineStr">
        <is>
          <t>RUA FIM DA MARINALVA, 250 - ZONA URBANA</t>
        </is>
      </c>
      <c r="G2800" s="27" t="inlineStr">
        <is>
          <t>45550-000</t>
        </is>
      </c>
      <c r="H2800" s="15" t="n">
        <v>8</v>
      </c>
      <c r="I2800" s="28" t="inlineStr">
        <is>
          <t>NÃO</t>
        </is>
      </c>
      <c r="J2800" s="29" t="n">
        <v>844.4</v>
      </c>
      <c r="K2800" s="14" t="str">
        <f>IF(J2800="","7. Acima de 2 km",IF(J2800&lt;=50,"1. Até 50 m",IF(J2800&lt;=100,"2. De 50 a 100 m",IF(J2800&lt;=200,"3. De 100 a 200 m",IF(J2800&lt;=300,"4. De 200 a 300 m",IF(J2800&lt;=500,"5. De 300 a 500 m","6. De 500 m a 2 km"))))))</f>
        <v>6. De 500 m a 2 km</v>
      </c>
      <c r="L2800" s="26" t="n">
        <v>0</v>
      </c>
      <c r="M2800" s="26" t="n">
        <v>0</v>
      </c>
      <c r="N2800" s="26" t="n">
        <v>0</v>
      </c>
      <c r="O2800" s="26" t="n">
        <v>0</v>
      </c>
      <c r="P2800" s="30" t="n">
        <v>-14.2062634</v>
      </c>
      <c r="Q2800" s="30" t="n">
        <v>-39.5305243</v>
      </c>
      <c r="R2800" s="14" t="inlineStr">
        <is>
          <t>RUA HENRIQUE FERREIRA BORGES,122, BAIRRO LOMANTO JÚNIOR, UBATÃ/BAHIA</t>
        </is>
      </c>
      <c r="S2800" s="26">
        <f>IF(A2800=A2799,0,1)</f>
        <v>0</v>
      </c>
      <c r="T2800" s="26">
        <f>IF(COUNTIF($B$4:B2800,B2800)=1,1,0)</f>
        <v>0</v>
      </c>
    </row>
    <row r="2801">
      <c r="A2801" s="14" t="inlineStr">
        <is>
          <t>UBATÃ</t>
        </is>
      </c>
      <c r="B2801" s="26" t="n">
        <v>134</v>
      </c>
      <c r="C2801" s="26" t="n">
        <v>1090</v>
      </c>
      <c r="D2801" s="14" t="inlineStr">
        <is>
          <t>ESCOLA MUNICIPAL SÉRGIO COSTA SANTOS</t>
        </is>
      </c>
      <c r="E2801" s="14" t="inlineStr">
        <is>
          <t>LOMANTO JÚNIOR</t>
        </is>
      </c>
      <c r="F2801" s="14" t="inlineStr">
        <is>
          <t>RUA SETE, 125 - ZONA URBANA</t>
        </is>
      </c>
      <c r="G2801" s="27" t="inlineStr">
        <is>
          <t>45550-000</t>
        </is>
      </c>
      <c r="H2801" s="15" t="n">
        <v>3</v>
      </c>
      <c r="I2801" s="28" t="inlineStr">
        <is>
          <t>NÃO</t>
        </is>
      </c>
      <c r="J2801" s="29" t="n">
        <v>282</v>
      </c>
      <c r="K2801" s="14" t="str">
        <f>IF(J2801="","7. Acima de 2 km",IF(J2801&lt;=50,"1. Até 50 m",IF(J2801&lt;=100,"2. De 50 a 100 m",IF(J2801&lt;=200,"3. De 100 a 200 m",IF(J2801&lt;=300,"4. De 200 a 300 m",IF(J2801&lt;=500,"5. De 300 a 500 m","6. De 500 m a 2 km"))))))</f>
        <v>4. De 200 a 300 m</v>
      </c>
      <c r="L2801" s="26" t="n">
        <v>0</v>
      </c>
      <c r="M2801" s="26" t="n">
        <v>0</v>
      </c>
      <c r="N2801" s="26" t="n">
        <v>0</v>
      </c>
      <c r="O2801" s="26" t="n">
        <v>1</v>
      </c>
      <c r="P2801" s="30" t="n">
        <v>-14.2140531</v>
      </c>
      <c r="Q2801" s="30" t="n">
        <v>-39.51709</v>
      </c>
      <c r="R2801" s="14" t="inlineStr">
        <is>
          <t>RUA HENRIQUE FERREIRA BORGES,122, BAIRRO LOMANTO JÚNIOR, UBATÃ/BAHIA</t>
        </is>
      </c>
      <c r="S2801" s="26">
        <f>IF(A2801=A2800,0,1)</f>
        <v>0</v>
      </c>
      <c r="T2801" s="26">
        <f>IF(COUNTIF($B$4:B2801,B2801)=1,1,0)</f>
        <v>0</v>
      </c>
    </row>
    <row r="2802">
      <c r="A2802" s="14" t="inlineStr">
        <is>
          <t>UBATÃ</t>
        </is>
      </c>
      <c r="B2802" s="26" t="n">
        <v>134</v>
      </c>
      <c r="C2802" s="26" t="n">
        <v>1104</v>
      </c>
      <c r="D2802" s="14" t="inlineStr">
        <is>
          <t>CRECHE MARIA RICARDA MUNIZ</t>
        </is>
      </c>
      <c r="E2802" s="14" t="inlineStr">
        <is>
          <t>SAO RAIMUNDO</t>
        </is>
      </c>
      <c r="F2802" s="14" t="inlineStr">
        <is>
          <t>RUA ARLETE MAGALHÃES,100 - SÃO RAIMUNDO - ZONA URBANA</t>
        </is>
      </c>
      <c r="G2802" s="27" t="inlineStr">
        <is>
          <t>45550-000</t>
        </is>
      </c>
      <c r="H2802" s="15" t="n">
        <v>4</v>
      </c>
      <c r="I2802" s="28" t="inlineStr">
        <is>
          <t>NÃO</t>
        </is>
      </c>
      <c r="J2802" s="29" t="n">
        <v>323</v>
      </c>
      <c r="K2802" s="14" t="str">
        <f>IF(J2802="","7. Acima de 2 km",IF(J2802&lt;=50,"1. Até 50 m",IF(J2802&lt;=100,"2. De 50 a 100 m",IF(J2802&lt;=200,"3. De 100 a 200 m",IF(J2802&lt;=300,"4. De 200 a 300 m",IF(J2802&lt;=500,"5. De 300 a 500 m","6. De 500 m a 2 km"))))))</f>
        <v>5. De 300 a 500 m</v>
      </c>
      <c r="L2802" s="26" t="n">
        <v>0</v>
      </c>
      <c r="M2802" s="26" t="n">
        <v>0</v>
      </c>
      <c r="N2802" s="26" t="n">
        <v>0</v>
      </c>
      <c r="O2802" s="26" t="n">
        <v>0</v>
      </c>
      <c r="P2802" s="30" t="n">
        <v>-14.2110789</v>
      </c>
      <c r="Q2802" s="30" t="n">
        <v>-39.5284827</v>
      </c>
      <c r="R2802" s="14" t="inlineStr">
        <is>
          <t>RUA HENRIQUE FERREIRA BORGES,122, BAIRRO LOMANTO JÚNIOR, UBATÃ/BAHIA</t>
        </is>
      </c>
      <c r="S2802" s="26">
        <f>IF(A2802=A2801,0,1)</f>
        <v>0</v>
      </c>
      <c r="T2802" s="26">
        <f>IF(COUNTIF($B$4:B2802,B2802)=1,1,0)</f>
        <v>0</v>
      </c>
    </row>
    <row r="2803">
      <c r="A2803" s="14" t="inlineStr">
        <is>
          <t>UBATÃ</t>
        </is>
      </c>
      <c r="B2803" s="26" t="n">
        <v>134</v>
      </c>
      <c r="C2803" s="26" t="n">
        <v>1120</v>
      </c>
      <c r="D2803" s="14" t="inlineStr">
        <is>
          <t>COLEGIO ESTADUAL DE UBATA - CEU</t>
        </is>
      </c>
      <c r="E2803" s="14" t="inlineStr">
        <is>
          <t>CENTRO</t>
        </is>
      </c>
      <c r="F2803" s="14" t="inlineStr">
        <is>
          <t>AVENIDA LANDULFO ALVES - ZONA URBANA</t>
        </is>
      </c>
      <c r="G2803" s="27" t="inlineStr">
        <is>
          <t>45550-000</t>
        </is>
      </c>
      <c r="H2803" s="15" t="n">
        <v>4</v>
      </c>
      <c r="I2803" s="28" t="inlineStr">
        <is>
          <t>SIM</t>
        </is>
      </c>
      <c r="J2803" s="29" t="n">
        <v>17.7</v>
      </c>
      <c r="K2803" s="14" t="str">
        <f>IF(J2803="","7. Acima de 2 km",IF(J2803&lt;=50,"1. Até 50 m",IF(J2803&lt;=100,"2. De 50 a 100 m",IF(J2803&lt;=200,"3. De 100 a 200 m",IF(J2803&lt;=300,"4. De 200 a 300 m",IF(J2803&lt;=500,"5. De 300 a 500 m","6. De 500 m a 2 km"))))))</f>
        <v>1. Até 50 m</v>
      </c>
      <c r="L2803" s="26" t="n">
        <v>1</v>
      </c>
      <c r="M2803" s="26" t="n">
        <v>1</v>
      </c>
      <c r="N2803" s="26" t="n">
        <v>1</v>
      </c>
      <c r="O2803" s="26" t="n">
        <v>2</v>
      </c>
      <c r="P2803" s="30" t="n">
        <v>-14.2140899</v>
      </c>
      <c r="Q2803" s="30" t="n">
        <v>-39.5216481</v>
      </c>
      <c r="R2803" s="14" t="inlineStr">
        <is>
          <t>RUA HENRIQUE FERREIRA BORGES,122, BAIRRO LOMANTO JÚNIOR, UBATÃ/BAHIA</t>
        </is>
      </c>
      <c r="S2803" s="26">
        <f>IF(A2803=A2802,0,1)</f>
        <v>0</v>
      </c>
      <c r="T2803" s="26">
        <f>IF(COUNTIF($B$4:B2803,B2803)=1,1,0)</f>
        <v>0</v>
      </c>
    </row>
    <row r="2804">
      <c r="A2804" s="14" t="inlineStr">
        <is>
          <t>UBATÃ</t>
        </is>
      </c>
      <c r="B2804" s="26" t="n">
        <v>134</v>
      </c>
      <c r="C2804" s="26" t="n">
        <v>1139</v>
      </c>
      <c r="D2804" s="14" t="inlineStr">
        <is>
          <t>ESCOLA MUNICIPAL DERALDO PASSOS</t>
        </is>
      </c>
      <c r="E2804" s="14" t="inlineStr">
        <is>
          <t>XAVIER</t>
        </is>
      </c>
      <c r="F2804" s="14" t="inlineStr">
        <is>
          <t>RUA FRANCISCO XAVIER, S/N - ZONA URBANA</t>
        </is>
      </c>
      <c r="G2804" s="27" t="inlineStr">
        <is>
          <t>45550-000</t>
        </is>
      </c>
      <c r="H2804" s="15" t="n">
        <v>4</v>
      </c>
      <c r="I2804" s="28" t="inlineStr">
        <is>
          <t>NÃO</t>
        </is>
      </c>
      <c r="J2804" s="29" t="n">
        <v>480.4</v>
      </c>
      <c r="K2804" s="14" t="str">
        <f>IF(J2804="","7. Acima de 2 km",IF(J2804&lt;=50,"1. Até 50 m",IF(J2804&lt;=100,"2. De 50 a 100 m",IF(J2804&lt;=200,"3. De 100 a 200 m",IF(J2804&lt;=300,"4. De 200 a 300 m",IF(J2804&lt;=500,"5. De 300 a 500 m","6. De 500 m a 2 km"))))))</f>
        <v>5. De 300 a 500 m</v>
      </c>
      <c r="L2804" s="26" t="n">
        <v>0</v>
      </c>
      <c r="M2804" s="26" t="n">
        <v>0</v>
      </c>
      <c r="N2804" s="26" t="n">
        <v>0</v>
      </c>
      <c r="O2804" s="26" t="n">
        <v>0</v>
      </c>
      <c r="P2804" s="30" t="n">
        <v>-14.2158235</v>
      </c>
      <c r="Q2804" s="30" t="n">
        <v>-39.5283262</v>
      </c>
      <c r="R2804" s="14" t="inlineStr">
        <is>
          <t>RUA HENRIQUE FERREIRA BORGES,122, BAIRRO LOMANTO JÚNIOR, UBATÃ/BAHIA</t>
        </is>
      </c>
      <c r="S2804" s="26">
        <f>IF(A2804=A2803,0,1)</f>
        <v>0</v>
      </c>
      <c r="T2804" s="26">
        <f>IF(COUNTIF($B$4:B2804,B2804)=1,1,0)</f>
        <v>0</v>
      </c>
    </row>
    <row r="2805">
      <c r="A2805" s="14" t="inlineStr">
        <is>
          <t>UBATÃ</t>
        </is>
      </c>
      <c r="B2805" s="26" t="n">
        <v>134</v>
      </c>
      <c r="C2805" s="26" t="n">
        <v>1147</v>
      </c>
      <c r="D2805" s="14" t="inlineStr">
        <is>
          <t>PAVILHÃO CARLOS SANTANA - ANEXO AO CEU</t>
        </is>
      </c>
      <c r="E2805" s="14" t="inlineStr">
        <is>
          <t>CENTRO</t>
        </is>
      </c>
      <c r="F2805" s="14" t="inlineStr">
        <is>
          <t>AVENIDA LANDULFO ALVES, S/N - ZONA URBANA</t>
        </is>
      </c>
      <c r="G2805" s="27" t="inlineStr">
        <is>
          <t>45550-000</t>
        </is>
      </c>
      <c r="H2805" s="15" t="n">
        <v>7</v>
      </c>
      <c r="I2805" s="28" t="inlineStr">
        <is>
          <t>NÃO</t>
        </is>
      </c>
      <c r="J2805" s="29" t="n">
        <v>116.2</v>
      </c>
      <c r="K2805" s="14" t="str">
        <f>IF(J2805="","7. Acima de 2 km",IF(J2805&lt;=50,"1. Até 50 m",IF(J2805&lt;=100,"2. De 50 a 100 m",IF(J2805&lt;=200,"3. De 100 a 200 m",IF(J2805&lt;=300,"4. De 200 a 300 m",IF(J2805&lt;=500,"5. De 300 a 500 m","6. De 500 m a 2 km"))))))</f>
        <v>3. De 100 a 200 m</v>
      </c>
      <c r="L2805" s="26" t="n">
        <v>0</v>
      </c>
      <c r="M2805" s="26" t="n">
        <v>0</v>
      </c>
      <c r="N2805" s="26" t="n">
        <v>1</v>
      </c>
      <c r="O2805" s="26" t="n">
        <v>2</v>
      </c>
      <c r="P2805" s="30" t="n">
        <v>-14.2149835</v>
      </c>
      <c r="Q2805" s="30" t="n">
        <v>-39.521744</v>
      </c>
      <c r="R2805" s="14" t="inlineStr">
        <is>
          <t>RUA HENRIQUE FERREIRA BORGES,122, BAIRRO LOMANTO JÚNIOR, UBATÃ/BAHIA</t>
        </is>
      </c>
      <c r="S2805" s="26">
        <f>IF(A2805=A2804,0,1)</f>
        <v>0</v>
      </c>
      <c r="T2805" s="26">
        <f>IF(COUNTIF($B$4:B2805,B2805)=1,1,0)</f>
        <v>0</v>
      </c>
    </row>
    <row r="2806">
      <c r="A2806" s="14" t="inlineStr">
        <is>
          <t>UBATÃ</t>
        </is>
      </c>
      <c r="B2806" s="26" t="n">
        <v>134</v>
      </c>
      <c r="C2806" s="26" t="n">
        <v>1155</v>
      </c>
      <c r="D2806" s="14" t="inlineStr">
        <is>
          <t>ESCOLA MUNICIPAL 31 DE MARÇO</t>
        </is>
      </c>
      <c r="E2806" s="14" t="inlineStr">
        <is>
          <t>MARINALVA</t>
        </is>
      </c>
      <c r="F2806" s="14" t="inlineStr">
        <is>
          <t>RUA 31 DE MARÇO, S/Nº - ZONA URBANA</t>
        </is>
      </c>
      <c r="G2806" s="27" t="inlineStr">
        <is>
          <t>45550-000</t>
        </is>
      </c>
      <c r="H2806" s="15" t="n">
        <v>2</v>
      </c>
      <c r="I2806" s="28" t="inlineStr">
        <is>
          <t>NÃO</t>
        </is>
      </c>
      <c r="J2806" s="29" t="n">
        <v>466.2</v>
      </c>
      <c r="K2806" s="14" t="str">
        <f>IF(J2806="","7. Acima de 2 km",IF(J2806&lt;=50,"1. Até 50 m",IF(J2806&lt;=100,"2. De 50 a 100 m",IF(J2806&lt;=200,"3. De 100 a 200 m",IF(J2806&lt;=300,"4. De 200 a 300 m",IF(J2806&lt;=500,"5. De 300 a 500 m","6. De 500 m a 2 km"))))))</f>
        <v>5. De 300 a 500 m</v>
      </c>
      <c r="L2806" s="26" t="n">
        <v>0</v>
      </c>
      <c r="M2806" s="26" t="n">
        <v>0</v>
      </c>
      <c r="N2806" s="26" t="n">
        <v>0</v>
      </c>
      <c r="O2806" s="26" t="n">
        <v>0</v>
      </c>
      <c r="P2806" s="30" t="n">
        <v>-14.2087221</v>
      </c>
      <c r="Q2806" s="30" t="n">
        <v>-39.5280284</v>
      </c>
      <c r="R2806" s="14" t="inlineStr">
        <is>
          <t>RUA HENRIQUE FERREIRA BORGES,122, BAIRRO LOMANTO JÚNIOR, UBATÃ/BAHIA</t>
        </is>
      </c>
      <c r="S2806" s="26">
        <f>IF(A2806=A2805,0,1)</f>
        <v>0</v>
      </c>
      <c r="T2806" s="26">
        <f>IF(COUNTIF($B$4:B2806,B2806)=1,1,0)</f>
        <v>0</v>
      </c>
    </row>
    <row r="2807">
      <c r="A2807" s="14" t="inlineStr">
        <is>
          <t>UBATÃ</t>
        </is>
      </c>
      <c r="B2807" s="26" t="n">
        <v>134</v>
      </c>
      <c r="C2807" s="26" t="n">
        <v>1163</v>
      </c>
      <c r="D2807" s="14" t="inlineStr">
        <is>
          <t>ESCOLA NOSSA SENHORA DA CONCEIÇÃO</t>
        </is>
      </c>
      <c r="E2807" s="14" t="inlineStr">
        <is>
          <t>CENTRO</t>
        </is>
      </c>
      <c r="F2807" s="14" t="inlineStr">
        <is>
          <t>RUA SEVERIANO COSTA, S/N - ZONA URBANA</t>
        </is>
      </c>
      <c r="G2807" s="27" t="inlineStr">
        <is>
          <t>45550-000</t>
        </is>
      </c>
      <c r="H2807" s="15" t="n">
        <v>3</v>
      </c>
      <c r="I2807" s="28" t="inlineStr">
        <is>
          <t>NÃO</t>
        </is>
      </c>
      <c r="J2807" s="29" t="n">
        <v>359.5</v>
      </c>
      <c r="K2807" s="14" t="str">
        <f>IF(J2807="","7. Acima de 2 km",IF(J2807&lt;=50,"1. Até 50 m",IF(J2807&lt;=100,"2. De 50 a 100 m",IF(J2807&lt;=200,"3. De 100 a 200 m",IF(J2807&lt;=300,"4. De 200 a 300 m",IF(J2807&lt;=500,"5. De 300 a 500 m","6. De 500 m a 2 km"))))))</f>
        <v>5. De 300 a 500 m</v>
      </c>
      <c r="L2807" s="26" t="n">
        <v>0</v>
      </c>
      <c r="M2807" s="26" t="n">
        <v>0</v>
      </c>
      <c r="N2807" s="26" t="n">
        <v>0</v>
      </c>
      <c r="O2807" s="26" t="n">
        <v>0</v>
      </c>
      <c r="P2807" s="30" t="n">
        <v>-14.21563</v>
      </c>
      <c r="Q2807" s="30" t="n">
        <v>-39.524415</v>
      </c>
      <c r="R2807" s="14" t="inlineStr">
        <is>
          <t>RUA HENRIQUE FERREIRA BORGES,122, BAIRRO LOMANTO JÚNIOR, UBATÃ/BAHIA</t>
        </is>
      </c>
      <c r="S2807" s="26">
        <f>IF(A2807=A2806,0,1)</f>
        <v>0</v>
      </c>
      <c r="T2807" s="26">
        <f>IF(COUNTIF($B$4:B2807,B2807)=1,1,0)</f>
        <v>0</v>
      </c>
    </row>
    <row r="2808">
      <c r="A2808" s="14" t="inlineStr">
        <is>
          <t>UBATÃ</t>
        </is>
      </c>
      <c r="B2808" s="26" t="n">
        <v>134</v>
      </c>
      <c r="C2808" s="26" t="n">
        <v>1201</v>
      </c>
      <c r="D2808" s="14" t="inlineStr">
        <is>
          <t>GRUPO ESCOLAR LUIZ VIANA NETO</t>
        </is>
      </c>
      <c r="E2808" s="14" t="inlineStr">
        <is>
          <t>MARINALVA</t>
        </is>
      </c>
      <c r="F2808" s="14" t="inlineStr">
        <is>
          <t>AVENIDA MARINALVA S/N - ZONA URBANA</t>
        </is>
      </c>
      <c r="G2808" s="27" t="inlineStr">
        <is>
          <t>45550-000</t>
        </is>
      </c>
      <c r="H2808" s="15" t="n">
        <v>2</v>
      </c>
      <c r="I2808" s="28" t="inlineStr">
        <is>
          <t>NÃO</t>
        </is>
      </c>
      <c r="J2808" s="29" t="n">
        <v>220.9</v>
      </c>
      <c r="K2808" s="14" t="str">
        <f>IF(J2808="","7. Acima de 2 km",IF(J2808&lt;=50,"1. Até 50 m",IF(J2808&lt;=100,"2. De 50 a 100 m",IF(J2808&lt;=200,"3. De 100 a 200 m",IF(J2808&lt;=300,"4. De 200 a 300 m",IF(J2808&lt;=500,"5. De 300 a 500 m","6. De 500 m a 2 km"))))))</f>
        <v>4. De 200 a 300 m</v>
      </c>
      <c r="L2808" s="26" t="n">
        <v>0</v>
      </c>
      <c r="M2808" s="26" t="n">
        <v>0</v>
      </c>
      <c r="N2808" s="26" t="n">
        <v>0</v>
      </c>
      <c r="O2808" s="26" t="n">
        <v>3</v>
      </c>
      <c r="P2808" s="30" t="n">
        <v>-14.2127069</v>
      </c>
      <c r="Q2808" s="30" t="n">
        <v>-39.5237553</v>
      </c>
      <c r="R2808" s="14" t="inlineStr">
        <is>
          <t>RUA HENRIQUE FERREIRA BORGES,122, BAIRRO LOMANTO JÚNIOR, UBATÃ/BAHIA</t>
        </is>
      </c>
      <c r="S2808" s="26">
        <f>IF(A2808=A2807,0,1)</f>
        <v>0</v>
      </c>
      <c r="T2808" s="26">
        <f>IF(COUNTIF($B$4:B2808,B2808)=1,1,0)</f>
        <v>0</v>
      </c>
    </row>
    <row r="2809">
      <c r="A2809" s="14" t="inlineStr">
        <is>
          <t>UBATÃ</t>
        </is>
      </c>
      <c r="B2809" s="26" t="n">
        <v>134</v>
      </c>
      <c r="C2809" s="26" t="n">
        <v>1236</v>
      </c>
      <c r="D2809" s="14" t="inlineStr">
        <is>
          <t>ESCOLA MUNICIPAL VILMA LUZIA CRUZ</t>
        </is>
      </c>
      <c r="E2809" s="14" t="inlineStr">
        <is>
          <t>BELA VISTA</t>
        </is>
      </c>
      <c r="F2809" s="14" t="inlineStr">
        <is>
          <t>RUA ALTO DA BELA VISTA, S/Nº - ZONA URBANA</t>
        </is>
      </c>
      <c r="G2809" s="27" t="inlineStr">
        <is>
          <t>45550-000</t>
        </is>
      </c>
      <c r="H2809" s="15" t="n">
        <v>3</v>
      </c>
      <c r="I2809" s="28" t="inlineStr">
        <is>
          <t>NÃO</t>
        </is>
      </c>
      <c r="J2809" s="29" t="n">
        <v>329.5</v>
      </c>
      <c r="K2809" s="14" t="str">
        <f>IF(J2809="","7. Acima de 2 km",IF(J2809&lt;=50,"1. Até 50 m",IF(J2809&lt;=100,"2. De 50 a 100 m",IF(J2809&lt;=200,"3. De 100 a 200 m",IF(J2809&lt;=300,"4. De 200 a 300 m",IF(J2809&lt;=500,"5. De 300 a 500 m","6. De 500 m a 2 km"))))))</f>
        <v>5. De 300 a 500 m</v>
      </c>
      <c r="L2809" s="26" t="n">
        <v>0</v>
      </c>
      <c r="M2809" s="26" t="n">
        <v>0</v>
      </c>
      <c r="N2809" s="26" t="n">
        <v>0</v>
      </c>
      <c r="O2809" s="26" t="n">
        <v>0</v>
      </c>
      <c r="P2809" s="30" t="n">
        <v>-14.2094148</v>
      </c>
      <c r="Q2809" s="30" t="n">
        <v>-39.5173206</v>
      </c>
      <c r="R2809" s="14" t="inlineStr">
        <is>
          <t>RUA HENRIQUE FERREIRA BORGES,122, BAIRRO LOMANTO JÚNIOR, UBATÃ/BAHIA</t>
        </is>
      </c>
      <c r="S2809" s="26">
        <f>IF(A2809=A2808,0,1)</f>
        <v>0</v>
      </c>
      <c r="T2809" s="26">
        <f>IF(COUNTIF($B$4:B2809,B2809)=1,1,0)</f>
        <v>0</v>
      </c>
    </row>
    <row r="2810">
      <c r="A2810" s="14" t="inlineStr">
        <is>
          <t>UBATÃ</t>
        </is>
      </c>
      <c r="B2810" s="26" t="n">
        <v>134</v>
      </c>
      <c r="C2810" s="26" t="n">
        <v>1252</v>
      </c>
      <c r="D2810" s="14" t="inlineStr">
        <is>
          <t>COLÉGIO ADMILSON NASCIMENTO SOUZA</t>
        </is>
      </c>
      <c r="E2810" s="14" t="inlineStr">
        <is>
          <t>JULIO ADERNE</t>
        </is>
      </c>
      <c r="F2810" s="14" t="inlineStr">
        <is>
          <t>RUA ALBERTO ROCHA E SILVA, S/N - ZONA URBANA</t>
        </is>
      </c>
      <c r="G2810" s="27" t="inlineStr">
        <is>
          <t>45550-000</t>
        </is>
      </c>
      <c r="H2810" s="15" t="n">
        <v>3</v>
      </c>
      <c r="I2810" s="28" t="inlineStr">
        <is>
          <t>NÃO</t>
        </is>
      </c>
      <c r="J2810" s="29" t="n">
        <v>824.9</v>
      </c>
      <c r="K2810" s="14" t="str">
        <f>IF(J2810="","7. Acima de 2 km",IF(J2810&lt;=50,"1. Até 50 m",IF(J2810&lt;=100,"2. De 50 a 100 m",IF(J2810&lt;=200,"3. De 100 a 200 m",IF(J2810&lt;=300,"4. De 200 a 300 m",IF(J2810&lt;=500,"5. De 300 a 500 m","6. De 500 m a 2 km"))))))</f>
        <v>6. De 500 m a 2 km</v>
      </c>
      <c r="L2810" s="26" t="n">
        <v>0</v>
      </c>
      <c r="M2810" s="26" t="n">
        <v>0</v>
      </c>
      <c r="N2810" s="26" t="n">
        <v>0</v>
      </c>
      <c r="O2810" s="26" t="n">
        <v>0</v>
      </c>
      <c r="P2810" s="30" t="n">
        <v>-14.2099946</v>
      </c>
      <c r="Q2810" s="30" t="n">
        <v>-39.5330359</v>
      </c>
      <c r="R2810" s="14" t="inlineStr">
        <is>
          <t>RUA HENRIQUE FERREIRA BORGES,122, BAIRRO LOMANTO JÚNIOR, UBATÃ/BAHIA</t>
        </is>
      </c>
      <c r="S2810" s="26">
        <f>IF(A2810=A2809,0,1)</f>
        <v>0</v>
      </c>
      <c r="T2810" s="26">
        <f>IF(COUNTIF($B$4:B2810,B2810)=1,1,0)</f>
        <v>0</v>
      </c>
    </row>
    <row r="2811">
      <c r="A2811" s="14" t="inlineStr">
        <is>
          <t>UBATÃ</t>
        </is>
      </c>
      <c r="B2811" s="26" t="n">
        <v>134</v>
      </c>
      <c r="C2811" s="26" t="n">
        <v>1260</v>
      </c>
      <c r="D2811" s="14" t="inlineStr">
        <is>
          <t>COLÉGIO MUNICIPAL EUGÊNIO ADERNE</t>
        </is>
      </c>
      <c r="E2811" s="14" t="inlineStr">
        <is>
          <t>LONDRINA</t>
        </is>
      </c>
      <c r="F2811" s="14" t="inlineStr">
        <is>
          <t>RUA DE FÉLIX, S/Nº - ZONA URBANA</t>
        </is>
      </c>
      <c r="G2811" s="27" t="inlineStr">
        <is>
          <t>45550-000</t>
        </is>
      </c>
      <c r="H2811" s="15" t="n">
        <v>2</v>
      </c>
      <c r="I2811" s="28" t="inlineStr">
        <is>
          <t>NÃO</t>
        </is>
      </c>
      <c r="J2811" s="29" t="n">
        <v>300.7</v>
      </c>
      <c r="K2811" s="14" t="str">
        <f>IF(J2811="","7. Acima de 2 km",IF(J2811&lt;=50,"1. Até 50 m",IF(J2811&lt;=100,"2. De 50 a 100 m",IF(J2811&lt;=200,"3. De 100 a 200 m",IF(J2811&lt;=300,"4. De 200 a 300 m",IF(J2811&lt;=500,"5. De 300 a 500 m","6. De 500 m a 2 km"))))))</f>
        <v>5. De 300 a 500 m</v>
      </c>
      <c r="L2811" s="26" t="n">
        <v>0</v>
      </c>
      <c r="M2811" s="26" t="n">
        <v>0</v>
      </c>
      <c r="N2811" s="26" t="n">
        <v>0</v>
      </c>
      <c r="O2811" s="26" t="n">
        <v>0</v>
      </c>
      <c r="P2811" s="30" t="n">
        <v>-14.1983288</v>
      </c>
      <c r="Q2811" s="30" t="n">
        <v>-39.5364479</v>
      </c>
      <c r="R2811" s="14" t="inlineStr">
        <is>
          <t>RUA HENRIQUE FERREIRA BORGES,122, BAIRRO LOMANTO JÚNIOR, UBATÃ/BAHIA</t>
        </is>
      </c>
      <c r="S2811" s="26">
        <f>IF(A2811=A2810,0,1)</f>
        <v>0</v>
      </c>
      <c r="T2811" s="26">
        <f>IF(COUNTIF($B$4:B2811,B2811)=1,1,0)</f>
        <v>0</v>
      </c>
    </row>
    <row r="2812">
      <c r="A2812" s="14" t="inlineStr">
        <is>
          <t>UBATÃ</t>
        </is>
      </c>
      <c r="B2812" s="26" t="n">
        <v>134</v>
      </c>
      <c r="C2812" s="26" t="n">
        <v>1279</v>
      </c>
      <c r="D2812" s="14" t="inlineStr">
        <is>
          <t>ESCOLA MUNICIPAL JEOVÁ BENJOINO</t>
        </is>
      </c>
      <c r="E2812" s="14" t="inlineStr">
        <is>
          <t>SAO RAIMUNDO</t>
        </is>
      </c>
      <c r="F2812" s="14" t="inlineStr">
        <is>
          <t>RUA IRMÃ DULCE, S/N - SÃO RAIMUNDO - ZONA URBANA</t>
        </is>
      </c>
      <c r="G2812" s="27" t="inlineStr">
        <is>
          <t>45550-000</t>
        </is>
      </c>
      <c r="H2812" s="15" t="n">
        <v>3</v>
      </c>
      <c r="I2812" s="28" t="inlineStr">
        <is>
          <t>NÃO</t>
        </is>
      </c>
      <c r="J2812" s="29" t="n">
        <v>365.5</v>
      </c>
      <c r="K2812" s="14" t="str">
        <f>IF(J2812="","7. Acima de 2 km",IF(J2812&lt;=50,"1. Até 50 m",IF(J2812&lt;=100,"2. De 50 a 100 m",IF(J2812&lt;=200,"3. De 100 a 200 m",IF(J2812&lt;=300,"4. De 200 a 300 m",IF(J2812&lt;=500,"5. De 300 a 500 m","6. De 500 m a 2 km"))))))</f>
        <v>5. De 300 a 500 m</v>
      </c>
      <c r="L2812" s="26" t="n">
        <v>0</v>
      </c>
      <c r="M2812" s="26" t="n">
        <v>0</v>
      </c>
      <c r="N2812" s="26" t="n">
        <v>0</v>
      </c>
      <c r="O2812" s="26" t="n">
        <v>0</v>
      </c>
      <c r="P2812" s="30" t="n">
        <v>-14.2151964</v>
      </c>
      <c r="Q2812" s="30" t="n">
        <v>-39.5273457</v>
      </c>
      <c r="R2812" s="14" t="inlineStr">
        <is>
          <t>RUA HENRIQUE FERREIRA BORGES,122, BAIRRO LOMANTO JÚNIOR, UBATÃ/BAHIA</t>
        </is>
      </c>
      <c r="S2812" s="26">
        <f>IF(A2812=A2811,0,1)</f>
        <v>0</v>
      </c>
      <c r="T2812" s="26">
        <f>IF(COUNTIF($B$4:B2812,B2812)=1,1,0)</f>
        <v>0</v>
      </c>
    </row>
    <row r="2813">
      <c r="A2813" s="14" t="inlineStr">
        <is>
          <t>UBATÃ</t>
        </is>
      </c>
      <c r="B2813" s="26" t="n">
        <v>134</v>
      </c>
      <c r="C2813" s="26" t="n">
        <v>1295</v>
      </c>
      <c r="D2813" s="14" t="inlineStr">
        <is>
          <t>CENTRO COMUNITÁRIO BATISTA</t>
        </is>
      </c>
      <c r="E2813" s="14" t="inlineStr">
        <is>
          <t>RELÍQUIA</t>
        </is>
      </c>
      <c r="F2813" s="14" t="inlineStr">
        <is>
          <t>RUA PEDRO CALMON, 120 - ZONA URBANA</t>
        </is>
      </c>
      <c r="G2813" s="27" t="inlineStr">
        <is>
          <t>45550-000</t>
        </is>
      </c>
      <c r="H2813" s="15" t="n">
        <v>3</v>
      </c>
      <c r="I2813" s="28" t="inlineStr">
        <is>
          <t>NÃO</t>
        </is>
      </c>
      <c r="J2813" s="29" t="n">
        <v>181.9</v>
      </c>
      <c r="K2813" s="14" t="str">
        <f>IF(J2813="","7. Acima de 2 km",IF(J2813&lt;=50,"1. Até 50 m",IF(J2813&lt;=100,"2. De 50 a 100 m",IF(J2813&lt;=200,"3. De 100 a 200 m",IF(J2813&lt;=300,"4. De 200 a 300 m",IF(J2813&lt;=500,"5. De 300 a 500 m","6. De 500 m a 2 km"))))))</f>
        <v>3. De 100 a 200 m</v>
      </c>
      <c r="L2813" s="26" t="n">
        <v>0</v>
      </c>
      <c r="M2813" s="26" t="n">
        <v>0</v>
      </c>
      <c r="N2813" s="26" t="n">
        <v>1</v>
      </c>
      <c r="O2813" s="26" t="n">
        <v>2</v>
      </c>
      <c r="P2813" s="30" t="n">
        <v>-14.2116243</v>
      </c>
      <c r="Q2813" s="30" t="n">
        <v>-39.5205477</v>
      </c>
      <c r="R2813" s="14" t="inlineStr">
        <is>
          <t>RUA HENRIQUE FERREIRA BORGES,122, BAIRRO LOMANTO JÚNIOR, UBATÃ/BAHIA</t>
        </is>
      </c>
      <c r="S2813" s="26">
        <f>IF(A2813=A2812,0,1)</f>
        <v>0</v>
      </c>
      <c r="T2813" s="26">
        <f>IF(COUNTIF($B$4:B2813,B2813)=1,1,0)</f>
        <v>0</v>
      </c>
    </row>
    <row r="2814">
      <c r="A2814" s="14" t="inlineStr">
        <is>
          <t>UBATÃ</t>
        </is>
      </c>
      <c r="B2814" s="26" t="n">
        <v>134</v>
      </c>
      <c r="C2814" s="26" t="n">
        <v>1309</v>
      </c>
      <c r="D2814" s="14" t="inlineStr">
        <is>
          <t>EDUCAÇÃO INFANTIL MARIA ASSUNÇÃO</t>
        </is>
      </c>
      <c r="E2814" s="14" t="inlineStr">
        <is>
          <t>CENTRO</t>
        </is>
      </c>
      <c r="F2814" s="14" t="inlineStr">
        <is>
          <t>RUA CASSIMIRO CONRADO, 99 - ZONA URBANA</t>
        </is>
      </c>
      <c r="G2814" s="27" t="inlineStr">
        <is>
          <t>45550-000</t>
        </is>
      </c>
      <c r="H2814" s="15" t="n">
        <v>3</v>
      </c>
      <c r="I2814" s="28" t="inlineStr">
        <is>
          <t>NÃO</t>
        </is>
      </c>
      <c r="J2814" s="29" t="n">
        <v>217.4</v>
      </c>
      <c r="K2814" s="14" t="str">
        <f>IF(J2814="","7. Acima de 2 km",IF(J2814&lt;=50,"1. Até 50 m",IF(J2814&lt;=100,"2. De 50 a 100 m",IF(J2814&lt;=200,"3. De 100 a 200 m",IF(J2814&lt;=300,"4. De 200 a 300 m",IF(J2814&lt;=500,"5. De 300 a 500 m","6. De 500 m a 2 km"))))))</f>
        <v>4. De 200 a 300 m</v>
      </c>
      <c r="L2814" s="26" t="n">
        <v>0</v>
      </c>
      <c r="M2814" s="26" t="n">
        <v>0</v>
      </c>
      <c r="N2814" s="26" t="n">
        <v>0</v>
      </c>
      <c r="O2814" s="26" t="n">
        <v>2</v>
      </c>
      <c r="P2814" s="30" t="n">
        <v>-14.2170503</v>
      </c>
      <c r="Q2814" s="30" t="n">
        <v>-39.519332</v>
      </c>
      <c r="R2814" s="14" t="inlineStr">
        <is>
          <t>RUA HENRIQUE FERREIRA BORGES,122, BAIRRO LOMANTO JÚNIOR, UBATÃ/BAHIA</t>
        </is>
      </c>
      <c r="S2814" s="26">
        <f>IF(A2814=A2813,0,1)</f>
        <v>0</v>
      </c>
      <c r="T2814" s="26">
        <f>IF(COUNTIF($B$4:B2814,B2814)=1,1,0)</f>
        <v>0</v>
      </c>
    </row>
    <row r="2815">
      <c r="A2815" s="14" t="inlineStr">
        <is>
          <t>VALENÇA</t>
        </is>
      </c>
      <c r="B2815" s="26" t="n">
        <v>31</v>
      </c>
      <c r="C2815" s="26" t="n">
        <v>1015</v>
      </c>
      <c r="D2815" s="14" t="inlineStr">
        <is>
          <t>SECRETARIA MUNICIPAL DE EDUCAÇÃO JOÃO LEONARDO DA SILVA</t>
        </is>
      </c>
      <c r="E2815" s="14" t="inlineStr">
        <is>
          <t>CENTRO</t>
        </is>
      </c>
      <c r="F2815" s="14" t="inlineStr">
        <is>
          <t xml:space="preserve">PRAÇA DOIS DE JULHO S/N </t>
        </is>
      </c>
      <c r="G2815" s="27" t="inlineStr">
        <is>
          <t>45400-000</t>
        </is>
      </c>
      <c r="H2815" s="15" t="n">
        <v>2</v>
      </c>
      <c r="I2815" s="28" t="inlineStr">
        <is>
          <t>NÃO</t>
        </is>
      </c>
      <c r="J2815" s="29" t="n">
        <v>253.5</v>
      </c>
      <c r="K2815" s="14" t="str">
        <f>IF(J2815="","7. Acima de 2 km",IF(J2815&lt;=50,"1. Até 50 m",IF(J2815&lt;=100,"2. De 50 a 100 m",IF(J2815&lt;=200,"3. De 100 a 200 m",IF(J2815&lt;=300,"4. De 200 a 300 m",IF(J2815&lt;=500,"5. De 300 a 500 m","6. De 500 m a 2 km"))))))</f>
        <v>4. De 200 a 300 m</v>
      </c>
      <c r="L2815" s="26" t="n">
        <v>0</v>
      </c>
      <c r="M2815" s="26" t="n">
        <v>0</v>
      </c>
      <c r="N2815" s="26" t="n">
        <v>0</v>
      </c>
      <c r="O2815" s="26" t="n">
        <v>5</v>
      </c>
      <c r="P2815" s="30" t="n">
        <v>-13.3740917</v>
      </c>
      <c r="Q2815" s="30" t="n">
        <v>-39.074855</v>
      </c>
      <c r="R2815" s="14" t="inlineStr">
        <is>
          <t>SECRETARIA MUNICIPAL DE EDUCAÇÃO JOÃO LEONARDO DA SILVA, PRAÇA DOIS DE JULHO S/N- VALENÇA- BAHIA AUDITÓRIO FIDELIS NEGRÃO</t>
        </is>
      </c>
      <c r="S2815" s="26">
        <f>IF(A2815=A2814,0,1)</f>
        <v>1</v>
      </c>
      <c r="T2815" s="26">
        <f>IF(COUNTIF($B$4:B2815,B2815)=1,1,0)</f>
        <v>0</v>
      </c>
    </row>
    <row r="2816">
      <c r="A2816" s="14" t="inlineStr">
        <is>
          <t>VALENÇA</t>
        </is>
      </c>
      <c r="B2816" s="26" t="n">
        <v>31</v>
      </c>
      <c r="C2816" s="26" t="n">
        <v>1031</v>
      </c>
      <c r="D2816" s="14" t="inlineStr">
        <is>
          <t>COLÉGIO MUNICIPAL DR ELÍSIO PIMENTEL MARQUES</t>
        </is>
      </c>
      <c r="E2816" s="14" t="inlineStr">
        <is>
          <t>CENTRO</t>
        </is>
      </c>
      <c r="F2816" s="14" t="inlineStr">
        <is>
          <t>RUA BARÃO DO TRIUNFO, N 82 - ZONA URBANA</t>
        </is>
      </c>
      <c r="G2816" s="27" t="inlineStr">
        <is>
          <t>45420-000</t>
        </is>
      </c>
      <c r="H2816" s="15" t="n">
        <v>7</v>
      </c>
      <c r="I2816" s="28" t="inlineStr">
        <is>
          <t>NÃO</t>
        </is>
      </c>
      <c r="J2816" s="29" t="n">
        <v>148.1</v>
      </c>
      <c r="K2816" s="14" t="str">
        <f>IF(J2816="","7. Acima de 2 km",IF(J2816&lt;=50,"1. Até 50 m",IF(J2816&lt;=100,"2. De 50 a 100 m",IF(J2816&lt;=200,"3. De 100 a 200 m",IF(J2816&lt;=300,"4. De 200 a 300 m",IF(J2816&lt;=500,"5. De 300 a 500 m","6. De 500 m a 2 km"))))))</f>
        <v>3. De 100 a 200 m</v>
      </c>
      <c r="L2816" s="26" t="n">
        <v>0</v>
      </c>
      <c r="M2816" s="26" t="n">
        <v>0</v>
      </c>
      <c r="N2816" s="26" t="n">
        <v>2</v>
      </c>
      <c r="O2816" s="26" t="n">
        <v>5</v>
      </c>
      <c r="P2816" s="30" t="n">
        <v>-13.3745585</v>
      </c>
      <c r="Q2816" s="30" t="n">
        <v>-39.0707125</v>
      </c>
      <c r="R2816" s="14" t="inlineStr">
        <is>
          <t>SECRETARIA MUNICIPAL DE EDUCAÇÃO JOÃO LEONARDO DA SILVA, PRAÇA DOIS DE JULHO S/N- VALENÇA- BAHIA AUDITÓRIO FIDELIS NEGRÃO</t>
        </is>
      </c>
      <c r="S2816" s="26">
        <f>IF(A2816=A2815,0,1)</f>
        <v>0</v>
      </c>
      <c r="T2816" s="26">
        <f>IF(COUNTIF($B$4:B2816,B2816)=1,1,0)</f>
        <v>0</v>
      </c>
    </row>
    <row r="2817">
      <c r="A2817" s="14" t="inlineStr">
        <is>
          <t>VALENÇA</t>
        </is>
      </c>
      <c r="B2817" s="26" t="n">
        <v>31</v>
      </c>
      <c r="C2817" s="26" t="n">
        <v>1082</v>
      </c>
      <c r="D2817" s="14" t="inlineStr">
        <is>
          <t>INSTITUTO FED DE EDUCAÇÃO CIENT E TEC BAIANO-IF-BAIANO (ANTIGA EMARC)</t>
        </is>
      </c>
      <c r="E2817" s="14" t="inlineStr">
        <is>
          <t>BATE QUENTE</t>
        </is>
      </c>
      <c r="F2817" s="14" t="inlineStr">
        <is>
          <t>RUA GLICÉRIO TAVARES, S/N - ZONA URBANA</t>
        </is>
      </c>
      <c r="G2817" s="27" t="inlineStr">
        <is>
          <t>45420-000</t>
        </is>
      </c>
      <c r="H2817" s="15" t="n">
        <v>13</v>
      </c>
      <c r="I2817" s="28" t="inlineStr">
        <is>
          <t>NÃO</t>
        </is>
      </c>
      <c r="J2817" s="29" t="n">
        <v>489</v>
      </c>
      <c r="K2817" s="14" t="str">
        <f>IF(J2817="","7. Acima de 2 km",IF(J2817&lt;=50,"1. Até 50 m",IF(J2817&lt;=100,"2. De 50 a 100 m",IF(J2817&lt;=200,"3. De 100 a 200 m",IF(J2817&lt;=300,"4. De 200 a 300 m",IF(J2817&lt;=500,"5. De 300 a 500 m","6. De 500 m a 2 km"))))))</f>
        <v>5. De 300 a 500 m</v>
      </c>
      <c r="L2817" s="26" t="n">
        <v>0</v>
      </c>
      <c r="M2817" s="26" t="n">
        <v>0</v>
      </c>
      <c r="N2817" s="26" t="n">
        <v>0</v>
      </c>
      <c r="O2817" s="26" t="n">
        <v>0</v>
      </c>
      <c r="P2817" s="30" t="n">
        <v>-13.3736267</v>
      </c>
      <c r="Q2817" s="30" t="n">
        <v>-39.0835583</v>
      </c>
      <c r="R2817" s="14" t="inlineStr">
        <is>
          <t>SECRETARIA MUNICIPAL DE EDUCAÇÃO JOÃO LEONARDO DA SILVA, PRAÇA DOIS DE JULHO S/N- VALENÇA- BAHIA AUDITÓRIO FIDELIS NEGRÃO</t>
        </is>
      </c>
      <c r="S2817" s="26">
        <f>IF(A2817=A2816,0,1)</f>
        <v>0</v>
      </c>
      <c r="T2817" s="26">
        <f>IF(COUNTIF($B$4:B2817,B2817)=1,1,0)</f>
        <v>0</v>
      </c>
    </row>
    <row r="2818">
      <c r="A2818" s="14" t="inlineStr">
        <is>
          <t>VALENÇA</t>
        </is>
      </c>
      <c r="B2818" s="26" t="n">
        <v>31</v>
      </c>
      <c r="C2818" s="26" t="n">
        <v>1112</v>
      </c>
      <c r="D2818" s="14" t="inlineStr">
        <is>
          <t>ESCOLA ESTADUAL DE PRIMEIRO GRAU GETÚLIO VARGAS</t>
        </is>
      </c>
      <c r="E2818" s="14" t="inlineStr">
        <is>
          <t>VILA OPERÁRIA</t>
        </is>
      </c>
      <c r="F2818" s="14" t="inlineStr">
        <is>
          <t>PRAÇA GETÚLIO VARGAS S/N - ZONA URBANA</t>
        </is>
      </c>
      <c r="G2818" s="27" t="inlineStr">
        <is>
          <t>45400-000</t>
        </is>
      </c>
      <c r="H2818" s="15" t="n">
        <v>6</v>
      </c>
      <c r="I2818" s="28" t="inlineStr">
        <is>
          <t>NÃO</t>
        </is>
      </c>
      <c r="J2818" s="29" t="n">
        <v>204.2</v>
      </c>
      <c r="K2818" s="14" t="str">
        <f>IF(J2818="","7. Acima de 2 km",IF(J2818&lt;=50,"1. Até 50 m",IF(J2818&lt;=100,"2. De 50 a 100 m",IF(J2818&lt;=200,"3. De 100 a 200 m",IF(J2818&lt;=300,"4. De 200 a 300 m",IF(J2818&lt;=500,"5. De 300 a 500 m","6. De 500 m a 2 km"))))))</f>
        <v>4. De 200 a 300 m</v>
      </c>
      <c r="L2818" s="26" t="n">
        <v>0</v>
      </c>
      <c r="M2818" s="26" t="n">
        <v>0</v>
      </c>
      <c r="N2818" s="26" t="n">
        <v>0</v>
      </c>
      <c r="O2818" s="26" t="n">
        <v>4</v>
      </c>
      <c r="P2818" s="30" t="n">
        <v>-13.3727191</v>
      </c>
      <c r="Q2818" s="30" t="n">
        <v>-39.0695253</v>
      </c>
      <c r="R2818" s="14" t="inlineStr">
        <is>
          <t>SECRETARIA MUNICIPAL DE EDUCAÇÃO JOÃO LEONARDO DA SILVA, PRAÇA DOIS DE JULHO S/N- VALENÇA- BAHIA AUDITÓRIO FIDELIS NEGRÃO</t>
        </is>
      </c>
      <c r="S2818" s="26">
        <f>IF(A2818=A2817,0,1)</f>
        <v>0</v>
      </c>
      <c r="T2818" s="26">
        <f>IF(COUNTIF($B$4:B2818,B2818)=1,1,0)</f>
        <v>0</v>
      </c>
    </row>
    <row r="2819">
      <c r="A2819" s="14" t="inlineStr">
        <is>
          <t>VALENÇA</t>
        </is>
      </c>
      <c r="B2819" s="26" t="n">
        <v>31</v>
      </c>
      <c r="C2819" s="26" t="n">
        <v>1139</v>
      </c>
      <c r="D2819" s="14" t="inlineStr">
        <is>
          <t>COLÉGIO ESTADUAL GENTIL PARAÍSO MARTINS (ANTIGO COMPLEXO)</t>
        </is>
      </c>
      <c r="E2819" s="14" t="inlineStr">
        <is>
          <t>GRAÇA</t>
        </is>
      </c>
      <c r="F2819" s="14" t="inlineStr">
        <is>
          <t>RUA PROF PEDRO SANCHES 49 - ZONA URBANA</t>
        </is>
      </c>
      <c r="G2819" s="27" t="inlineStr">
        <is>
          <t>45400-000</t>
        </is>
      </c>
      <c r="H2819" s="15" t="n">
        <v>14</v>
      </c>
      <c r="I2819" s="28" t="inlineStr">
        <is>
          <t>NÃO</t>
        </is>
      </c>
      <c r="J2819" s="29" t="n">
        <v>337.4</v>
      </c>
      <c r="K2819" s="14" t="str">
        <f>IF(J2819="","7. Acima de 2 km",IF(J2819&lt;=50,"1. Até 50 m",IF(J2819&lt;=100,"2. De 50 a 100 m",IF(J2819&lt;=200,"3. De 100 a 200 m",IF(J2819&lt;=300,"4. De 200 a 300 m",IF(J2819&lt;=500,"5. De 300 a 500 m","6. De 500 m a 2 km"))))))</f>
        <v>5. De 300 a 500 m</v>
      </c>
      <c r="L2819" s="26" t="n">
        <v>0</v>
      </c>
      <c r="M2819" s="26" t="n">
        <v>0</v>
      </c>
      <c r="N2819" s="26" t="n">
        <v>0</v>
      </c>
      <c r="O2819" s="26" t="n">
        <v>0</v>
      </c>
      <c r="P2819" s="30" t="n">
        <v>-13.3674236</v>
      </c>
      <c r="Q2819" s="30" t="n">
        <v>-39.0671757</v>
      </c>
      <c r="R2819" s="14" t="inlineStr">
        <is>
          <t>SECRETARIA MUNICIPAL DE EDUCAÇÃO JOÃO LEONARDO DA SILVA, PRAÇA DOIS DE JULHO S/N- VALENÇA- BAHIA AUDITÓRIO FIDELIS NEGRÃO</t>
        </is>
      </c>
      <c r="S2819" s="26">
        <f>IF(A2819=A2818,0,1)</f>
        <v>0</v>
      </c>
      <c r="T2819" s="26">
        <f>IF(COUNTIF($B$4:B2819,B2819)=1,1,0)</f>
        <v>0</v>
      </c>
    </row>
    <row r="2820">
      <c r="A2820" s="14" t="inlineStr">
        <is>
          <t>VALENÇA</t>
        </is>
      </c>
      <c r="B2820" s="26" t="n">
        <v>31</v>
      </c>
      <c r="C2820" s="26" t="n">
        <v>1147</v>
      </c>
      <c r="D2820" s="14" t="inlineStr">
        <is>
          <t>INSTITUTO FEDERAL DA BAHIA (ANTIGO CEFET)</t>
        </is>
      </c>
      <c r="E2820" s="14" t="inlineStr">
        <is>
          <t>TENTO</t>
        </is>
      </c>
      <c r="F2820" s="14" t="inlineStr">
        <is>
          <t>RUA VEREADOR ROMEU AGRÁRIO MARTINS, S/N - ZONA URBANA</t>
        </is>
      </c>
      <c r="G2820" s="27" t="inlineStr">
        <is>
          <t>45400-000</t>
        </is>
      </c>
      <c r="H2820" s="15" t="n">
        <v>10</v>
      </c>
      <c r="I2820" s="28" t="inlineStr">
        <is>
          <t>NÃO</t>
        </is>
      </c>
      <c r="J2820" s="29" t="n">
        <v>588.1</v>
      </c>
      <c r="K2820" s="14" t="str">
        <f>IF(J2820="","7. Acima de 2 km",IF(J2820&lt;=50,"1. Até 50 m",IF(J2820&lt;=100,"2. De 50 a 100 m",IF(J2820&lt;=200,"3. De 100 a 200 m",IF(J2820&lt;=300,"4. De 200 a 300 m",IF(J2820&lt;=500,"5. De 300 a 500 m","6. De 500 m a 2 km"))))))</f>
        <v>6. De 500 m a 2 km</v>
      </c>
      <c r="L2820" s="26" t="n">
        <v>0</v>
      </c>
      <c r="M2820" s="26" t="n">
        <v>0</v>
      </c>
      <c r="N2820" s="26" t="n">
        <v>0</v>
      </c>
      <c r="O2820" s="26" t="n">
        <v>0</v>
      </c>
      <c r="P2820" s="30" t="n">
        <v>-13.3724442</v>
      </c>
      <c r="Q2820" s="30" t="n">
        <v>-39.0611733</v>
      </c>
      <c r="R2820" s="14" t="inlineStr">
        <is>
          <t>SECRETARIA MUNICIPAL DE EDUCAÇÃO JOÃO LEONARDO DA SILVA, PRAÇA DOIS DE JULHO S/N- VALENÇA- BAHIA AUDITÓRIO FIDELIS NEGRÃO</t>
        </is>
      </c>
      <c r="S2820" s="26">
        <f>IF(A2820=A2819,0,1)</f>
        <v>0</v>
      </c>
      <c r="T2820" s="26">
        <f>IF(COUNTIF($B$4:B2820,B2820)=1,1,0)</f>
        <v>0</v>
      </c>
    </row>
    <row r="2821">
      <c r="A2821" s="14" t="inlineStr">
        <is>
          <t>VALENÇA</t>
        </is>
      </c>
      <c r="B2821" s="26" t="n">
        <v>31</v>
      </c>
      <c r="C2821" s="26" t="n">
        <v>1163</v>
      </c>
      <c r="D2821" s="14" t="inlineStr">
        <is>
          <t xml:space="preserve">CRECHE ESCOLA CASTELO DE AREIA </t>
        </is>
      </c>
      <c r="E2821" s="14" t="inlineStr">
        <is>
          <t>DISTRITO GUAIBIM</t>
        </is>
      </c>
      <c r="F2821" s="14" t="inlineStr">
        <is>
          <t xml:space="preserve">PRACA SAO JOSÉ 180 - GUAIBIM </t>
        </is>
      </c>
      <c r="G2821" s="27" t="inlineStr">
        <is>
          <t>45400-000</t>
        </is>
      </c>
      <c r="H2821" s="15" t="n">
        <v>3</v>
      </c>
      <c r="I2821" s="28" t="inlineStr">
        <is>
          <t>SIM</t>
        </is>
      </c>
      <c r="J2821" s="29" t="n">
        <v>76</v>
      </c>
      <c r="K2821" s="14" t="str">
        <f>IF(J2821="","7. Acima de 2 km",IF(J2821&lt;=50,"1. Até 50 m",IF(J2821&lt;=100,"2. De 50 a 100 m",IF(J2821&lt;=200,"3. De 100 a 200 m",IF(J2821&lt;=300,"4. De 200 a 300 m",IF(J2821&lt;=500,"5. De 300 a 500 m","6. De 500 m a 2 km"))))))</f>
        <v>2. De 50 a 100 m</v>
      </c>
      <c r="L2821" s="26" t="n">
        <v>0</v>
      </c>
      <c r="M2821" s="26" t="n">
        <v>3</v>
      </c>
      <c r="N2821" s="26" t="n">
        <v>3</v>
      </c>
      <c r="O2821" s="26" t="n">
        <v>3</v>
      </c>
      <c r="P2821" s="30" t="n">
        <v>-13.2880683</v>
      </c>
      <c r="Q2821" s="30" t="n">
        <v>-38.9652119</v>
      </c>
      <c r="R2821" s="14" t="inlineStr">
        <is>
          <t>SECRETARIA MUNICIPAL DE EDUCAÇÃO JOÃO LEONARDO DA SILVA, PRAÇA DOIS DE JULHO S/N- VALENÇA- BAHIA AUDITÓRIO FIDELIS NEGRÃO</t>
        </is>
      </c>
      <c r="S2821" s="26">
        <f>IF(A2821=A2820,0,1)</f>
        <v>0</v>
      </c>
      <c r="T2821" s="26">
        <f>IF(COUNTIF($B$4:B2821,B2821)=1,1,0)</f>
        <v>0</v>
      </c>
    </row>
    <row r="2822">
      <c r="A2822" s="14" t="inlineStr">
        <is>
          <t>VALENÇA</t>
        </is>
      </c>
      <c r="B2822" s="26" t="n">
        <v>31</v>
      </c>
      <c r="C2822" s="26" t="n">
        <v>1180</v>
      </c>
      <c r="D2822" s="14" t="inlineStr">
        <is>
          <t>ESCOLA MUNICIPAL FILOMENA DO LAGO ANDRADE</t>
        </is>
      </c>
      <c r="E2822" s="14" t="inlineStr">
        <is>
          <t>POVOADO VÁRZEA</t>
        </is>
      </c>
      <c r="F2822" s="14" t="inlineStr">
        <is>
          <t>POVOADO VÁRZEA - ZONA RURAL</t>
        </is>
      </c>
      <c r="G2822" s="27" t="inlineStr">
        <is>
          <t>45400-000</t>
        </is>
      </c>
      <c r="H2822" s="15" t="n">
        <v>2</v>
      </c>
      <c r="I2822" s="28" t="inlineStr">
        <is>
          <t>NÃO</t>
        </is>
      </c>
      <c r="J2822" s="29" t="n"/>
      <c r="K2822" s="14" t="str">
        <f>IF(J2822="","7. Acima de 2 km",IF(J2822&lt;=50,"1. Até 50 m",IF(J2822&lt;=100,"2. De 50 a 100 m",IF(J2822&lt;=200,"3. De 100 a 200 m",IF(J2822&lt;=300,"4. De 200 a 300 m",IF(J2822&lt;=500,"5. De 300 a 500 m","6. De 500 m a 2 km"))))))</f>
        <v>7. Acima de 2 km</v>
      </c>
      <c r="L2822" s="26" t="n">
        <v>0</v>
      </c>
      <c r="M2822" s="26" t="n">
        <v>0</v>
      </c>
      <c r="N2822" s="26" t="n">
        <v>0</v>
      </c>
      <c r="O2822" s="26" t="n">
        <v>0</v>
      </c>
      <c r="P2822" s="30" t="n">
        <v>-13.2875595</v>
      </c>
      <c r="Q2822" s="30" t="n">
        <v>-39.372857</v>
      </c>
      <c r="R2822" s="14" t="inlineStr">
        <is>
          <t>SECRETARIA MUNICIPAL DE EDUCAÇÃO JOÃO LEONARDO DA SILVA, PRAÇA DOIS DE JULHO S/N- VALENÇA- BAHIA AUDITÓRIO FIDELIS NEGRÃO</t>
        </is>
      </c>
      <c r="S2822" s="26">
        <f>IF(A2822=A2821,0,1)</f>
        <v>0</v>
      </c>
      <c r="T2822" s="26">
        <f>IF(COUNTIF($B$4:B2822,B2822)=1,1,0)</f>
        <v>0</v>
      </c>
    </row>
    <row r="2823">
      <c r="A2823" s="14" t="inlineStr">
        <is>
          <t>VALENÇA</t>
        </is>
      </c>
      <c r="B2823" s="26" t="n">
        <v>31</v>
      </c>
      <c r="C2823" s="26" t="n">
        <v>1198</v>
      </c>
      <c r="D2823" s="14" t="inlineStr">
        <is>
          <t>ESCOLA MUNICIPAL JOSÉ FARIAS CAMPOS</t>
        </is>
      </c>
      <c r="E2823" s="14" t="inlineStr">
        <is>
          <t>POVOADO ENTRONCAMENTO DE VALENÇA</t>
        </is>
      </c>
      <c r="F2823" s="14" t="inlineStr">
        <is>
          <t>POVOADO ENTRONCAMENTO DE VALENÇA - ZONA RURAL</t>
        </is>
      </c>
      <c r="G2823" s="27" t="inlineStr">
        <is>
          <t>45400-000</t>
        </is>
      </c>
      <c r="H2823" s="15" t="n">
        <v>3</v>
      </c>
      <c r="I2823" s="28" t="inlineStr">
        <is>
          <t>NÃO</t>
        </is>
      </c>
      <c r="J2823" s="29" t="n"/>
      <c r="K2823" s="14" t="str">
        <f>IF(J2823="","7. Acima de 2 km",IF(J2823&lt;=50,"1. Até 50 m",IF(J2823&lt;=100,"2. De 50 a 100 m",IF(J2823&lt;=200,"3. De 100 a 200 m",IF(J2823&lt;=300,"4. De 200 a 300 m",IF(J2823&lt;=500,"5. De 300 a 500 m","6. De 500 m a 2 km"))))))</f>
        <v>7. Acima de 2 km</v>
      </c>
      <c r="L2823" s="26" t="n">
        <v>0</v>
      </c>
      <c r="M2823" s="26" t="n">
        <v>0</v>
      </c>
      <c r="N2823" s="26" t="n">
        <v>0</v>
      </c>
      <c r="O2823" s="26" t="n">
        <v>0</v>
      </c>
      <c r="P2823" s="30" t="n">
        <v>-13.2822952</v>
      </c>
      <c r="Q2823" s="30" t="n">
        <v>-39.3214819</v>
      </c>
      <c r="R2823" s="14" t="inlineStr">
        <is>
          <t>SECRETARIA MUNICIPAL DE EDUCAÇÃO JOÃO LEONARDO DA SILVA, PRAÇA DOIS DE JULHO S/N- VALENÇA- BAHIA AUDITÓRIO FIDELIS NEGRÃO</t>
        </is>
      </c>
      <c r="S2823" s="26">
        <f>IF(A2823=A2822,0,1)</f>
        <v>0</v>
      </c>
      <c r="T2823" s="26">
        <f>IF(COUNTIF($B$4:B2823,B2823)=1,1,0)</f>
        <v>0</v>
      </c>
    </row>
    <row r="2824">
      <c r="A2824" s="14" t="inlineStr">
        <is>
          <t>VALENÇA</t>
        </is>
      </c>
      <c r="B2824" s="26" t="n">
        <v>31</v>
      </c>
      <c r="C2824" s="26" t="n">
        <v>1201</v>
      </c>
      <c r="D2824" s="14" t="inlineStr">
        <is>
          <t>ESCOLA MUNICIPAL MANOEL SANTOS SILVA</t>
        </is>
      </c>
      <c r="E2824" s="14" t="inlineStr">
        <is>
          <t>POVOADO BAIXÃO DO OROBÓ</t>
        </is>
      </c>
      <c r="F2824" s="14" t="inlineStr">
        <is>
          <t>POVOADO BAIXÃO DO OROBÓ - ZONA RURAL</t>
        </is>
      </c>
      <c r="G2824" s="27" t="inlineStr">
        <is>
          <t>45400-000</t>
        </is>
      </c>
      <c r="H2824" s="15" t="n">
        <v>1</v>
      </c>
      <c r="I2824" s="28" t="inlineStr">
        <is>
          <t>SIM</t>
        </is>
      </c>
      <c r="J2824" s="29" t="n">
        <v>78.2</v>
      </c>
      <c r="K2824" s="14" t="str">
        <f>IF(J2824="","7. Acima de 2 km",IF(J2824&lt;=50,"1. Até 50 m",IF(J2824&lt;=100,"2. De 50 a 100 m",IF(J2824&lt;=200,"3. De 100 a 200 m",IF(J2824&lt;=300,"4. De 200 a 300 m",IF(J2824&lt;=500,"5. De 300 a 500 m","6. De 500 m a 2 km"))))))</f>
        <v>2. De 50 a 100 m</v>
      </c>
      <c r="L2824" s="26" t="n">
        <v>0</v>
      </c>
      <c r="M2824" s="26" t="n">
        <v>4</v>
      </c>
      <c r="N2824" s="26" t="n">
        <v>9</v>
      </c>
      <c r="O2824" s="26" t="n">
        <v>12</v>
      </c>
      <c r="P2824" s="30" t="n">
        <v>-13.3714118</v>
      </c>
      <c r="Q2824" s="30" t="n">
        <v>-39.0717244</v>
      </c>
      <c r="R2824" s="14" t="inlineStr">
        <is>
          <t>SECRETARIA MUNICIPAL DE EDUCAÇÃO JOÃO LEONARDO DA SILVA, PRAÇA DOIS DE JULHO S/N- VALENÇA- BAHIA AUDITÓRIO FIDELIS NEGRÃO</t>
        </is>
      </c>
      <c r="S2824" s="26">
        <f>IF(A2824=A2823,0,1)</f>
        <v>0</v>
      </c>
      <c r="T2824" s="26">
        <f>IF(COUNTIF($B$4:B2824,B2824)=1,1,0)</f>
        <v>0</v>
      </c>
    </row>
    <row r="2825">
      <c r="A2825" s="14" t="inlineStr">
        <is>
          <t>VALENÇA</t>
        </is>
      </c>
      <c r="B2825" s="26" t="n">
        <v>31</v>
      </c>
      <c r="C2825" s="26" t="n">
        <v>1252</v>
      </c>
      <c r="D2825" s="14" t="inlineStr">
        <is>
          <t>ESCOLA MUNICIPAL MANOEL MARQUES DE MAGALHÃES</t>
        </is>
      </c>
      <c r="E2825" s="14" t="inlineStr">
        <is>
          <t>CAJAÍBA-MARICOABO</t>
        </is>
      </c>
      <c r="F2825" s="14" t="inlineStr">
        <is>
          <t>RUA SÃO FRANCISCO, S/N - ZONA RURAL</t>
        </is>
      </c>
      <c r="G2825" s="27" t="inlineStr">
        <is>
          <t>45400-000</t>
        </is>
      </c>
      <c r="H2825" s="15" t="n">
        <v>7</v>
      </c>
      <c r="I2825" s="28" t="inlineStr">
        <is>
          <t>NÃO</t>
        </is>
      </c>
      <c r="J2825" s="29" t="n"/>
      <c r="K2825" s="14" t="str">
        <f>IF(J2825="","7. Acima de 2 km",IF(J2825&lt;=50,"1. Até 50 m",IF(J2825&lt;=100,"2. De 50 a 100 m",IF(J2825&lt;=200,"3. De 100 a 200 m",IF(J2825&lt;=300,"4. De 200 a 300 m",IF(J2825&lt;=500,"5. De 300 a 500 m","6. De 500 m a 2 km"))))))</f>
        <v>7. Acima de 2 km</v>
      </c>
      <c r="L2825" s="26" t="n">
        <v>0</v>
      </c>
      <c r="M2825" s="26" t="n">
        <v>0</v>
      </c>
      <c r="N2825" s="26" t="n">
        <v>0</v>
      </c>
      <c r="O2825" s="26" t="n">
        <v>0</v>
      </c>
      <c r="P2825" s="30" t="n">
        <v>-13.4467417</v>
      </c>
      <c r="Q2825" s="30" t="n">
        <v>-39.082835</v>
      </c>
      <c r="R2825" s="14" t="inlineStr">
        <is>
          <t>SECRETARIA MUNICIPAL DE EDUCAÇÃO JOÃO LEONARDO DA SILVA, PRAÇA DOIS DE JULHO S/N- VALENÇA- BAHIA AUDITÓRIO FIDELIS NEGRÃO</t>
        </is>
      </c>
      <c r="S2825" s="26">
        <f>IF(A2825=A2824,0,1)</f>
        <v>0</v>
      </c>
      <c r="T2825" s="26">
        <f>IF(COUNTIF($B$4:B2825,B2825)=1,1,0)</f>
        <v>0</v>
      </c>
    </row>
    <row r="2826">
      <c r="A2826" s="14" t="inlineStr">
        <is>
          <t>VALENÇA</t>
        </is>
      </c>
      <c r="B2826" s="26" t="n">
        <v>31</v>
      </c>
      <c r="C2826" s="26" t="n">
        <v>1279</v>
      </c>
      <c r="D2826" s="14" t="inlineStr">
        <is>
          <t xml:space="preserve">ESCOLA MUNICIPAL NECIVALDO XAVIER SILVA </t>
        </is>
      </c>
      <c r="E2826" s="14" t="inlineStr">
        <is>
          <t>POVOADO GRACIOSA</t>
        </is>
      </c>
      <c r="F2826" s="14" t="inlineStr">
        <is>
          <t>POVOADO GRACIOSA - ZONA RURAL</t>
        </is>
      </c>
      <c r="G2826" s="27" t="inlineStr">
        <is>
          <t>45400-000</t>
        </is>
      </c>
      <c r="H2826" s="15" t="n">
        <v>2</v>
      </c>
      <c r="I2826" s="28" t="inlineStr">
        <is>
          <t>NÃO</t>
        </is>
      </c>
      <c r="J2826" s="29" t="n"/>
      <c r="K2826" s="14" t="str">
        <f>IF(J2826="","7. Acima de 2 km",IF(J2826&lt;=50,"1. Até 50 m",IF(J2826&lt;=100,"2. De 50 a 100 m",IF(J2826&lt;=200,"3. De 100 a 200 m",IF(J2826&lt;=300,"4. De 200 a 300 m",IF(J2826&lt;=500,"5. De 300 a 500 m","6. De 500 m a 2 km"))))))</f>
        <v>7. Acima de 2 km</v>
      </c>
      <c r="L2826" s="26" t="n">
        <v>0</v>
      </c>
      <c r="M2826" s="26" t="n">
        <v>0</v>
      </c>
      <c r="N2826" s="26" t="n">
        <v>0</v>
      </c>
      <c r="O2826" s="26" t="n">
        <v>0</v>
      </c>
      <c r="P2826" s="30" t="n">
        <v>-13.3402453</v>
      </c>
      <c r="Q2826" s="30" t="n">
        <v>-39.2182627</v>
      </c>
      <c r="R2826" s="14" t="inlineStr">
        <is>
          <t>SECRETARIA MUNICIPAL DE EDUCAÇÃO JOÃO LEONARDO DA SILVA, PRAÇA DOIS DE JULHO S/N- VALENÇA- BAHIA AUDITÓRIO FIDELIS NEGRÃO</t>
        </is>
      </c>
      <c r="S2826" s="26">
        <f>IF(A2826=A2825,0,1)</f>
        <v>0</v>
      </c>
      <c r="T2826" s="26">
        <f>IF(COUNTIF($B$4:B2826,B2826)=1,1,0)</f>
        <v>0</v>
      </c>
    </row>
    <row r="2827">
      <c r="A2827" s="14" t="inlineStr">
        <is>
          <t>VALENÇA</t>
        </is>
      </c>
      <c r="B2827" s="26" t="n">
        <v>31</v>
      </c>
      <c r="C2827" s="26" t="n">
        <v>1287</v>
      </c>
      <c r="D2827" s="14" t="inlineStr">
        <is>
          <t>ESCOLA MUNICIPAL PASTOR ANIEL COSTA</t>
        </is>
      </c>
      <c r="E2827" s="14" t="inlineStr">
        <is>
          <t>POVOADO PARANÁ-OROBÓ</t>
        </is>
      </c>
      <c r="F2827" s="14" t="inlineStr">
        <is>
          <t>POVOADO PARANÁ-OROBÓ - ZONA RURAL</t>
        </is>
      </c>
      <c r="G2827" s="27" t="inlineStr">
        <is>
          <t>45400-000</t>
        </is>
      </c>
      <c r="H2827" s="15" t="n">
        <v>2</v>
      </c>
      <c r="I2827" s="28" t="inlineStr">
        <is>
          <t>NÃO</t>
        </is>
      </c>
      <c r="J2827" s="29" t="n"/>
      <c r="K2827" s="14" t="str">
        <f>IF(J2827="","7. Acima de 2 km",IF(J2827&lt;=50,"1. Até 50 m",IF(J2827&lt;=100,"2. De 50 a 100 m",IF(J2827&lt;=200,"3. De 100 a 200 m",IF(J2827&lt;=300,"4. De 200 a 300 m",IF(J2827&lt;=500,"5. De 300 a 500 m","6. De 500 m a 2 km"))))))</f>
        <v>7. Acima de 2 km</v>
      </c>
      <c r="L2827" s="26" t="n">
        <v>0</v>
      </c>
      <c r="M2827" s="26" t="n">
        <v>0</v>
      </c>
      <c r="N2827" s="26" t="n">
        <v>0</v>
      </c>
      <c r="O2827" s="26" t="n">
        <v>0</v>
      </c>
      <c r="P2827" s="30" t="n">
        <v>-13.41561</v>
      </c>
      <c r="Q2827" s="30" t="n">
        <v>-39.218805</v>
      </c>
      <c r="R2827" s="14" t="inlineStr">
        <is>
          <t>SECRETARIA MUNICIPAL DE EDUCAÇÃO JOÃO LEONARDO DA SILVA, PRAÇA DOIS DE JULHO S/N- VALENÇA- BAHIA AUDITÓRIO FIDELIS NEGRÃO</t>
        </is>
      </c>
      <c r="S2827" s="26">
        <f>IF(A2827=A2826,0,1)</f>
        <v>0</v>
      </c>
      <c r="T2827" s="26">
        <f>IF(COUNTIF($B$4:B2827,B2827)=1,1,0)</f>
        <v>0</v>
      </c>
    </row>
    <row r="2828">
      <c r="A2828" s="14" t="inlineStr">
        <is>
          <t>VALENÇA</t>
        </is>
      </c>
      <c r="B2828" s="26" t="n">
        <v>31</v>
      </c>
      <c r="C2828" s="26" t="n">
        <v>1295</v>
      </c>
      <c r="D2828" s="14" t="inlineStr">
        <is>
          <t>ESCOLA MUNICIPAL ATALIBA PEREIRA LACERDA</t>
        </is>
      </c>
      <c r="E2828" s="14" t="inlineStr">
        <is>
          <t>POVOADO SARAPUÍ</t>
        </is>
      </c>
      <c r="F2828" s="14" t="inlineStr">
        <is>
          <t>POVOADO SARAPUÍ - ZONA RURAL</t>
        </is>
      </c>
      <c r="G2828" s="27" t="inlineStr">
        <is>
          <t>45400-000</t>
        </is>
      </c>
      <c r="H2828" s="15" t="n">
        <v>2</v>
      </c>
      <c r="I2828" s="28" t="inlineStr">
        <is>
          <t>NÃO</t>
        </is>
      </c>
      <c r="J2828" s="29" t="n"/>
      <c r="K2828" s="14" t="str">
        <f>IF(J2828="","7. Acima de 2 km",IF(J2828&lt;=50,"1. Até 50 m",IF(J2828&lt;=100,"2. De 50 a 100 m",IF(J2828&lt;=200,"3. De 100 a 200 m",IF(J2828&lt;=300,"4. De 200 a 300 m",IF(J2828&lt;=500,"5. De 300 a 500 m","6. De 500 m a 2 km"))))))</f>
        <v>7. Acima de 2 km</v>
      </c>
      <c r="L2828" s="26" t="n">
        <v>0</v>
      </c>
      <c r="M2828" s="26" t="n">
        <v>0</v>
      </c>
      <c r="N2828" s="26" t="n">
        <v>0</v>
      </c>
      <c r="O2828" s="26" t="n">
        <v>0</v>
      </c>
      <c r="P2828" s="30" t="n">
        <v>-13.47128</v>
      </c>
      <c r="Q2828" s="30" t="n">
        <v>-39.1236583</v>
      </c>
      <c r="R2828" s="14" t="inlineStr">
        <is>
          <t>SECRETARIA MUNICIPAL DE EDUCAÇÃO JOÃO LEONARDO DA SILVA, PRAÇA DOIS DE JULHO S/N- VALENÇA- BAHIA AUDITÓRIO FIDELIS NEGRÃO</t>
        </is>
      </c>
      <c r="S2828" s="26">
        <f>IF(A2828=A2827,0,1)</f>
        <v>0</v>
      </c>
      <c r="T2828" s="26">
        <f>IF(COUNTIF($B$4:B2828,B2828)=1,1,0)</f>
        <v>0</v>
      </c>
    </row>
    <row r="2829">
      <c r="A2829" s="14" t="inlineStr">
        <is>
          <t>VALENÇA</t>
        </is>
      </c>
      <c r="B2829" s="26" t="n">
        <v>31</v>
      </c>
      <c r="C2829" s="26" t="n">
        <v>1325</v>
      </c>
      <c r="D2829" s="14" t="inlineStr">
        <is>
          <t>ESCOLA MUNICIPAL DE SERRA GRANDE</t>
        </is>
      </c>
      <c r="E2829" s="14" t="inlineStr">
        <is>
          <t>DISTRITO SERRA GRANDE</t>
        </is>
      </c>
      <c r="F2829" s="14" t="inlineStr">
        <is>
          <t>RUA PRINCIPAL S/N - ZONA RURAL</t>
        </is>
      </c>
      <c r="G2829" s="27" t="inlineStr">
        <is>
          <t>45400-000</t>
        </is>
      </c>
      <c r="H2829" s="15" t="n">
        <v>7</v>
      </c>
      <c r="I2829" s="28" t="inlineStr">
        <is>
          <t>NÃO</t>
        </is>
      </c>
      <c r="J2829" s="29" t="n"/>
      <c r="K2829" s="14" t="str">
        <f>IF(J2829="","7. Acima de 2 km",IF(J2829&lt;=50,"1. Até 50 m",IF(J2829&lt;=100,"2. De 50 a 100 m",IF(J2829&lt;=200,"3. De 100 a 200 m",IF(J2829&lt;=300,"4. De 200 a 300 m",IF(J2829&lt;=500,"5. De 300 a 500 m","6. De 500 m a 2 km"))))))</f>
        <v>7. Acima de 2 km</v>
      </c>
      <c r="L2829" s="26" t="n">
        <v>0</v>
      </c>
      <c r="M2829" s="26" t="n">
        <v>0</v>
      </c>
      <c r="N2829" s="26" t="n">
        <v>0</v>
      </c>
      <c r="O2829" s="26" t="n">
        <v>0</v>
      </c>
      <c r="P2829" s="30" t="n">
        <v>-13.312615</v>
      </c>
      <c r="Q2829" s="30" t="n">
        <v>-39.4493433</v>
      </c>
      <c r="R2829" s="14" t="inlineStr">
        <is>
          <t>SECRETARIA MUNICIPAL DE EDUCAÇÃO JOÃO LEONARDO DA SILVA, PRAÇA DOIS DE JULHO S/N- VALENÇA- BAHIA AUDITÓRIO FIDELIS NEGRÃO</t>
        </is>
      </c>
      <c r="S2829" s="26">
        <f>IF(A2829=A2828,0,1)</f>
        <v>0</v>
      </c>
      <c r="T2829" s="26">
        <f>IF(COUNTIF($B$4:B2829,B2829)=1,1,0)</f>
        <v>0</v>
      </c>
    </row>
    <row r="2830">
      <c r="A2830" s="14" t="inlineStr">
        <is>
          <t>VALENÇA</t>
        </is>
      </c>
      <c r="B2830" s="26" t="n">
        <v>31</v>
      </c>
      <c r="C2830" s="26" t="n">
        <v>1341</v>
      </c>
      <c r="D2830" s="14" t="inlineStr">
        <is>
          <t>ESCOLA ESTADUAL DE PRIMEIRO GRAU ERALDO TINOCO</t>
        </is>
      </c>
      <c r="E2830" s="14" t="inlineStr">
        <is>
          <t>BOLÍVIA</t>
        </is>
      </c>
      <c r="F2830" s="14" t="inlineStr">
        <is>
          <t>LOTEAMENTO ERALDO TINOCO S/N - ZONA URBANA</t>
        </is>
      </c>
      <c r="G2830" s="27" t="inlineStr">
        <is>
          <t>45400-000</t>
        </is>
      </c>
      <c r="H2830" s="15" t="n">
        <v>6</v>
      </c>
      <c r="I2830" s="28" t="inlineStr">
        <is>
          <t>NÃO</t>
        </is>
      </c>
      <c r="J2830" s="29" t="n">
        <v>143.6</v>
      </c>
      <c r="K2830" s="14" t="str">
        <f>IF(J2830="","7. Acima de 2 km",IF(J2830&lt;=50,"1. Até 50 m",IF(J2830&lt;=100,"2. De 50 a 100 m",IF(J2830&lt;=200,"3. De 100 a 200 m",IF(J2830&lt;=300,"4. De 200 a 300 m",IF(J2830&lt;=500,"5. De 300 a 500 m","6. De 500 m a 2 km"))))))</f>
        <v>3. De 100 a 200 m</v>
      </c>
      <c r="L2830" s="26" t="n">
        <v>0</v>
      </c>
      <c r="M2830" s="26" t="n">
        <v>0</v>
      </c>
      <c r="N2830" s="26" t="n">
        <v>1</v>
      </c>
      <c r="O2830" s="26" t="n">
        <v>1</v>
      </c>
      <c r="P2830" s="30" t="n">
        <v>-13.3780284</v>
      </c>
      <c r="Q2830" s="30" t="n">
        <v>-39.0684231</v>
      </c>
      <c r="R2830" s="14" t="inlineStr">
        <is>
          <t>SECRETARIA MUNICIPAL DE EDUCAÇÃO JOÃO LEONARDO DA SILVA, PRAÇA DOIS DE JULHO S/N- VALENÇA- BAHIA AUDITÓRIO FIDELIS NEGRÃO</t>
        </is>
      </c>
      <c r="S2830" s="26">
        <f>IF(A2830=A2829,0,1)</f>
        <v>0</v>
      </c>
      <c r="T2830" s="26">
        <f>IF(COUNTIF($B$4:B2830,B2830)=1,1,0)</f>
        <v>0</v>
      </c>
    </row>
    <row r="2831">
      <c r="A2831" s="14" t="inlineStr">
        <is>
          <t>VALENÇA</t>
        </is>
      </c>
      <c r="B2831" s="26" t="n">
        <v>31</v>
      </c>
      <c r="C2831" s="26" t="n">
        <v>1350</v>
      </c>
      <c r="D2831" s="14" t="inlineStr">
        <is>
          <t>CENTRO ESTADUAL EDUCAÇÃO PROF E SAÚDE DO L BAIANO-CEEP(ANTIGO COESVA)</t>
        </is>
      </c>
      <c r="E2831" s="14" t="inlineStr">
        <is>
          <t>BOLÍVIA</t>
        </is>
      </c>
      <c r="F2831" s="14" t="inlineStr">
        <is>
          <t>RUA FLORESTAL, 01 - ZONA URBANA</t>
        </is>
      </c>
      <c r="G2831" s="27" t="inlineStr">
        <is>
          <t>45400-000</t>
        </is>
      </c>
      <c r="H2831" s="15" t="n">
        <v>13</v>
      </c>
      <c r="I2831" s="28" t="inlineStr">
        <is>
          <t>SIM</t>
        </is>
      </c>
      <c r="J2831" s="29" t="n">
        <v>72.90000000000001</v>
      </c>
      <c r="K2831" s="14" t="str">
        <f>IF(J2831="","7. Acima de 2 km",IF(J2831&lt;=50,"1. Até 50 m",IF(J2831&lt;=100,"2. De 50 a 100 m",IF(J2831&lt;=200,"3. De 100 a 200 m",IF(J2831&lt;=300,"4. De 200 a 300 m",IF(J2831&lt;=500,"5. De 300 a 500 m","6. De 500 m a 2 km"))))))</f>
        <v>2. De 50 a 100 m</v>
      </c>
      <c r="L2831" s="26" t="n">
        <v>0</v>
      </c>
      <c r="M2831" s="26" t="n">
        <v>1</v>
      </c>
      <c r="N2831" s="26" t="n">
        <v>1</v>
      </c>
      <c r="O2831" s="26" t="n">
        <v>1</v>
      </c>
      <c r="P2831" s="30" t="n">
        <v>-13.3768483</v>
      </c>
      <c r="Q2831" s="30" t="n">
        <v>-39.0673717</v>
      </c>
      <c r="R2831" s="14" t="inlineStr">
        <is>
          <t>SECRETARIA MUNICIPAL DE EDUCAÇÃO JOÃO LEONARDO DA SILVA, PRAÇA DOIS DE JULHO S/N- VALENÇA- BAHIA AUDITÓRIO FIDELIS NEGRÃO</t>
        </is>
      </c>
      <c r="S2831" s="26">
        <f>IF(A2831=A2830,0,1)</f>
        <v>0</v>
      </c>
      <c r="T2831" s="26">
        <f>IF(COUNTIF($B$4:B2831,B2831)=1,1,0)</f>
        <v>0</v>
      </c>
    </row>
    <row r="2832">
      <c r="A2832" s="14" t="inlineStr">
        <is>
          <t>VALENÇA</t>
        </is>
      </c>
      <c r="B2832" s="26" t="n">
        <v>31</v>
      </c>
      <c r="C2832" s="26" t="n">
        <v>1368</v>
      </c>
      <c r="D2832" s="14" t="inlineStr">
        <is>
          <t>ESCOLA COMUNITÁRIA MUNICIPAL DO JAMBEIRO</t>
        </is>
      </c>
      <c r="E2832" s="14" t="inlineStr">
        <is>
          <t>JAMBEIRO</t>
        </is>
      </c>
      <c r="F2832" s="14" t="inlineStr">
        <is>
          <t>RUA DO JAMBEIRO S/N - ZONA URBANA</t>
        </is>
      </c>
      <c r="G2832" s="27" t="inlineStr">
        <is>
          <t>45400-000</t>
        </is>
      </c>
      <c r="H2832" s="15" t="n">
        <v>4</v>
      </c>
      <c r="I2832" s="28" t="inlineStr">
        <is>
          <t>NÃO</t>
        </is>
      </c>
      <c r="J2832" s="29" t="n">
        <v>648.8</v>
      </c>
      <c r="K2832" s="14" t="str">
        <f>IF(J2832="","7. Acima de 2 km",IF(J2832&lt;=50,"1. Até 50 m",IF(J2832&lt;=100,"2. De 50 a 100 m",IF(J2832&lt;=200,"3. De 100 a 200 m",IF(J2832&lt;=300,"4. De 200 a 300 m",IF(J2832&lt;=500,"5. De 300 a 500 m","6. De 500 m a 2 km"))))))</f>
        <v>6. De 500 m a 2 km</v>
      </c>
      <c r="L2832" s="26" t="n">
        <v>0</v>
      </c>
      <c r="M2832" s="26" t="n">
        <v>0</v>
      </c>
      <c r="N2832" s="26" t="n">
        <v>0</v>
      </c>
      <c r="O2832" s="26" t="n">
        <v>0</v>
      </c>
      <c r="P2832" s="30" t="n">
        <v>-13.3663283</v>
      </c>
      <c r="Q2832" s="30" t="n">
        <v>-39.0880183</v>
      </c>
      <c r="R2832" s="14" t="inlineStr">
        <is>
          <t>SECRETARIA MUNICIPAL DE EDUCAÇÃO JOÃO LEONARDO DA SILVA, PRAÇA DOIS DE JULHO S/N- VALENÇA- BAHIA AUDITÓRIO FIDELIS NEGRÃO</t>
        </is>
      </c>
      <c r="S2832" s="26">
        <f>IF(A2832=A2831,0,1)</f>
        <v>0</v>
      </c>
      <c r="T2832" s="26">
        <f>IF(COUNTIF($B$4:B2832,B2832)=1,1,0)</f>
        <v>0</v>
      </c>
    </row>
    <row r="2833">
      <c r="A2833" s="14" t="inlineStr">
        <is>
          <t>VALENÇA</t>
        </is>
      </c>
      <c r="B2833" s="26" t="n">
        <v>31</v>
      </c>
      <c r="C2833" s="26" t="n">
        <v>1384</v>
      </c>
      <c r="D2833" s="14" t="inlineStr">
        <is>
          <t>UNIVERSIDADE DO ESTADO DA BAHIA (UNEB), CAMPUS XV</t>
        </is>
      </c>
      <c r="E2833" s="14" t="inlineStr">
        <is>
          <t>NOVO HORIZONTE</t>
        </is>
      </c>
      <c r="F2833" s="14" t="inlineStr">
        <is>
          <t>RUA PARQUE BOULEVARD, S/N - ZONA URBANA</t>
        </is>
      </c>
      <c r="G2833" s="27" t="inlineStr">
        <is>
          <t>45400-000</t>
        </is>
      </c>
      <c r="H2833" s="15" t="n">
        <v>13</v>
      </c>
      <c r="I2833" s="28" t="inlineStr">
        <is>
          <t>NÃO</t>
        </is>
      </c>
      <c r="J2833" s="29" t="n">
        <v>498.3</v>
      </c>
      <c r="K2833" s="14" t="str">
        <f>IF(J2833="","7. Acima de 2 km",IF(J2833&lt;=50,"1. Até 50 m",IF(J2833&lt;=100,"2. De 50 a 100 m",IF(J2833&lt;=200,"3. De 100 a 200 m",IF(J2833&lt;=300,"4. De 200 a 300 m",IF(J2833&lt;=500,"5. De 300 a 500 m","6. De 500 m a 2 km"))))))</f>
        <v>5. De 300 a 500 m</v>
      </c>
      <c r="L2833" s="26" t="n">
        <v>0</v>
      </c>
      <c r="M2833" s="26" t="n">
        <v>0</v>
      </c>
      <c r="N2833" s="26" t="n">
        <v>0</v>
      </c>
      <c r="O2833" s="26" t="n">
        <v>0</v>
      </c>
      <c r="P2833" s="30" t="n">
        <v>-13.3478947</v>
      </c>
      <c r="Q2833" s="30" t="n">
        <v>-39.0570384</v>
      </c>
      <c r="R2833" s="14" t="inlineStr">
        <is>
          <t>SECRETARIA MUNICIPAL DE EDUCAÇÃO JOÃO LEONARDO DA SILVA, PRAÇA DOIS DE JULHO S/N- VALENÇA- BAHIA AUDITÓRIO FIDELIS NEGRÃO</t>
        </is>
      </c>
      <c r="S2833" s="26">
        <f>IF(A2833=A2832,0,1)</f>
        <v>0</v>
      </c>
      <c r="T2833" s="26">
        <f>IF(COUNTIF($B$4:B2833,B2833)=1,1,0)</f>
        <v>0</v>
      </c>
    </row>
    <row r="2834">
      <c r="A2834" s="14" t="inlineStr">
        <is>
          <t>VALENÇA</t>
        </is>
      </c>
      <c r="B2834" s="26" t="n">
        <v>31</v>
      </c>
      <c r="C2834" s="26" t="n">
        <v>1392</v>
      </c>
      <c r="D2834" s="14" t="inlineStr">
        <is>
          <t>ESCOLA MUNICIPAL MINISTRO JARBAS PASSARINHO</t>
        </is>
      </c>
      <c r="E2834" s="14" t="inlineStr">
        <is>
          <t>ALTO DE SAO ROQUE</t>
        </is>
      </c>
      <c r="F2834" s="14" t="inlineStr">
        <is>
          <t>RUA ALTO DE SÃO ROQUE S/N - ZONA URBANA</t>
        </is>
      </c>
      <c r="G2834" s="27" t="inlineStr">
        <is>
          <t>45400-000</t>
        </is>
      </c>
      <c r="H2834" s="15" t="n">
        <v>3</v>
      </c>
      <c r="I2834" s="28" t="inlineStr">
        <is>
          <t>NÃO</t>
        </is>
      </c>
      <c r="J2834" s="29" t="n">
        <v>340.6</v>
      </c>
      <c r="K2834" s="14" t="str">
        <f>IF(J2834="","7. Acima de 2 km",IF(J2834&lt;=50,"1. Até 50 m",IF(J2834&lt;=100,"2. De 50 a 100 m",IF(J2834&lt;=200,"3. De 100 a 200 m",IF(J2834&lt;=300,"4. De 200 a 300 m",IF(J2834&lt;=500,"5. De 300 a 500 m","6. De 500 m a 2 km"))))))</f>
        <v>5. De 300 a 500 m</v>
      </c>
      <c r="L2834" s="26" t="n">
        <v>0</v>
      </c>
      <c r="M2834" s="26" t="n">
        <v>0</v>
      </c>
      <c r="N2834" s="26" t="n">
        <v>0</v>
      </c>
      <c r="O2834" s="26" t="n">
        <v>0</v>
      </c>
      <c r="P2834" s="30" t="n">
        <v>-13.3753603</v>
      </c>
      <c r="Q2834" s="30" t="n">
        <v>-39.0648045</v>
      </c>
      <c r="R2834" s="14" t="inlineStr">
        <is>
          <t>SECRETARIA MUNICIPAL DE EDUCAÇÃO JOÃO LEONARDO DA SILVA, PRAÇA DOIS DE JULHO S/N- VALENÇA- BAHIA AUDITÓRIO FIDELIS NEGRÃO</t>
        </is>
      </c>
      <c r="S2834" s="26">
        <f>IF(A2834=A2833,0,1)</f>
        <v>0</v>
      </c>
      <c r="T2834" s="26">
        <f>IF(COUNTIF($B$4:B2834,B2834)=1,1,0)</f>
        <v>0</v>
      </c>
    </row>
    <row r="2835">
      <c r="A2835" s="14" t="inlineStr">
        <is>
          <t>VALENÇA</t>
        </is>
      </c>
      <c r="B2835" s="26" t="n">
        <v>31</v>
      </c>
      <c r="C2835" s="26" t="n">
        <v>1406</v>
      </c>
      <c r="D2835" s="14" t="inlineStr">
        <is>
          <t>COLÉGIO ESTADUAL BERNARDO BISPO DOS SANTOS</t>
        </is>
      </c>
      <c r="E2835" s="14" t="inlineStr">
        <is>
          <t>POVOADO JEQUIRIÇÁ</t>
        </is>
      </c>
      <c r="F2835" s="14" t="inlineStr">
        <is>
          <t>FAZENDA CASA VERDE 2 - ZONA RURAL - JEQUIRIÇA</t>
        </is>
      </c>
      <c r="G2835" s="27" t="inlineStr">
        <is>
          <t>45400-000</t>
        </is>
      </c>
      <c r="H2835" s="15" t="n">
        <v>4</v>
      </c>
      <c r="I2835" s="28" t="inlineStr">
        <is>
          <t>NÃO</t>
        </is>
      </c>
      <c r="J2835" s="29" t="n"/>
      <c r="K2835" s="14" t="str">
        <f>IF(J2835="","7. Acima de 2 km",IF(J2835&lt;=50,"1. Até 50 m",IF(J2835&lt;=100,"2. De 50 a 100 m",IF(J2835&lt;=200,"3. De 100 a 200 m",IF(J2835&lt;=300,"4. De 200 a 300 m",IF(J2835&lt;=500,"5. De 300 a 500 m","6. De 500 m a 2 km"))))))</f>
        <v>7. Acima de 2 km</v>
      </c>
      <c r="L2835" s="26" t="n">
        <v>0</v>
      </c>
      <c r="M2835" s="26" t="n">
        <v>0</v>
      </c>
      <c r="N2835" s="26" t="n">
        <v>0</v>
      </c>
      <c r="O2835" s="26" t="n">
        <v>0</v>
      </c>
      <c r="P2835" s="30" t="n">
        <v>-13.2879183</v>
      </c>
      <c r="Q2835" s="30" t="n">
        <v>-39.1157467</v>
      </c>
      <c r="R2835" s="14" t="inlineStr">
        <is>
          <t>SECRETARIA MUNICIPAL DE EDUCAÇÃO JOÃO LEONARDO DA SILVA, PRAÇA DOIS DE JULHO S/N- VALENÇA- BAHIA AUDITÓRIO FIDELIS NEGRÃO</t>
        </is>
      </c>
      <c r="S2835" s="26">
        <f>IF(A2835=A2834,0,1)</f>
        <v>0</v>
      </c>
      <c r="T2835" s="26">
        <f>IF(COUNTIF($B$4:B2835,B2835)=1,1,0)</f>
        <v>0</v>
      </c>
    </row>
    <row r="2836">
      <c r="A2836" s="14" t="inlineStr">
        <is>
          <t>VALENÇA</t>
        </is>
      </c>
      <c r="B2836" s="26" t="n">
        <v>31</v>
      </c>
      <c r="C2836" s="26" t="n">
        <v>1422</v>
      </c>
      <c r="D2836" s="14" t="inlineStr">
        <is>
          <t>ESCOLA MUNICIPAL REINALDO MAGALHÃES TAVARES</t>
        </is>
      </c>
      <c r="E2836" s="14" t="inlineStr">
        <is>
          <t>POVOADO LAGOA DOURADA</t>
        </is>
      </c>
      <c r="F2836" s="14" t="inlineStr">
        <is>
          <t>FAZENDA LAGOA DOURADA - ZONA RURAL</t>
        </is>
      </c>
      <c r="G2836" s="27" t="inlineStr">
        <is>
          <t>45400-000</t>
        </is>
      </c>
      <c r="H2836" s="15" t="n">
        <v>4</v>
      </c>
      <c r="I2836" s="28" t="inlineStr">
        <is>
          <t>NÃO</t>
        </is>
      </c>
      <c r="J2836" s="29" t="n"/>
      <c r="K2836" s="14" t="str">
        <f>IF(J2836="","7. Acima de 2 km",IF(J2836&lt;=50,"1. Até 50 m",IF(J2836&lt;=100,"2. De 50 a 100 m",IF(J2836&lt;=200,"3. De 100 a 200 m",IF(J2836&lt;=300,"4. De 200 a 300 m",IF(J2836&lt;=500,"5. De 300 a 500 m","6. De 500 m a 2 km"))))))</f>
        <v>7. Acima de 2 km</v>
      </c>
      <c r="L2836" s="26" t="n">
        <v>0</v>
      </c>
      <c r="M2836" s="26" t="n">
        <v>0</v>
      </c>
      <c r="N2836" s="26" t="n">
        <v>0</v>
      </c>
      <c r="O2836" s="26" t="n">
        <v>0</v>
      </c>
      <c r="P2836" s="30" t="n">
        <v>-13.3356491</v>
      </c>
      <c r="Q2836" s="30" t="n">
        <v>-39.1847462</v>
      </c>
      <c r="R2836" s="14" t="inlineStr">
        <is>
          <t>SECRETARIA MUNICIPAL DE EDUCAÇÃO JOÃO LEONARDO DA SILVA, PRAÇA DOIS DE JULHO S/N- VALENÇA- BAHIA AUDITÓRIO FIDELIS NEGRÃO</t>
        </is>
      </c>
      <c r="S2836" s="26">
        <f>IF(A2836=A2835,0,1)</f>
        <v>0</v>
      </c>
      <c r="T2836" s="26">
        <f>IF(COUNTIF($B$4:B2836,B2836)=1,1,0)</f>
        <v>0</v>
      </c>
    </row>
    <row r="2837">
      <c r="A2837" s="14" t="inlineStr">
        <is>
          <t>VALENÇA</t>
        </is>
      </c>
      <c r="B2837" s="26" t="n">
        <v>31</v>
      </c>
      <c r="C2837" s="26" t="n">
        <v>1449</v>
      </c>
      <c r="D2837" s="14" t="inlineStr">
        <is>
          <t>COLÉGIO ESTADUAL ONILDO RAIMUNDO DE CRISTO (COL. EST. DO PARANÁ-OROBÓ)</t>
        </is>
      </c>
      <c r="E2837" s="14" t="inlineStr">
        <is>
          <t>POVOADO PARANÁ-OROBÓ</t>
        </is>
      </c>
      <c r="F2837" s="14" t="inlineStr">
        <is>
          <t>LOTEAMENTO SÃO JOSÉ, BAIRRO DA GIA - ZONA RURAL</t>
        </is>
      </c>
      <c r="G2837" s="27" t="inlineStr">
        <is>
          <t>45420-000</t>
        </is>
      </c>
      <c r="H2837" s="15" t="n">
        <v>4</v>
      </c>
      <c r="I2837" s="28" t="inlineStr">
        <is>
          <t>NÃO</t>
        </is>
      </c>
      <c r="J2837" s="29" t="n"/>
      <c r="K2837" s="14" t="str">
        <f>IF(J2837="","7. Acima de 2 km",IF(J2837&lt;=50,"1. Até 50 m",IF(J2837&lt;=100,"2. De 50 a 100 m",IF(J2837&lt;=200,"3. De 100 a 200 m",IF(J2837&lt;=300,"4. De 200 a 300 m",IF(J2837&lt;=500,"5. De 300 a 500 m","6. De 500 m a 2 km"))))))</f>
        <v>7. Acima de 2 km</v>
      </c>
      <c r="L2837" s="26" t="n">
        <v>0</v>
      </c>
      <c r="M2837" s="26" t="n">
        <v>0</v>
      </c>
      <c r="N2837" s="26" t="n">
        <v>0</v>
      </c>
      <c r="O2837" s="26" t="n">
        <v>0</v>
      </c>
      <c r="P2837" s="30" t="n">
        <v>-13.435545</v>
      </c>
      <c r="Q2837" s="30" t="n">
        <v>-39.2178633</v>
      </c>
      <c r="R2837" s="14" t="inlineStr">
        <is>
          <t>SECRETARIA MUNICIPAL DE EDUCAÇÃO JOÃO LEONARDO DA SILVA, PRAÇA DOIS DE JULHO S/N- VALENÇA- BAHIA AUDITÓRIO FIDELIS NEGRÃO</t>
        </is>
      </c>
      <c r="S2837" s="26">
        <f>IF(A2837=A2836,0,1)</f>
        <v>0</v>
      </c>
      <c r="T2837" s="26">
        <f>IF(COUNTIF($B$4:B2837,B2837)=1,1,0)</f>
        <v>0</v>
      </c>
    </row>
    <row r="2838">
      <c r="A2838" s="14" t="inlineStr">
        <is>
          <t>VALENÇA</t>
        </is>
      </c>
      <c r="B2838" s="26" t="n">
        <v>31</v>
      </c>
      <c r="C2838" s="26" t="n">
        <v>1457</v>
      </c>
      <c r="D2838" s="14" t="inlineStr">
        <is>
          <t>ESCOLA MUNICIPAL ASSOCIAÇÃO DOS MORADORES UNIDOS DO TARIMBA</t>
        </is>
      </c>
      <c r="E2838" s="14" t="inlineStr">
        <is>
          <t>POVOADO TARIMBA-OROBÓ</t>
        </is>
      </c>
      <c r="F2838" s="14" t="inlineStr">
        <is>
          <t>POVOADO TARIMBA-OROBÓ - ZONA RURAL</t>
        </is>
      </c>
      <c r="G2838" s="27" t="inlineStr">
        <is>
          <t>45400-000</t>
        </is>
      </c>
      <c r="H2838" s="15" t="n">
        <v>2</v>
      </c>
      <c r="I2838" s="28" t="inlineStr">
        <is>
          <t>NÃO</t>
        </is>
      </c>
      <c r="J2838" s="29" t="n"/>
      <c r="K2838" s="14" t="str">
        <f>IF(J2838="","7. Acima de 2 km",IF(J2838&lt;=50,"1. Até 50 m",IF(J2838&lt;=100,"2. De 50 a 100 m",IF(J2838&lt;=200,"3. De 100 a 200 m",IF(J2838&lt;=300,"4. De 200 a 300 m",IF(J2838&lt;=500,"5. De 300 a 500 m","6. De 500 m a 2 km"))))))</f>
        <v>7. Acima de 2 km</v>
      </c>
      <c r="L2838" s="26" t="n">
        <v>0</v>
      </c>
      <c r="M2838" s="26" t="n">
        <v>0</v>
      </c>
      <c r="N2838" s="26" t="n">
        <v>0</v>
      </c>
      <c r="O2838" s="26" t="n">
        <v>0</v>
      </c>
      <c r="P2838" s="30" t="n">
        <v>-13.3633767</v>
      </c>
      <c r="Q2838" s="30" t="n">
        <v>-39.13734</v>
      </c>
      <c r="R2838" s="14" t="inlineStr">
        <is>
          <t>SECRETARIA MUNICIPAL DE EDUCAÇÃO JOÃO LEONARDO DA SILVA, PRAÇA DOIS DE JULHO S/N- VALENÇA- BAHIA AUDITÓRIO FIDELIS NEGRÃO</t>
        </is>
      </c>
      <c r="S2838" s="26">
        <f>IF(A2838=A2837,0,1)</f>
        <v>0</v>
      </c>
      <c r="T2838" s="26">
        <f>IF(COUNTIF($B$4:B2838,B2838)=1,1,0)</f>
        <v>0</v>
      </c>
    </row>
    <row r="2839">
      <c r="A2839" s="14" t="inlineStr">
        <is>
          <t>VALENÇA</t>
        </is>
      </c>
      <c r="B2839" s="26" t="n">
        <v>31</v>
      </c>
      <c r="C2839" s="26" t="n">
        <v>1465</v>
      </c>
      <c r="D2839" s="14" t="inlineStr">
        <is>
          <t>ESCOLA MUNICIPAL PROFESSORA ADACY DA SILVA RABELO</t>
        </is>
      </c>
      <c r="E2839" s="14" t="inlineStr">
        <is>
          <t>POVOADO SIDE-OROBÓ</t>
        </is>
      </c>
      <c r="F2839" s="14" t="inlineStr">
        <is>
          <t>POVOADO SIDE-OROBÓ - ZONA RURAL</t>
        </is>
      </c>
      <c r="G2839" s="27" t="inlineStr">
        <is>
          <t>45400-000</t>
        </is>
      </c>
      <c r="H2839" s="15" t="n">
        <v>2</v>
      </c>
      <c r="I2839" s="28" t="inlineStr">
        <is>
          <t>NÃO</t>
        </is>
      </c>
      <c r="J2839" s="29" t="n"/>
      <c r="K2839" s="14" t="str">
        <f>IF(J2839="","7. Acima de 2 km",IF(J2839&lt;=50,"1. Até 50 m",IF(J2839&lt;=100,"2. De 50 a 100 m",IF(J2839&lt;=200,"3. De 100 a 200 m",IF(J2839&lt;=300,"4. De 200 a 300 m",IF(J2839&lt;=500,"5. De 300 a 500 m","6. De 500 m a 2 km"))))))</f>
        <v>7. Acima de 2 km</v>
      </c>
      <c r="L2839" s="26" t="n">
        <v>0</v>
      </c>
      <c r="M2839" s="26" t="n">
        <v>0</v>
      </c>
      <c r="N2839" s="26" t="n">
        <v>0</v>
      </c>
      <c r="O2839" s="26" t="n">
        <v>0</v>
      </c>
      <c r="P2839" s="30" t="n">
        <v>-13.3633812</v>
      </c>
      <c r="Q2839" s="30" t="n">
        <v>-39.1375606</v>
      </c>
      <c r="R2839" s="14" t="inlineStr">
        <is>
          <t>SECRETARIA MUNICIPAL DE EDUCAÇÃO JOÃO LEONARDO DA SILVA, PRAÇA DOIS DE JULHO S/N- VALENÇA- BAHIA AUDITÓRIO FIDELIS NEGRÃO</t>
        </is>
      </c>
      <c r="S2839" s="26">
        <f>IF(A2839=A2838,0,1)</f>
        <v>0</v>
      </c>
      <c r="T2839" s="26">
        <f>IF(COUNTIF($B$4:B2839,B2839)=1,1,0)</f>
        <v>0</v>
      </c>
    </row>
    <row r="2840">
      <c r="A2840" s="14" t="inlineStr">
        <is>
          <t>VALENÇA</t>
        </is>
      </c>
      <c r="B2840" s="26" t="n">
        <v>31</v>
      </c>
      <c r="C2840" s="26" t="n">
        <v>1473</v>
      </c>
      <c r="D2840" s="14" t="inlineStr">
        <is>
          <t>ESCOLA MUNICIPAL MANOEL TOMÉ DE SOUSA</t>
        </is>
      </c>
      <c r="E2840" s="14" t="inlineStr">
        <is>
          <t>POVOADO ENTRONCAMENTO DE VALENÇA</t>
        </is>
      </c>
      <c r="F2840" s="14" t="inlineStr">
        <is>
          <t>PRAÇA MANOEL TOMÉ DE SOUSA - ZONA RURAL</t>
        </is>
      </c>
      <c r="G2840" s="27" t="inlineStr">
        <is>
          <t>45420-000</t>
        </is>
      </c>
      <c r="H2840" s="15" t="n">
        <v>4</v>
      </c>
      <c r="I2840" s="28" t="inlineStr">
        <is>
          <t>NÃO</t>
        </is>
      </c>
      <c r="J2840" s="29" t="n"/>
      <c r="K2840" s="14" t="str">
        <f>IF(J2840="","7. Acima de 2 km",IF(J2840&lt;=50,"1. Até 50 m",IF(J2840&lt;=100,"2. De 50 a 100 m",IF(J2840&lt;=200,"3. De 100 a 200 m",IF(J2840&lt;=300,"4. De 200 a 300 m",IF(J2840&lt;=500,"5. De 300 a 500 m","6. De 500 m a 2 km"))))))</f>
        <v>7. Acima de 2 km</v>
      </c>
      <c r="L2840" s="26" t="n">
        <v>0</v>
      </c>
      <c r="M2840" s="26" t="n">
        <v>0</v>
      </c>
      <c r="N2840" s="26" t="n">
        <v>0</v>
      </c>
      <c r="O2840" s="26" t="n">
        <v>0</v>
      </c>
      <c r="P2840" s="30" t="n">
        <v>-13.2839185</v>
      </c>
      <c r="Q2840" s="30" t="n">
        <v>-39.3224443</v>
      </c>
      <c r="R2840" s="14" t="inlineStr">
        <is>
          <t>SECRETARIA MUNICIPAL DE EDUCAÇÃO JOÃO LEONARDO DA SILVA, PRAÇA DOIS DE JULHO S/N- VALENÇA- BAHIA AUDITÓRIO FIDELIS NEGRÃO</t>
        </is>
      </c>
      <c r="S2840" s="26">
        <f>IF(A2840=A2839,0,1)</f>
        <v>0</v>
      </c>
      <c r="T2840" s="26">
        <f>IF(COUNTIF($B$4:B2840,B2840)=1,1,0)</f>
        <v>0</v>
      </c>
    </row>
    <row r="2841">
      <c r="A2841" s="14" t="inlineStr">
        <is>
          <t>VALENÇA</t>
        </is>
      </c>
      <c r="B2841" s="26" t="n">
        <v>31</v>
      </c>
      <c r="C2841" s="26" t="n">
        <v>1490</v>
      </c>
      <c r="D2841" s="14" t="inlineStr">
        <is>
          <t>ESCOLA MUNICIPAL LUIZ GÓES TELES</t>
        </is>
      </c>
      <c r="E2841" s="14" t="inlineStr">
        <is>
          <t>POVOADO CAPELA DE SÃO JOSÉ</t>
        </is>
      </c>
      <c r="F2841" s="14" t="inlineStr">
        <is>
          <t>POVOADO CAPELA DE SÃO JOSÉ - ZONA RURAL</t>
        </is>
      </c>
      <c r="G2841" s="27" t="inlineStr">
        <is>
          <t>45400-000</t>
        </is>
      </c>
      <c r="H2841" s="15" t="n">
        <v>1</v>
      </c>
      <c r="I2841" s="28" t="inlineStr">
        <is>
          <t>NÃO</t>
        </is>
      </c>
      <c r="J2841" s="29" t="n"/>
      <c r="K2841" s="14" t="str">
        <f>IF(J2841="","7. Acima de 2 km",IF(J2841&lt;=50,"1. Até 50 m",IF(J2841&lt;=100,"2. De 50 a 100 m",IF(J2841&lt;=200,"3. De 100 a 200 m",IF(J2841&lt;=300,"4. De 200 a 300 m",IF(J2841&lt;=500,"5. De 300 a 500 m","6. De 500 m a 2 km"))))))</f>
        <v>7. Acima de 2 km</v>
      </c>
      <c r="L2841" s="26" t="n">
        <v>0</v>
      </c>
      <c r="M2841" s="26" t="n">
        <v>0</v>
      </c>
      <c r="N2841" s="26" t="n">
        <v>0</v>
      </c>
      <c r="O2841" s="26" t="n">
        <v>0</v>
      </c>
      <c r="P2841" s="30" t="n">
        <v>-13.4916868</v>
      </c>
      <c r="Q2841" s="30" t="n">
        <v>-39.2226623</v>
      </c>
      <c r="R2841" s="14" t="inlineStr">
        <is>
          <t>SECRETARIA MUNICIPAL DE EDUCAÇÃO JOÃO LEONARDO DA SILVA, PRAÇA DOIS DE JULHO S/N- VALENÇA- BAHIA AUDITÓRIO FIDELIS NEGRÃO</t>
        </is>
      </c>
      <c r="S2841" s="26">
        <f>IF(A2841=A2840,0,1)</f>
        <v>0</v>
      </c>
      <c r="T2841" s="26">
        <f>IF(COUNTIF($B$4:B2841,B2841)=1,1,0)</f>
        <v>0</v>
      </c>
    </row>
    <row r="2842">
      <c r="A2842" s="14" t="inlineStr">
        <is>
          <t>VALENÇA</t>
        </is>
      </c>
      <c r="B2842" s="26" t="n">
        <v>31</v>
      </c>
      <c r="C2842" s="26" t="n">
        <v>1511</v>
      </c>
      <c r="D2842" s="14" t="inlineStr">
        <is>
          <t>COLÉGIO ESTADUAL HERMÍNIO MANOEL DE JESUS (COLÉGIO ESTADUAL DO BONFIM)</t>
        </is>
      </c>
      <c r="E2842" s="14" t="inlineStr">
        <is>
          <t>POVOADO BONFIM</t>
        </is>
      </c>
      <c r="F2842" s="14" t="inlineStr">
        <is>
          <t>POVOADO BONFIM - ZONA RURAL</t>
        </is>
      </c>
      <c r="G2842" s="27" t="inlineStr">
        <is>
          <t>45420-000</t>
        </is>
      </c>
      <c r="H2842" s="15" t="n">
        <v>6</v>
      </c>
      <c r="I2842" s="28" t="inlineStr">
        <is>
          <t>NÃO</t>
        </is>
      </c>
      <c r="J2842" s="29" t="n"/>
      <c r="K2842" s="14" t="str">
        <f>IF(J2842="","7. Acima de 2 km",IF(J2842&lt;=50,"1. Até 50 m",IF(J2842&lt;=100,"2. De 50 a 100 m",IF(J2842&lt;=200,"3. De 100 a 200 m",IF(J2842&lt;=300,"4. De 200 a 300 m",IF(J2842&lt;=500,"5. De 300 a 500 m","6. De 500 m a 2 km"))))))</f>
        <v>7. Acima de 2 km</v>
      </c>
      <c r="L2842" s="26" t="n">
        <v>0</v>
      </c>
      <c r="M2842" s="26" t="n">
        <v>0</v>
      </c>
      <c r="N2842" s="26" t="n">
        <v>0</v>
      </c>
      <c r="O2842" s="26" t="n">
        <v>0</v>
      </c>
      <c r="P2842" s="30" t="n">
        <v>-13.3214985</v>
      </c>
      <c r="Q2842" s="30" t="n">
        <v>-39.237473</v>
      </c>
      <c r="R2842" s="14" t="inlineStr">
        <is>
          <t>SECRETARIA MUNICIPAL DE EDUCAÇÃO JOÃO LEONARDO DA SILVA, PRAÇA DOIS DE JULHO S/N- VALENÇA- BAHIA AUDITÓRIO FIDELIS NEGRÃO</t>
        </is>
      </c>
      <c r="S2842" s="26">
        <f>IF(A2842=A2841,0,1)</f>
        <v>0</v>
      </c>
      <c r="T2842" s="26">
        <f>IF(COUNTIF($B$4:B2842,B2842)=1,1,0)</f>
        <v>0</v>
      </c>
    </row>
    <row r="2843">
      <c r="A2843" s="14" t="inlineStr">
        <is>
          <t>VALENÇA</t>
        </is>
      </c>
      <c r="B2843" s="26" t="n">
        <v>31</v>
      </c>
      <c r="C2843" s="26" t="n">
        <v>1554</v>
      </c>
      <c r="D2843" s="14" t="inlineStr">
        <is>
          <t>ESCOLA MUNICIPAL AUGUSTA MESSIAS GUIMARÃES</t>
        </is>
      </c>
      <c r="E2843" s="14" t="inlineStr">
        <is>
          <t>URBIS I</t>
        </is>
      </c>
      <c r="F2843" s="14" t="inlineStr">
        <is>
          <t>RUA A S/N CONJUNTO HABITACIONAL URBIS I - ZONA URBANA</t>
        </is>
      </c>
      <c r="G2843" s="27" t="inlineStr">
        <is>
          <t>45400-000</t>
        </is>
      </c>
      <c r="H2843" s="15" t="n">
        <v>7</v>
      </c>
      <c r="I2843" s="28" t="inlineStr">
        <is>
          <t>NÃO</t>
        </is>
      </c>
      <c r="J2843" s="29" t="n">
        <v>325.5</v>
      </c>
      <c r="K2843" s="14" t="str">
        <f>IF(J2843="","7. Acima de 2 km",IF(J2843&lt;=50,"1. Até 50 m",IF(J2843&lt;=100,"2. De 50 a 100 m",IF(J2843&lt;=200,"3. De 100 a 200 m",IF(J2843&lt;=300,"4. De 200 a 300 m",IF(J2843&lt;=500,"5. De 300 a 500 m","6. De 500 m a 2 km"))))))</f>
        <v>5. De 300 a 500 m</v>
      </c>
      <c r="L2843" s="26" t="n">
        <v>0</v>
      </c>
      <c r="M2843" s="26" t="n">
        <v>0</v>
      </c>
      <c r="N2843" s="26" t="n">
        <v>0</v>
      </c>
      <c r="O2843" s="26" t="n">
        <v>0</v>
      </c>
      <c r="P2843" s="30" t="n">
        <v>-13.3605433</v>
      </c>
      <c r="Q2843" s="30" t="n">
        <v>-39.0703533</v>
      </c>
      <c r="R2843" s="14" t="inlineStr">
        <is>
          <t>SECRETARIA MUNICIPAL DE EDUCAÇÃO JOÃO LEONARDO DA SILVA, PRAÇA DOIS DE JULHO S/N- VALENÇA- BAHIA AUDITÓRIO FIDELIS NEGRÃO</t>
        </is>
      </c>
      <c r="S2843" s="26">
        <f>IF(A2843=A2842,0,1)</f>
        <v>0</v>
      </c>
      <c r="T2843" s="26">
        <f>IF(COUNTIF($B$4:B2843,B2843)=1,1,0)</f>
        <v>0</v>
      </c>
    </row>
    <row r="2844">
      <c r="A2844" s="14" t="inlineStr">
        <is>
          <t>VALENÇA</t>
        </is>
      </c>
      <c r="B2844" s="26" t="n">
        <v>31</v>
      </c>
      <c r="C2844" s="26" t="n">
        <v>1562</v>
      </c>
      <c r="D2844" s="14" t="inlineStr">
        <is>
          <t>ESCOLA MUNICIPAL FRANCISCO JACINTO DE ARAÚJO</t>
        </is>
      </c>
      <c r="E2844" s="14" t="inlineStr">
        <is>
          <t>POVOADO TERRA PRETA</t>
        </is>
      </c>
      <c r="F2844" s="14" t="inlineStr">
        <is>
          <t>POVOADO TERRA PRETA, S/N - ZONA RURAL</t>
        </is>
      </c>
      <c r="G2844" s="27" t="inlineStr">
        <is>
          <t>45400-000</t>
        </is>
      </c>
      <c r="H2844" s="15" t="n">
        <v>1</v>
      </c>
      <c r="I2844" s="28" t="inlineStr">
        <is>
          <t>NÃO</t>
        </is>
      </c>
      <c r="J2844" s="29" t="n"/>
      <c r="K2844" s="14" t="str">
        <f>IF(J2844="","7. Acima de 2 km",IF(J2844&lt;=50,"1. Até 50 m",IF(J2844&lt;=100,"2. De 50 a 100 m",IF(J2844&lt;=200,"3. De 100 a 200 m",IF(J2844&lt;=300,"4. De 200 a 300 m",IF(J2844&lt;=500,"5. De 300 a 500 m","6. De 500 m a 2 km"))))))</f>
        <v>7. Acima de 2 km</v>
      </c>
      <c r="L2844" s="26" t="n">
        <v>0</v>
      </c>
      <c r="M2844" s="26" t="n">
        <v>0</v>
      </c>
      <c r="N2844" s="26" t="n">
        <v>0</v>
      </c>
      <c r="O2844" s="26" t="n">
        <v>0</v>
      </c>
      <c r="P2844" s="30" t="n">
        <v>-13.27038</v>
      </c>
      <c r="Q2844" s="30" t="n">
        <v>-39.3782885</v>
      </c>
      <c r="R2844" s="14" t="inlineStr">
        <is>
          <t>SECRETARIA MUNICIPAL DE EDUCAÇÃO JOÃO LEONARDO DA SILVA, PRAÇA DOIS DE JULHO S/N- VALENÇA- BAHIA AUDITÓRIO FIDELIS NEGRÃO</t>
        </is>
      </c>
      <c r="S2844" s="26">
        <f>IF(A2844=A2843,0,1)</f>
        <v>0</v>
      </c>
      <c r="T2844" s="26">
        <f>IF(COUNTIF($B$4:B2844,B2844)=1,1,0)</f>
        <v>0</v>
      </c>
    </row>
    <row r="2845">
      <c r="A2845" s="14" t="inlineStr">
        <is>
          <t>VALENÇA</t>
        </is>
      </c>
      <c r="B2845" s="26" t="n">
        <v>31</v>
      </c>
      <c r="C2845" s="26" t="n">
        <v>1589</v>
      </c>
      <c r="D2845" s="14" t="inlineStr">
        <is>
          <t>ESCOLA MUNICIPAL LÁZARO ROMANO PINTO</t>
        </is>
      </c>
      <c r="E2845" s="14" t="inlineStr">
        <is>
          <t>POVOADO RIO VERMELHO</t>
        </is>
      </c>
      <c r="F2845" s="14" t="inlineStr">
        <is>
          <t>POVOADO RIO VERMELHO - ZONA RURAL</t>
        </is>
      </c>
      <c r="G2845" s="27" t="inlineStr">
        <is>
          <t>45400-000</t>
        </is>
      </c>
      <c r="H2845" s="15" t="n">
        <v>1</v>
      </c>
      <c r="I2845" s="28" t="inlineStr">
        <is>
          <t>NÃO</t>
        </is>
      </c>
      <c r="J2845" s="29" t="n"/>
      <c r="K2845" s="14" t="str">
        <f>IF(J2845="","7. Acima de 2 km",IF(J2845&lt;=50,"1. Até 50 m",IF(J2845&lt;=100,"2. De 50 a 100 m",IF(J2845&lt;=200,"3. De 100 a 200 m",IF(J2845&lt;=300,"4. De 200 a 300 m",IF(J2845&lt;=500,"5. De 300 a 500 m","6. De 500 m a 2 km"))))))</f>
        <v>7. Acima de 2 km</v>
      </c>
      <c r="L2845" s="26" t="n">
        <v>0</v>
      </c>
      <c r="M2845" s="26" t="n">
        <v>0</v>
      </c>
      <c r="N2845" s="26" t="n">
        <v>0</v>
      </c>
      <c r="O2845" s="26" t="n">
        <v>0</v>
      </c>
      <c r="P2845" s="30" t="n">
        <v>-13.4663299</v>
      </c>
      <c r="Q2845" s="30" t="n">
        <v>-39.2202859</v>
      </c>
      <c r="R2845" s="14" t="inlineStr">
        <is>
          <t>SECRETARIA MUNICIPAL DE EDUCAÇÃO JOÃO LEONARDO DA SILVA, PRAÇA DOIS DE JULHO S/N- VALENÇA- BAHIA AUDITÓRIO FIDELIS NEGRÃO</t>
        </is>
      </c>
      <c r="S2845" s="26">
        <f>IF(A2845=A2844,0,1)</f>
        <v>0</v>
      </c>
      <c r="T2845" s="26">
        <f>IF(COUNTIF($B$4:B2845,B2845)=1,1,0)</f>
        <v>0</v>
      </c>
    </row>
    <row r="2846">
      <c r="A2846" s="14" t="inlineStr">
        <is>
          <t>VALENÇA</t>
        </is>
      </c>
      <c r="B2846" s="26" t="n">
        <v>31</v>
      </c>
      <c r="C2846" s="26" t="n">
        <v>1635</v>
      </c>
      <c r="D2846" s="14" t="inlineStr">
        <is>
          <t>ESCOLA MUNICIPAL LEONEL LÚCIO DE FARIAS</t>
        </is>
      </c>
      <c r="E2846" s="14" t="inlineStr">
        <is>
          <t>POVOADO BAIXÃO DA VÁRZEA</t>
        </is>
      </c>
      <c r="F2846" s="14" t="inlineStr">
        <is>
          <t>POVOADO BAIXÃO DA VÁRZEA - ZONA RURAL</t>
        </is>
      </c>
      <c r="G2846" s="27" t="inlineStr">
        <is>
          <t>45400-000</t>
        </is>
      </c>
      <c r="H2846" s="15" t="n">
        <v>1</v>
      </c>
      <c r="I2846" s="28" t="inlineStr">
        <is>
          <t>NÃO</t>
        </is>
      </c>
      <c r="J2846" s="29" t="n"/>
      <c r="K2846" s="14" t="str">
        <f>IF(J2846="","7. Acima de 2 km",IF(J2846&lt;=50,"1. Até 50 m",IF(J2846&lt;=100,"2. De 50 a 100 m",IF(J2846&lt;=200,"3. De 100 a 200 m",IF(J2846&lt;=300,"4. De 200 a 300 m",IF(J2846&lt;=500,"5. De 300 a 500 m","6. De 500 m a 2 km"))))))</f>
        <v>7. Acima de 2 km</v>
      </c>
      <c r="L2846" s="26" t="n">
        <v>0</v>
      </c>
      <c r="M2846" s="26" t="n">
        <v>0</v>
      </c>
      <c r="N2846" s="26" t="n">
        <v>0</v>
      </c>
      <c r="O2846" s="26" t="n">
        <v>0</v>
      </c>
      <c r="P2846" s="30" t="n">
        <v>-13.258815</v>
      </c>
      <c r="Q2846" s="30" t="n">
        <v>-39.4170117</v>
      </c>
      <c r="R2846" s="14" t="inlineStr">
        <is>
          <t>SECRETARIA MUNICIPAL DE EDUCAÇÃO JOÃO LEONARDO DA SILVA, PRAÇA DOIS DE JULHO S/N- VALENÇA- BAHIA AUDITÓRIO FIDELIS NEGRÃO</t>
        </is>
      </c>
      <c r="S2846" s="26">
        <f>IF(A2846=A2845,0,1)</f>
        <v>0</v>
      </c>
      <c r="T2846" s="26">
        <f>IF(COUNTIF($B$4:B2846,B2846)=1,1,0)</f>
        <v>0</v>
      </c>
    </row>
    <row r="2847">
      <c r="A2847" s="14" t="inlineStr">
        <is>
          <t>VALENÇA</t>
        </is>
      </c>
      <c r="B2847" s="26" t="n">
        <v>31</v>
      </c>
      <c r="C2847" s="26" t="n">
        <v>1643</v>
      </c>
      <c r="D2847" s="14" t="inlineStr">
        <is>
          <t>ESCOLA MUNICIPAL NOVA TRAVESSÃO DO OROBÓ II</t>
        </is>
      </c>
      <c r="E2847" s="14" t="inlineStr">
        <is>
          <t>DISTRITO DE CANTA GALO</t>
        </is>
      </c>
      <c r="F2847" s="14" t="inlineStr">
        <is>
          <t>FAZENDA CANTA GALO - ZONA RURAL</t>
        </is>
      </c>
      <c r="G2847" s="27" t="inlineStr">
        <is>
          <t>45420-000</t>
        </is>
      </c>
      <c r="H2847" s="15" t="n">
        <v>1</v>
      </c>
      <c r="I2847" s="28" t="inlineStr">
        <is>
          <t>NÃO</t>
        </is>
      </c>
      <c r="J2847" s="29" t="n"/>
      <c r="K2847" s="14" t="str">
        <f>IF(J2847="","7. Acima de 2 km",IF(J2847&lt;=50,"1. Até 50 m",IF(J2847&lt;=100,"2. De 50 a 100 m",IF(J2847&lt;=200,"3. De 100 a 200 m",IF(J2847&lt;=300,"4. De 200 a 300 m",IF(J2847&lt;=500,"5. De 300 a 500 m","6. De 500 m a 2 km"))))))</f>
        <v>7. Acima de 2 km</v>
      </c>
      <c r="L2847" s="26" t="n">
        <v>0</v>
      </c>
      <c r="M2847" s="26" t="n">
        <v>0</v>
      </c>
      <c r="N2847" s="26" t="n">
        <v>0</v>
      </c>
      <c r="O2847" s="26" t="n">
        <v>0</v>
      </c>
      <c r="P2847" s="30" t="n">
        <v>-13.4427786</v>
      </c>
      <c r="Q2847" s="30" t="n">
        <v>-39.3103683</v>
      </c>
      <c r="R2847" s="14" t="inlineStr">
        <is>
          <t>SECRETARIA MUNICIPAL DE EDUCAÇÃO JOÃO LEONARDO DA SILVA, PRAÇA DOIS DE JULHO S/N- VALENÇA- BAHIA AUDITÓRIO FIDELIS NEGRÃO</t>
        </is>
      </c>
      <c r="S2847" s="26">
        <f>IF(A2847=A2846,0,1)</f>
        <v>0</v>
      </c>
      <c r="T2847" s="26">
        <f>IF(COUNTIF($B$4:B2847,B2847)=1,1,0)</f>
        <v>0</v>
      </c>
    </row>
    <row r="2848">
      <c r="A2848" s="14" t="inlineStr">
        <is>
          <t>VALENÇA</t>
        </is>
      </c>
      <c r="B2848" s="26" t="n">
        <v>31</v>
      </c>
      <c r="C2848" s="26" t="n">
        <v>1651</v>
      </c>
      <c r="D2848" s="14" t="inlineStr">
        <is>
          <t>ESCOLA MUNICIPAL JOÃO TEODORO DO NASCIMENTO</t>
        </is>
      </c>
      <c r="E2848" s="14" t="inlineStr">
        <is>
          <t>POVOADO QUEBRA MACHADO</t>
        </is>
      </c>
      <c r="F2848" s="14" t="inlineStr">
        <is>
          <t>POVOADO QUEBRA MACHADO - ZONA RURAL</t>
        </is>
      </c>
      <c r="G2848" s="27" t="inlineStr">
        <is>
          <t>45400-000</t>
        </is>
      </c>
      <c r="H2848" s="15" t="n">
        <v>1</v>
      </c>
      <c r="I2848" s="28" t="inlineStr">
        <is>
          <t>NÃO</t>
        </is>
      </c>
      <c r="J2848" s="29" t="n"/>
      <c r="K2848" s="14" t="str">
        <f>IF(J2848="","7. Acima de 2 km",IF(J2848&lt;=50,"1. Até 50 m",IF(J2848&lt;=100,"2. De 50 a 100 m",IF(J2848&lt;=200,"3. De 100 a 200 m",IF(J2848&lt;=300,"4. De 200 a 300 m",IF(J2848&lt;=500,"5. De 300 a 500 m","6. De 500 m a 2 km"))))))</f>
        <v>7. Acima de 2 km</v>
      </c>
      <c r="L2848" s="26" t="n">
        <v>0</v>
      </c>
      <c r="M2848" s="26" t="n">
        <v>0</v>
      </c>
      <c r="N2848" s="26" t="n">
        <v>0</v>
      </c>
      <c r="O2848" s="26" t="n">
        <v>0</v>
      </c>
      <c r="P2848" s="30" t="n">
        <v>-13.261565</v>
      </c>
      <c r="Q2848" s="30" t="n">
        <v>-39.190765</v>
      </c>
      <c r="R2848" s="14" t="inlineStr">
        <is>
          <t>SECRETARIA MUNICIPAL DE EDUCAÇÃO JOÃO LEONARDO DA SILVA, PRAÇA DOIS DE JULHO S/N- VALENÇA- BAHIA AUDITÓRIO FIDELIS NEGRÃO</t>
        </is>
      </c>
      <c r="S2848" s="26">
        <f>IF(A2848=A2847,0,1)</f>
        <v>0</v>
      </c>
      <c r="T2848" s="26">
        <f>IF(COUNTIF($B$4:B2848,B2848)=1,1,0)</f>
        <v>0</v>
      </c>
    </row>
    <row r="2849">
      <c r="A2849" s="14" t="inlineStr">
        <is>
          <t>VALENÇA</t>
        </is>
      </c>
      <c r="B2849" s="26" t="n">
        <v>31</v>
      </c>
      <c r="C2849" s="26" t="n">
        <v>1660</v>
      </c>
      <c r="D2849" s="14" t="inlineStr">
        <is>
          <t>ESCOLA MUNICIPAL COSME E DAMIÃO</t>
        </is>
      </c>
      <c r="E2849" s="14" t="inlineStr">
        <is>
          <t>POVOADO ARUEIRAS</t>
        </is>
      </c>
      <c r="F2849" s="14" t="inlineStr">
        <is>
          <t>POVOADO ARUEIRAS - ZONA RURAL</t>
        </is>
      </c>
      <c r="G2849" s="27" t="inlineStr">
        <is>
          <t>45400-000</t>
        </is>
      </c>
      <c r="H2849" s="15" t="n">
        <v>1</v>
      </c>
      <c r="I2849" s="28" t="inlineStr">
        <is>
          <t>NÃO</t>
        </is>
      </c>
      <c r="J2849" s="29" t="n"/>
      <c r="K2849" s="14" t="str">
        <f>IF(J2849="","7. Acima de 2 km",IF(J2849&lt;=50,"1. Até 50 m",IF(J2849&lt;=100,"2. De 50 a 100 m",IF(J2849&lt;=200,"3. De 100 a 200 m",IF(J2849&lt;=300,"4. De 200 a 300 m",IF(J2849&lt;=500,"5. De 300 a 500 m","6. De 500 m a 2 km"))))))</f>
        <v>7. Acima de 2 km</v>
      </c>
      <c r="L2849" s="26" t="n">
        <v>0</v>
      </c>
      <c r="M2849" s="26" t="n">
        <v>0</v>
      </c>
      <c r="N2849" s="26" t="n">
        <v>0</v>
      </c>
      <c r="O2849" s="26" t="n">
        <v>0</v>
      </c>
      <c r="P2849" s="30" t="n">
        <v>-13.4343117</v>
      </c>
      <c r="Q2849" s="30" t="n">
        <v>-39.138585</v>
      </c>
      <c r="R2849" s="14" t="inlineStr">
        <is>
          <t>SECRETARIA MUNICIPAL DE EDUCAÇÃO JOÃO LEONARDO DA SILVA, PRAÇA DOIS DE JULHO S/N- VALENÇA- BAHIA AUDITÓRIO FIDELIS NEGRÃO</t>
        </is>
      </c>
      <c r="S2849" s="26">
        <f>IF(A2849=A2848,0,1)</f>
        <v>0</v>
      </c>
      <c r="T2849" s="26">
        <f>IF(COUNTIF($B$4:B2849,B2849)=1,1,0)</f>
        <v>0</v>
      </c>
    </row>
    <row r="2850">
      <c r="A2850" s="14" t="inlineStr">
        <is>
          <t>VALENÇA</t>
        </is>
      </c>
      <c r="B2850" s="26" t="n">
        <v>31</v>
      </c>
      <c r="C2850" s="26" t="n">
        <v>1678</v>
      </c>
      <c r="D2850" s="14" t="inlineStr">
        <is>
          <t>ESCOLA MUNICIPAL ALBINA MARIA MENEZES</t>
        </is>
      </c>
      <c r="E2850" s="14" t="inlineStr">
        <is>
          <t>POVOADO TRÊS JUERANAS</t>
        </is>
      </c>
      <c r="F2850" s="14" t="inlineStr">
        <is>
          <t>POVOADO TRÊS JUERANAS - ZONA RURAL</t>
        </is>
      </c>
      <c r="G2850" s="27" t="inlineStr">
        <is>
          <t>45400-000</t>
        </is>
      </c>
      <c r="H2850" s="15" t="n">
        <v>1</v>
      </c>
      <c r="I2850" s="28" t="inlineStr">
        <is>
          <t>NÃO</t>
        </is>
      </c>
      <c r="J2850" s="29" t="n"/>
      <c r="K2850" s="14" t="str">
        <f>IF(J2850="","7. Acima de 2 km",IF(J2850&lt;=50,"1. Até 50 m",IF(J2850&lt;=100,"2. De 50 a 100 m",IF(J2850&lt;=200,"3. De 100 a 200 m",IF(J2850&lt;=300,"4. De 200 a 300 m",IF(J2850&lt;=500,"5. De 300 a 500 m","6. De 500 m a 2 km"))))))</f>
        <v>7. Acima de 2 km</v>
      </c>
      <c r="L2850" s="26" t="n">
        <v>0</v>
      </c>
      <c r="M2850" s="26" t="n">
        <v>0</v>
      </c>
      <c r="N2850" s="26" t="n">
        <v>0</v>
      </c>
      <c r="O2850" s="26" t="n">
        <v>0</v>
      </c>
      <c r="P2850" s="30" t="n">
        <v>-13.3687983</v>
      </c>
      <c r="Q2850" s="30" t="n">
        <v>-39.25364</v>
      </c>
      <c r="R2850" s="14" t="inlineStr">
        <is>
          <t>SECRETARIA MUNICIPAL DE EDUCAÇÃO JOÃO LEONARDO DA SILVA, PRAÇA DOIS DE JULHO S/N- VALENÇA- BAHIA AUDITÓRIO FIDELIS NEGRÃO</t>
        </is>
      </c>
      <c r="S2850" s="26">
        <f>IF(A2850=A2849,0,1)</f>
        <v>0</v>
      </c>
      <c r="T2850" s="26">
        <f>IF(COUNTIF($B$4:B2850,B2850)=1,1,0)</f>
        <v>0</v>
      </c>
    </row>
    <row r="2851">
      <c r="A2851" s="14" t="inlineStr">
        <is>
          <t>VALENÇA</t>
        </is>
      </c>
      <c r="B2851" s="26" t="n">
        <v>31</v>
      </c>
      <c r="C2851" s="26" t="n">
        <v>1686</v>
      </c>
      <c r="D2851" s="14" t="inlineStr">
        <is>
          <t>ESCOLA MUNICIPAL MARIA JÚLIA DA CONCEIÇÃO HIPÓLITO</t>
        </is>
      </c>
      <c r="E2851" s="14" t="inlineStr">
        <is>
          <t>POVOADO GEREBA</t>
        </is>
      </c>
      <c r="F2851" s="14" t="inlineStr">
        <is>
          <t>POVOADO GEREBA - ZONA RURAL</t>
        </is>
      </c>
      <c r="G2851" s="27" t="inlineStr">
        <is>
          <t>45400-000</t>
        </is>
      </c>
      <c r="H2851" s="15" t="n">
        <v>1</v>
      </c>
      <c r="I2851" s="28" t="inlineStr">
        <is>
          <t>NÃO</t>
        </is>
      </c>
      <c r="J2851" s="29" t="n"/>
      <c r="K2851" s="14" t="str">
        <f>IF(J2851="","7. Acima de 2 km",IF(J2851&lt;=50,"1. Até 50 m",IF(J2851&lt;=100,"2. De 50 a 100 m",IF(J2851&lt;=200,"3. De 100 a 200 m",IF(J2851&lt;=300,"4. De 200 a 300 m",IF(J2851&lt;=500,"5. De 300 a 500 m","6. De 500 m a 2 km"))))))</f>
        <v>7. Acima de 2 km</v>
      </c>
      <c r="L2851" s="26" t="n">
        <v>0</v>
      </c>
      <c r="M2851" s="26" t="n">
        <v>0</v>
      </c>
      <c r="N2851" s="26" t="n">
        <v>0</v>
      </c>
      <c r="O2851" s="26" t="n">
        <v>0</v>
      </c>
      <c r="P2851" s="30" t="n">
        <v>-13.3103978</v>
      </c>
      <c r="Q2851" s="30" t="n">
        <v>-39.1344502</v>
      </c>
      <c r="R2851" s="14" t="inlineStr">
        <is>
          <t>SECRETARIA MUNICIPAL DE EDUCAÇÃO JOÃO LEONARDO DA SILVA, PRAÇA DOIS DE JULHO S/N- VALENÇA- BAHIA AUDITÓRIO FIDELIS NEGRÃO</t>
        </is>
      </c>
      <c r="S2851" s="26">
        <f>IF(A2851=A2850,0,1)</f>
        <v>0</v>
      </c>
      <c r="T2851" s="26">
        <f>IF(COUNTIF($B$4:B2851,B2851)=1,1,0)</f>
        <v>0</v>
      </c>
    </row>
    <row r="2852">
      <c r="A2852" s="14" t="inlineStr">
        <is>
          <t>VALENÇA</t>
        </is>
      </c>
      <c r="B2852" s="26" t="n">
        <v>31</v>
      </c>
      <c r="C2852" s="26" t="n">
        <v>1694</v>
      </c>
      <c r="D2852" s="14" t="inlineStr">
        <is>
          <t>ESCOLA BOM JESUS DA LAPA II</t>
        </is>
      </c>
      <c r="E2852" s="14" t="inlineStr">
        <is>
          <t>POVOADO GAMELEIRA</t>
        </is>
      </c>
      <c r="F2852" s="14" t="inlineStr">
        <is>
          <t>DISTRITO DE GUERÉM - ZONA RURAL</t>
        </is>
      </c>
      <c r="G2852" s="27" t="inlineStr">
        <is>
          <t>45400-000</t>
        </is>
      </c>
      <c r="H2852" s="15" t="n">
        <v>1</v>
      </c>
      <c r="I2852" s="28" t="inlineStr">
        <is>
          <t>NÃO</t>
        </is>
      </c>
      <c r="J2852" s="29" t="n"/>
      <c r="K2852" s="14" t="str">
        <f>IF(J2852="","7. Acima de 2 km",IF(J2852&lt;=50,"1. Até 50 m",IF(J2852&lt;=100,"2. De 50 a 100 m",IF(J2852&lt;=200,"3. De 100 a 200 m",IF(J2852&lt;=300,"4. De 200 a 300 m",IF(J2852&lt;=500,"5. De 300 a 500 m","6. De 500 m a 2 km"))))))</f>
        <v>7. Acima de 2 km</v>
      </c>
      <c r="L2852" s="26" t="n">
        <v>0</v>
      </c>
      <c r="M2852" s="26" t="n">
        <v>0</v>
      </c>
      <c r="N2852" s="26" t="n">
        <v>0</v>
      </c>
      <c r="O2852" s="26" t="n">
        <v>0</v>
      </c>
      <c r="P2852" s="30" t="n">
        <v>-13.3633617</v>
      </c>
      <c r="Q2852" s="30" t="n">
        <v>-39.2680517</v>
      </c>
      <c r="R2852" s="14" t="inlineStr">
        <is>
          <t>SECRETARIA MUNICIPAL DE EDUCAÇÃO JOÃO LEONARDO DA SILVA, PRAÇA DOIS DE JULHO S/N- VALENÇA- BAHIA AUDITÓRIO FIDELIS NEGRÃO</t>
        </is>
      </c>
      <c r="S2852" s="26">
        <f>IF(A2852=A2851,0,1)</f>
        <v>0</v>
      </c>
      <c r="T2852" s="26">
        <f>IF(COUNTIF($B$4:B2852,B2852)=1,1,0)</f>
        <v>0</v>
      </c>
    </row>
    <row r="2853">
      <c r="A2853" s="14" t="inlineStr">
        <is>
          <t>VALENÇA</t>
        </is>
      </c>
      <c r="B2853" s="26" t="n">
        <v>31</v>
      </c>
      <c r="C2853" s="26" t="n">
        <v>1708</v>
      </c>
      <c r="D2853" s="14" t="inlineStr">
        <is>
          <t>ESCOLA MUNICIPAL ALISSON MAGALHÃES FREITAS</t>
        </is>
      </c>
      <c r="E2853" s="14" t="inlineStr">
        <is>
          <t>POVOADO RIACHÃO DA SERRA</t>
        </is>
      </c>
      <c r="F2853" s="14" t="inlineStr">
        <is>
          <t>POVOADO RIACHÃO DA SERRA - ZONA RURAL</t>
        </is>
      </c>
      <c r="G2853" s="27" t="inlineStr">
        <is>
          <t>45400-000</t>
        </is>
      </c>
      <c r="H2853" s="15" t="n">
        <v>1</v>
      </c>
      <c r="I2853" s="28" t="inlineStr">
        <is>
          <t>NÃO</t>
        </is>
      </c>
      <c r="J2853" s="29" t="n"/>
      <c r="K2853" s="14" t="str">
        <f>IF(J2853="","7. Acima de 2 km",IF(J2853&lt;=50,"1. Até 50 m",IF(J2853&lt;=100,"2. De 50 a 100 m",IF(J2853&lt;=200,"3. De 100 a 200 m",IF(J2853&lt;=300,"4. De 200 a 300 m",IF(J2853&lt;=500,"5. De 300 a 500 m","6. De 500 m a 2 km"))))))</f>
        <v>7. Acima de 2 km</v>
      </c>
      <c r="L2853" s="26" t="n">
        <v>0</v>
      </c>
      <c r="M2853" s="26" t="n">
        <v>0</v>
      </c>
      <c r="N2853" s="26" t="n">
        <v>0</v>
      </c>
      <c r="O2853" s="26" t="n">
        <v>0</v>
      </c>
      <c r="P2853" s="30" t="n">
        <v>-13.3685614</v>
      </c>
      <c r="Q2853" s="30" t="n">
        <v>-39.2929362</v>
      </c>
      <c r="R2853" s="14" t="inlineStr">
        <is>
          <t>SECRETARIA MUNICIPAL DE EDUCAÇÃO JOÃO LEONARDO DA SILVA, PRAÇA DOIS DE JULHO S/N- VALENÇA- BAHIA AUDITÓRIO FIDELIS NEGRÃO</t>
        </is>
      </c>
      <c r="S2853" s="26">
        <f>IF(A2853=A2852,0,1)</f>
        <v>0</v>
      </c>
      <c r="T2853" s="26">
        <f>IF(COUNTIF($B$4:B2853,B2853)=1,1,0)</f>
        <v>0</v>
      </c>
    </row>
    <row r="2854">
      <c r="A2854" s="14" t="inlineStr">
        <is>
          <t>VALENÇA</t>
        </is>
      </c>
      <c r="B2854" s="26" t="n">
        <v>31</v>
      </c>
      <c r="C2854" s="26" t="n">
        <v>1767</v>
      </c>
      <c r="D2854" s="14" t="inlineStr">
        <is>
          <t>COLÉGIO DR. DÁRIO GALVÃO DE QUEIROZ</t>
        </is>
      </c>
      <c r="E2854" s="14" t="inlineStr">
        <is>
          <t>BOLÍVIA</t>
        </is>
      </c>
      <c r="F2854" s="14" t="inlineStr">
        <is>
          <t>RUA DO CAMPO DE AVIAÇÃO (DEPOIS DO COESVA) - ZONA URBANA</t>
        </is>
      </c>
      <c r="G2854" s="27" t="inlineStr">
        <is>
          <t>45400-000</t>
        </is>
      </c>
      <c r="H2854" s="15" t="n">
        <v>7</v>
      </c>
      <c r="I2854" s="28" t="inlineStr">
        <is>
          <t>NÃO</t>
        </is>
      </c>
      <c r="J2854" s="29" t="n">
        <v>116.7</v>
      </c>
      <c r="K2854" s="14" t="str">
        <f>IF(J2854="","7. Acima de 2 km",IF(J2854&lt;=50,"1. Até 50 m",IF(J2854&lt;=100,"2. De 50 a 100 m",IF(J2854&lt;=200,"3. De 100 a 200 m",IF(J2854&lt;=300,"4. De 200 a 300 m",IF(J2854&lt;=500,"5. De 300 a 500 m","6. De 500 m a 2 km"))))))</f>
        <v>3. De 100 a 200 m</v>
      </c>
      <c r="L2854" s="26" t="n">
        <v>0</v>
      </c>
      <c r="M2854" s="26" t="n">
        <v>0</v>
      </c>
      <c r="N2854" s="26" t="n">
        <v>1</v>
      </c>
      <c r="O2854" s="26" t="n">
        <v>1</v>
      </c>
      <c r="P2854" s="30" t="n">
        <v>-13.3776667</v>
      </c>
      <c r="Q2854" s="30" t="n">
        <v>-39.066155</v>
      </c>
      <c r="R2854" s="14" t="inlineStr">
        <is>
          <t>SECRETARIA MUNICIPAL DE EDUCAÇÃO JOÃO LEONARDO DA SILVA, PRAÇA DOIS DE JULHO S/N- VALENÇA- BAHIA AUDITÓRIO FIDELIS NEGRÃO</t>
        </is>
      </c>
      <c r="S2854" s="26">
        <f>IF(A2854=A2853,0,1)</f>
        <v>0</v>
      </c>
      <c r="T2854" s="26">
        <f>IF(COUNTIF($B$4:B2854,B2854)=1,1,0)</f>
        <v>0</v>
      </c>
    </row>
    <row r="2855">
      <c r="A2855" s="14" t="inlineStr">
        <is>
          <t>VALENÇA</t>
        </is>
      </c>
      <c r="B2855" s="26" t="n">
        <v>31</v>
      </c>
      <c r="C2855" s="26" t="n">
        <v>1775</v>
      </c>
      <c r="D2855" s="14" t="inlineStr">
        <is>
          <t>ESCOLA MUNICIPAL NOSSA SENHORA DE FÁTIMA</t>
        </is>
      </c>
      <c r="E2855" s="14" t="inlineStr">
        <is>
          <t>POVOADO DERRADEIRA</t>
        </is>
      </c>
      <c r="F2855" s="14" t="inlineStr">
        <is>
          <t>POVOADO DERRADEIRA, KM 16 - ZONA RURAL</t>
        </is>
      </c>
      <c r="G2855" s="27" t="inlineStr">
        <is>
          <t>45420-000</t>
        </is>
      </c>
      <c r="H2855" s="15" t="n">
        <v>2</v>
      </c>
      <c r="I2855" s="28" t="inlineStr">
        <is>
          <t>NÃO</t>
        </is>
      </c>
      <c r="J2855" s="29" t="n">
        <v>261</v>
      </c>
      <c r="K2855" s="14" t="str">
        <f>IF(J2855="","7. Acima de 2 km",IF(J2855&lt;=50,"1. Até 50 m",IF(J2855&lt;=100,"2. De 50 a 100 m",IF(J2855&lt;=200,"3. De 100 a 200 m",IF(J2855&lt;=300,"4. De 200 a 300 m",IF(J2855&lt;=500,"5. De 300 a 500 m","6. De 500 m a 2 km"))))))</f>
        <v>4. De 200 a 300 m</v>
      </c>
      <c r="L2855" s="26" t="n">
        <v>0</v>
      </c>
      <c r="M2855" s="26" t="n">
        <v>0</v>
      </c>
      <c r="N2855" s="26" t="n">
        <v>0</v>
      </c>
      <c r="O2855" s="26" t="n">
        <v>1</v>
      </c>
      <c r="P2855" s="30" t="n">
        <v>-13.3660467</v>
      </c>
      <c r="Q2855" s="30" t="n">
        <v>-39.0705208</v>
      </c>
      <c r="R2855" s="14" t="inlineStr">
        <is>
          <t>SECRETARIA MUNICIPAL DE EDUCAÇÃO JOÃO LEONARDO DA SILVA, PRAÇA DOIS DE JULHO S/N- VALENÇA- BAHIA AUDITÓRIO FIDELIS NEGRÃO</t>
        </is>
      </c>
      <c r="S2855" s="26">
        <f>IF(A2855=A2854,0,1)</f>
        <v>0</v>
      </c>
      <c r="T2855" s="26">
        <f>IF(COUNTIF($B$4:B2855,B2855)=1,1,0)</f>
        <v>0</v>
      </c>
    </row>
    <row r="2856">
      <c r="A2856" s="14" t="inlineStr">
        <is>
          <t>VALENÇA</t>
        </is>
      </c>
      <c r="B2856" s="26" t="n">
        <v>31</v>
      </c>
      <c r="C2856" s="26" t="n">
        <v>1805</v>
      </c>
      <c r="D2856" s="14" t="inlineStr">
        <is>
          <t xml:space="preserve">ESCOLA MUNICIPAL JACY FRANCO GUIMARÃES </t>
        </is>
      </c>
      <c r="E2856" s="14" t="inlineStr">
        <is>
          <t>BOLÍVIA</t>
        </is>
      </c>
      <c r="F2856" s="14" t="inlineStr">
        <is>
          <t>RUA BERNARDETE QUEIROZ NERI, S/N - ZONA URBANA</t>
        </is>
      </c>
      <c r="G2856" s="27" t="inlineStr">
        <is>
          <t>45420-000</t>
        </is>
      </c>
      <c r="H2856" s="15" t="n">
        <v>3</v>
      </c>
      <c r="I2856" s="28" t="inlineStr">
        <is>
          <t>NÃO</t>
        </is>
      </c>
      <c r="J2856" s="29" t="n">
        <v>304.6</v>
      </c>
      <c r="K2856" s="14" t="str">
        <f>IF(J2856="","7. Acima de 2 km",IF(J2856&lt;=50,"1. Até 50 m",IF(J2856&lt;=100,"2. De 50 a 100 m",IF(J2856&lt;=200,"3. De 100 a 200 m",IF(J2856&lt;=300,"4. De 200 a 300 m",IF(J2856&lt;=500,"5. De 300 a 500 m","6. De 500 m a 2 km"))))))</f>
        <v>5. De 300 a 500 m</v>
      </c>
      <c r="L2856" s="26" t="n">
        <v>0</v>
      </c>
      <c r="M2856" s="26" t="n">
        <v>0</v>
      </c>
      <c r="N2856" s="26" t="n">
        <v>0</v>
      </c>
      <c r="O2856" s="26" t="n">
        <v>0</v>
      </c>
      <c r="P2856" s="30" t="n">
        <v>-13.3758144</v>
      </c>
      <c r="Q2856" s="30" t="n">
        <v>-39.0649886</v>
      </c>
      <c r="R2856" s="14" t="inlineStr">
        <is>
          <t>SECRETARIA MUNICIPAL DE EDUCAÇÃO JOÃO LEONARDO DA SILVA, PRAÇA DOIS DE JULHO S/N- VALENÇA- BAHIA AUDITÓRIO FIDELIS NEGRÃO</t>
        </is>
      </c>
      <c r="S2856" s="26">
        <f>IF(A2856=A2855,0,1)</f>
        <v>0</v>
      </c>
      <c r="T2856" s="26">
        <f>IF(COUNTIF($B$4:B2856,B2856)=1,1,0)</f>
        <v>0</v>
      </c>
    </row>
    <row r="2857">
      <c r="A2857" s="14" t="inlineStr">
        <is>
          <t>VALENÇA</t>
        </is>
      </c>
      <c r="B2857" s="26" t="n">
        <v>31</v>
      </c>
      <c r="C2857" s="26" t="n">
        <v>1830</v>
      </c>
      <c r="D2857" s="14" t="inlineStr">
        <is>
          <t>ESCOLA MUNICIPAL MANOEL COSME ALVES</t>
        </is>
      </c>
      <c r="E2857" s="14" t="inlineStr">
        <is>
          <t>POVOADO PARANÁ-OROBÓ</t>
        </is>
      </c>
      <c r="F2857" s="14" t="inlineStr">
        <is>
          <t>TESOURA - ZONA RURAL</t>
        </is>
      </c>
      <c r="G2857" s="27" t="inlineStr">
        <is>
          <t>45400-000</t>
        </is>
      </c>
      <c r="H2857" s="15" t="n">
        <v>2</v>
      </c>
      <c r="I2857" s="28" t="inlineStr">
        <is>
          <t>NÃO</t>
        </is>
      </c>
      <c r="J2857" s="29" t="n"/>
      <c r="K2857" s="14" t="str">
        <f>IF(J2857="","7. Acima de 2 km",IF(J2857&lt;=50,"1. Até 50 m",IF(J2857&lt;=100,"2. De 50 a 100 m",IF(J2857&lt;=200,"3. De 100 a 200 m",IF(J2857&lt;=300,"4. De 200 a 300 m",IF(J2857&lt;=500,"5. De 300 a 500 m","6. De 500 m a 2 km"))))))</f>
        <v>7. Acima de 2 km</v>
      </c>
      <c r="L2857" s="26" t="n">
        <v>0</v>
      </c>
      <c r="M2857" s="26" t="n">
        <v>0</v>
      </c>
      <c r="N2857" s="26" t="n">
        <v>0</v>
      </c>
      <c r="O2857" s="26" t="n">
        <v>0</v>
      </c>
      <c r="P2857" s="30" t="n">
        <v>-13.4213567</v>
      </c>
      <c r="Q2857" s="30" t="n">
        <v>-39.2211533</v>
      </c>
      <c r="R2857" s="14" t="inlineStr">
        <is>
          <t>SECRETARIA MUNICIPAL DE EDUCAÇÃO JOÃO LEONARDO DA SILVA, PRAÇA DOIS DE JULHO S/N- VALENÇA- BAHIA AUDITÓRIO FIDELIS NEGRÃO</t>
        </is>
      </c>
      <c r="S2857" s="26">
        <f>IF(A2857=A2856,0,1)</f>
        <v>0</v>
      </c>
      <c r="T2857" s="26">
        <f>IF(COUNTIF($B$4:B2857,B2857)=1,1,0)</f>
        <v>0</v>
      </c>
    </row>
    <row r="2858">
      <c r="A2858" s="14" t="inlineStr">
        <is>
          <t>VALENÇA</t>
        </is>
      </c>
      <c r="B2858" s="26" t="n">
        <v>31</v>
      </c>
      <c r="C2858" s="26" t="n">
        <v>1848</v>
      </c>
      <c r="D2858" s="14" t="inlineStr">
        <is>
          <t>COLÉGIO ESTADUAL JOÃO CARDOSO DOS SANTOS</t>
        </is>
      </c>
      <c r="E2858" s="14" t="inlineStr">
        <is>
          <t>SÃO FELIX</t>
        </is>
      </c>
      <c r="F2858" s="14" t="inlineStr">
        <is>
          <t>CAMINHO 8 CJ URBIS - SN - ZONA URBANA</t>
        </is>
      </c>
      <c r="G2858" s="27" t="inlineStr">
        <is>
          <t>45400-000</t>
        </is>
      </c>
      <c r="H2858" s="15" t="n">
        <v>6</v>
      </c>
      <c r="I2858" s="28" t="inlineStr">
        <is>
          <t>NÃO</t>
        </is>
      </c>
      <c r="J2858" s="29" t="n">
        <v>368.5</v>
      </c>
      <c r="K2858" s="14" t="str">
        <f>IF(J2858="","7. Acima de 2 km",IF(J2858&lt;=50,"1. Até 50 m",IF(J2858&lt;=100,"2. De 50 a 100 m",IF(J2858&lt;=200,"3. De 100 a 200 m",IF(J2858&lt;=300,"4. De 200 a 300 m",IF(J2858&lt;=500,"5. De 300 a 500 m","6. De 500 m a 2 km"))))))</f>
        <v>5. De 300 a 500 m</v>
      </c>
      <c r="L2858" s="26" t="n">
        <v>0</v>
      </c>
      <c r="M2858" s="26" t="n">
        <v>0</v>
      </c>
      <c r="N2858" s="26" t="n">
        <v>0</v>
      </c>
      <c r="O2858" s="26" t="n">
        <v>0</v>
      </c>
      <c r="P2858" s="30" t="n">
        <v>-13.3610967</v>
      </c>
      <c r="Q2858" s="30" t="n">
        <v>-39.07088</v>
      </c>
      <c r="R2858" s="14" t="inlineStr">
        <is>
          <t>SECRETARIA MUNICIPAL DE EDUCAÇÃO JOÃO LEONARDO DA SILVA, PRAÇA DOIS DE JULHO S/N- VALENÇA- BAHIA AUDITÓRIO FIDELIS NEGRÃO</t>
        </is>
      </c>
      <c r="S2858" s="26">
        <f>IF(A2858=A2857,0,1)</f>
        <v>0</v>
      </c>
      <c r="T2858" s="26">
        <f>IF(COUNTIF($B$4:B2858,B2858)=1,1,0)</f>
        <v>0</v>
      </c>
    </row>
    <row r="2859">
      <c r="A2859" s="14" t="inlineStr">
        <is>
          <t>VALENÇA</t>
        </is>
      </c>
      <c r="B2859" s="26" t="n">
        <v>31</v>
      </c>
      <c r="C2859" s="26" t="n">
        <v>1872</v>
      </c>
      <c r="D2859" s="14" t="inlineStr">
        <is>
          <t>ESCOLA MUNICIPAL ALOÍSIO EVANGELISTA DA FONSECA</t>
        </is>
      </c>
      <c r="E2859" s="14" t="inlineStr">
        <is>
          <t>DISTRITO GUAIBIM</t>
        </is>
      </c>
      <c r="F2859" s="14" t="inlineStr">
        <is>
          <t>RUA DO TAMARINEIRO, PRAÇA CENTRAL, S/N, ZONA RURAL</t>
        </is>
      </c>
      <c r="G2859" s="27" t="inlineStr">
        <is>
          <t>45400-000</t>
        </is>
      </c>
      <c r="H2859" s="15" t="n">
        <v>3</v>
      </c>
      <c r="I2859" s="28" t="inlineStr">
        <is>
          <t>SIM</t>
        </is>
      </c>
      <c r="J2859" s="29" t="n">
        <v>13.5</v>
      </c>
      <c r="K2859" s="14" t="str">
        <f>IF(J2859="","7. Acima de 2 km",IF(J2859&lt;=50,"1. Até 50 m",IF(J2859&lt;=100,"2. De 50 a 100 m",IF(J2859&lt;=200,"3. De 100 a 200 m",IF(J2859&lt;=300,"4. De 200 a 300 m",IF(J2859&lt;=500,"5. De 300 a 500 m","6. De 500 m a 2 km"))))))</f>
        <v>1. Até 50 m</v>
      </c>
      <c r="L2859" s="26" t="n">
        <v>2</v>
      </c>
      <c r="M2859" s="26" t="n">
        <v>2</v>
      </c>
      <c r="N2859" s="26" t="n">
        <v>3</v>
      </c>
      <c r="O2859" s="26" t="n">
        <v>3</v>
      </c>
      <c r="P2859" s="30" t="n">
        <v>-13.2872078</v>
      </c>
      <c r="Q2859" s="30" t="n">
        <v>-38.9654713</v>
      </c>
      <c r="R2859" s="14" t="inlineStr">
        <is>
          <t>SECRETARIA MUNICIPAL DE EDUCAÇÃO JOÃO LEONARDO DA SILVA, PRAÇA DOIS DE JULHO S/N- VALENÇA- BAHIA AUDITÓRIO FIDELIS NEGRÃO</t>
        </is>
      </c>
      <c r="S2859" s="26">
        <f>IF(A2859=A2858,0,1)</f>
        <v>0</v>
      </c>
      <c r="T2859" s="26">
        <f>IF(COUNTIF($B$4:B2859,B2859)=1,1,0)</f>
        <v>0</v>
      </c>
    </row>
    <row r="2860">
      <c r="A2860" s="14" t="inlineStr">
        <is>
          <t>VALENÇA</t>
        </is>
      </c>
      <c r="B2860" s="26" t="n">
        <v>31</v>
      </c>
      <c r="C2860" s="26" t="n">
        <v>1880</v>
      </c>
      <c r="D2860" s="14" t="inlineStr">
        <is>
          <t>COLÉGIO PERSPECTIVA</t>
        </is>
      </c>
      <c r="E2860" s="14" t="inlineStr">
        <is>
          <t>CENTRO</t>
        </is>
      </c>
      <c r="F2860" s="14" t="inlineStr">
        <is>
          <t>PRAÇA CONSELHEIRO BALTAZAR, 138, TRIANA - ZONA URBANA</t>
        </is>
      </c>
      <c r="G2860" s="27" t="inlineStr">
        <is>
          <t>45400-000</t>
        </is>
      </c>
      <c r="H2860" s="15" t="n">
        <v>7</v>
      </c>
      <c r="I2860" s="28" t="inlineStr">
        <is>
          <t>SIM</t>
        </is>
      </c>
      <c r="J2860" s="29" t="n">
        <v>94.5</v>
      </c>
      <c r="K2860" s="14" t="str">
        <f>IF(J2860="","7. Acima de 2 km",IF(J2860&lt;=50,"1. Até 50 m",IF(J2860&lt;=100,"2. De 50 a 100 m",IF(J2860&lt;=200,"3. De 100 a 200 m",IF(J2860&lt;=300,"4. De 200 a 300 m",IF(J2860&lt;=500,"5. De 300 a 500 m","6. De 500 m a 2 km"))))))</f>
        <v>2. De 50 a 100 m</v>
      </c>
      <c r="L2860" s="26" t="n">
        <v>0</v>
      </c>
      <c r="M2860" s="26" t="n">
        <v>2</v>
      </c>
      <c r="N2860" s="26" t="n">
        <v>2</v>
      </c>
      <c r="O2860" s="26" t="n">
        <v>2</v>
      </c>
      <c r="P2860" s="30" t="n">
        <v>-13.3748873</v>
      </c>
      <c r="Q2860" s="30" t="n">
        <v>-39.0764104</v>
      </c>
      <c r="R2860" s="14" t="inlineStr">
        <is>
          <t>SECRETARIA MUNICIPAL DE EDUCAÇÃO JOÃO LEONARDO DA SILVA, PRAÇA DOIS DE JULHO S/N- VALENÇA- BAHIA AUDITÓRIO FIDELIS NEGRÃO</t>
        </is>
      </c>
      <c r="S2860" s="26">
        <f>IF(A2860=A2859,0,1)</f>
        <v>0</v>
      </c>
      <c r="T2860" s="26">
        <f>IF(COUNTIF($B$4:B2860,B2860)=1,1,0)</f>
        <v>0</v>
      </c>
    </row>
    <row r="2861">
      <c r="A2861" s="14" t="inlineStr">
        <is>
          <t>VALENÇA</t>
        </is>
      </c>
      <c r="B2861" s="26" t="n">
        <v>31</v>
      </c>
      <c r="C2861" s="26" t="n">
        <v>1899</v>
      </c>
      <c r="D2861" s="14" t="inlineStr">
        <is>
          <t>COLEGIO SOCIAL</t>
        </is>
      </c>
      <c r="E2861" s="14" t="inlineStr">
        <is>
          <t>CENTRO</t>
        </is>
      </c>
      <c r="F2861" s="14" t="inlineStr">
        <is>
          <t>RUA ARGEMIRO ISIDORO FRANCO, 141 - ZONA URBANA</t>
        </is>
      </c>
      <c r="G2861" s="27" t="inlineStr">
        <is>
          <t>45400-000</t>
        </is>
      </c>
      <c r="H2861" s="15" t="n">
        <v>3</v>
      </c>
      <c r="I2861" s="28" t="inlineStr">
        <is>
          <t>NÃO</t>
        </is>
      </c>
      <c r="J2861" s="29" t="n">
        <v>237.6</v>
      </c>
      <c r="K2861" s="14" t="str">
        <f>IF(J2861="","7. Acima de 2 km",IF(J2861&lt;=50,"1. Até 50 m",IF(J2861&lt;=100,"2. De 50 a 100 m",IF(J2861&lt;=200,"3. De 100 a 200 m",IF(J2861&lt;=300,"4. De 200 a 300 m",IF(J2861&lt;=500,"5. De 300 a 500 m","6. De 500 m a 2 km"))))))</f>
        <v>4. De 200 a 300 m</v>
      </c>
      <c r="L2861" s="26" t="n">
        <v>0</v>
      </c>
      <c r="M2861" s="26" t="n">
        <v>0</v>
      </c>
      <c r="N2861" s="26" t="n">
        <v>0</v>
      </c>
      <c r="O2861" s="26" t="n">
        <v>3</v>
      </c>
      <c r="P2861" s="30" t="n">
        <v>-13.373623</v>
      </c>
      <c r="Q2861" s="30" t="n">
        <v>-39.0760798</v>
      </c>
      <c r="R2861" s="14" t="inlineStr">
        <is>
          <t>SECRETARIA MUNICIPAL DE EDUCAÇÃO JOÃO LEONARDO DA SILVA, PRAÇA DOIS DE JULHO S/N- VALENÇA- BAHIA AUDITÓRIO FIDELIS NEGRÃO</t>
        </is>
      </c>
      <c r="S2861" s="26">
        <f>IF(A2861=A2860,0,1)</f>
        <v>0</v>
      </c>
      <c r="T2861" s="26">
        <f>IF(COUNTIF($B$4:B2861,B2861)=1,1,0)</f>
        <v>0</v>
      </c>
    </row>
    <row r="2862">
      <c r="A2862" s="14" t="inlineStr">
        <is>
          <t>VERA CRUZ</t>
        </is>
      </c>
      <c r="B2862" s="26" t="n">
        <v>141</v>
      </c>
      <c r="C2862" s="26" t="n">
        <v>1023</v>
      </c>
      <c r="D2862" s="14" t="inlineStr">
        <is>
          <t>COLÉGIO MUNICIPAL TELMA REGIS DE ANDRADE</t>
        </is>
      </c>
      <c r="E2862" s="14" t="inlineStr">
        <is>
          <t>RIACHINHO</t>
        </is>
      </c>
      <c r="F2862" s="14" t="inlineStr">
        <is>
          <t>ALTO DE SANTA BÁRBARA, S/N. - ZONA URBANA</t>
        </is>
      </c>
      <c r="G2862" s="27" t="inlineStr">
        <is>
          <t>44470-000</t>
        </is>
      </c>
      <c r="H2862" s="15" t="n">
        <v>8</v>
      </c>
      <c r="I2862" s="28" t="inlineStr">
        <is>
          <t>NÃO</t>
        </is>
      </c>
      <c r="J2862" s="29" t="n">
        <v>213.1</v>
      </c>
      <c r="K2862" s="14" t="str">
        <f>IF(J2862="","7. Acima de 2 km",IF(J2862&lt;=50,"1. Até 50 m",IF(J2862&lt;=100,"2. De 50 a 100 m",IF(J2862&lt;=200,"3. De 100 a 200 m",IF(J2862&lt;=300,"4. De 200 a 300 m",IF(J2862&lt;=500,"5. De 300 a 500 m","6. De 500 m a 2 km"))))))</f>
        <v>4. De 200 a 300 m</v>
      </c>
      <c r="L2862" s="26" t="n">
        <v>0</v>
      </c>
      <c r="M2862" s="26" t="n">
        <v>0</v>
      </c>
      <c r="N2862" s="26" t="n">
        <v>0</v>
      </c>
      <c r="O2862" s="26" t="n">
        <v>2</v>
      </c>
      <c r="P2862" s="30" t="n">
        <v>-12.9603621</v>
      </c>
      <c r="Q2862" s="30" t="n">
        <v>-38.6110955</v>
      </c>
      <c r="R2862" s="14" t="inlineStr">
        <is>
          <t>RUA DOUTOR ANTONIO CALMON, S/N - CENTRO. FÓRUM ELEITORAL DE ITAPARICA. CEP.: 44.460-000. ITAPARICA-BAHIA</t>
        </is>
      </c>
      <c r="S2862" s="26">
        <f>IF(A2862=A2861,0,1)</f>
        <v>1</v>
      </c>
      <c r="T2862" s="26">
        <f>IF(COUNTIF($B$4:B2862,B2862)=1,1,0)</f>
        <v>0</v>
      </c>
    </row>
    <row r="2863">
      <c r="A2863" s="14" t="inlineStr">
        <is>
          <t>VERA CRUZ</t>
        </is>
      </c>
      <c r="B2863" s="26" t="n">
        <v>141</v>
      </c>
      <c r="C2863" s="26" t="n">
        <v>1031</v>
      </c>
      <c r="D2863" s="14" t="inlineStr">
        <is>
          <t>ESCOLA MUNICIPAL RAIMUNDO AFONSO BORGES</t>
        </is>
      </c>
      <c r="E2863" s="14" t="inlineStr">
        <is>
          <t>DISTRITO DE GAMELEIRA</t>
        </is>
      </c>
      <c r="F2863" s="14" t="inlineStr">
        <is>
          <t>RUA DIRETA DA GAMELEIRA, S/N - ZONA RURAL</t>
        </is>
      </c>
      <c r="G2863" s="27" t="inlineStr">
        <is>
          <t>44470-000</t>
        </is>
      </c>
      <c r="H2863" s="15" t="n">
        <v>3</v>
      </c>
      <c r="I2863" s="28" t="inlineStr">
        <is>
          <t>NÃO</t>
        </is>
      </c>
      <c r="J2863" s="29" t="n">
        <v>441.3</v>
      </c>
      <c r="K2863" s="14" t="str">
        <f>IF(J2863="","7. Acima de 2 km",IF(J2863&lt;=50,"1. Até 50 m",IF(J2863&lt;=100,"2. De 50 a 100 m",IF(J2863&lt;=200,"3. De 100 a 200 m",IF(J2863&lt;=300,"4. De 200 a 300 m",IF(J2863&lt;=500,"5. De 300 a 500 m","6. De 500 m a 2 km"))))))</f>
        <v>5. De 300 a 500 m</v>
      </c>
      <c r="L2863" s="26" t="n">
        <v>0</v>
      </c>
      <c r="M2863" s="26" t="n">
        <v>0</v>
      </c>
      <c r="N2863" s="26" t="n">
        <v>0</v>
      </c>
      <c r="O2863" s="26" t="n">
        <v>0</v>
      </c>
      <c r="P2863" s="30" t="n">
        <v>-12.9336193</v>
      </c>
      <c r="Q2863" s="30" t="n">
        <v>-38.6208344</v>
      </c>
      <c r="R2863" s="14" t="inlineStr">
        <is>
          <t>RUA DOUTOR ANTONIO CALMON, S/N - CENTRO. FÓRUM ELEITORAL DE ITAPARICA. CEP.: 44.460-000. ITAPARICA-BAHIA</t>
        </is>
      </c>
      <c r="S2863" s="26">
        <f>IF(A2863=A2862,0,1)</f>
        <v>0</v>
      </c>
      <c r="T2863" s="26">
        <f>IF(COUNTIF($B$4:B2863,B2863)=1,1,0)</f>
        <v>0</v>
      </c>
    </row>
    <row r="2864">
      <c r="A2864" s="14" t="inlineStr">
        <is>
          <t>VERA CRUZ</t>
        </is>
      </c>
      <c r="B2864" s="26" t="n">
        <v>141</v>
      </c>
      <c r="C2864" s="26" t="n">
        <v>1040</v>
      </c>
      <c r="D2864" s="14" t="inlineStr">
        <is>
          <t>ESCOLA MUNICIPAL GERALDA MARIA DA CONCEIÇÃO</t>
        </is>
      </c>
      <c r="E2864" s="14" t="inlineStr">
        <is>
          <t>DISTRITO DE GAMELEIRA</t>
        </is>
      </c>
      <c r="F2864" s="14" t="inlineStr">
        <is>
          <t>RUA DENDEZEIRO S/N - ZONA RURAL</t>
        </is>
      </c>
      <c r="G2864" s="27" t="inlineStr">
        <is>
          <t>44470-000</t>
        </is>
      </c>
      <c r="H2864" s="15" t="n">
        <v>6</v>
      </c>
      <c r="I2864" s="28" t="inlineStr">
        <is>
          <t>NÃO</t>
        </is>
      </c>
      <c r="J2864" s="29" t="n">
        <v>683</v>
      </c>
      <c r="K2864" s="14" t="str">
        <f>IF(J2864="","7. Acima de 2 km",IF(J2864&lt;=50,"1. Até 50 m",IF(J2864&lt;=100,"2. De 50 a 100 m",IF(J2864&lt;=200,"3. De 100 a 200 m",IF(J2864&lt;=300,"4. De 200 a 300 m",IF(J2864&lt;=500,"5. De 300 a 500 m","6. De 500 m a 2 km"))))))</f>
        <v>6. De 500 m a 2 km</v>
      </c>
      <c r="L2864" s="26" t="n">
        <v>0</v>
      </c>
      <c r="M2864" s="26" t="n">
        <v>0</v>
      </c>
      <c r="N2864" s="26" t="n">
        <v>0</v>
      </c>
      <c r="O2864" s="26" t="n">
        <v>0</v>
      </c>
      <c r="P2864" s="30" t="n">
        <v>-12.9354059</v>
      </c>
      <c r="Q2864" s="30" t="n">
        <v>-38.6192741</v>
      </c>
      <c r="R2864" s="14" t="inlineStr">
        <is>
          <t>RUA DOUTOR ANTONIO CALMON, S/N - CENTRO. FÓRUM ELEITORAL DE ITAPARICA. CEP.: 44.460-000. ITAPARICA-BAHIA</t>
        </is>
      </c>
      <c r="S2864" s="26">
        <f>IF(A2864=A2863,0,1)</f>
        <v>0</v>
      </c>
      <c r="T2864" s="26">
        <f>IF(COUNTIF($B$4:B2864,B2864)=1,1,0)</f>
        <v>0</v>
      </c>
    </row>
    <row r="2865">
      <c r="A2865" s="14" t="inlineStr">
        <is>
          <t>VERA CRUZ</t>
        </is>
      </c>
      <c r="B2865" s="26" t="n">
        <v>141</v>
      </c>
      <c r="C2865" s="26" t="n">
        <v>1058</v>
      </c>
      <c r="D2865" s="14" t="inlineStr">
        <is>
          <t>ESCOLA MUNICIPAL OLGA SEABRA</t>
        </is>
      </c>
      <c r="E2865" s="14" t="inlineStr">
        <is>
          <t>GAMBOA</t>
        </is>
      </c>
      <c r="F2865" s="14" t="inlineStr">
        <is>
          <t>RUA DO ARAÇÁ S/N - ZONA URBANA</t>
        </is>
      </c>
      <c r="G2865" s="27" t="inlineStr">
        <is>
          <t>44470-000</t>
        </is>
      </c>
      <c r="H2865" s="15" t="n">
        <v>1</v>
      </c>
      <c r="I2865" s="28" t="inlineStr">
        <is>
          <t>SIM</t>
        </is>
      </c>
      <c r="J2865" s="29" t="n">
        <v>30.2</v>
      </c>
      <c r="K2865" s="14" t="str">
        <f>IF(J2865="","7. Acima de 2 km",IF(J2865&lt;=50,"1. Até 50 m",IF(J2865&lt;=100,"2. De 50 a 100 m",IF(J2865&lt;=200,"3. De 100 a 200 m",IF(J2865&lt;=300,"4. De 200 a 300 m",IF(J2865&lt;=500,"5. De 300 a 500 m","6. De 500 m a 2 km"))))))</f>
        <v>1. Até 50 m</v>
      </c>
      <c r="L2865" s="26" t="n">
        <v>2</v>
      </c>
      <c r="M2865" s="26" t="n">
        <v>2</v>
      </c>
      <c r="N2865" s="26" t="n">
        <v>2</v>
      </c>
      <c r="O2865" s="26" t="n">
        <v>2</v>
      </c>
      <c r="P2865" s="30" t="n">
        <v>-12.9752459</v>
      </c>
      <c r="Q2865" s="30" t="n">
        <v>-38.6171919</v>
      </c>
      <c r="R2865" s="14" t="inlineStr">
        <is>
          <t>RUA DOUTOR ANTONIO CALMON, S/N - CENTRO. FÓRUM ELEITORAL DE ITAPARICA. CEP.: 44.460-000. ITAPARICA-BAHIA</t>
        </is>
      </c>
      <c r="S2865" s="26">
        <f>IF(A2865=A2864,0,1)</f>
        <v>0</v>
      </c>
      <c r="T2865" s="26">
        <f>IF(COUNTIF($B$4:B2865,B2865)=1,1,0)</f>
        <v>0</v>
      </c>
    </row>
    <row r="2866">
      <c r="A2866" s="14" t="inlineStr">
        <is>
          <t>VERA CRUZ</t>
        </is>
      </c>
      <c r="B2866" s="26" t="n">
        <v>141</v>
      </c>
      <c r="C2866" s="26" t="n">
        <v>1066</v>
      </c>
      <c r="D2866" s="14" t="inlineStr">
        <is>
          <t>ESCOLA MUNICIPAL JOÃO JOSÉ DE MACEDO</t>
        </is>
      </c>
      <c r="E2866" s="14" t="inlineStr">
        <is>
          <t>DISTRITO DE BAIACU</t>
        </is>
      </c>
      <c r="F2866" s="14" t="inlineStr">
        <is>
          <t>RUA DA CHAPADA S/N - ZONA RURAL</t>
        </is>
      </c>
      <c r="G2866" s="27" t="inlineStr">
        <is>
          <t>44470-000</t>
        </is>
      </c>
      <c r="H2866" s="15" t="n">
        <v>3</v>
      </c>
      <c r="I2866" s="28" t="inlineStr">
        <is>
          <t>NÃO</t>
        </is>
      </c>
      <c r="J2866" s="29" t="n"/>
      <c r="K2866" s="14" t="str">
        <f>IF(J2866="","7. Acima de 2 km",IF(J2866&lt;=50,"1. Até 50 m",IF(J2866&lt;=100,"2. De 50 a 100 m",IF(J2866&lt;=200,"3. De 100 a 200 m",IF(J2866&lt;=300,"4. De 200 a 300 m",IF(J2866&lt;=500,"5. De 300 a 500 m","6. De 500 m a 2 km"))))))</f>
        <v>7. Acima de 2 km</v>
      </c>
      <c r="L2866" s="26" t="n">
        <v>0</v>
      </c>
      <c r="M2866" s="26" t="n">
        <v>0</v>
      </c>
      <c r="N2866" s="26" t="n">
        <v>0</v>
      </c>
      <c r="O2866" s="26" t="n">
        <v>0</v>
      </c>
      <c r="P2866" s="30" t="n">
        <v>-12.996524</v>
      </c>
      <c r="Q2866" s="30" t="n">
        <v>-38.6956701</v>
      </c>
      <c r="R2866" s="14" t="inlineStr">
        <is>
          <t>RUA DOUTOR ANTONIO CALMON, S/N - CENTRO. FÓRUM ELEITORAL DE ITAPARICA. CEP.: 44.460-000. ITAPARICA-BAHIA</t>
        </is>
      </c>
      <c r="S2866" s="26">
        <f>IF(A2866=A2865,0,1)</f>
        <v>0</v>
      </c>
      <c r="T2866" s="26">
        <f>IF(COUNTIF($B$4:B2866,B2866)=1,1,0)</f>
        <v>0</v>
      </c>
    </row>
    <row r="2867">
      <c r="A2867" s="14" t="inlineStr">
        <is>
          <t>VERA CRUZ</t>
        </is>
      </c>
      <c r="B2867" s="26" t="n">
        <v>141</v>
      </c>
      <c r="C2867" s="26" t="n">
        <v>1074</v>
      </c>
      <c r="D2867" s="14" t="inlineStr">
        <is>
          <t>CRECHE MUNICIPAL VOVÔ NÍZIO (BAIACU)</t>
        </is>
      </c>
      <c r="E2867" s="14" t="inlineStr">
        <is>
          <t>DISTRITO DE BAIACU</t>
        </is>
      </c>
      <c r="F2867" s="14" t="inlineStr">
        <is>
          <t>RUA DA CHAPADA S/N - ZONA RURAL</t>
        </is>
      </c>
      <c r="G2867" s="27" t="inlineStr">
        <is>
          <t>44470-000</t>
        </is>
      </c>
      <c r="H2867" s="15" t="n">
        <v>4</v>
      </c>
      <c r="I2867" s="28" t="inlineStr">
        <is>
          <t>NÃO</t>
        </is>
      </c>
      <c r="J2867" s="29" t="n"/>
      <c r="K2867" s="14" t="str">
        <f>IF(J2867="","7. Acima de 2 km",IF(J2867&lt;=50,"1. Até 50 m",IF(J2867&lt;=100,"2. De 50 a 100 m",IF(J2867&lt;=200,"3. De 100 a 200 m",IF(J2867&lt;=300,"4. De 200 a 300 m",IF(J2867&lt;=500,"5. De 300 a 500 m","6. De 500 m a 2 km"))))))</f>
        <v>7. Acima de 2 km</v>
      </c>
      <c r="L2867" s="26" t="n">
        <v>0</v>
      </c>
      <c r="M2867" s="26" t="n">
        <v>0</v>
      </c>
      <c r="N2867" s="26" t="n">
        <v>0</v>
      </c>
      <c r="O2867" s="26" t="n">
        <v>0</v>
      </c>
      <c r="P2867" s="30" t="n">
        <v>-12.9949</v>
      </c>
      <c r="Q2867" s="30" t="n">
        <v>-38.7003283</v>
      </c>
      <c r="R2867" s="14" t="inlineStr">
        <is>
          <t>RUA DOUTOR ANTONIO CALMON, S/N - CENTRO. FÓRUM ELEITORAL DE ITAPARICA. CEP.: 44.460-000. ITAPARICA-BAHIA</t>
        </is>
      </c>
      <c r="S2867" s="26">
        <f>IF(A2867=A2866,0,1)</f>
        <v>0</v>
      </c>
      <c r="T2867" s="26">
        <f>IF(COUNTIF($B$4:B2867,B2867)=1,1,0)</f>
        <v>0</v>
      </c>
    </row>
    <row r="2868">
      <c r="A2868" s="14" t="inlineStr">
        <is>
          <t>VERA CRUZ</t>
        </is>
      </c>
      <c r="B2868" s="26" t="n">
        <v>141</v>
      </c>
      <c r="C2868" s="26" t="n">
        <v>1082</v>
      </c>
      <c r="D2868" s="14" t="inlineStr">
        <is>
          <t>COLEGIO JUVENAL GALVÃO</t>
        </is>
      </c>
      <c r="E2868" s="14" t="inlineStr">
        <is>
          <t>DISTRITO DE MATARANDIBA</t>
        </is>
      </c>
      <c r="F2868" s="14" t="inlineStr">
        <is>
          <t>RUA BEIRA MAR S/N. - ZONA RURAL</t>
        </is>
      </c>
      <c r="G2868" s="27" t="inlineStr">
        <is>
          <t>44470-000</t>
        </is>
      </c>
      <c r="H2868" s="15" t="n">
        <v>2</v>
      </c>
      <c r="I2868" s="28" t="inlineStr">
        <is>
          <t>NÃO</t>
        </is>
      </c>
      <c r="J2868" s="29" t="n"/>
      <c r="K2868" s="14" t="str">
        <f>IF(J2868="","7. Acima de 2 km",IF(J2868&lt;=50,"1. Até 50 m",IF(J2868&lt;=100,"2. De 50 a 100 m",IF(J2868&lt;=200,"3. De 100 a 200 m",IF(J2868&lt;=300,"4. De 200 a 300 m",IF(J2868&lt;=500,"5. De 300 a 500 m","6. De 500 m a 2 km"))))))</f>
        <v>7. Acima de 2 km</v>
      </c>
      <c r="L2868" s="26" t="n">
        <v>0</v>
      </c>
      <c r="M2868" s="26" t="n">
        <v>0</v>
      </c>
      <c r="N2868" s="26" t="n">
        <v>0</v>
      </c>
      <c r="O2868" s="26" t="n">
        <v>0</v>
      </c>
      <c r="P2868" s="30" t="n">
        <v>-13.0061143</v>
      </c>
      <c r="Q2868" s="30" t="n">
        <v>-38.7687602</v>
      </c>
      <c r="R2868" s="14" t="inlineStr">
        <is>
          <t>RUA DOUTOR ANTONIO CALMON, S/N - CENTRO. FÓRUM ELEITORAL DE ITAPARICA. CEP.: 44.460-000. ITAPARICA-BAHIA</t>
        </is>
      </c>
      <c r="S2868" s="26">
        <f>IF(A2868=A2867,0,1)</f>
        <v>0</v>
      </c>
      <c r="T2868" s="26">
        <f>IF(COUNTIF($B$4:B2868,B2868)=1,1,0)</f>
        <v>0</v>
      </c>
    </row>
    <row r="2869">
      <c r="A2869" s="14" t="inlineStr">
        <is>
          <t>VERA CRUZ</t>
        </is>
      </c>
      <c r="B2869" s="26" t="n">
        <v>141</v>
      </c>
      <c r="C2869" s="26" t="n">
        <v>1090</v>
      </c>
      <c r="D2869" s="14" t="inlineStr">
        <is>
          <t>COLÉGIO MUNICIPAL DÁULIA ANGÉLICA</t>
        </is>
      </c>
      <c r="E2869" s="14" t="inlineStr">
        <is>
          <t>DISTRITO DE BARRA DO GIL</t>
        </is>
      </c>
      <c r="F2869" s="14" t="inlineStr">
        <is>
          <t>RODOVIA BA 001 KM 09, S/N. - ZONA RURAL</t>
        </is>
      </c>
      <c r="G2869" s="27" t="inlineStr">
        <is>
          <t>44470-000</t>
        </is>
      </c>
      <c r="H2869" s="15" t="n">
        <v>8</v>
      </c>
      <c r="I2869" s="28" t="inlineStr">
        <is>
          <t>NÃO</t>
        </is>
      </c>
      <c r="J2869" s="29" t="n">
        <v>324</v>
      </c>
      <c r="K2869" s="14" t="str">
        <f>IF(J2869="","7. Acima de 2 km",IF(J2869&lt;=50,"1. Até 50 m",IF(J2869&lt;=100,"2. De 50 a 100 m",IF(J2869&lt;=200,"3. De 100 a 200 m",IF(J2869&lt;=300,"4. De 200 a 300 m",IF(J2869&lt;=500,"5. De 300 a 500 m","6. De 500 m a 2 km"))))))</f>
        <v>5. De 300 a 500 m</v>
      </c>
      <c r="L2869" s="26" t="n">
        <v>0</v>
      </c>
      <c r="M2869" s="26" t="n">
        <v>0</v>
      </c>
      <c r="N2869" s="26" t="n">
        <v>0</v>
      </c>
      <c r="O2869" s="26" t="n">
        <v>0</v>
      </c>
      <c r="P2869" s="30" t="n">
        <v>-12.9945704</v>
      </c>
      <c r="Q2869" s="30" t="n">
        <v>-38.6379472</v>
      </c>
      <c r="R2869" s="14" t="inlineStr">
        <is>
          <t>RUA DOUTOR ANTONIO CALMON, S/N - CENTRO. FÓRUM ELEITORAL DE ITAPARICA. CEP.: 44.460-000. ITAPARICA-BAHIA</t>
        </is>
      </c>
      <c r="S2869" s="26">
        <f>IF(A2869=A2868,0,1)</f>
        <v>0</v>
      </c>
      <c r="T2869" s="26">
        <f>IF(COUNTIF($B$4:B2869,B2869)=1,1,0)</f>
        <v>0</v>
      </c>
    </row>
    <row r="2870">
      <c r="A2870" s="14" t="inlineStr">
        <is>
          <t>VERA CRUZ</t>
        </is>
      </c>
      <c r="B2870" s="26" t="n">
        <v>141</v>
      </c>
      <c r="C2870" s="26" t="n">
        <v>1112</v>
      </c>
      <c r="D2870" s="14" t="inlineStr">
        <is>
          <t>ESCOLA MUNICIPAL GUILHERME FRANCO GUIMARÃES</t>
        </is>
      </c>
      <c r="E2870" s="14" t="inlineStr">
        <is>
          <t>DISTRITO DE BARRA GRANDE</t>
        </is>
      </c>
      <c r="F2870" s="14" t="inlineStr">
        <is>
          <t>RUA DO CAMPO S/N - ZONA RURAL</t>
        </is>
      </c>
      <c r="G2870" s="27" t="inlineStr">
        <is>
          <t>44470-000</t>
        </is>
      </c>
      <c r="H2870" s="15" t="n">
        <v>6</v>
      </c>
      <c r="I2870" s="28" t="inlineStr">
        <is>
          <t>NÃO</t>
        </is>
      </c>
      <c r="J2870" s="29" t="n">
        <v>1997.3</v>
      </c>
      <c r="K2870" s="14" t="str">
        <f>IF(J2870="","7. Acima de 2 km",IF(J2870&lt;=50,"1. Até 50 m",IF(J2870&lt;=100,"2. De 50 a 100 m",IF(J2870&lt;=200,"3. De 100 a 200 m",IF(J2870&lt;=300,"4. De 200 a 300 m",IF(J2870&lt;=500,"5. De 300 a 500 m","6. De 500 m a 2 km"))))))</f>
        <v>6. De 500 m a 2 km</v>
      </c>
      <c r="L2870" s="26" t="n">
        <v>0</v>
      </c>
      <c r="M2870" s="26" t="n">
        <v>0</v>
      </c>
      <c r="N2870" s="26" t="n">
        <v>0</v>
      </c>
      <c r="O2870" s="26" t="n">
        <v>0</v>
      </c>
      <c r="P2870" s="30" t="n">
        <v>-13.0412866</v>
      </c>
      <c r="Q2870" s="30" t="n">
        <v>-38.6795547</v>
      </c>
      <c r="R2870" s="14" t="inlineStr">
        <is>
          <t>RUA DOUTOR ANTONIO CALMON, S/N - CENTRO. FÓRUM ELEITORAL DE ITAPARICA. CEP.: 44.460-000. ITAPARICA-BAHIA</t>
        </is>
      </c>
      <c r="S2870" s="26">
        <f>IF(A2870=A2869,0,1)</f>
        <v>0</v>
      </c>
      <c r="T2870" s="26">
        <f>IF(COUNTIF($B$4:B2870,B2870)=1,1,0)</f>
        <v>0</v>
      </c>
    </row>
    <row r="2871">
      <c r="A2871" s="14" t="inlineStr">
        <is>
          <t>VERA CRUZ</t>
        </is>
      </c>
      <c r="B2871" s="26" t="n">
        <v>141</v>
      </c>
      <c r="C2871" s="26" t="n">
        <v>1120</v>
      </c>
      <c r="D2871" s="14" t="inlineStr">
        <is>
          <t>ESCOLA MUNICIPAL IVANDITE PIRES MIRANDA COSTA</t>
        </is>
      </c>
      <c r="E2871" s="14" t="inlineStr">
        <is>
          <t>DISTRITO DE BARRA GRANDE</t>
        </is>
      </c>
      <c r="F2871" s="14" t="inlineStr">
        <is>
          <t>RUA NOVA, S/N - ZONA RURAL</t>
        </is>
      </c>
      <c r="G2871" s="27" t="inlineStr">
        <is>
          <t>44470-000</t>
        </is>
      </c>
      <c r="H2871" s="15" t="n">
        <v>2</v>
      </c>
      <c r="I2871" s="28" t="inlineStr">
        <is>
          <t>NÃO</t>
        </is>
      </c>
      <c r="J2871" s="29" t="n">
        <v>1827.4</v>
      </c>
      <c r="K2871" s="14" t="str">
        <f>IF(J2871="","7. Acima de 2 km",IF(J2871&lt;=50,"1. Até 50 m",IF(J2871&lt;=100,"2. De 50 a 100 m",IF(J2871&lt;=200,"3. De 100 a 200 m",IF(J2871&lt;=300,"4. De 200 a 300 m",IF(J2871&lt;=500,"5. De 300 a 500 m","6. De 500 m a 2 km"))))))</f>
        <v>6. De 500 m a 2 km</v>
      </c>
      <c r="L2871" s="26" t="n">
        <v>0</v>
      </c>
      <c r="M2871" s="26" t="n">
        <v>0</v>
      </c>
      <c r="N2871" s="26" t="n">
        <v>0</v>
      </c>
      <c r="O2871" s="26" t="n">
        <v>0</v>
      </c>
      <c r="P2871" s="30" t="n">
        <v>-13.0409768</v>
      </c>
      <c r="Q2871" s="30" t="n">
        <v>-38.6777662</v>
      </c>
      <c r="R2871" s="14" t="inlineStr">
        <is>
          <t>RUA DOUTOR ANTONIO CALMON, S/N - CENTRO. FÓRUM ELEITORAL DE ITAPARICA. CEP.: 44.460-000. ITAPARICA-BAHIA</t>
        </is>
      </c>
      <c r="S2871" s="26">
        <f>IF(A2871=A2870,0,1)</f>
        <v>0</v>
      </c>
      <c r="T2871" s="26">
        <f>IF(COUNTIF($B$4:B2871,B2871)=1,1,0)</f>
        <v>0</v>
      </c>
    </row>
    <row r="2872">
      <c r="A2872" s="14" t="inlineStr">
        <is>
          <t>VERA CRUZ</t>
        </is>
      </c>
      <c r="B2872" s="26" t="n">
        <v>141</v>
      </c>
      <c r="C2872" s="26" t="n">
        <v>1139</v>
      </c>
      <c r="D2872" s="14" t="inlineStr">
        <is>
          <t>CRECHE DE JIRIBATUBA</t>
        </is>
      </c>
      <c r="E2872" s="14" t="inlineStr">
        <is>
          <t>DISTRITO DE JIRIBATUBA</t>
        </is>
      </c>
      <c r="F2872" s="14" t="inlineStr">
        <is>
          <t>RUA DO FOGO, S/N. - ZONA URBANA</t>
        </is>
      </c>
      <c r="G2872" s="27" t="inlineStr">
        <is>
          <t>44470-000</t>
        </is>
      </c>
      <c r="H2872" s="15" t="n">
        <v>2</v>
      </c>
      <c r="I2872" s="28" t="inlineStr">
        <is>
          <t>NÃO</t>
        </is>
      </c>
      <c r="J2872" s="29" t="n">
        <v>154.7</v>
      </c>
      <c r="K2872" s="14" t="str">
        <f>IF(J2872="","7. Acima de 2 km",IF(J2872&lt;=50,"1. Até 50 m",IF(J2872&lt;=100,"2. De 50 a 100 m",IF(J2872&lt;=200,"3. De 100 a 200 m",IF(J2872&lt;=300,"4. De 200 a 300 m",IF(J2872&lt;=500,"5. De 300 a 500 m","6. De 500 m a 2 km"))))))</f>
        <v>3. De 100 a 200 m</v>
      </c>
      <c r="L2872" s="26" t="n">
        <v>0</v>
      </c>
      <c r="M2872" s="26" t="n">
        <v>0</v>
      </c>
      <c r="N2872" s="26" t="n">
        <v>1</v>
      </c>
      <c r="O2872" s="26" t="n">
        <v>1</v>
      </c>
      <c r="P2872" s="30" t="n">
        <v>-13.0637844</v>
      </c>
      <c r="Q2872" s="30" t="n">
        <v>-38.796785</v>
      </c>
      <c r="R2872" s="14" t="inlineStr">
        <is>
          <t>RUA DOUTOR ANTONIO CALMON, S/N - CENTRO. FÓRUM ELEITORAL DE ITAPARICA. CEP.: 44.460-000. ITAPARICA-BAHIA</t>
        </is>
      </c>
      <c r="S2872" s="26">
        <f>IF(A2872=A2871,0,1)</f>
        <v>0</v>
      </c>
      <c r="T2872" s="26">
        <f>IF(COUNTIF($B$4:B2872,B2872)=1,1,0)</f>
        <v>0</v>
      </c>
    </row>
    <row r="2873">
      <c r="A2873" s="14" t="inlineStr">
        <is>
          <t>VERA CRUZ</t>
        </is>
      </c>
      <c r="B2873" s="26" t="n">
        <v>141</v>
      </c>
      <c r="C2873" s="26" t="n">
        <v>1147</v>
      </c>
      <c r="D2873" s="14" t="inlineStr">
        <is>
          <t>ESCOLA MUNICIPAL NARCISO FRANCISCO DE PINHO</t>
        </is>
      </c>
      <c r="E2873" s="14" t="inlineStr">
        <is>
          <t>DISTRITO DE JIRIBATUBA</t>
        </is>
      </c>
      <c r="F2873" s="14" t="inlineStr">
        <is>
          <t>RUA DAS FLORES, S/N. - ZONA URBANA</t>
        </is>
      </c>
      <c r="G2873" s="27" t="inlineStr">
        <is>
          <t>44470-000</t>
        </is>
      </c>
      <c r="H2873" s="15" t="n">
        <v>4</v>
      </c>
      <c r="I2873" s="28" t="inlineStr">
        <is>
          <t>NÃO</t>
        </is>
      </c>
      <c r="J2873" s="29" t="n">
        <v>123.4</v>
      </c>
      <c r="K2873" s="14" t="str">
        <f>IF(J2873="","7. Acima de 2 km",IF(J2873&lt;=50,"1. Até 50 m",IF(J2873&lt;=100,"2. De 50 a 100 m",IF(J2873&lt;=200,"3. De 100 a 200 m",IF(J2873&lt;=300,"4. De 200 a 300 m",IF(J2873&lt;=500,"5. De 300 a 500 m","6. De 500 m a 2 km"))))))</f>
        <v>3. De 100 a 200 m</v>
      </c>
      <c r="L2873" s="26" t="n">
        <v>0</v>
      </c>
      <c r="M2873" s="26" t="n">
        <v>0</v>
      </c>
      <c r="N2873" s="26" t="n">
        <v>1</v>
      </c>
      <c r="O2873" s="26" t="n">
        <v>1</v>
      </c>
      <c r="P2873" s="30" t="n">
        <v>-13.0614347</v>
      </c>
      <c r="Q2873" s="30" t="n">
        <v>-38.7965898</v>
      </c>
      <c r="R2873" s="14" t="inlineStr">
        <is>
          <t>RUA DOUTOR ANTONIO CALMON, S/N - CENTRO. FÓRUM ELEITORAL DE ITAPARICA. CEP.: 44.460-000. ITAPARICA-BAHIA</t>
        </is>
      </c>
      <c r="S2873" s="26">
        <f>IF(A2873=A2872,0,1)</f>
        <v>0</v>
      </c>
      <c r="T2873" s="26">
        <f>IF(COUNTIF($B$4:B2873,B2873)=1,1,0)</f>
        <v>0</v>
      </c>
    </row>
    <row r="2874">
      <c r="A2874" s="14" t="inlineStr">
        <is>
          <t>VERA CRUZ</t>
        </is>
      </c>
      <c r="B2874" s="26" t="n">
        <v>141</v>
      </c>
      <c r="C2874" s="26" t="n">
        <v>1163</v>
      </c>
      <c r="D2874" s="14" t="inlineStr">
        <is>
          <t>ESCOLA JURACY MAGALHÃES JÚNIOR</t>
        </is>
      </c>
      <c r="E2874" s="14" t="inlineStr">
        <is>
          <t>DISTRITO DE CACHA PREGOS</t>
        </is>
      </c>
      <c r="F2874" s="14" t="inlineStr">
        <is>
          <t>AVENIDA BEIRA MAR, S/N. - ZONA RURAL</t>
        </is>
      </c>
      <c r="G2874" s="27" t="inlineStr">
        <is>
          <t>44470-000</t>
        </is>
      </c>
      <c r="H2874" s="15" t="n">
        <v>5</v>
      </c>
      <c r="I2874" s="28" t="inlineStr">
        <is>
          <t>NÃO</t>
        </is>
      </c>
      <c r="J2874" s="29" t="n">
        <v>936.5</v>
      </c>
      <c r="K2874" s="14" t="str">
        <f>IF(J2874="","7. Acima de 2 km",IF(J2874&lt;=50,"1. Até 50 m",IF(J2874&lt;=100,"2. De 50 a 100 m",IF(J2874&lt;=200,"3. De 100 a 200 m",IF(J2874&lt;=300,"4. De 200 a 300 m",IF(J2874&lt;=500,"5. De 300 a 500 m","6. De 500 m a 2 km"))))))</f>
        <v>6. De 500 m a 2 km</v>
      </c>
      <c r="L2874" s="26" t="n">
        <v>0</v>
      </c>
      <c r="M2874" s="26" t="n">
        <v>0</v>
      </c>
      <c r="N2874" s="26" t="n">
        <v>0</v>
      </c>
      <c r="O2874" s="26" t="n">
        <v>0</v>
      </c>
      <c r="P2874" s="30" t="n">
        <v>-13.12025</v>
      </c>
      <c r="Q2874" s="30" t="n">
        <v>-38.7954433</v>
      </c>
      <c r="R2874" s="14" t="inlineStr">
        <is>
          <t>RUA DOUTOR ANTONIO CALMON, S/N - CENTRO. FÓRUM ELEITORAL DE ITAPARICA. CEP.: 44.460-000. ITAPARICA-BAHIA</t>
        </is>
      </c>
      <c r="S2874" s="26">
        <f>IF(A2874=A2873,0,1)</f>
        <v>0</v>
      </c>
      <c r="T2874" s="26">
        <f>IF(COUNTIF($B$4:B2874,B2874)=1,1,0)</f>
        <v>0</v>
      </c>
    </row>
    <row r="2875">
      <c r="A2875" s="14" t="inlineStr">
        <is>
          <t>VERA CRUZ</t>
        </is>
      </c>
      <c r="B2875" s="26" t="n">
        <v>141</v>
      </c>
      <c r="C2875" s="26" t="n">
        <v>1180</v>
      </c>
      <c r="D2875" s="14" t="inlineStr">
        <is>
          <t>ESCOLA MUNICIPAL JOAQUIM BARRETO DE ARAÚJO</t>
        </is>
      </c>
      <c r="E2875" s="14" t="inlineStr">
        <is>
          <t>ILHOTA</t>
        </is>
      </c>
      <c r="F2875" s="14" t="inlineStr">
        <is>
          <t>RUA ALTO DO CRUZEIRO S/N - ZONA URBANA</t>
        </is>
      </c>
      <c r="G2875" s="27" t="inlineStr">
        <is>
          <t>44470-000</t>
        </is>
      </c>
      <c r="H2875" s="15" t="n">
        <v>3</v>
      </c>
      <c r="I2875" s="28" t="inlineStr">
        <is>
          <t>NÃO</t>
        </is>
      </c>
      <c r="J2875" s="29" t="n">
        <v>506.8</v>
      </c>
      <c r="K2875" s="14" t="str">
        <f>IF(J2875="","7. Acima de 2 km",IF(J2875&lt;=50,"1. Até 50 m",IF(J2875&lt;=100,"2. De 50 a 100 m",IF(J2875&lt;=200,"3. De 100 a 200 m",IF(J2875&lt;=300,"4. De 200 a 300 m",IF(J2875&lt;=500,"5. De 300 a 500 m","6. De 500 m a 2 km"))))))</f>
        <v>6. De 500 m a 2 km</v>
      </c>
      <c r="L2875" s="26" t="n">
        <v>0</v>
      </c>
      <c r="M2875" s="26" t="n">
        <v>0</v>
      </c>
      <c r="N2875" s="26" t="n">
        <v>0</v>
      </c>
      <c r="O2875" s="26" t="n">
        <v>0</v>
      </c>
      <c r="P2875" s="30" t="n">
        <v>-12.9676782</v>
      </c>
      <c r="Q2875" s="30" t="n">
        <v>-38.6141027</v>
      </c>
      <c r="R2875" s="14" t="inlineStr">
        <is>
          <t>RUA DOUTOR ANTONIO CALMON, S/N - CENTRO. FÓRUM ELEITORAL DE ITAPARICA. CEP.: 44.460-000. ITAPARICA-BAHIA</t>
        </is>
      </c>
      <c r="S2875" s="26">
        <f>IF(A2875=A2874,0,1)</f>
        <v>0</v>
      </c>
      <c r="T2875" s="26">
        <f>IF(COUNTIF($B$4:B2875,B2875)=1,1,0)</f>
        <v>0</v>
      </c>
    </row>
    <row r="2876">
      <c r="A2876" s="14" t="inlineStr">
        <is>
          <t>VERA CRUZ</t>
        </is>
      </c>
      <c r="B2876" s="26" t="n">
        <v>141</v>
      </c>
      <c r="C2876" s="26" t="n">
        <v>1198</v>
      </c>
      <c r="D2876" s="14" t="inlineStr">
        <is>
          <t>SEDE SOCIAL DE CATU</t>
        </is>
      </c>
      <c r="E2876" s="14" t="inlineStr">
        <is>
          <t>DISTRITO DE CATU</t>
        </is>
      </c>
      <c r="F2876" s="14" t="inlineStr">
        <is>
          <t>RUA DAS COROAS, S/N. - ZONA RURAL</t>
        </is>
      </c>
      <c r="G2876" s="27" t="inlineStr">
        <is>
          <t>44470-000</t>
        </is>
      </c>
      <c r="H2876" s="15" t="n">
        <v>1</v>
      </c>
      <c r="I2876" s="28" t="inlineStr">
        <is>
          <t>NÃO</t>
        </is>
      </c>
      <c r="J2876" s="29" t="n"/>
      <c r="K2876" s="14" t="str">
        <f>IF(J2876="","7. Acima de 2 km",IF(J2876&lt;=50,"1. Até 50 m",IF(J2876&lt;=100,"2. De 50 a 100 m",IF(J2876&lt;=200,"3. De 100 a 200 m",IF(J2876&lt;=300,"4. De 200 a 300 m",IF(J2876&lt;=500,"5. De 300 a 500 m","6. De 500 m a 2 km"))))))</f>
        <v>7. Acima de 2 km</v>
      </c>
      <c r="L2876" s="26" t="n">
        <v>0</v>
      </c>
      <c r="M2876" s="26" t="n">
        <v>0</v>
      </c>
      <c r="N2876" s="26" t="n">
        <v>0</v>
      </c>
      <c r="O2876" s="26" t="n">
        <v>0</v>
      </c>
      <c r="P2876" s="30" t="n">
        <v>-13.104145</v>
      </c>
      <c r="Q2876" s="30" t="n">
        <v>-38.7920033</v>
      </c>
      <c r="R2876" s="14" t="inlineStr">
        <is>
          <t>RUA DOUTOR ANTONIO CALMON, S/N - CENTRO. FÓRUM ELEITORAL DE ITAPARICA. CEP.: 44.460-000. ITAPARICA-BAHIA</t>
        </is>
      </c>
      <c r="S2876" s="26">
        <f>IF(A2876=A2875,0,1)</f>
        <v>0</v>
      </c>
      <c r="T2876" s="26">
        <f>IF(COUNTIF($B$4:B2876,B2876)=1,1,0)</f>
        <v>0</v>
      </c>
    </row>
    <row r="2877">
      <c r="A2877" s="14" t="inlineStr">
        <is>
          <t>VERA CRUZ</t>
        </is>
      </c>
      <c r="B2877" s="26" t="n">
        <v>141</v>
      </c>
      <c r="C2877" s="26" t="n">
        <v>1201</v>
      </c>
      <c r="D2877" s="14" t="inlineStr">
        <is>
          <t>ESCOLA AURELIANO AZEVEDO MONTEIRO</t>
        </is>
      </c>
      <c r="E2877" s="14" t="inlineStr">
        <is>
          <t>DISTRITO DE ARATUBA</t>
        </is>
      </c>
      <c r="F2877" s="14" t="inlineStr">
        <is>
          <t>AVENIDA BEIRA MAR, S/N. - ZONA URBANA</t>
        </is>
      </c>
      <c r="G2877" s="27" t="inlineStr">
        <is>
          <t>44470-000</t>
        </is>
      </c>
      <c r="H2877" s="15" t="n">
        <v>3</v>
      </c>
      <c r="I2877" s="28" t="inlineStr">
        <is>
          <t>NÃO</t>
        </is>
      </c>
      <c r="J2877" s="29" t="n"/>
      <c r="K2877" s="14" t="str">
        <f>IF(J2877="","7. Acima de 2 km",IF(J2877&lt;=50,"1. Até 50 m",IF(J2877&lt;=100,"2. De 50 a 100 m",IF(J2877&lt;=200,"3. De 100 a 200 m",IF(J2877&lt;=300,"4. De 200 a 300 m",IF(J2877&lt;=500,"5. De 300 a 500 m","6. De 500 m a 2 km"))))))</f>
        <v>7. Acima de 2 km</v>
      </c>
      <c r="L2877" s="26" t="n">
        <v>0</v>
      </c>
      <c r="M2877" s="26" t="n">
        <v>0</v>
      </c>
      <c r="N2877" s="26" t="n">
        <v>0</v>
      </c>
      <c r="O2877" s="26" t="n">
        <v>0</v>
      </c>
      <c r="P2877" s="30" t="n">
        <v>-13.0935967</v>
      </c>
      <c r="Q2877" s="30" t="n">
        <v>-38.74867</v>
      </c>
      <c r="R2877" s="14" t="inlineStr">
        <is>
          <t>RUA DOUTOR ANTONIO CALMON, S/N - CENTRO. FÓRUM ELEITORAL DE ITAPARICA. CEP.: 44.460-000. ITAPARICA-BAHIA</t>
        </is>
      </c>
      <c r="S2877" s="26">
        <f>IF(A2877=A2876,0,1)</f>
        <v>0</v>
      </c>
      <c r="T2877" s="26">
        <f>IF(COUNTIF($B$4:B2877,B2877)=1,1,0)</f>
        <v>0</v>
      </c>
    </row>
    <row r="2878">
      <c r="A2878" s="14" t="inlineStr">
        <is>
          <t>VERA CRUZ</t>
        </is>
      </c>
      <c r="B2878" s="26" t="n">
        <v>141</v>
      </c>
      <c r="C2878" s="26" t="n">
        <v>1210</v>
      </c>
      <c r="D2878" s="14" t="inlineStr">
        <is>
          <t>ESCOLA PADRE IGNÁCIO ALVES PEREIRA</t>
        </is>
      </c>
      <c r="E2878" s="14" t="inlineStr">
        <is>
          <t>DISTRITO DE CONCEIÇÃO</t>
        </is>
      </c>
      <c r="F2878" s="14" t="inlineStr">
        <is>
          <t>RUA DO CAMPO S/N - ZONA RURAL</t>
        </is>
      </c>
      <c r="G2878" s="27" t="inlineStr">
        <is>
          <t>44470-000</t>
        </is>
      </c>
      <c r="H2878" s="15" t="n">
        <v>4</v>
      </c>
      <c r="I2878" s="28" t="inlineStr">
        <is>
          <t>NÃO</t>
        </is>
      </c>
      <c r="J2878" s="29" t="n">
        <v>342.2</v>
      </c>
      <c r="K2878" s="14" t="str">
        <f>IF(J2878="","7. Acima de 2 km",IF(J2878&lt;=50,"1. Até 50 m",IF(J2878&lt;=100,"2. De 50 a 100 m",IF(J2878&lt;=200,"3. De 100 a 200 m",IF(J2878&lt;=300,"4. De 200 a 300 m",IF(J2878&lt;=500,"5. De 300 a 500 m","6. De 500 m a 2 km"))))))</f>
        <v>5. De 300 a 500 m</v>
      </c>
      <c r="L2878" s="26" t="n">
        <v>0</v>
      </c>
      <c r="M2878" s="26" t="n">
        <v>0</v>
      </c>
      <c r="N2878" s="26" t="n">
        <v>0</v>
      </c>
      <c r="O2878" s="26" t="n">
        <v>0</v>
      </c>
      <c r="P2878" s="30" t="n">
        <v>-13.0215339</v>
      </c>
      <c r="Q2878" s="30" t="n">
        <v>-38.6514283</v>
      </c>
      <c r="R2878" s="14" t="inlineStr">
        <is>
          <t>RUA DOUTOR ANTONIO CALMON, S/N - CENTRO. FÓRUM ELEITORAL DE ITAPARICA. CEP.: 44.460-000. ITAPARICA-BAHIA</t>
        </is>
      </c>
      <c r="S2878" s="26">
        <f>IF(A2878=A2877,0,1)</f>
        <v>0</v>
      </c>
      <c r="T2878" s="26">
        <f>IF(COUNTIF($B$4:B2878,B2878)=1,1,0)</f>
        <v>0</v>
      </c>
    </row>
    <row r="2879">
      <c r="A2879" s="14" t="inlineStr">
        <is>
          <t>VERA CRUZ</t>
        </is>
      </c>
      <c r="B2879" s="26" t="n">
        <v>141</v>
      </c>
      <c r="C2879" s="26" t="n">
        <v>1228</v>
      </c>
      <c r="D2879" s="14" t="inlineStr">
        <is>
          <t>ESCOLA MUNICIPAL DE PONTA GROSSA</t>
        </is>
      </c>
      <c r="E2879" s="14" t="inlineStr">
        <is>
          <t>DISTRITO DE PONTA GROSSA</t>
        </is>
      </c>
      <c r="F2879" s="14" t="inlineStr">
        <is>
          <t>RUA DA MANGUEIRA S/N - ZONA RURAL</t>
        </is>
      </c>
      <c r="G2879" s="27" t="inlineStr">
        <is>
          <t>44470-000</t>
        </is>
      </c>
      <c r="H2879" s="15" t="n">
        <v>2</v>
      </c>
      <c r="I2879" s="28" t="inlineStr">
        <is>
          <t>NÃO</t>
        </is>
      </c>
      <c r="J2879" s="29" t="n"/>
      <c r="K2879" s="14" t="str">
        <f>IF(J2879="","7. Acima de 2 km",IF(J2879&lt;=50,"1. Até 50 m",IF(J2879&lt;=100,"2. De 50 a 100 m",IF(J2879&lt;=200,"3. De 100 a 200 m",IF(J2879&lt;=300,"4. De 200 a 300 m",IF(J2879&lt;=500,"5. De 300 a 500 m","6. De 500 m a 2 km"))))))</f>
        <v>7. Acima de 2 km</v>
      </c>
      <c r="L2879" s="26" t="n">
        <v>0</v>
      </c>
      <c r="M2879" s="26" t="n">
        <v>0</v>
      </c>
      <c r="N2879" s="26" t="n">
        <v>0</v>
      </c>
      <c r="O2879" s="26" t="n">
        <v>0</v>
      </c>
      <c r="P2879" s="30" t="n">
        <v>-13.0083647</v>
      </c>
      <c r="Q2879" s="30" t="n">
        <v>-38.7232003</v>
      </c>
      <c r="R2879" s="14" t="inlineStr">
        <is>
          <t>RUA DOUTOR ANTONIO CALMON, S/N - CENTRO. FÓRUM ELEITORAL DE ITAPARICA. CEP.: 44.460-000. ITAPARICA-BAHIA</t>
        </is>
      </c>
      <c r="S2879" s="26">
        <f>IF(A2879=A2878,0,1)</f>
        <v>0</v>
      </c>
      <c r="T2879" s="26">
        <f>IF(COUNTIF($B$4:B2879,B2879)=1,1,0)</f>
        <v>0</v>
      </c>
    </row>
    <row r="2880">
      <c r="A2880" s="14" t="inlineStr">
        <is>
          <t>VERA CRUZ</t>
        </is>
      </c>
      <c r="B2880" s="26" t="n">
        <v>141</v>
      </c>
      <c r="C2880" s="26" t="n">
        <v>1236</v>
      </c>
      <c r="D2880" s="14" t="inlineStr">
        <is>
          <t>COLÉGIO MUNICIPAL DE VERA CRUZ (GINÁSIO DE TAIRU)</t>
        </is>
      </c>
      <c r="E2880" s="14" t="inlineStr">
        <is>
          <t>DISTRITO DE TAIRU</t>
        </is>
      </c>
      <c r="F2880" s="14" t="inlineStr">
        <is>
          <t>ESTRADA DE CACHA-PREGOS, N. 472 - ZONA URBANA</t>
        </is>
      </c>
      <c r="G2880" s="27" t="inlineStr">
        <is>
          <t>44470-000</t>
        </is>
      </c>
      <c r="H2880" s="15" t="n">
        <v>6</v>
      </c>
      <c r="I2880" s="28" t="inlineStr">
        <is>
          <t>NÃO</t>
        </is>
      </c>
      <c r="J2880" s="29" t="n">
        <v>114.9</v>
      </c>
      <c r="K2880" s="14" t="str">
        <f>IF(J2880="","7. Acima de 2 km",IF(J2880&lt;=50,"1. Até 50 m",IF(J2880&lt;=100,"2. De 50 a 100 m",IF(J2880&lt;=200,"3. De 100 a 200 m",IF(J2880&lt;=300,"4. De 200 a 300 m",IF(J2880&lt;=500,"5. De 300 a 500 m","6. De 500 m a 2 km"))))))</f>
        <v>3. De 100 a 200 m</v>
      </c>
      <c r="L2880" s="26" t="n">
        <v>0</v>
      </c>
      <c r="M2880" s="26" t="n">
        <v>0</v>
      </c>
      <c r="N2880" s="26" t="n">
        <v>2</v>
      </c>
      <c r="O2880" s="26" t="n">
        <v>2</v>
      </c>
      <c r="P2880" s="30" t="n">
        <v>-13.0689698</v>
      </c>
      <c r="Q2880" s="30" t="n">
        <v>-38.7306171</v>
      </c>
      <c r="R2880" s="14" t="inlineStr">
        <is>
          <t>RUA DOUTOR ANTONIO CALMON, S/N - CENTRO. FÓRUM ELEITORAL DE ITAPARICA. CEP.: 44.460-000. ITAPARICA-BAHIA</t>
        </is>
      </c>
      <c r="S2880" s="26">
        <f>IF(A2880=A2879,0,1)</f>
        <v>0</v>
      </c>
      <c r="T2880" s="26">
        <f>IF(COUNTIF($B$4:B2880,B2880)=1,1,0)</f>
        <v>0</v>
      </c>
    </row>
    <row r="2881">
      <c r="A2881" s="14" t="inlineStr">
        <is>
          <t>VERA CRUZ</t>
        </is>
      </c>
      <c r="B2881" s="26" t="n">
        <v>141</v>
      </c>
      <c r="C2881" s="26" t="n">
        <v>1252</v>
      </c>
      <c r="D2881" s="14" t="inlineStr">
        <is>
          <t>CENTRO DE EDUCAÇÃO INTEGRAL DA ESCOLA LUÍS EDUARDO MAGALHÃES (OAF)</t>
        </is>
      </c>
      <c r="E2881" s="14" t="inlineStr">
        <is>
          <t>GAMBOA</t>
        </is>
      </c>
      <c r="F2881" s="14" t="inlineStr">
        <is>
          <t xml:space="preserve">RUA DAS MANGUEIRAS S/N - ZONA URBANA </t>
        </is>
      </c>
      <c r="G2881" s="27" t="inlineStr">
        <is>
          <t>44470-000</t>
        </is>
      </c>
      <c r="H2881" s="15" t="n">
        <v>4</v>
      </c>
      <c r="I2881" s="28" t="inlineStr">
        <is>
          <t>NÃO</t>
        </is>
      </c>
      <c r="J2881" s="29" t="n">
        <v>207</v>
      </c>
      <c r="K2881" s="14" t="str">
        <f>IF(J2881="","7. Acima de 2 km",IF(J2881&lt;=50,"1. Até 50 m",IF(J2881&lt;=100,"2. De 50 a 100 m",IF(J2881&lt;=200,"3. De 100 a 200 m",IF(J2881&lt;=300,"4. De 200 a 300 m",IF(J2881&lt;=500,"5. De 300 a 500 m","6. De 500 m a 2 km"))))))</f>
        <v>4. De 200 a 300 m</v>
      </c>
      <c r="L2881" s="26" t="n">
        <v>0</v>
      </c>
      <c r="M2881" s="26" t="n">
        <v>0</v>
      </c>
      <c r="N2881" s="26" t="n">
        <v>0</v>
      </c>
      <c r="O2881" s="26" t="n">
        <v>2</v>
      </c>
      <c r="P2881" s="30" t="n">
        <v>-12.9759787</v>
      </c>
      <c r="Q2881" s="30" t="n">
        <v>-38.6186635</v>
      </c>
      <c r="R2881" s="14" t="inlineStr">
        <is>
          <t>RUA DOUTOR ANTONIO CALMON, S/N - CENTRO. FÓRUM ELEITORAL DE ITAPARICA. CEP.: 44.460-000. ITAPARICA-BAHIA</t>
        </is>
      </c>
      <c r="S2881" s="26">
        <f>IF(A2881=A2880,0,1)</f>
        <v>0</v>
      </c>
      <c r="T2881" s="26">
        <f>IF(COUNTIF($B$4:B2881,B2881)=1,1,0)</f>
        <v>0</v>
      </c>
    </row>
    <row r="2882">
      <c r="A2882" s="14" t="inlineStr">
        <is>
          <t>VERA CRUZ</t>
        </is>
      </c>
      <c r="B2882" s="26" t="n">
        <v>141</v>
      </c>
      <c r="C2882" s="26" t="n">
        <v>1260</v>
      </c>
      <c r="D2882" s="14" t="inlineStr">
        <is>
          <t>SEDE SOCIAL DE CONCEIÇÃO</t>
        </is>
      </c>
      <c r="E2882" s="14" t="inlineStr">
        <is>
          <t>DISTRITO DE CONCEIÇÃO</t>
        </is>
      </c>
      <c r="F2882" s="14" t="inlineStr">
        <is>
          <t xml:space="preserve">RUA DIRETA DA CONCEIÇÃO S/N - ZONA RURAL </t>
        </is>
      </c>
      <c r="G2882" s="27" t="inlineStr">
        <is>
          <t>44470-000</t>
        </is>
      </c>
      <c r="H2882" s="15" t="n">
        <v>1</v>
      </c>
      <c r="I2882" s="28" t="inlineStr">
        <is>
          <t>NÃO</t>
        </is>
      </c>
      <c r="J2882" s="29" t="n">
        <v>552.4</v>
      </c>
      <c r="K2882" s="14" t="str">
        <f>IF(J2882="","7. Acima de 2 km",IF(J2882&lt;=50,"1. Até 50 m",IF(J2882&lt;=100,"2. De 50 a 100 m",IF(J2882&lt;=200,"3. De 100 a 200 m",IF(J2882&lt;=300,"4. De 200 a 300 m",IF(J2882&lt;=500,"5. De 300 a 500 m","6. De 500 m a 2 km"))))))</f>
        <v>6. De 500 m a 2 km</v>
      </c>
      <c r="L2882" s="26" t="n">
        <v>0</v>
      </c>
      <c r="M2882" s="26" t="n">
        <v>0</v>
      </c>
      <c r="N2882" s="26" t="n">
        <v>0</v>
      </c>
      <c r="O2882" s="26" t="n">
        <v>0</v>
      </c>
      <c r="P2882" s="30" t="n">
        <v>-13.0216117</v>
      </c>
      <c r="Q2882" s="30" t="n">
        <v>-38.6486333</v>
      </c>
      <c r="R2882" s="14" t="inlineStr">
        <is>
          <t>RUA DOUTOR ANTONIO CALMON, S/N - CENTRO. FÓRUM ELEITORAL DE ITAPARICA. CEP.: 44.460-000. ITAPARICA-BAHIA</t>
        </is>
      </c>
      <c r="S2882" s="26">
        <f>IF(A2882=A2881,0,1)</f>
        <v>0</v>
      </c>
      <c r="T2882" s="26">
        <f>IF(COUNTIF($B$4:B2882,B2882)=1,1,0)</f>
        <v>0</v>
      </c>
    </row>
    <row r="2883">
      <c r="A2883" s="14" t="inlineStr">
        <is>
          <t>VERA CRUZ</t>
        </is>
      </c>
      <c r="B2883" s="26" t="n">
        <v>141</v>
      </c>
      <c r="C2883" s="26" t="n">
        <v>1287</v>
      </c>
      <c r="D2883" s="14" t="inlineStr">
        <is>
          <t>ESCOLA MUNICIPAL GEZILDA ALVES DE SOUZA</t>
        </is>
      </c>
      <c r="E2883" s="14" t="inlineStr">
        <is>
          <t>DISTRITO DE CAMPINAS</t>
        </is>
      </c>
      <c r="F2883" s="14" t="inlineStr">
        <is>
          <t>RUA DIRETA DE CAMPINAS S/N - ZONA RURAL</t>
        </is>
      </c>
      <c r="G2883" s="27" t="inlineStr">
        <is>
          <t>44470-000</t>
        </is>
      </c>
      <c r="H2883" s="15" t="n">
        <v>1</v>
      </c>
      <c r="I2883" s="28" t="inlineStr">
        <is>
          <t>NÃO</t>
        </is>
      </c>
      <c r="J2883" s="29" t="n"/>
      <c r="K2883" s="14" t="str">
        <f>IF(J2883="","7. Acima de 2 km",IF(J2883&lt;=50,"1. Até 50 m",IF(J2883&lt;=100,"2. De 50 a 100 m",IF(J2883&lt;=200,"3. De 100 a 200 m",IF(J2883&lt;=300,"4. De 200 a 300 m",IF(J2883&lt;=500,"5. De 300 a 500 m","6. De 500 m a 2 km"))))))</f>
        <v>7. Acima de 2 km</v>
      </c>
      <c r="L2883" s="26" t="n">
        <v>0</v>
      </c>
      <c r="M2883" s="26" t="n">
        <v>0</v>
      </c>
      <c r="N2883" s="26" t="n">
        <v>0</v>
      </c>
      <c r="O2883" s="26" t="n">
        <v>0</v>
      </c>
      <c r="P2883" s="30" t="n">
        <v>-13.0355833</v>
      </c>
      <c r="Q2883" s="30" t="n">
        <v>-38.7197217</v>
      </c>
      <c r="R2883" s="14" t="inlineStr">
        <is>
          <t>RUA DOUTOR ANTONIO CALMON, S/N - CENTRO. FÓRUM ELEITORAL DE ITAPARICA. CEP.: 44.460-000. ITAPARICA-BAHIA</t>
        </is>
      </c>
      <c r="S2883" s="26">
        <f>IF(A2883=A2882,0,1)</f>
        <v>0</v>
      </c>
      <c r="T2883" s="26">
        <f>IF(COUNTIF($B$4:B2883,B2883)=1,1,0)</f>
        <v>0</v>
      </c>
    </row>
    <row r="2884">
      <c r="A2884" s="14" t="inlineStr">
        <is>
          <t>VERA CRUZ</t>
        </is>
      </c>
      <c r="B2884" s="26" t="n">
        <v>141</v>
      </c>
      <c r="C2884" s="26" t="n">
        <v>1295</v>
      </c>
      <c r="D2884" s="14" t="inlineStr">
        <is>
          <t>ESCOLA MUNICIPAL JORGE CALMON</t>
        </is>
      </c>
      <c r="E2884" s="14" t="inlineStr">
        <is>
          <t>DISTRITO DE COROA</t>
        </is>
      </c>
      <c r="F2884" s="14" t="inlineStr">
        <is>
          <t>RUA DIRETA DA COROA, S/N. - ZONA URBANA</t>
        </is>
      </c>
      <c r="G2884" s="27" t="inlineStr">
        <is>
          <t>44470-000</t>
        </is>
      </c>
      <c r="H2884" s="15" t="n">
        <v>4</v>
      </c>
      <c r="I2884" s="28" t="inlineStr">
        <is>
          <t>SIM</t>
        </is>
      </c>
      <c r="J2884" s="29" t="n">
        <v>61.5</v>
      </c>
      <c r="K2884" s="14" t="str">
        <f>IF(J2884="","7. Acima de 2 km",IF(J2884&lt;=50,"1. Até 50 m",IF(J2884&lt;=100,"2. De 50 a 100 m",IF(J2884&lt;=200,"3. De 100 a 200 m",IF(J2884&lt;=300,"4. De 200 a 300 m",IF(J2884&lt;=500,"5. De 300 a 500 m","6. De 500 m a 2 km"))))))</f>
        <v>2. De 50 a 100 m</v>
      </c>
      <c r="L2884" s="26" t="n">
        <v>0</v>
      </c>
      <c r="M2884" s="26" t="n">
        <v>1</v>
      </c>
      <c r="N2884" s="26" t="n">
        <v>1</v>
      </c>
      <c r="O2884" s="26" t="n">
        <v>1</v>
      </c>
      <c r="P2884" s="30" t="n">
        <v>-13.0032202</v>
      </c>
      <c r="Q2884" s="30" t="n">
        <v>-38.6429363</v>
      </c>
      <c r="R2884" s="14" t="inlineStr">
        <is>
          <t>RUA DOUTOR ANTONIO CALMON, S/N - CENTRO. FÓRUM ELEITORAL DE ITAPARICA. CEP.: 44.460-000. ITAPARICA-BAHIA</t>
        </is>
      </c>
      <c r="S2884" s="26">
        <f>IF(A2884=A2883,0,1)</f>
        <v>0</v>
      </c>
      <c r="T2884" s="26">
        <f>IF(COUNTIF($B$4:B2884,B2884)=1,1,0)</f>
        <v>0</v>
      </c>
    </row>
    <row r="2885">
      <c r="A2885" s="14" t="inlineStr">
        <is>
          <t>VERA CRUZ</t>
        </is>
      </c>
      <c r="B2885" s="26" t="n">
        <v>141</v>
      </c>
      <c r="C2885" s="26" t="n">
        <v>1325</v>
      </c>
      <c r="D2885" s="14" t="inlineStr">
        <is>
          <t>CRECHE ESCOLA MUNICIPAL EDUCANDÁRIO TIO AURÉLIO</t>
        </is>
      </c>
      <c r="E2885" s="14" t="inlineStr">
        <is>
          <t>DISTRITO DE MAR GRANDE</t>
        </is>
      </c>
      <c r="F2885" s="14" t="inlineStr">
        <is>
          <t xml:space="preserve">PRAÇA SÃO BENTO, S/N - ZONA URBANA </t>
        </is>
      </c>
      <c r="G2885" s="27" t="inlineStr">
        <is>
          <t>44470-000</t>
        </is>
      </c>
      <c r="H2885" s="15" t="n">
        <v>8</v>
      </c>
      <c r="I2885" s="28" t="inlineStr">
        <is>
          <t>NÃO</t>
        </is>
      </c>
      <c r="J2885" s="29" t="n">
        <v>127.5</v>
      </c>
      <c r="K2885" s="14" t="str">
        <f>IF(J2885="","7. Acima de 2 km",IF(J2885&lt;=50,"1. Até 50 m",IF(J2885&lt;=100,"2. De 50 a 100 m",IF(J2885&lt;=200,"3. De 100 a 200 m",IF(J2885&lt;=300,"4. De 200 a 300 m",IF(J2885&lt;=500,"5. De 300 a 500 m","6. De 500 m a 2 km"))))))</f>
        <v>3. De 100 a 200 m</v>
      </c>
      <c r="L2885" s="26" t="n">
        <v>0</v>
      </c>
      <c r="M2885" s="26" t="n">
        <v>0</v>
      </c>
      <c r="N2885" s="26" t="n">
        <v>4</v>
      </c>
      <c r="O2885" s="26" t="n">
        <v>6</v>
      </c>
      <c r="P2885" s="30" t="n">
        <v>-12.9636487</v>
      </c>
      <c r="Q2885" s="30" t="n">
        <v>-38.6087095</v>
      </c>
      <c r="R2885" s="14" t="inlineStr">
        <is>
          <t>RUA DOUTOR ANTONIO CALMON, S/N - CENTRO. FÓRUM ELEITORAL DE ITAPARICA. CEP.: 44.460-000. ITAPARICA-BAHIA</t>
        </is>
      </c>
      <c r="S2885" s="26">
        <f>IF(A2885=A2884,0,1)</f>
        <v>0</v>
      </c>
      <c r="T2885" s="26">
        <f>IF(COUNTIF($B$4:B2885,B2885)=1,1,0)</f>
        <v>0</v>
      </c>
    </row>
    <row r="2886">
      <c r="A2886" s="14" t="inlineStr">
        <is>
          <t>VERA CRUZ</t>
        </is>
      </c>
      <c r="B2886" s="26" t="n">
        <v>141</v>
      </c>
      <c r="C2886" s="26" t="n">
        <v>1341</v>
      </c>
      <c r="D2886" s="14" t="inlineStr">
        <is>
          <t>ESCOLA MUNICIPAL NOVA DIVINEIA</t>
        </is>
      </c>
      <c r="E2886" s="14" t="inlineStr">
        <is>
          <t>DISTRITO DE BERLINQUE</t>
        </is>
      </c>
      <c r="F2886" s="14" t="inlineStr">
        <is>
          <t>RUA DA RODAGEM, S/N. - ZONA URBANA</t>
        </is>
      </c>
      <c r="G2886" s="27" t="inlineStr">
        <is>
          <t>44470-000</t>
        </is>
      </c>
      <c r="H2886" s="15" t="n">
        <v>4</v>
      </c>
      <c r="I2886" s="28" t="inlineStr">
        <is>
          <t>NÃO</t>
        </is>
      </c>
      <c r="J2886" s="29" t="n"/>
      <c r="K2886" s="14" t="str">
        <f>IF(J2886="","7. Acima de 2 km",IF(J2886&lt;=50,"1. Até 50 m",IF(J2886&lt;=100,"2. De 50 a 100 m",IF(J2886&lt;=200,"3. De 100 a 200 m",IF(J2886&lt;=300,"4. De 200 a 300 m",IF(J2886&lt;=500,"5. De 300 a 500 m","6. De 500 m a 2 km"))))))</f>
        <v>7. Acima de 2 km</v>
      </c>
      <c r="L2886" s="26" t="n">
        <v>0</v>
      </c>
      <c r="M2886" s="26" t="n">
        <v>0</v>
      </c>
      <c r="N2886" s="26" t="n">
        <v>0</v>
      </c>
      <c r="O2886" s="26" t="n">
        <v>0</v>
      </c>
      <c r="P2886" s="30" t="n">
        <v>-13.0981917</v>
      </c>
      <c r="Q2886" s="30" t="n">
        <v>-38.7535817</v>
      </c>
      <c r="R2886" s="14" t="inlineStr">
        <is>
          <t>RUA DOUTOR ANTONIO CALMON, S/N - CENTRO. FÓRUM ELEITORAL DE ITAPARICA. CEP.: 44.460-000. ITAPARICA-BAHIA</t>
        </is>
      </c>
      <c r="S2886" s="26">
        <f>IF(A2886=A2885,0,1)</f>
        <v>0</v>
      </c>
      <c r="T2886" s="26">
        <f>IF(COUNTIF($B$4:B2886,B2886)=1,1,0)</f>
        <v>0</v>
      </c>
    </row>
    <row r="2887">
      <c r="A2887" s="14" t="inlineStr">
        <is>
          <t>VERA CRUZ</t>
        </is>
      </c>
      <c r="B2887" s="26" t="n">
        <v>141</v>
      </c>
      <c r="C2887" s="26" t="n">
        <v>1350</v>
      </c>
      <c r="D2887" s="14" t="inlineStr">
        <is>
          <t>COLÉGIO AGINOEL AQUILINO DOS SANTOS</t>
        </is>
      </c>
      <c r="E2887" s="14" t="inlineStr">
        <is>
          <t>RIACHINHO</t>
        </is>
      </c>
      <c r="F2887" s="14" t="inlineStr">
        <is>
          <t>LADEIRA DO RIACHINHO, S/N - ALTO DO RIACHINHO - ZONA URBANA</t>
        </is>
      </c>
      <c r="G2887" s="27" t="inlineStr">
        <is>
          <t>44470-000</t>
        </is>
      </c>
      <c r="H2887" s="15" t="n">
        <v>3</v>
      </c>
      <c r="I2887" s="28" t="inlineStr">
        <is>
          <t>NÃO</t>
        </is>
      </c>
      <c r="J2887" s="29" t="n">
        <v>500</v>
      </c>
      <c r="K2887" s="14" t="str">
        <f>IF(J2887="","7. Acima de 2 km",IF(J2887&lt;=50,"1. Até 50 m",IF(J2887&lt;=100,"2. De 50 a 100 m",IF(J2887&lt;=200,"3. De 100 a 200 m",IF(J2887&lt;=300,"4. De 200 a 300 m",IF(J2887&lt;=500,"5. De 300 a 500 m","6. De 500 m a 2 km"))))))</f>
        <v>5. De 300 a 500 m</v>
      </c>
      <c r="L2887" s="26" t="n">
        <v>0</v>
      </c>
      <c r="M2887" s="26" t="n">
        <v>0</v>
      </c>
      <c r="N2887" s="26" t="n">
        <v>0</v>
      </c>
      <c r="O2887" s="26" t="n">
        <v>0</v>
      </c>
      <c r="P2887" s="30" t="n">
        <v>-12.9580586</v>
      </c>
      <c r="Q2887" s="30" t="n">
        <v>-38.6139976</v>
      </c>
      <c r="R2887" s="14" t="inlineStr">
        <is>
          <t>RUA DOUTOR ANTONIO CALMON, S/N - CENTRO. FÓRUM ELEITORAL DE ITAPARICA. CEP.: 44.460-000. ITAPARICA-BAHIA</t>
        </is>
      </c>
      <c r="S2887" s="26">
        <f>IF(A2887=A2886,0,1)</f>
        <v>0</v>
      </c>
      <c r="T2887" s="26">
        <f>IF(COUNTIF($B$4:B2887,B2887)=1,1,0)</f>
        <v>0</v>
      </c>
    </row>
    <row r="2888">
      <c r="A2888" s="14" t="inlineStr">
        <is>
          <t>VERA CRUZ</t>
        </is>
      </c>
      <c r="B2888" s="26" t="n">
        <v>141</v>
      </c>
      <c r="C2888" s="26" t="n">
        <v>1384</v>
      </c>
      <c r="D2888" s="14" t="inlineStr">
        <is>
          <t>ESCOLA MUNICIPAL GAUDÊNCIO ACELINO MARQUES</t>
        </is>
      </c>
      <c r="E2888" s="14" t="inlineStr">
        <is>
          <t>BARRA DO POTE</t>
        </is>
      </c>
      <c r="F2888" s="14" t="inlineStr">
        <is>
          <t>TRAVESSA RAFAEL MARQUES, S/N. - ZONA URBANA</t>
        </is>
      </c>
      <c r="G2888" s="27" t="inlineStr">
        <is>
          <t>44470-000</t>
        </is>
      </c>
      <c r="H2888" s="15" t="n">
        <v>4</v>
      </c>
      <c r="I2888" s="28" t="inlineStr">
        <is>
          <t>NÃO</t>
        </is>
      </c>
      <c r="J2888" s="29" t="n">
        <v>448.5</v>
      </c>
      <c r="K2888" s="14" t="str">
        <f>IF(J2888="","7. Acima de 2 km",IF(J2888&lt;=50,"1. Até 50 m",IF(J2888&lt;=100,"2. De 50 a 100 m",IF(J2888&lt;=200,"3. De 100 a 200 m",IF(J2888&lt;=300,"4. De 200 a 300 m",IF(J2888&lt;=500,"5. De 300 a 500 m","6. De 500 m a 2 km"))))))</f>
        <v>5. De 300 a 500 m</v>
      </c>
      <c r="L2888" s="26" t="n">
        <v>0</v>
      </c>
      <c r="M2888" s="26" t="n">
        <v>0</v>
      </c>
      <c r="N2888" s="26" t="n">
        <v>0</v>
      </c>
      <c r="O2888" s="26" t="n">
        <v>0</v>
      </c>
      <c r="P2888" s="30" t="n">
        <v>-13.016022</v>
      </c>
      <c r="Q2888" s="30" t="n">
        <v>-38.649783</v>
      </c>
      <c r="R2888" s="14" t="inlineStr">
        <is>
          <t>RUA DOUTOR ANTONIO CALMON, S/N - CENTRO. FÓRUM ELEITORAL DE ITAPARICA. CEP.: 44.460-000. ITAPARICA-BAHIA</t>
        </is>
      </c>
      <c r="S2888" s="26">
        <f>IF(A2888=A2887,0,1)</f>
        <v>0</v>
      </c>
      <c r="T2888" s="26">
        <f>IF(COUNTIF($B$4:B2888,B2888)=1,1,0)</f>
        <v>0</v>
      </c>
    </row>
    <row r="2889">
      <c r="A2889" s="14" t="inlineStr">
        <is>
          <t>VERA CRUZ</t>
        </is>
      </c>
      <c r="B2889" s="26" t="n">
        <v>141</v>
      </c>
      <c r="C2889" s="26" t="n">
        <v>1392</v>
      </c>
      <c r="D2889" s="14" t="inlineStr">
        <is>
          <t>ESCOLA MUNICIPAL ALMIRO ANTUNES DE BRITO</t>
        </is>
      </c>
      <c r="E2889" s="14" t="inlineStr">
        <is>
          <t>POVOADO DA JUERANA</t>
        </is>
      </c>
      <c r="F2889" s="14" t="inlineStr">
        <is>
          <t>RUA DA IGREJA, S/N. - ZONA RURAL</t>
        </is>
      </c>
      <c r="G2889" s="27" t="inlineStr">
        <is>
          <t>44470-000</t>
        </is>
      </c>
      <c r="H2889" s="15" t="n">
        <v>2</v>
      </c>
      <c r="I2889" s="28" t="inlineStr">
        <is>
          <t>NÃO</t>
        </is>
      </c>
      <c r="J2889" s="29" t="n">
        <v>921.2</v>
      </c>
      <c r="K2889" s="14" t="str">
        <f>IF(J2889="","7. Acima de 2 km",IF(J2889&lt;=50,"1. Até 50 m",IF(J2889&lt;=100,"2. De 50 a 100 m",IF(J2889&lt;=200,"3. De 100 a 200 m",IF(J2889&lt;=300,"4. De 200 a 300 m",IF(J2889&lt;=500,"5. De 300 a 500 m","6. De 500 m a 2 km"))))))</f>
        <v>6. De 500 m a 2 km</v>
      </c>
      <c r="L2889" s="26" t="n">
        <v>0</v>
      </c>
      <c r="M2889" s="26" t="n">
        <v>0</v>
      </c>
      <c r="N2889" s="26" t="n">
        <v>0</v>
      </c>
      <c r="O2889" s="26" t="n">
        <v>0</v>
      </c>
      <c r="P2889" s="30" t="n">
        <v>-12.9499933</v>
      </c>
      <c r="Q2889" s="30" t="n">
        <v>-38.6406633</v>
      </c>
      <c r="R2889" s="14" t="inlineStr">
        <is>
          <t>RUA DOUTOR ANTONIO CALMON, S/N - CENTRO. FÓRUM ELEITORAL DE ITAPARICA. CEP.: 44.460-000. ITAPARICA-BAHIA</t>
        </is>
      </c>
      <c r="S2889" s="26">
        <f>IF(A2889=A2888,0,1)</f>
        <v>0</v>
      </c>
      <c r="T2889" s="26">
        <f>IF(COUNTIF($B$4:B2889,B2889)=1,1,0)</f>
        <v>0</v>
      </c>
    </row>
    <row r="2890">
      <c r="A2890" s="14" t="inlineStr">
        <is>
          <t>VERA CRUZ</t>
        </is>
      </c>
      <c r="B2890" s="26" t="n">
        <v>141</v>
      </c>
      <c r="C2890" s="26" t="n">
        <v>1414</v>
      </c>
      <c r="D2890" s="14" t="inlineStr">
        <is>
          <t>ESCOLA MUNICIPAL PRESIDENTE EMÍLIO GARRASTAZU MÉDICI</t>
        </is>
      </c>
      <c r="E2890" s="14" t="inlineStr">
        <is>
          <t>DISTRITO DE JIRIBATUBA</t>
        </is>
      </c>
      <c r="F2890" s="14" t="inlineStr">
        <is>
          <t>RUA DA CHAPADA S/N. - ZONA URBANA</t>
        </is>
      </c>
      <c r="G2890" s="27" t="inlineStr">
        <is>
          <t>44470-000</t>
        </is>
      </c>
      <c r="H2890" s="15" t="n">
        <v>2</v>
      </c>
      <c r="I2890" s="28" t="inlineStr">
        <is>
          <t>NÃO</t>
        </is>
      </c>
      <c r="J2890" s="29" t="n">
        <v>124.7</v>
      </c>
      <c r="K2890" s="14" t="str">
        <f>IF(J2890="","7. Acima de 2 km",IF(J2890&lt;=50,"1. Até 50 m",IF(J2890&lt;=100,"2. De 50 a 100 m",IF(J2890&lt;=200,"3. De 100 a 200 m",IF(J2890&lt;=300,"4. De 200 a 300 m",IF(J2890&lt;=500,"5. De 300 a 500 m","6. De 500 m a 2 km"))))))</f>
        <v>3. De 100 a 200 m</v>
      </c>
      <c r="L2890" s="26" t="n">
        <v>0</v>
      </c>
      <c r="M2890" s="26" t="n">
        <v>0</v>
      </c>
      <c r="N2890" s="26" t="n">
        <v>1</v>
      </c>
      <c r="O2890" s="26" t="n">
        <v>1</v>
      </c>
      <c r="P2890" s="30" t="n">
        <v>-13.0631399</v>
      </c>
      <c r="Q2890" s="30" t="n">
        <v>-38.7953084</v>
      </c>
      <c r="R2890" s="14" t="inlineStr">
        <is>
          <t>RUA DOUTOR ANTONIO CALMON, S/N - CENTRO. FÓRUM ELEITORAL DE ITAPARICA. CEP.: 44.460-000. ITAPARICA-BAHIA</t>
        </is>
      </c>
      <c r="S2890" s="26">
        <f>IF(A2890=A2889,0,1)</f>
        <v>0</v>
      </c>
      <c r="T2890" s="26">
        <f>IF(COUNTIF($B$4:B2890,B2890)=1,1,0)</f>
        <v>0</v>
      </c>
    </row>
    <row r="2891">
      <c r="A2891" s="14" t="inlineStr">
        <is>
          <t>VERA CRUZ</t>
        </is>
      </c>
      <c r="B2891" s="26" t="n">
        <v>141</v>
      </c>
      <c r="C2891" s="26" t="n">
        <v>1430</v>
      </c>
      <c r="D2891" s="14" t="inlineStr">
        <is>
          <t>COMPLEXO CULTURAL ARISTÓTELES GOMES</t>
        </is>
      </c>
      <c r="E2891" s="14" t="inlineStr">
        <is>
          <t>ILHOTA</t>
        </is>
      </c>
      <c r="F2891" s="14" t="inlineStr">
        <is>
          <t xml:space="preserve"> RUA NOSSA SENHORA DAS CANDEIAS, S/N - ZONA URBANA</t>
        </is>
      </c>
      <c r="G2891" s="27" t="inlineStr">
        <is>
          <t>44470-000</t>
        </is>
      </c>
      <c r="H2891" s="15" t="n">
        <v>1</v>
      </c>
      <c r="I2891" s="28" t="inlineStr">
        <is>
          <t>SIM</t>
        </is>
      </c>
      <c r="J2891" s="29" t="n">
        <v>15.8</v>
      </c>
      <c r="K2891" s="14" t="str">
        <f>IF(J2891="","7. Acima de 2 km",IF(J2891&lt;=50,"1. Até 50 m",IF(J2891&lt;=100,"2. De 50 a 100 m",IF(J2891&lt;=200,"3. De 100 a 200 m",IF(J2891&lt;=300,"4. De 200 a 300 m",IF(J2891&lt;=500,"5. De 300 a 500 m","6. De 500 m a 2 km"))))))</f>
        <v>1. Até 50 m</v>
      </c>
      <c r="L2891" s="26" t="n">
        <v>2</v>
      </c>
      <c r="M2891" s="26" t="n">
        <v>2</v>
      </c>
      <c r="N2891" s="26" t="n">
        <v>2</v>
      </c>
      <c r="O2891" s="26" t="n">
        <v>3</v>
      </c>
      <c r="P2891" s="30" t="n">
        <v>-12.9665874</v>
      </c>
      <c r="Q2891" s="30" t="n">
        <v>-38.6095448</v>
      </c>
      <c r="R2891" s="14" t="inlineStr">
        <is>
          <t>RUA DOUTOR ANTONIO CALMON, S/N - CENTRO. FÓRUM ELEITORAL DE ITAPARICA. CEP.: 44.460-000. ITAPARICA-BAHIA</t>
        </is>
      </c>
      <c r="S2891" s="26">
        <f>IF(A2891=A2890,0,1)</f>
        <v>0</v>
      </c>
      <c r="T2891" s="26">
        <f>IF(COUNTIF($B$4:B2891,B2891)=1,1,0)</f>
        <v>0</v>
      </c>
    </row>
    <row r="2892">
      <c r="A2892" s="14" t="inlineStr">
        <is>
          <t>VITÓRIA DA CONQUISTA</t>
        </is>
      </c>
      <c r="B2892" s="26" t="n">
        <v>39</v>
      </c>
      <c r="C2892" s="26" t="n">
        <v>1031</v>
      </c>
      <c r="D2892" s="14" t="inlineStr">
        <is>
          <t>COMPLEXO INTEGRADO DE EDUCAÇÃO BÁSICA, TECNOLÓGICA E PROFISSIONAL CIEB</t>
        </is>
      </c>
      <c r="E2892" s="14" t="inlineStr">
        <is>
          <t>BRASIL</t>
        </is>
      </c>
      <c r="F2892" s="14" t="inlineStr">
        <is>
          <t>AV. FREI BENJAMIM, S/N - ZONA URBANA</t>
        </is>
      </c>
      <c r="G2892" s="27" t="inlineStr">
        <is>
          <t>45025-101</t>
        </is>
      </c>
      <c r="H2892" s="15" t="n">
        <v>20</v>
      </c>
      <c r="I2892" s="28" t="inlineStr">
        <is>
          <t>NÃO</t>
        </is>
      </c>
      <c r="J2892" s="29" t="n">
        <v>585.4</v>
      </c>
      <c r="K2892" s="14" t="str">
        <f>IF(J2892="","7. Acima de 2 km",IF(J2892&lt;=50,"1. Até 50 m",IF(J2892&lt;=100,"2. De 50 a 100 m",IF(J2892&lt;=200,"3. De 100 a 200 m",IF(J2892&lt;=300,"4. De 200 a 300 m",IF(J2892&lt;=500,"5. De 300 a 500 m","6. De 500 m a 2 km"))))))</f>
        <v>6. De 500 m a 2 km</v>
      </c>
      <c r="L2892" s="26" t="n">
        <v>0</v>
      </c>
      <c r="M2892" s="26" t="n">
        <v>0</v>
      </c>
      <c r="N2892" s="26" t="n">
        <v>0</v>
      </c>
      <c r="O2892" s="26" t="n">
        <v>0</v>
      </c>
      <c r="P2892" s="30" t="n">
        <v>-14.8614276</v>
      </c>
      <c r="Q2892" s="30" t="n">
        <v>-40.8564026</v>
      </c>
      <c r="R2892" s="14" t="inlineStr">
        <is>
          <t>FÓRUM ELEITORAL DE VITÓRIA DA CONQUISTA, AVENIDA OLÍVIA FLORES, S/N, BAIRRO CANDEIAS, VITÓRIA DA CONQUISTA/BA</t>
        </is>
      </c>
      <c r="S2892" s="26">
        <f>IF(A2892=A2891,0,1)</f>
        <v>1</v>
      </c>
      <c r="T2892" s="26">
        <f>IF(COUNTIF($B$4:B2892,B2892)=1,1,0)</f>
        <v>1</v>
      </c>
    </row>
    <row r="2893">
      <c r="A2893" s="14" t="inlineStr">
        <is>
          <t>VITÓRIA DA CONQUISTA</t>
        </is>
      </c>
      <c r="B2893" s="26" t="n">
        <v>39</v>
      </c>
      <c r="C2893" s="26" t="n">
        <v>1040</v>
      </c>
      <c r="D2893" s="14" t="inlineStr">
        <is>
          <t>ESCOLA MONTEIRO LOBATO</t>
        </is>
      </c>
      <c r="E2893" s="14" t="inlineStr">
        <is>
          <t>BRASIL</t>
        </is>
      </c>
      <c r="F2893" s="14" t="inlineStr">
        <is>
          <t>AV.. PERNAMBUCO, 436 - BRASIL</t>
        </is>
      </c>
      <c r="G2893" s="27" t="inlineStr">
        <is>
          <t>45051-025</t>
        </is>
      </c>
      <c r="H2893" s="15" t="n">
        <v>5</v>
      </c>
      <c r="I2893" s="28" t="inlineStr">
        <is>
          <t>NÃO</t>
        </is>
      </c>
      <c r="J2893" s="29" t="n">
        <v>104.3</v>
      </c>
      <c r="K2893" s="14" t="str">
        <f>IF(J2893="","7. Acima de 2 km",IF(J2893&lt;=50,"1. Até 50 m",IF(J2893&lt;=100,"2. De 50 a 100 m",IF(J2893&lt;=200,"3. De 100 a 200 m",IF(J2893&lt;=300,"4. De 200 a 300 m",IF(J2893&lt;=500,"5. De 300 a 500 m","6. De 500 m a 2 km"))))))</f>
        <v>3. De 100 a 200 m</v>
      </c>
      <c r="L2893" s="26" t="n">
        <v>0</v>
      </c>
      <c r="M2893" s="26" t="n">
        <v>0</v>
      </c>
      <c r="N2893" s="26" t="n">
        <v>1</v>
      </c>
      <c r="O2893" s="26" t="n">
        <v>3</v>
      </c>
      <c r="P2893" s="30" t="n">
        <v>-14.8553314</v>
      </c>
      <c r="Q2893" s="30" t="n">
        <v>-40.8532756</v>
      </c>
      <c r="R2893" s="14" t="inlineStr">
        <is>
          <t>FÓRUM ELEITORAL DE VITÓRIA DA CONQUISTA, AVENIDA OLÍVIA FLORES, S/N, BAIRRO CANDEIAS, VITÓRIA DA CONQUISTA/BA</t>
        </is>
      </c>
      <c r="S2893" s="26">
        <f>IF(A2893=A2892,0,1)</f>
        <v>0</v>
      </c>
      <c r="T2893" s="26">
        <f>IF(COUNTIF($B$4:B2893,B2893)=1,1,0)</f>
        <v>0</v>
      </c>
    </row>
    <row r="2894">
      <c r="A2894" s="14" t="inlineStr">
        <is>
          <t>VITÓRIA DA CONQUISTA</t>
        </is>
      </c>
      <c r="B2894" s="26" t="n">
        <v>39</v>
      </c>
      <c r="C2894" s="26" t="n">
        <v>1112</v>
      </c>
      <c r="D2894" s="14" t="inlineStr">
        <is>
          <t>ESCOLA MUNICIPAL MARIA ROGACIANA DA SILVA (EXTENSÃO)</t>
        </is>
      </c>
      <c r="E2894" s="14" t="inlineStr">
        <is>
          <t>URBIS II</t>
        </is>
      </c>
      <c r="F2894" s="14" t="inlineStr">
        <is>
          <t>PRAÇA H, S/N - URBIS II</t>
        </is>
      </c>
      <c r="G2894" s="27" t="inlineStr">
        <is>
          <t>45052-074</t>
        </is>
      </c>
      <c r="H2894" s="15" t="n">
        <v>9</v>
      </c>
      <c r="I2894" s="28" t="inlineStr">
        <is>
          <t>NÃO</t>
        </is>
      </c>
      <c r="J2894" s="29" t="n">
        <v>235.4</v>
      </c>
      <c r="K2894" s="14" t="str">
        <f>IF(J2894="","7. Acima de 2 km",IF(J2894&lt;=50,"1. Até 50 m",IF(J2894&lt;=100,"2. De 50 a 100 m",IF(J2894&lt;=200,"3. De 100 a 200 m",IF(J2894&lt;=300,"4. De 200 a 300 m",IF(J2894&lt;=500,"5. De 300 a 500 m","6. De 500 m a 2 km"))))))</f>
        <v>4. De 200 a 300 m</v>
      </c>
      <c r="L2894" s="26" t="n">
        <v>0</v>
      </c>
      <c r="M2894" s="26" t="n">
        <v>0</v>
      </c>
      <c r="N2894" s="26" t="n">
        <v>0</v>
      </c>
      <c r="O2894" s="26" t="n">
        <v>1</v>
      </c>
      <c r="P2894" s="30" t="n">
        <v>-14.850905</v>
      </c>
      <c r="Q2894" s="30" t="n">
        <v>-40.8623783</v>
      </c>
      <c r="R2894" s="14" t="inlineStr">
        <is>
          <t>FÓRUM ELEITORAL DE VITÓRIA DA CONQUISTA, AVENIDA OLÍVIA FLORES, S/N, BAIRRO CANDEIAS, VITÓRIA DA CONQUISTA/BA</t>
        </is>
      </c>
      <c r="S2894" s="26">
        <f>IF(A2894=A2893,0,1)</f>
        <v>0</v>
      </c>
      <c r="T2894" s="26">
        <f>IF(COUNTIF($B$4:B2894,B2894)=1,1,0)</f>
        <v>0</v>
      </c>
    </row>
    <row r="2895">
      <c r="A2895" s="14" t="inlineStr">
        <is>
          <t>VITÓRIA DA CONQUISTA</t>
        </is>
      </c>
      <c r="B2895" s="26" t="n">
        <v>39</v>
      </c>
      <c r="C2895" s="26" t="n">
        <v>1120</v>
      </c>
      <c r="D2895" s="14" t="inlineStr">
        <is>
          <t>ESCOLA MUNICIPAL GUIMARÃES PASSOS</t>
        </is>
      </c>
      <c r="E2895" s="14" t="inlineStr">
        <is>
          <t>GUARANI</t>
        </is>
      </c>
      <c r="F2895" s="14" t="inlineStr">
        <is>
          <t>RUA PROFESSOR JOSUÉ DE CASTRO,140  GUARANI</t>
        </is>
      </c>
      <c r="G2895" s="27" t="inlineStr">
        <is>
          <t>45002-170</t>
        </is>
      </c>
      <c r="H2895" s="15" t="n">
        <v>6</v>
      </c>
      <c r="I2895" s="28" t="inlineStr">
        <is>
          <t>NÃO</t>
        </is>
      </c>
      <c r="J2895" s="29" t="n">
        <v>430.3</v>
      </c>
      <c r="K2895" s="14" t="str">
        <f>IF(J2895="","7. Acima de 2 km",IF(J2895&lt;=50,"1. Até 50 m",IF(J2895&lt;=100,"2. De 50 a 100 m",IF(J2895&lt;=200,"3. De 100 a 200 m",IF(J2895&lt;=300,"4. De 200 a 300 m",IF(J2895&lt;=500,"5. De 300 a 500 m","6. De 500 m a 2 km"))))))</f>
        <v>5. De 300 a 500 m</v>
      </c>
      <c r="L2895" s="26" t="n">
        <v>0</v>
      </c>
      <c r="M2895" s="26" t="n">
        <v>0</v>
      </c>
      <c r="N2895" s="26" t="n">
        <v>0</v>
      </c>
      <c r="O2895" s="26" t="n">
        <v>0</v>
      </c>
      <c r="P2895" s="30" t="n">
        <v>-14.8392752</v>
      </c>
      <c r="Q2895" s="30" t="n">
        <v>-40.8421334</v>
      </c>
      <c r="R2895" s="14" t="inlineStr">
        <is>
          <t>FÓRUM ELEITORAL DE VITÓRIA DA CONQUISTA, AVENIDA OLÍVIA FLORES, S/N, BAIRRO CANDEIAS, VITÓRIA DA CONQUISTA/BA</t>
        </is>
      </c>
      <c r="S2895" s="26">
        <f>IF(A2895=A2894,0,1)</f>
        <v>0</v>
      </c>
      <c r="T2895" s="26">
        <f>IF(COUNTIF($B$4:B2895,B2895)=1,1,0)</f>
        <v>0</v>
      </c>
    </row>
    <row r="2896">
      <c r="A2896" s="14" t="inlineStr">
        <is>
          <t>VITÓRIA DA CONQUISTA</t>
        </is>
      </c>
      <c r="B2896" s="26" t="n">
        <v>39</v>
      </c>
      <c r="C2896" s="26" t="n">
        <v>1147</v>
      </c>
      <c r="D2896" s="14" t="inlineStr">
        <is>
          <t>SESC - ADMINISTRAÇÃO REGIONAL NO ESTADO DA BAHIA</t>
        </is>
      </c>
      <c r="E2896" s="14" t="inlineStr">
        <is>
          <t>IBIRAPUERA</t>
        </is>
      </c>
      <c r="F2896" s="14" t="inlineStr">
        <is>
          <t>AV. PROJETADA, N° 01 - IBIRAPUERA</t>
        </is>
      </c>
      <c r="G2896" s="27" t="inlineStr">
        <is>
          <t>45075-901</t>
        </is>
      </c>
      <c r="H2896" s="15" t="n">
        <v>14</v>
      </c>
      <c r="I2896" s="28" t="inlineStr">
        <is>
          <t>NÃO</t>
        </is>
      </c>
      <c r="J2896" s="29" t="n">
        <v>1145.4</v>
      </c>
      <c r="K2896" s="14" t="str">
        <f>IF(J2896="","7. Acima de 2 km",IF(J2896&lt;=50,"1. Até 50 m",IF(J2896&lt;=100,"2. De 50 a 100 m",IF(J2896&lt;=200,"3. De 100 a 200 m",IF(J2896&lt;=300,"4. De 200 a 300 m",IF(J2896&lt;=500,"5. De 300 a 500 m","6. De 500 m a 2 km"))))))</f>
        <v>6. De 500 m a 2 km</v>
      </c>
      <c r="L2896" s="26" t="n">
        <v>0</v>
      </c>
      <c r="M2896" s="26" t="n">
        <v>0</v>
      </c>
      <c r="N2896" s="26" t="n">
        <v>0</v>
      </c>
      <c r="O2896" s="26" t="n">
        <v>0</v>
      </c>
      <c r="P2896" s="30" t="n">
        <v>-14.840357</v>
      </c>
      <c r="Q2896" s="30" t="n">
        <v>-40.8545515</v>
      </c>
      <c r="R2896" s="14" t="inlineStr">
        <is>
          <t>FÓRUM ELEITORAL DE VITÓRIA DA CONQUISTA, AVENIDA OLÍVIA FLORES, S/N, BAIRRO CANDEIAS, VITÓRIA DA CONQUISTA/BA</t>
        </is>
      </c>
      <c r="S2896" s="26">
        <f>IF(A2896=A2895,0,1)</f>
        <v>0</v>
      </c>
      <c r="T2896" s="26">
        <f>IF(COUNTIF($B$4:B2896,B2896)=1,1,0)</f>
        <v>0</v>
      </c>
    </row>
    <row r="2897">
      <c r="A2897" s="14" t="inlineStr">
        <is>
          <t>VITÓRIA DA CONQUISTA</t>
        </is>
      </c>
      <c r="B2897" s="26" t="n">
        <v>39</v>
      </c>
      <c r="C2897" s="26" t="n">
        <v>1155</v>
      </c>
      <c r="D2897" s="14" t="inlineStr">
        <is>
          <t>COLÉGIO PAULO VI</t>
        </is>
      </c>
      <c r="E2897" s="14" t="inlineStr">
        <is>
          <t>IBIRAPUERA</t>
        </is>
      </c>
      <c r="F2897" s="14" t="inlineStr">
        <is>
          <t>AVENIDA GUANAMBI S/N - IBIRAPUERA</t>
        </is>
      </c>
      <c r="G2897" s="27" t="inlineStr">
        <is>
          <t>45075-210</t>
        </is>
      </c>
      <c r="H2897" s="15" t="n">
        <v>14</v>
      </c>
      <c r="I2897" s="28" t="inlineStr">
        <is>
          <t>NÃO</t>
        </is>
      </c>
      <c r="J2897" s="29" t="n">
        <v>257.2</v>
      </c>
      <c r="K2897" s="14" t="str">
        <f>IF(J2897="","7. Acima de 2 km",IF(J2897&lt;=50,"1. Até 50 m",IF(J2897&lt;=100,"2. De 50 a 100 m",IF(J2897&lt;=200,"3. De 100 a 200 m",IF(J2897&lt;=300,"4. De 200 a 300 m",IF(J2897&lt;=500,"5. De 300 a 500 m","6. De 500 m a 2 km"))))))</f>
        <v>4. De 200 a 300 m</v>
      </c>
      <c r="L2897" s="26" t="n">
        <v>0</v>
      </c>
      <c r="M2897" s="26" t="n">
        <v>0</v>
      </c>
      <c r="N2897" s="26" t="n">
        <v>0</v>
      </c>
      <c r="O2897" s="26" t="n">
        <v>1</v>
      </c>
      <c r="P2897" s="30" t="n">
        <v>-14.8494603</v>
      </c>
      <c r="Q2897" s="30" t="n">
        <v>-40.8553203</v>
      </c>
      <c r="R2897" s="14" t="inlineStr">
        <is>
          <t>FÓRUM ELEITORAL DE VITÓRIA DA CONQUISTA, AVENIDA OLÍVIA FLORES, S/N, BAIRRO CANDEIAS, VITÓRIA DA CONQUISTA/BA</t>
        </is>
      </c>
      <c r="S2897" s="26">
        <f>IF(A2897=A2896,0,1)</f>
        <v>0</v>
      </c>
      <c r="T2897" s="26">
        <f>IF(COUNTIF($B$4:B2897,B2897)=1,1,0)</f>
        <v>0</v>
      </c>
    </row>
    <row r="2898">
      <c r="A2898" s="14" t="inlineStr">
        <is>
          <t>VITÓRIA DA CONQUISTA</t>
        </is>
      </c>
      <c r="B2898" s="26" t="n">
        <v>39</v>
      </c>
      <c r="C2898" s="26" t="n">
        <v>1260</v>
      </c>
      <c r="D2898" s="14" t="inlineStr">
        <is>
          <t>ESCOLA MUNICIPAL NOSSA SENHORA APARECIDA</t>
        </is>
      </c>
      <c r="E2898" s="14" t="inlineStr">
        <is>
          <t>NOSSA SENHORA APARECIDA</t>
        </is>
      </c>
      <c r="F2898" s="14" t="inlineStr">
        <is>
          <t>RUA SANTA CECÍLIA, S/N - NOSSA SENHORA APARECIDA</t>
        </is>
      </c>
      <c r="G2898" s="27" t="inlineStr">
        <is>
          <t>45085-000</t>
        </is>
      </c>
      <c r="H2898" s="15" t="n">
        <v>8</v>
      </c>
      <c r="I2898" s="28" t="inlineStr">
        <is>
          <t>NÃO</t>
        </is>
      </c>
      <c r="J2898" s="29" t="n">
        <v>805.4</v>
      </c>
      <c r="K2898" s="14" t="str">
        <f>IF(J2898="","7. Acima de 2 km",IF(J2898&lt;=50,"1. Até 50 m",IF(J2898&lt;=100,"2. De 50 a 100 m",IF(J2898&lt;=200,"3. De 100 a 200 m",IF(J2898&lt;=300,"4. De 200 a 300 m",IF(J2898&lt;=500,"5. De 300 a 500 m","6. De 500 m a 2 km"))))))</f>
        <v>6. De 500 m a 2 km</v>
      </c>
      <c r="L2898" s="26" t="n">
        <v>0</v>
      </c>
      <c r="M2898" s="26" t="n">
        <v>0</v>
      </c>
      <c r="N2898" s="26" t="n">
        <v>0</v>
      </c>
      <c r="O2898" s="26" t="n">
        <v>0</v>
      </c>
      <c r="P2898" s="30" t="n">
        <v>-14.8400817</v>
      </c>
      <c r="Q2898" s="30" t="n">
        <v>-40.84719</v>
      </c>
      <c r="R2898" s="14" t="inlineStr">
        <is>
          <t>FÓRUM ELEITORAL DE VITÓRIA DA CONQUISTA, AVENIDA OLÍVIA FLORES, S/N, BAIRRO CANDEIAS, VITÓRIA DA CONQUISTA/BA</t>
        </is>
      </c>
      <c r="S2898" s="26">
        <f>IF(A2898=A2897,0,1)</f>
        <v>0</v>
      </c>
      <c r="T2898" s="26">
        <f>IF(COUNTIF($B$4:B2898,B2898)=1,1,0)</f>
        <v>0</v>
      </c>
    </row>
    <row r="2899">
      <c r="A2899" s="14" t="inlineStr">
        <is>
          <t>VITÓRIA DA CONQUISTA</t>
        </is>
      </c>
      <c r="B2899" s="26" t="n">
        <v>39</v>
      </c>
      <c r="C2899" s="26" t="n">
        <v>1317</v>
      </c>
      <c r="D2899" s="14" t="inlineStr">
        <is>
          <t>ESCOLA MUNICIPAL IARA CAIRO DE AZEVEDO</t>
        </is>
      </c>
      <c r="E2899" s="14" t="inlineStr">
        <is>
          <t>GUARANI</t>
        </is>
      </c>
      <c r="F2899" s="14" t="inlineStr">
        <is>
          <t>RUA EDUARDO SANTOS COSTA, S/N GUARANI</t>
        </is>
      </c>
      <c r="G2899" s="27" t="inlineStr">
        <is>
          <t>45002-055</t>
        </is>
      </c>
      <c r="H2899" s="15" t="n">
        <v>7</v>
      </c>
      <c r="I2899" s="28" t="inlineStr">
        <is>
          <t>NÃO</t>
        </is>
      </c>
      <c r="J2899" s="29" t="n">
        <v>186.2</v>
      </c>
      <c r="K2899" s="14" t="str">
        <f>IF(J2899="","7. Acima de 2 km",IF(J2899&lt;=50,"1. Até 50 m",IF(J2899&lt;=100,"2. De 50 a 100 m",IF(J2899&lt;=200,"3. De 100 a 200 m",IF(J2899&lt;=300,"4. De 200 a 300 m",IF(J2899&lt;=500,"5. De 300 a 500 m","6. De 500 m a 2 km"))))))</f>
        <v>3. De 100 a 200 m</v>
      </c>
      <c r="L2899" s="26" t="n">
        <v>0</v>
      </c>
      <c r="M2899" s="26" t="n">
        <v>0</v>
      </c>
      <c r="N2899" s="26" t="n">
        <v>1</v>
      </c>
      <c r="O2899" s="26" t="n">
        <v>1</v>
      </c>
      <c r="P2899" s="30" t="n">
        <v>-14.8410635</v>
      </c>
      <c r="Q2899" s="30" t="n">
        <v>-40.8407209</v>
      </c>
      <c r="R2899" s="14" t="inlineStr">
        <is>
          <t>FÓRUM ELEITORAL DE VITÓRIA DA CONQUISTA, AVENIDA OLÍVIA FLORES, S/N, BAIRRO CANDEIAS, VITÓRIA DA CONQUISTA/BA</t>
        </is>
      </c>
      <c r="S2899" s="26">
        <f>IF(A2899=A2898,0,1)</f>
        <v>0</v>
      </c>
      <c r="T2899" s="26">
        <f>IF(COUNTIF($B$4:B2899,B2899)=1,1,0)</f>
        <v>0</v>
      </c>
    </row>
    <row r="2900">
      <c r="A2900" s="14" t="inlineStr">
        <is>
          <t>VITÓRIA DA CONQUISTA</t>
        </is>
      </c>
      <c r="B2900" s="26" t="n">
        <v>39</v>
      </c>
      <c r="C2900" s="26" t="n">
        <v>1392</v>
      </c>
      <c r="D2900" s="14" t="inlineStr">
        <is>
          <t>IFBA - INSTITUTO FEDERAL DE EDUCAÇÃO, CIÊNCIA E TECNOLOGIA DA BAHIA</t>
        </is>
      </c>
      <c r="E2900" s="14" t="inlineStr">
        <is>
          <t>ZABELÊ</t>
        </is>
      </c>
      <c r="F2900" s="14" t="inlineStr">
        <is>
          <t>AV. SÉRGIO VIEIRA DE MELLO, 3150 - ZABELÊ</t>
        </is>
      </c>
      <c r="G2900" s="27" t="inlineStr">
        <is>
          <t>45078-300</t>
        </is>
      </c>
      <c r="H2900" s="15" t="n">
        <v>13</v>
      </c>
      <c r="I2900" s="28" t="inlineStr">
        <is>
          <t>NÃO</t>
        </is>
      </c>
      <c r="J2900" s="29" t="n">
        <v>299.1</v>
      </c>
      <c r="K2900" s="14" t="str">
        <f>IF(J2900="","7. Acima de 2 km",IF(J2900&lt;=50,"1. Até 50 m",IF(J2900&lt;=100,"2. De 50 a 100 m",IF(J2900&lt;=200,"3. De 100 a 200 m",IF(J2900&lt;=300,"4. De 200 a 300 m",IF(J2900&lt;=500,"5. De 300 a 500 m","6. De 500 m a 2 km"))))))</f>
        <v>4. De 200 a 300 m</v>
      </c>
      <c r="L2900" s="26" t="n">
        <v>0</v>
      </c>
      <c r="M2900" s="26" t="n">
        <v>0</v>
      </c>
      <c r="N2900" s="26" t="n">
        <v>0</v>
      </c>
      <c r="O2900" s="26" t="n">
        <v>1</v>
      </c>
      <c r="P2900" s="30" t="n">
        <v>-14.8419267</v>
      </c>
      <c r="Q2900" s="30" t="n">
        <v>-40.8770933</v>
      </c>
      <c r="R2900" s="14" t="inlineStr">
        <is>
          <t>FÓRUM ELEITORAL DE VITÓRIA DA CONQUISTA, AVENIDA OLÍVIA FLORES, S/N, BAIRRO CANDEIAS, VITÓRIA DA CONQUISTA/BA</t>
        </is>
      </c>
      <c r="S2900" s="26">
        <f>IF(A2900=A2899,0,1)</f>
        <v>0</v>
      </c>
      <c r="T2900" s="26">
        <f>IF(COUNTIF($B$4:B2900,B2900)=1,1,0)</f>
        <v>0</v>
      </c>
    </row>
    <row r="2901">
      <c r="A2901" s="14" t="inlineStr">
        <is>
          <t>VITÓRIA DA CONQUISTA</t>
        </is>
      </c>
      <c r="B2901" s="26" t="n">
        <v>39</v>
      </c>
      <c r="C2901" s="26" t="n">
        <v>1414</v>
      </c>
      <c r="D2901" s="14" t="inlineStr">
        <is>
          <t>ESCOLA MUNICIPAL MARIA CÉLIA FERRAZ</t>
        </is>
      </c>
      <c r="E2901" s="14" t="inlineStr">
        <is>
          <t>IBIRAPUERA</t>
        </is>
      </c>
      <c r="F2901" s="14" t="inlineStr">
        <is>
          <t>AV. BOA VONTADE, S/N - ZONA URBANA</t>
        </is>
      </c>
      <c r="G2901" s="27" t="inlineStr">
        <is>
          <t>45075-205</t>
        </is>
      </c>
      <c r="H2901" s="15" t="n">
        <v>6</v>
      </c>
      <c r="I2901" s="28" t="inlineStr">
        <is>
          <t>NÃO</t>
        </is>
      </c>
      <c r="J2901" s="29" t="n">
        <v>1013</v>
      </c>
      <c r="K2901" s="14" t="str">
        <f>IF(J2901="","7. Acima de 2 km",IF(J2901&lt;=50,"1. Até 50 m",IF(J2901&lt;=100,"2. De 50 a 100 m",IF(J2901&lt;=200,"3. De 100 a 200 m",IF(J2901&lt;=300,"4. De 200 a 300 m",IF(J2901&lt;=500,"5. De 300 a 500 m","6. De 500 m a 2 km"))))))</f>
        <v>6. De 500 m a 2 km</v>
      </c>
      <c r="L2901" s="26" t="n">
        <v>0</v>
      </c>
      <c r="M2901" s="26" t="n">
        <v>0</v>
      </c>
      <c r="N2901" s="26" t="n">
        <v>0</v>
      </c>
      <c r="O2901" s="26" t="n">
        <v>0</v>
      </c>
      <c r="P2901" s="30" t="n">
        <v>-14.8414832</v>
      </c>
      <c r="Q2901" s="30" t="n">
        <v>-40.8526781</v>
      </c>
      <c r="R2901" s="14" t="inlineStr">
        <is>
          <t>FÓRUM ELEITORAL DE VITÓRIA DA CONQUISTA, AVENIDA OLÍVIA FLORES, S/N, BAIRRO CANDEIAS, VITÓRIA DA CONQUISTA/BA</t>
        </is>
      </c>
      <c r="S2901" s="26">
        <f>IF(A2901=A2900,0,1)</f>
        <v>0</v>
      </c>
      <c r="T2901" s="26">
        <f>IF(COUNTIF($B$4:B2901,B2901)=1,1,0)</f>
        <v>0</v>
      </c>
    </row>
    <row r="2902">
      <c r="A2902" s="14" t="inlineStr">
        <is>
          <t>VITÓRIA DA CONQUISTA</t>
        </is>
      </c>
      <c r="B2902" s="26" t="n">
        <v>39</v>
      </c>
      <c r="C2902" s="26" t="n">
        <v>1422</v>
      </c>
      <c r="D2902" s="14" t="inlineStr">
        <is>
          <t>COLÉGIO ESTADUAL DE TEMPO INTEGRAL PADRE LUIZ SOARES PALMEIRA</t>
        </is>
      </c>
      <c r="E2902" s="14" t="inlineStr">
        <is>
          <t>URBIS V</t>
        </is>
      </c>
      <c r="F2902" s="14" t="inlineStr">
        <is>
          <t>AVENIDA COLETORA S/N URBIS V - ZABELÊ</t>
        </is>
      </c>
      <c r="G2902" s="27" t="inlineStr">
        <is>
          <t>45077-150</t>
        </is>
      </c>
      <c r="H2902" s="15" t="n">
        <v>12</v>
      </c>
      <c r="I2902" s="28" t="inlineStr">
        <is>
          <t>NÃO</t>
        </is>
      </c>
      <c r="J2902" s="29" t="n">
        <v>486.3</v>
      </c>
      <c r="K2902" s="14" t="str">
        <f>IF(J2902="","7. Acima de 2 km",IF(J2902&lt;=50,"1. Até 50 m",IF(J2902&lt;=100,"2. De 50 a 100 m",IF(J2902&lt;=200,"3. De 100 a 200 m",IF(J2902&lt;=300,"4. De 200 a 300 m",IF(J2902&lt;=500,"5. De 300 a 500 m","6. De 500 m a 2 km"))))))</f>
        <v>5. De 300 a 500 m</v>
      </c>
      <c r="L2902" s="26" t="n">
        <v>0</v>
      </c>
      <c r="M2902" s="26" t="n">
        <v>0</v>
      </c>
      <c r="N2902" s="26" t="n">
        <v>0</v>
      </c>
      <c r="O2902" s="26" t="n">
        <v>0</v>
      </c>
      <c r="P2902" s="30" t="n">
        <v>-14.8428268</v>
      </c>
      <c r="Q2902" s="30" t="n">
        <v>-40.8732366</v>
      </c>
      <c r="R2902" s="14" t="inlineStr">
        <is>
          <t>FÓRUM ELEITORAL DE VITÓRIA DA CONQUISTA, AVENIDA OLÍVIA FLORES, S/N, BAIRRO CANDEIAS, VITÓRIA DA CONQUISTA/BA</t>
        </is>
      </c>
      <c r="S2902" s="26">
        <f>IF(A2902=A2901,0,1)</f>
        <v>0</v>
      </c>
      <c r="T2902" s="26">
        <f>IF(COUNTIF($B$4:B2902,B2902)=1,1,0)</f>
        <v>0</v>
      </c>
    </row>
    <row r="2903">
      <c r="A2903" s="14" t="inlineStr">
        <is>
          <t>VITÓRIA DA CONQUISTA</t>
        </is>
      </c>
      <c r="B2903" s="26" t="n">
        <v>39</v>
      </c>
      <c r="C2903" s="26" t="n">
        <v>1449</v>
      </c>
      <c r="D2903" s="14" t="inlineStr">
        <is>
          <t>ESCOLA MUNICIPAL FREI SERAFIM DO AMPARO</t>
        </is>
      </c>
      <c r="E2903" s="14" t="inlineStr">
        <is>
          <t>VILA SERRANA II</t>
        </is>
      </c>
      <c r="F2903" s="14" t="inlineStr">
        <is>
          <t>AV. RAFAEL SPÍNOLA, S/N, VILA SERRANA</t>
        </is>
      </c>
      <c r="G2903" s="27" t="inlineStr">
        <is>
          <t>45078-000</t>
        </is>
      </c>
      <c r="H2903" s="15" t="n">
        <v>20</v>
      </c>
      <c r="I2903" s="28" t="inlineStr">
        <is>
          <t>NÃO</t>
        </is>
      </c>
      <c r="J2903" s="29" t="n">
        <v>637.5</v>
      </c>
      <c r="K2903" s="14" t="str">
        <f>IF(J2903="","7. Acima de 2 km",IF(J2903&lt;=50,"1. Até 50 m",IF(J2903&lt;=100,"2. De 50 a 100 m",IF(J2903&lt;=200,"3. De 100 a 200 m",IF(J2903&lt;=300,"4. De 200 a 300 m",IF(J2903&lt;=500,"5. De 300 a 500 m","6. De 500 m a 2 km"))))))</f>
        <v>6. De 500 m a 2 km</v>
      </c>
      <c r="L2903" s="26" t="n">
        <v>0</v>
      </c>
      <c r="M2903" s="26" t="n">
        <v>0</v>
      </c>
      <c r="N2903" s="26" t="n">
        <v>0</v>
      </c>
      <c r="O2903" s="26" t="n">
        <v>0</v>
      </c>
      <c r="P2903" s="30" t="n">
        <v>-14.8364881</v>
      </c>
      <c r="Q2903" s="30" t="n">
        <v>-40.8798934</v>
      </c>
      <c r="R2903" s="14" t="inlineStr">
        <is>
          <t>FÓRUM ELEITORAL DE VITÓRIA DA CONQUISTA, AVENIDA OLÍVIA FLORES, S/N, BAIRRO CANDEIAS, VITÓRIA DA CONQUISTA/BA</t>
        </is>
      </c>
      <c r="S2903" s="26">
        <f>IF(A2903=A2902,0,1)</f>
        <v>0</v>
      </c>
      <c r="T2903" s="26">
        <f>IF(COUNTIF($B$4:B2903,B2903)=1,1,0)</f>
        <v>0</v>
      </c>
    </row>
    <row r="2904">
      <c r="A2904" s="14" t="inlineStr">
        <is>
          <t>VITÓRIA DA CONQUISTA</t>
        </is>
      </c>
      <c r="B2904" s="26" t="n">
        <v>39</v>
      </c>
      <c r="C2904" s="26" t="n">
        <v>1481</v>
      </c>
      <c r="D2904" s="14" t="inlineStr">
        <is>
          <t>CAIC - CENTRO MUNICIPAL DE EDUCAÇÃO PROFESSOR PAULO FREIRE</t>
        </is>
      </c>
      <c r="E2904" s="14" t="inlineStr">
        <is>
          <t>ZABELÊ</t>
        </is>
      </c>
      <c r="F2904" s="14" t="inlineStr">
        <is>
          <t>AVENIDA SÉRGIO VIEIRA DE MELLO, S/N - URBIS IV - ZABELÊ</t>
        </is>
      </c>
      <c r="G2904" s="27" t="inlineStr">
        <is>
          <t>45078-300</t>
        </is>
      </c>
      <c r="H2904" s="15" t="n">
        <v>12</v>
      </c>
      <c r="I2904" s="28" t="inlineStr">
        <is>
          <t>SIM</t>
        </is>
      </c>
      <c r="J2904" s="29" t="n">
        <v>89.8</v>
      </c>
      <c r="K2904" s="14" t="str">
        <f>IF(J2904="","7. Acima de 2 km",IF(J2904&lt;=50,"1. Até 50 m",IF(J2904&lt;=100,"2. De 50 a 100 m",IF(J2904&lt;=200,"3. De 100 a 200 m",IF(J2904&lt;=300,"4. De 200 a 300 m",IF(J2904&lt;=500,"5. De 300 a 500 m","6. De 500 m a 2 km"))))))</f>
        <v>2. De 50 a 100 m</v>
      </c>
      <c r="L2904" s="26" t="n">
        <v>0</v>
      </c>
      <c r="M2904" s="26" t="n">
        <v>1</v>
      </c>
      <c r="N2904" s="26" t="n">
        <v>1</v>
      </c>
      <c r="O2904" s="26" t="n">
        <v>1</v>
      </c>
      <c r="P2904" s="30" t="n">
        <v>-14.8430102</v>
      </c>
      <c r="Q2904" s="30" t="n">
        <v>-40.8694069</v>
      </c>
      <c r="R2904" s="14" t="inlineStr">
        <is>
          <t>FÓRUM ELEITORAL DE VITÓRIA DA CONQUISTA, AVENIDA OLÍVIA FLORES, S/N, BAIRRO CANDEIAS, VITÓRIA DA CONQUISTA/BA</t>
        </is>
      </c>
      <c r="S2904" s="26">
        <f>IF(A2904=A2903,0,1)</f>
        <v>0</v>
      </c>
      <c r="T2904" s="26">
        <f>IF(COUNTIF($B$4:B2904,B2904)=1,1,0)</f>
        <v>0</v>
      </c>
    </row>
    <row r="2905">
      <c r="A2905" s="14" t="inlineStr">
        <is>
          <t>VITÓRIA DA CONQUISTA</t>
        </is>
      </c>
      <c r="B2905" s="26" t="n">
        <v>39</v>
      </c>
      <c r="C2905" s="26" t="n">
        <v>1503</v>
      </c>
      <c r="D2905" s="14" t="inlineStr">
        <is>
          <t>ESCOLA MUNICIPAL DR. FERNANDO SPÍNOLA</t>
        </is>
      </c>
      <c r="E2905" s="14" t="inlineStr">
        <is>
          <t>PATAGÔNIA</t>
        </is>
      </c>
      <c r="F2905" s="14" t="inlineStr">
        <is>
          <t>AV. FREI BENJAMIM, S/N - PATAGÔNIA - ZONA URBANA</t>
        </is>
      </c>
      <c r="G2905" s="27" t="inlineStr">
        <is>
          <t>45051-555</t>
        </is>
      </c>
      <c r="H2905" s="15" t="n">
        <v>12</v>
      </c>
      <c r="I2905" s="28" t="inlineStr">
        <is>
          <t>NÃO</t>
        </is>
      </c>
      <c r="J2905" s="29" t="n">
        <v>193.3</v>
      </c>
      <c r="K2905" s="14" t="str">
        <f>IF(J2905="","7. Acima de 2 km",IF(J2905&lt;=50,"1. Até 50 m",IF(J2905&lt;=100,"2. De 50 a 100 m",IF(J2905&lt;=200,"3. De 100 a 200 m",IF(J2905&lt;=300,"4. De 200 a 300 m",IF(J2905&lt;=500,"5. De 300 a 500 m","6. De 500 m a 2 km"))))))</f>
        <v>3. De 100 a 200 m</v>
      </c>
      <c r="L2905" s="26" t="n">
        <v>0</v>
      </c>
      <c r="M2905" s="26" t="n">
        <v>0</v>
      </c>
      <c r="N2905" s="26" t="n">
        <v>1</v>
      </c>
      <c r="O2905" s="26" t="n">
        <v>1</v>
      </c>
      <c r="P2905" s="30" t="n">
        <v>-14.8705947</v>
      </c>
      <c r="Q2905" s="30" t="n">
        <v>-40.855622</v>
      </c>
      <c r="R2905" s="14" t="inlineStr">
        <is>
          <t>FÓRUM ELEITORAL DE VITÓRIA DA CONQUISTA, AVENIDA OLÍVIA FLORES, S/N, BAIRRO CANDEIAS, VITÓRIA DA CONQUISTA/BA</t>
        </is>
      </c>
      <c r="S2905" s="26">
        <f>IF(A2905=A2904,0,1)</f>
        <v>0</v>
      </c>
      <c r="T2905" s="26">
        <f>IF(COUNTIF($B$4:B2905,B2905)=1,1,0)</f>
        <v>0</v>
      </c>
    </row>
    <row r="2906">
      <c r="A2906" s="14" t="inlineStr">
        <is>
          <t>VITÓRIA DA CONQUISTA</t>
        </is>
      </c>
      <c r="B2906" s="26" t="n">
        <v>39</v>
      </c>
      <c r="C2906" s="26" t="n">
        <v>1511</v>
      </c>
      <c r="D2906" s="14" t="inlineStr">
        <is>
          <t>ESCOLA MUNICIPAL MILTON DE ALMEIDA SANTOS</t>
        </is>
      </c>
      <c r="E2906" s="14" t="inlineStr">
        <is>
          <t>KADIJA</t>
        </is>
      </c>
      <c r="F2906" s="14" t="inlineStr">
        <is>
          <t>AV. BRASILIA, S/N - ZONA URBANA</t>
        </is>
      </c>
      <c r="G2906" s="27" t="inlineStr">
        <is>
          <t>45065-120</t>
        </is>
      </c>
      <c r="H2906" s="15" t="n">
        <v>4</v>
      </c>
      <c r="I2906" s="28" t="inlineStr">
        <is>
          <t>NÃO</t>
        </is>
      </c>
      <c r="J2906" s="29" t="n">
        <v>282.7</v>
      </c>
      <c r="K2906" s="14" t="str">
        <f>IF(J2906="","7. Acima de 2 km",IF(J2906&lt;=50,"1. Até 50 m",IF(J2906&lt;=100,"2. De 50 a 100 m",IF(J2906&lt;=200,"3. De 100 a 200 m",IF(J2906&lt;=300,"4. De 200 a 300 m",IF(J2906&lt;=500,"5. De 300 a 500 m","6. De 500 m a 2 km"))))))</f>
        <v>4. De 200 a 300 m</v>
      </c>
      <c r="L2906" s="26" t="n">
        <v>0</v>
      </c>
      <c r="M2906" s="26" t="n">
        <v>0</v>
      </c>
      <c r="N2906" s="26" t="n">
        <v>0</v>
      </c>
      <c r="O2906" s="26" t="n">
        <v>1</v>
      </c>
      <c r="P2906" s="30" t="n">
        <v>-14.8765129</v>
      </c>
      <c r="Q2906" s="30" t="n">
        <v>-40.8619317</v>
      </c>
      <c r="R2906" s="14" t="inlineStr">
        <is>
          <t>FÓRUM ELEITORAL DE VITÓRIA DA CONQUISTA, AVENIDA OLÍVIA FLORES, S/N, BAIRRO CANDEIAS, VITÓRIA DA CONQUISTA/BA</t>
        </is>
      </c>
      <c r="S2906" s="26">
        <f>IF(A2906=A2905,0,1)</f>
        <v>0</v>
      </c>
      <c r="T2906" s="26">
        <f>IF(COUNTIF($B$4:B2906,B2906)=1,1,0)</f>
        <v>0</v>
      </c>
    </row>
    <row r="2907">
      <c r="A2907" s="14" t="inlineStr">
        <is>
          <t>VITÓRIA DA CONQUISTA</t>
        </is>
      </c>
      <c r="B2907" s="26" t="n">
        <v>39</v>
      </c>
      <c r="C2907" s="26" t="n">
        <v>1520</v>
      </c>
      <c r="D2907" s="14" t="inlineStr">
        <is>
          <t>ESCOLA MUNICIPAL JUIZ DOUTOR GILDÁSIO PEREIRA CASTRO</t>
        </is>
      </c>
      <c r="E2907" s="14" t="inlineStr">
        <is>
          <t>HENRIQUETA PRATES</t>
        </is>
      </c>
      <c r="F2907" s="14" t="inlineStr">
        <is>
          <t>AVENIDA CENTRAL, S/N, HENRIQUETA PRATES -  SÃO PEDRO</t>
        </is>
      </c>
      <c r="G2907" s="27" t="inlineStr">
        <is>
          <t>45070-225</t>
        </is>
      </c>
      <c r="H2907" s="15" t="n">
        <v>8</v>
      </c>
      <c r="I2907" s="28" t="inlineStr">
        <is>
          <t>NÃO</t>
        </is>
      </c>
      <c r="J2907" s="29" t="n">
        <v>807.7</v>
      </c>
      <c r="K2907" s="14" t="str">
        <f>IF(J2907="","7. Acima de 2 km",IF(J2907&lt;=50,"1. Até 50 m",IF(J2907&lt;=100,"2. De 50 a 100 m",IF(J2907&lt;=200,"3. De 100 a 200 m",IF(J2907&lt;=300,"4. De 200 a 300 m",IF(J2907&lt;=500,"5. De 300 a 500 m","6. De 500 m a 2 km"))))))</f>
        <v>6. De 500 m a 2 km</v>
      </c>
      <c r="L2907" s="26" t="n">
        <v>0</v>
      </c>
      <c r="M2907" s="26" t="n">
        <v>0</v>
      </c>
      <c r="N2907" s="26" t="n">
        <v>0</v>
      </c>
      <c r="O2907" s="26" t="n">
        <v>0</v>
      </c>
      <c r="P2907" s="30" t="n">
        <v>-14.8476625</v>
      </c>
      <c r="Q2907" s="30" t="n">
        <v>-40.8908529</v>
      </c>
      <c r="R2907" s="14" t="inlineStr">
        <is>
          <t>FÓRUM ELEITORAL DE VITÓRIA DA CONQUISTA, AVENIDA OLÍVIA FLORES, S/N, BAIRRO CANDEIAS, VITÓRIA DA CONQUISTA/BA</t>
        </is>
      </c>
      <c r="S2907" s="26">
        <f>IF(A2907=A2906,0,1)</f>
        <v>0</v>
      </c>
      <c r="T2907" s="26">
        <f>IF(COUNTIF($B$4:B2907,B2907)=1,1,0)</f>
        <v>0</v>
      </c>
    </row>
    <row r="2908">
      <c r="A2908" s="14" t="inlineStr">
        <is>
          <t>VITÓRIA DA CONQUISTA</t>
        </is>
      </c>
      <c r="B2908" s="26" t="n">
        <v>39</v>
      </c>
      <c r="C2908" s="26" t="n">
        <v>1546</v>
      </c>
      <c r="D2908" s="14" t="inlineStr">
        <is>
          <t>COLÉGIO DA POLÍCIA MILITAR ERALDO TINOCO</t>
        </is>
      </c>
      <c r="E2908" s="14" t="inlineStr">
        <is>
          <t>KADIJA</t>
        </is>
      </c>
      <c r="F2908" s="14" t="inlineStr">
        <is>
          <t>AVENIDA BRASÍLIA, 273  - PATAGÔNIA</t>
        </is>
      </c>
      <c r="G2908" s="27" t="inlineStr">
        <is>
          <t>45065-120</t>
        </is>
      </c>
      <c r="H2908" s="15" t="n">
        <v>14</v>
      </c>
      <c r="I2908" s="28" t="inlineStr">
        <is>
          <t>SIM</t>
        </is>
      </c>
      <c r="J2908" s="29" t="n">
        <v>15.9</v>
      </c>
      <c r="K2908" s="14" t="str">
        <f>IF(J2908="","7. Acima de 2 km",IF(J2908&lt;=50,"1. Até 50 m",IF(J2908&lt;=100,"2. De 50 a 100 m",IF(J2908&lt;=200,"3. De 100 a 200 m",IF(J2908&lt;=300,"4. De 200 a 300 m",IF(J2908&lt;=500,"5. De 300 a 500 m","6. De 500 m a 2 km"))))))</f>
        <v>1. Até 50 m</v>
      </c>
      <c r="L2908" s="26" t="n">
        <v>1</v>
      </c>
      <c r="M2908" s="26" t="n">
        <v>1</v>
      </c>
      <c r="N2908" s="26" t="n">
        <v>2</v>
      </c>
      <c r="O2908" s="26" t="n">
        <v>2</v>
      </c>
      <c r="P2908" s="30" t="n">
        <v>-14.8768283</v>
      </c>
      <c r="Q2908" s="30" t="n">
        <v>-40.857425</v>
      </c>
      <c r="R2908" s="14" t="inlineStr">
        <is>
          <t>FÓRUM ELEITORAL DE VITÓRIA DA CONQUISTA, AVENIDA OLÍVIA FLORES, S/N, BAIRRO CANDEIAS, VITÓRIA DA CONQUISTA/BA</t>
        </is>
      </c>
      <c r="S2908" s="26">
        <f>IF(A2908=A2907,0,1)</f>
        <v>0</v>
      </c>
      <c r="T2908" s="26">
        <f>IF(COUNTIF($B$4:B2908,B2908)=1,1,0)</f>
        <v>0</v>
      </c>
    </row>
    <row r="2909">
      <c r="A2909" s="14" t="inlineStr">
        <is>
          <t>VITÓRIA DA CONQUISTA</t>
        </is>
      </c>
      <c r="B2909" s="26" t="n">
        <v>39</v>
      </c>
      <c r="C2909" s="26" t="n">
        <v>1554</v>
      </c>
      <c r="D2909" s="14" t="inlineStr">
        <is>
          <t>ESCOLA MUNICIPAL JOSÉ LOPES VIANA</t>
        </is>
      </c>
      <c r="E2909" s="14" t="inlineStr">
        <is>
          <t>CAMPINHOS</t>
        </is>
      </c>
      <c r="F2909" s="14" t="inlineStr">
        <is>
          <t>AV. DOUTOR JADIEL VIEIRA MATOS - CAMPINHOS</t>
        </is>
      </c>
      <c r="G2909" s="27" t="inlineStr">
        <is>
          <t>45061-500</t>
        </is>
      </c>
      <c r="H2909" s="15" t="n">
        <v>7</v>
      </c>
      <c r="I2909" s="28" t="inlineStr">
        <is>
          <t>NÃO</t>
        </is>
      </c>
      <c r="J2909" s="29" t="n"/>
      <c r="K2909" s="14" t="str">
        <f>IF(J2909="","7. Acima de 2 km",IF(J2909&lt;=50,"1. Até 50 m",IF(J2909&lt;=100,"2. De 50 a 100 m",IF(J2909&lt;=200,"3. De 100 a 200 m",IF(J2909&lt;=300,"4. De 200 a 300 m",IF(J2909&lt;=500,"5. De 300 a 500 m","6. De 500 m a 2 km"))))))</f>
        <v>7. Acima de 2 km</v>
      </c>
      <c r="L2909" s="26" t="n">
        <v>0</v>
      </c>
      <c r="M2909" s="26" t="n">
        <v>0</v>
      </c>
      <c r="N2909" s="26" t="n">
        <v>0</v>
      </c>
      <c r="O2909" s="26" t="n">
        <v>0</v>
      </c>
      <c r="P2909" s="30" t="n">
        <v>-14.8840421</v>
      </c>
      <c r="Q2909" s="30" t="n">
        <v>-40.8878348</v>
      </c>
      <c r="R2909" s="14" t="inlineStr">
        <is>
          <t>FÓRUM ELEITORAL DE VITÓRIA DA CONQUISTA, AVENIDA OLÍVIA FLORES, S/N, BAIRRO CANDEIAS, VITÓRIA DA CONQUISTA/BA</t>
        </is>
      </c>
      <c r="S2909" s="26">
        <f>IF(A2909=A2908,0,1)</f>
        <v>0</v>
      </c>
      <c r="T2909" s="26">
        <f>IF(COUNTIF($B$4:B2909,B2909)=1,1,0)</f>
        <v>0</v>
      </c>
    </row>
    <row r="2910">
      <c r="A2910" s="14" t="inlineStr">
        <is>
          <t>VITÓRIA DA CONQUISTA</t>
        </is>
      </c>
      <c r="B2910" s="26" t="n">
        <v>39</v>
      </c>
      <c r="C2910" s="26" t="n">
        <v>1562</v>
      </c>
      <c r="D2910" s="14" t="inlineStr">
        <is>
          <t>ESCOLA MUNICIPAL PROFESSORA IZA MEDEIROS</t>
        </is>
      </c>
      <c r="E2910" s="14" t="inlineStr">
        <is>
          <t>KADIJA</t>
        </is>
      </c>
      <c r="F2910" s="14" t="inlineStr">
        <is>
          <t>AVENIDA PELOTAS, S/N - PATAGÔNIA</t>
        </is>
      </c>
      <c r="G2910" s="27" t="inlineStr">
        <is>
          <t>45065-110</t>
        </is>
      </c>
      <c r="H2910" s="15" t="n">
        <v>8</v>
      </c>
      <c r="I2910" s="28" t="inlineStr">
        <is>
          <t>NÃO</t>
        </is>
      </c>
      <c r="J2910" s="29" t="n">
        <v>151.8</v>
      </c>
      <c r="K2910" s="14" t="str">
        <f>IF(J2910="","7. Acima de 2 km",IF(J2910&lt;=50,"1. Até 50 m",IF(J2910&lt;=100,"2. De 50 a 100 m",IF(J2910&lt;=200,"3. De 100 a 200 m",IF(J2910&lt;=300,"4. De 200 a 300 m",IF(J2910&lt;=500,"5. De 300 a 500 m","6. De 500 m a 2 km"))))))</f>
        <v>3. De 100 a 200 m</v>
      </c>
      <c r="L2910" s="26" t="n">
        <v>0</v>
      </c>
      <c r="M2910" s="26" t="n">
        <v>0</v>
      </c>
      <c r="N2910" s="26" t="n">
        <v>1</v>
      </c>
      <c r="O2910" s="26" t="n">
        <v>1</v>
      </c>
      <c r="P2910" s="30" t="n">
        <v>-14.8754407</v>
      </c>
      <c r="Q2910" s="30" t="n">
        <v>-40.8614233</v>
      </c>
      <c r="R2910" s="14" t="inlineStr">
        <is>
          <t>FÓRUM ELEITORAL DE VITÓRIA DA CONQUISTA, AVENIDA OLÍVIA FLORES, S/N, BAIRRO CANDEIAS, VITÓRIA DA CONQUISTA/BA</t>
        </is>
      </c>
      <c r="S2910" s="26">
        <f>IF(A2910=A2909,0,1)</f>
        <v>0</v>
      </c>
      <c r="T2910" s="26">
        <f>IF(COUNTIF($B$4:B2910,B2910)=1,1,0)</f>
        <v>0</v>
      </c>
    </row>
    <row r="2911">
      <c r="A2911" s="14" t="inlineStr">
        <is>
          <t>VITÓRIA DA CONQUISTA</t>
        </is>
      </c>
      <c r="B2911" s="26" t="n">
        <v>39</v>
      </c>
      <c r="C2911" s="26" t="n">
        <v>1589</v>
      </c>
      <c r="D2911" s="14" t="inlineStr">
        <is>
          <t>ESCOLA MUNICIPAL MARIA SANTANA</t>
        </is>
      </c>
      <c r="E2911" s="14" t="inlineStr">
        <is>
          <t>COMVEIMA I</t>
        </is>
      </c>
      <c r="F2911" s="14" t="inlineStr">
        <is>
          <t>RUA 30, S/N, COMVEIMA I - JATOBÁ</t>
        </is>
      </c>
      <c r="G2911" s="27" t="inlineStr">
        <is>
          <t>45066-664</t>
        </is>
      </c>
      <c r="H2911" s="15" t="n">
        <v>6</v>
      </c>
      <c r="I2911" s="28" t="inlineStr">
        <is>
          <t>NÃO</t>
        </is>
      </c>
      <c r="J2911" s="29" t="n">
        <v>276.6</v>
      </c>
      <c r="K2911" s="14" t="str">
        <f>IF(J2911="","7. Acima de 2 km",IF(J2911&lt;=50,"1. Até 50 m",IF(J2911&lt;=100,"2. De 50 a 100 m",IF(J2911&lt;=200,"3. De 100 a 200 m",IF(J2911&lt;=300,"4. De 200 a 300 m",IF(J2911&lt;=500,"5. De 300 a 500 m","6. De 500 m a 2 km"))))))</f>
        <v>4. De 200 a 300 m</v>
      </c>
      <c r="L2911" s="26" t="n">
        <v>0</v>
      </c>
      <c r="M2911" s="26" t="n">
        <v>0</v>
      </c>
      <c r="N2911" s="26" t="n">
        <v>0</v>
      </c>
      <c r="O2911" s="26" t="n">
        <v>4</v>
      </c>
      <c r="P2911" s="30" t="n">
        <v>-14.8876346</v>
      </c>
      <c r="Q2911" s="30" t="n">
        <v>-40.8629086</v>
      </c>
      <c r="R2911" s="14" t="inlineStr">
        <is>
          <t>FÓRUM ELEITORAL DE VITÓRIA DA CONQUISTA, AVENIDA OLÍVIA FLORES, S/N, BAIRRO CANDEIAS, VITÓRIA DA CONQUISTA/BA</t>
        </is>
      </c>
      <c r="S2911" s="26">
        <f>IF(A2911=A2910,0,1)</f>
        <v>0</v>
      </c>
      <c r="T2911" s="26">
        <f>IF(COUNTIF($B$4:B2911,B2911)=1,1,0)</f>
        <v>0</v>
      </c>
    </row>
    <row r="2912">
      <c r="A2912" s="14" t="inlineStr">
        <is>
          <t>VITÓRIA DA CONQUISTA</t>
        </is>
      </c>
      <c r="B2912" s="26" t="n">
        <v>39</v>
      </c>
      <c r="C2912" s="26" t="n">
        <v>1597</v>
      </c>
      <c r="D2912" s="14" t="inlineStr">
        <is>
          <t>ESCOLA MUNICIPAL DR. RAIMUNDO BAHIA DA NOVA</t>
        </is>
      </c>
      <c r="E2912" s="14" t="inlineStr">
        <is>
          <t>KADIJA</t>
        </is>
      </c>
      <c r="F2912" s="14" t="inlineStr">
        <is>
          <t>RUA RIBEIRA DO POMBAL, PATAGÔNIA</t>
        </is>
      </c>
      <c r="G2912" s="27" t="inlineStr">
        <is>
          <t>45065-440</t>
        </is>
      </c>
      <c r="H2912" s="15" t="n">
        <v>6</v>
      </c>
      <c r="I2912" s="28" t="inlineStr">
        <is>
          <t>NÃO</t>
        </is>
      </c>
      <c r="J2912" s="29" t="n">
        <v>711.9</v>
      </c>
      <c r="K2912" s="14" t="str">
        <f>IF(J2912="","7. Acima de 2 km",IF(J2912&lt;=50,"1. Até 50 m",IF(J2912&lt;=100,"2. De 50 a 100 m",IF(J2912&lt;=200,"3. De 100 a 200 m",IF(J2912&lt;=300,"4. De 200 a 300 m",IF(J2912&lt;=500,"5. De 300 a 500 m","6. De 500 m a 2 km"))))))</f>
        <v>6. De 500 m a 2 km</v>
      </c>
      <c r="L2912" s="26" t="n">
        <v>0</v>
      </c>
      <c r="M2912" s="26" t="n">
        <v>0</v>
      </c>
      <c r="N2912" s="26" t="n">
        <v>0</v>
      </c>
      <c r="O2912" s="26" t="n">
        <v>0</v>
      </c>
      <c r="P2912" s="30" t="n">
        <v>-14.8774505</v>
      </c>
      <c r="Q2912" s="30" t="n">
        <v>-40.8675375</v>
      </c>
      <c r="R2912" s="14" t="inlineStr">
        <is>
          <t>FÓRUM ELEITORAL DE VITÓRIA DA CONQUISTA, AVENIDA OLÍVIA FLORES, S/N, BAIRRO CANDEIAS, VITÓRIA DA CONQUISTA/BA</t>
        </is>
      </c>
      <c r="S2912" s="26">
        <f>IF(A2912=A2911,0,1)</f>
        <v>0</v>
      </c>
      <c r="T2912" s="26">
        <f>IF(COUNTIF($B$4:B2912,B2912)=1,1,0)</f>
        <v>0</v>
      </c>
    </row>
    <row r="2913">
      <c r="A2913" s="14" t="inlineStr">
        <is>
          <t>VITÓRIA DA CONQUISTA</t>
        </is>
      </c>
      <c r="B2913" s="26" t="n">
        <v>39</v>
      </c>
      <c r="C2913" s="26" t="n">
        <v>1600</v>
      </c>
      <c r="D2913" s="14" t="inlineStr">
        <is>
          <t>ESCOLA MUNICIPAL PROFESSORA  EDIVANDA MARIA TEIXEIRA</t>
        </is>
      </c>
      <c r="E2913" s="14" t="inlineStr">
        <is>
          <t>JARDIM VALÉRIA</t>
        </is>
      </c>
      <c r="F2913" s="14" t="inlineStr">
        <is>
          <t>RUA SANTA IRMÃ DULCE DOS POBRES, S/N, JARDIM VALÉRIA - JATOBÁ I</t>
        </is>
      </c>
      <c r="G2913" s="27" t="inlineStr">
        <is>
          <t>45066-121</t>
        </is>
      </c>
      <c r="H2913" s="15" t="n">
        <v>10</v>
      </c>
      <c r="I2913" s="28" t="inlineStr">
        <is>
          <t>NÃO</t>
        </is>
      </c>
      <c r="J2913" s="29" t="n">
        <v>671.1</v>
      </c>
      <c r="K2913" s="14" t="str">
        <f>IF(J2913="","7. Acima de 2 km",IF(J2913&lt;=50,"1. Até 50 m",IF(J2913&lt;=100,"2. De 50 a 100 m",IF(J2913&lt;=200,"3. De 100 a 200 m",IF(J2913&lt;=300,"4. De 200 a 300 m",IF(J2913&lt;=500,"5. De 300 a 500 m","6. De 500 m a 2 km"))))))</f>
        <v>6. De 500 m a 2 km</v>
      </c>
      <c r="L2913" s="26" t="n">
        <v>0</v>
      </c>
      <c r="M2913" s="26" t="n">
        <v>0</v>
      </c>
      <c r="N2913" s="26" t="n">
        <v>0</v>
      </c>
      <c r="O2913" s="26" t="n">
        <v>0</v>
      </c>
      <c r="P2913" s="30" t="n">
        <v>-14.8797967</v>
      </c>
      <c r="Q2913" s="30" t="n">
        <v>-40.8737633</v>
      </c>
      <c r="R2913" s="14" t="inlineStr">
        <is>
          <t>FÓRUM ELEITORAL DE VITÓRIA DA CONQUISTA, AVENIDA OLÍVIA FLORES, S/N, BAIRRO CANDEIAS, VITÓRIA DA CONQUISTA/BA</t>
        </is>
      </c>
      <c r="S2913" s="26">
        <f>IF(A2913=A2912,0,1)</f>
        <v>0</v>
      </c>
      <c r="T2913" s="26">
        <f>IF(COUNTIF($B$4:B2913,B2913)=1,1,0)</f>
        <v>0</v>
      </c>
    </row>
    <row r="2914">
      <c r="A2914" s="14" t="inlineStr">
        <is>
          <t>VITÓRIA DA CONQUISTA</t>
        </is>
      </c>
      <c r="B2914" s="26" t="n">
        <v>39</v>
      </c>
      <c r="C2914" s="26" t="n">
        <v>1619</v>
      </c>
      <c r="D2914" s="14" t="inlineStr">
        <is>
          <t>COLÉGIO MONTE TABOR</t>
        </is>
      </c>
      <c r="E2914" s="14" t="inlineStr">
        <is>
          <t>PATAGÔNIA</t>
        </is>
      </c>
      <c r="F2914" s="14" t="inlineStr">
        <is>
          <t>AVENIDA FARROUPILHA, N 565 - ZONA URBANA</t>
        </is>
      </c>
      <c r="G2914" s="27" t="inlineStr">
        <is>
          <t>45065-060</t>
        </is>
      </c>
      <c r="H2914" s="15" t="n">
        <v>6</v>
      </c>
      <c r="I2914" s="28" t="inlineStr">
        <is>
          <t>NÃO</t>
        </is>
      </c>
      <c r="J2914" s="29" t="n">
        <v>405.2</v>
      </c>
      <c r="K2914" s="14" t="str">
        <f>IF(J2914="","7. Acima de 2 km",IF(J2914&lt;=50,"1. Até 50 m",IF(J2914&lt;=100,"2. De 50 a 100 m",IF(J2914&lt;=200,"3. De 100 a 200 m",IF(J2914&lt;=300,"4. De 200 a 300 m",IF(J2914&lt;=500,"5. De 300 a 500 m","6. De 500 m a 2 km"))))))</f>
        <v>5. De 300 a 500 m</v>
      </c>
      <c r="L2914" s="26" t="n">
        <v>0</v>
      </c>
      <c r="M2914" s="26" t="n">
        <v>0</v>
      </c>
      <c r="N2914" s="26" t="n">
        <v>0</v>
      </c>
      <c r="O2914" s="26" t="n">
        <v>0</v>
      </c>
      <c r="P2914" s="30" t="n">
        <v>-14.8719471</v>
      </c>
      <c r="Q2914" s="30" t="n">
        <v>-40.8576158</v>
      </c>
      <c r="R2914" s="14" t="inlineStr">
        <is>
          <t>FÓRUM ELEITORAL DE VITÓRIA DA CONQUISTA, AVENIDA OLÍVIA FLORES, S/N, BAIRRO CANDEIAS, VITÓRIA DA CONQUISTA/BA</t>
        </is>
      </c>
      <c r="S2914" s="26">
        <f>IF(A2914=A2913,0,1)</f>
        <v>0</v>
      </c>
      <c r="T2914" s="26">
        <f>IF(COUNTIF($B$4:B2914,B2914)=1,1,0)</f>
        <v>0</v>
      </c>
    </row>
    <row r="2915">
      <c r="A2915" s="14" t="inlineStr">
        <is>
          <t>VITÓRIA DA CONQUISTA</t>
        </is>
      </c>
      <c r="B2915" s="26" t="n">
        <v>39</v>
      </c>
      <c r="C2915" s="26" t="n">
        <v>1635</v>
      </c>
      <c r="D2915" s="14" t="inlineStr">
        <is>
          <t>ESCOLA MUNICIPAL PADRE AGUIAR</t>
        </is>
      </c>
      <c r="E2915" s="14" t="inlineStr">
        <is>
          <t>PATAGÔNIA</t>
        </is>
      </c>
      <c r="F2915" s="14" t="inlineStr">
        <is>
          <t>AVENIDA FARROUPILHA, S/N - PATAGÔNIA</t>
        </is>
      </c>
      <c r="G2915" s="27" t="inlineStr">
        <is>
          <t>45065-060</t>
        </is>
      </c>
      <c r="H2915" s="15" t="n">
        <v>7</v>
      </c>
      <c r="I2915" s="28" t="inlineStr">
        <is>
          <t>NÃO</t>
        </is>
      </c>
      <c r="J2915" s="29" t="n">
        <v>433.6</v>
      </c>
      <c r="K2915" s="14" t="str">
        <f>IF(J2915="","7. Acima de 2 km",IF(J2915&lt;=50,"1. Até 50 m",IF(J2915&lt;=100,"2. De 50 a 100 m",IF(J2915&lt;=200,"3. De 100 a 200 m",IF(J2915&lt;=300,"4. De 200 a 300 m",IF(J2915&lt;=500,"5. De 300 a 500 m","6. De 500 m a 2 km"))))))</f>
        <v>5. De 300 a 500 m</v>
      </c>
      <c r="L2915" s="26" t="n">
        <v>0</v>
      </c>
      <c r="M2915" s="26" t="n">
        <v>0</v>
      </c>
      <c r="N2915" s="26" t="n">
        <v>0</v>
      </c>
      <c r="O2915" s="26" t="n">
        <v>0</v>
      </c>
      <c r="P2915" s="30" t="n">
        <v>-14.8725419</v>
      </c>
      <c r="Q2915" s="30" t="n">
        <v>-40.8537577</v>
      </c>
      <c r="R2915" s="14" t="inlineStr">
        <is>
          <t>FÓRUM ELEITORAL DE VITÓRIA DA CONQUISTA, AVENIDA OLÍVIA FLORES, S/N, BAIRRO CANDEIAS, VITÓRIA DA CONQUISTA/BA</t>
        </is>
      </c>
      <c r="S2915" s="26">
        <f>IF(A2915=A2914,0,1)</f>
        <v>0</v>
      </c>
      <c r="T2915" s="26">
        <f>IF(COUNTIF($B$4:B2915,B2915)=1,1,0)</f>
        <v>0</v>
      </c>
    </row>
    <row r="2916">
      <c r="A2916" s="14" t="inlineStr">
        <is>
          <t>VITÓRIA DA CONQUISTA</t>
        </is>
      </c>
      <c r="B2916" s="26" t="n">
        <v>39</v>
      </c>
      <c r="C2916" s="26" t="n">
        <v>1660</v>
      </c>
      <c r="D2916" s="14" t="inlineStr">
        <is>
          <t>ESCOLA MUNICIPAL MARIA ROGACIANA DA SILVA</t>
        </is>
      </c>
      <c r="E2916" s="14" t="inlineStr">
        <is>
          <t>BRASIL</t>
        </is>
      </c>
      <c r="F2916" s="14" t="inlineStr">
        <is>
          <t>AVENIDA DERALDO MENDES, 890 - BRASIL</t>
        </is>
      </c>
      <c r="G2916" s="27" t="inlineStr">
        <is>
          <t>45051-185</t>
        </is>
      </c>
      <c r="H2916" s="15" t="n">
        <v>7</v>
      </c>
      <c r="I2916" s="28" t="inlineStr">
        <is>
          <t>NÃO</t>
        </is>
      </c>
      <c r="J2916" s="29" t="n">
        <v>130.4</v>
      </c>
      <c r="K2916" s="14" t="str">
        <f>IF(J2916="","7. Acima de 2 km",IF(J2916&lt;=50,"1. Até 50 m",IF(J2916&lt;=100,"2. De 50 a 100 m",IF(J2916&lt;=200,"3. De 100 a 200 m",IF(J2916&lt;=300,"4. De 200 a 300 m",IF(J2916&lt;=500,"5. De 300 a 500 m","6. De 500 m a 2 km"))))))</f>
        <v>3. De 100 a 200 m</v>
      </c>
      <c r="L2916" s="26" t="n">
        <v>0</v>
      </c>
      <c r="M2916" s="26" t="n">
        <v>0</v>
      </c>
      <c r="N2916" s="26" t="n">
        <v>1</v>
      </c>
      <c r="O2916" s="26" t="n">
        <v>1</v>
      </c>
      <c r="P2916" s="30" t="n">
        <v>-14.8526133</v>
      </c>
      <c r="Q2916" s="30" t="n">
        <v>-40.8613817</v>
      </c>
      <c r="R2916" s="14" t="inlineStr">
        <is>
          <t>FÓRUM ELEITORAL DE VITÓRIA DA CONQUISTA, AVENIDA OLÍVIA FLORES, S/N, BAIRRO CANDEIAS, VITÓRIA DA CONQUISTA/BA</t>
        </is>
      </c>
      <c r="S2916" s="26">
        <f>IF(A2916=A2915,0,1)</f>
        <v>0</v>
      </c>
      <c r="T2916" s="26">
        <f>IF(COUNTIF($B$4:B2916,B2916)=1,1,0)</f>
        <v>0</v>
      </c>
    </row>
    <row r="2917">
      <c r="A2917" s="14" t="inlineStr">
        <is>
          <t>VITÓRIA DA CONQUISTA</t>
        </is>
      </c>
      <c r="B2917" s="26" t="n">
        <v>39</v>
      </c>
      <c r="C2917" s="26" t="n">
        <v>1678</v>
      </c>
      <c r="D2917" s="14" t="inlineStr">
        <is>
          <t>COLÉGIO ESTADUAL DE TEMPO INTEGRAL CAMILO DE JESUS LIMA</t>
        </is>
      </c>
      <c r="E2917" s="14" t="inlineStr">
        <is>
          <t>PATAGÔNIA</t>
        </is>
      </c>
      <c r="F2917" s="14" t="inlineStr">
        <is>
          <t>RUA POTIRAGUÁ, S/N - PATAGÔNIA</t>
        </is>
      </c>
      <c r="G2917" s="27" t="inlineStr">
        <is>
          <t>45065-580</t>
        </is>
      </c>
      <c r="H2917" s="15" t="n">
        <v>7</v>
      </c>
      <c r="I2917" s="28" t="inlineStr">
        <is>
          <t>NÃO</t>
        </is>
      </c>
      <c r="J2917" s="29" t="n">
        <v>608.5</v>
      </c>
      <c r="K2917" s="14" t="str">
        <f>IF(J2917="","7. Acima de 2 km",IF(J2917&lt;=50,"1. Até 50 m",IF(J2917&lt;=100,"2. De 50 a 100 m",IF(J2917&lt;=200,"3. De 100 a 200 m",IF(J2917&lt;=300,"4. De 200 a 300 m",IF(J2917&lt;=500,"5. De 300 a 500 m","6. De 500 m a 2 km"))))))</f>
        <v>6. De 500 m a 2 km</v>
      </c>
      <c r="L2917" s="26" t="n">
        <v>0</v>
      </c>
      <c r="M2917" s="26" t="n">
        <v>0</v>
      </c>
      <c r="N2917" s="26" t="n">
        <v>0</v>
      </c>
      <c r="O2917" s="26" t="n">
        <v>0</v>
      </c>
      <c r="P2917" s="30" t="n">
        <v>-14.8786747</v>
      </c>
      <c r="Q2917" s="30" t="n">
        <v>-40.8653316</v>
      </c>
      <c r="R2917" s="14" t="inlineStr">
        <is>
          <t>FÓRUM ELEITORAL DE VITÓRIA DA CONQUISTA, AVENIDA OLÍVIA FLORES, S/N, BAIRRO CANDEIAS, VITÓRIA DA CONQUISTA/BA</t>
        </is>
      </c>
      <c r="S2917" s="26">
        <f>IF(A2917=A2916,0,1)</f>
        <v>0</v>
      </c>
      <c r="T2917" s="26">
        <f>IF(COUNTIF($B$4:B2917,B2917)=1,1,0)</f>
        <v>0</v>
      </c>
    </row>
    <row r="2918">
      <c r="A2918" s="14" t="inlineStr">
        <is>
          <t>VITÓRIA DA CONQUISTA</t>
        </is>
      </c>
      <c r="B2918" s="26" t="n">
        <v>39</v>
      </c>
      <c r="C2918" s="26" t="n">
        <v>1686</v>
      </c>
      <c r="D2918" s="14" t="inlineStr">
        <is>
          <t>ESCOLA MUNICIPAL ANÍSIO TEIXEIRA</t>
        </is>
      </c>
      <c r="E2918" s="14" t="inlineStr">
        <is>
          <t>JARDIM VALÉRIA</t>
        </is>
      </c>
      <c r="F2918" s="14" t="inlineStr">
        <is>
          <t>RUA IRMÃ SANTA DULCE DOS POBRES, JATOBÁ</t>
        </is>
      </c>
      <c r="G2918" s="27" t="inlineStr">
        <is>
          <t>45066-121</t>
        </is>
      </c>
      <c r="H2918" s="15" t="n">
        <v>5</v>
      </c>
      <c r="I2918" s="28" t="inlineStr">
        <is>
          <t>NÃO</t>
        </is>
      </c>
      <c r="J2918" s="29" t="n">
        <v>696.3</v>
      </c>
      <c r="K2918" s="14" t="str">
        <f>IF(J2918="","7. Acima de 2 km",IF(J2918&lt;=50,"1. Até 50 m",IF(J2918&lt;=100,"2. De 50 a 100 m",IF(J2918&lt;=200,"3. De 100 a 200 m",IF(J2918&lt;=300,"4. De 200 a 300 m",IF(J2918&lt;=500,"5. De 300 a 500 m","6. De 500 m a 2 km"))))))</f>
        <v>6. De 500 m a 2 km</v>
      </c>
      <c r="L2918" s="26" t="n">
        <v>0</v>
      </c>
      <c r="M2918" s="26" t="n">
        <v>0</v>
      </c>
      <c r="N2918" s="26" t="n">
        <v>0</v>
      </c>
      <c r="O2918" s="26" t="n">
        <v>0</v>
      </c>
      <c r="P2918" s="30" t="n">
        <v>-14.8797174</v>
      </c>
      <c r="Q2918" s="30" t="n">
        <v>-40.8751308</v>
      </c>
      <c r="R2918" s="14" t="inlineStr">
        <is>
          <t>FÓRUM ELEITORAL DE VITÓRIA DA CONQUISTA, AVENIDA OLÍVIA FLORES, S/N, BAIRRO CANDEIAS, VITÓRIA DA CONQUISTA/BA</t>
        </is>
      </c>
      <c r="S2918" s="26">
        <f>IF(A2918=A2917,0,1)</f>
        <v>0</v>
      </c>
      <c r="T2918" s="26">
        <f>IF(COUNTIF($B$4:B2918,B2918)=1,1,0)</f>
        <v>0</v>
      </c>
    </row>
    <row r="2919">
      <c r="A2919" s="14" t="inlineStr">
        <is>
          <t>VITÓRIA DA CONQUISTA</t>
        </is>
      </c>
      <c r="B2919" s="26" t="n">
        <v>39</v>
      </c>
      <c r="C2919" s="26" t="n">
        <v>1708</v>
      </c>
      <c r="D2919" s="14" t="inlineStr">
        <is>
          <t>ESCOLA MUNICIPAL LIONS CLUBE</t>
        </is>
      </c>
      <c r="E2919" s="14" t="inlineStr">
        <is>
          <t>BRASIL</t>
        </is>
      </c>
      <c r="F2919" s="14" t="inlineStr">
        <is>
          <t>AVENIDA SERRINHA, 2284 - ZONA URBANA</t>
        </is>
      </c>
      <c r="G2919" s="27" t="inlineStr">
        <is>
          <t>45051-240</t>
        </is>
      </c>
      <c r="H2919" s="15" t="n">
        <v>4</v>
      </c>
      <c r="I2919" s="28" t="inlineStr">
        <is>
          <t>SIM</t>
        </is>
      </c>
      <c r="J2919" s="29" t="n">
        <v>71.90000000000001</v>
      </c>
      <c r="K2919" s="14" t="str">
        <f>IF(J2919="","7. Acima de 2 km",IF(J2919&lt;=50,"1. Até 50 m",IF(J2919&lt;=100,"2. De 50 a 100 m",IF(J2919&lt;=200,"3. De 100 a 200 m",IF(J2919&lt;=300,"4. De 200 a 300 m",IF(J2919&lt;=500,"5. De 300 a 500 m","6. De 500 m a 2 km"))))))</f>
        <v>2. De 50 a 100 m</v>
      </c>
      <c r="L2919" s="26" t="n">
        <v>0</v>
      </c>
      <c r="M2919" s="26" t="n">
        <v>1</v>
      </c>
      <c r="N2919" s="26" t="n">
        <v>1</v>
      </c>
      <c r="O2919" s="26" t="n">
        <v>1</v>
      </c>
      <c r="P2919" s="30" t="n">
        <v>-14.8556831</v>
      </c>
      <c r="Q2919" s="30" t="n">
        <v>-40.8573683</v>
      </c>
      <c r="R2919" s="14" t="inlineStr">
        <is>
          <t>FÓRUM ELEITORAL DE VITÓRIA DA CONQUISTA, AVENIDA OLÍVIA FLORES, S/N, BAIRRO CANDEIAS, VITÓRIA DA CONQUISTA/BA</t>
        </is>
      </c>
      <c r="S2919" s="26">
        <f>IF(A2919=A2918,0,1)</f>
        <v>0</v>
      </c>
      <c r="T2919" s="26">
        <f>IF(COUNTIF($B$4:B2919,B2919)=1,1,0)</f>
        <v>0</v>
      </c>
    </row>
    <row r="2920">
      <c r="A2920" s="14" t="inlineStr">
        <is>
          <t>VITÓRIA DA CONQUISTA</t>
        </is>
      </c>
      <c r="B2920" s="26" t="n">
        <v>39</v>
      </c>
      <c r="C2920" s="26" t="n">
        <v>1716</v>
      </c>
      <c r="D2920" s="14" t="inlineStr">
        <is>
          <t>ESCOLA MUNICIPAL ALAOR COUTINHO</t>
        </is>
      </c>
      <c r="E2920" s="14" t="inlineStr">
        <is>
          <t>BRASIL</t>
        </is>
      </c>
      <c r="F2920" s="14" t="inlineStr">
        <is>
          <t>RUA ALAN KARDEC, S/N - BRASIL</t>
        </is>
      </c>
      <c r="G2920" s="27" t="inlineStr">
        <is>
          <t>45051-500</t>
        </is>
      </c>
      <c r="H2920" s="15" t="n">
        <v>9</v>
      </c>
      <c r="I2920" s="28" t="inlineStr">
        <is>
          <t>NÃO</t>
        </is>
      </c>
      <c r="J2920" s="29" t="n">
        <v>696.2</v>
      </c>
      <c r="K2920" s="14" t="str">
        <f>IF(J2920="","7. Acima de 2 km",IF(J2920&lt;=50,"1. Até 50 m",IF(J2920&lt;=100,"2. De 50 a 100 m",IF(J2920&lt;=200,"3. De 100 a 200 m",IF(J2920&lt;=300,"4. De 200 a 300 m",IF(J2920&lt;=500,"5. De 300 a 500 m","6. De 500 m a 2 km"))))))</f>
        <v>6. De 500 m a 2 km</v>
      </c>
      <c r="L2920" s="26" t="n">
        <v>0</v>
      </c>
      <c r="M2920" s="26" t="n">
        <v>0</v>
      </c>
      <c r="N2920" s="26" t="n">
        <v>0</v>
      </c>
      <c r="O2920" s="26" t="n">
        <v>0</v>
      </c>
      <c r="P2920" s="30" t="n">
        <v>-14.8622456</v>
      </c>
      <c r="Q2920" s="30" t="n">
        <v>-40.8555944</v>
      </c>
      <c r="R2920" s="14" t="inlineStr">
        <is>
          <t>FÓRUM ELEITORAL DE VITÓRIA DA CONQUISTA, AVENIDA OLÍVIA FLORES, S/N, BAIRRO CANDEIAS, VITÓRIA DA CONQUISTA/BA</t>
        </is>
      </c>
      <c r="S2920" s="26">
        <f>IF(A2920=A2919,0,1)</f>
        <v>0</v>
      </c>
      <c r="T2920" s="26">
        <f>IF(COUNTIF($B$4:B2920,B2920)=1,1,0)</f>
        <v>0</v>
      </c>
    </row>
    <row r="2921">
      <c r="A2921" s="14" t="inlineStr">
        <is>
          <t>VITÓRIA DA CONQUISTA</t>
        </is>
      </c>
      <c r="B2921" s="26" t="n">
        <v>39</v>
      </c>
      <c r="C2921" s="26" t="n">
        <v>1724</v>
      </c>
      <c r="D2921" s="14" t="inlineStr">
        <is>
          <t>ESCOLA MUNICIPAL PÉRICLES GUSMÃO RÉGIS</t>
        </is>
      </c>
      <c r="E2921" s="14" t="inlineStr">
        <is>
          <t>BRASIL</t>
        </is>
      </c>
      <c r="F2921" s="14" t="inlineStr">
        <is>
          <t>AVENIDA CAETITÉ, S/N - ZONA URBANA</t>
        </is>
      </c>
      <c r="G2921" s="27" t="inlineStr">
        <is>
          <t>45051-245</t>
        </is>
      </c>
      <c r="H2921" s="15" t="n">
        <v>5</v>
      </c>
      <c r="I2921" s="28" t="inlineStr">
        <is>
          <t>NÃO</t>
        </is>
      </c>
      <c r="J2921" s="29" t="n">
        <v>490.4</v>
      </c>
      <c r="K2921" s="14" t="str">
        <f>IF(J2921="","7. Acima de 2 km",IF(J2921&lt;=50,"1. Até 50 m",IF(J2921&lt;=100,"2. De 50 a 100 m",IF(J2921&lt;=200,"3. De 100 a 200 m",IF(J2921&lt;=300,"4. De 200 a 300 m",IF(J2921&lt;=500,"5. De 300 a 500 m","6. De 500 m a 2 km"))))))</f>
        <v>5. De 300 a 500 m</v>
      </c>
      <c r="L2921" s="26" t="n">
        <v>0</v>
      </c>
      <c r="M2921" s="26" t="n">
        <v>0</v>
      </c>
      <c r="N2921" s="26" t="n">
        <v>0</v>
      </c>
      <c r="O2921" s="26" t="n">
        <v>0</v>
      </c>
      <c r="P2921" s="30" t="n">
        <v>-14.8607015</v>
      </c>
      <c r="Q2921" s="30" t="n">
        <v>-40.8575443</v>
      </c>
      <c r="R2921" s="14" t="inlineStr">
        <is>
          <t>FÓRUM ELEITORAL DE VITÓRIA DA CONQUISTA, AVENIDA OLÍVIA FLORES, S/N, BAIRRO CANDEIAS, VITÓRIA DA CONQUISTA/BA</t>
        </is>
      </c>
      <c r="S2921" s="26">
        <f>IF(A2921=A2920,0,1)</f>
        <v>0</v>
      </c>
      <c r="T2921" s="26">
        <f>IF(COUNTIF($B$4:B2921,B2921)=1,1,0)</f>
        <v>0</v>
      </c>
    </row>
    <row r="2922">
      <c r="A2922" s="14" t="inlineStr">
        <is>
          <t>VITÓRIA DA CONQUISTA</t>
        </is>
      </c>
      <c r="B2922" s="26" t="n">
        <v>39</v>
      </c>
      <c r="C2922" s="26" t="n">
        <v>1732</v>
      </c>
      <c r="D2922" s="14" t="inlineStr">
        <is>
          <t>ESCOLA MUNICIPAL VILAS BOAS MOREIRA</t>
        </is>
      </c>
      <c r="E2922" s="14" t="inlineStr">
        <is>
          <t>BRASIL</t>
        </is>
      </c>
      <c r="F2922" s="14" t="inlineStr">
        <is>
          <t>AVENIDA NENE SANTOS, 427 - ZONA URBANA</t>
        </is>
      </c>
      <c r="G2922" s="27" t="inlineStr">
        <is>
          <t>45051-270</t>
        </is>
      </c>
      <c r="H2922" s="15" t="n">
        <v>8</v>
      </c>
      <c r="I2922" s="28" t="inlineStr">
        <is>
          <t>NÃO</t>
        </is>
      </c>
      <c r="J2922" s="29" t="n">
        <v>294.7</v>
      </c>
      <c r="K2922" s="14" t="str">
        <f>IF(J2922="","7. Acima de 2 km",IF(J2922&lt;=50,"1. Até 50 m",IF(J2922&lt;=100,"2. De 50 a 100 m",IF(J2922&lt;=200,"3. De 100 a 200 m",IF(J2922&lt;=300,"4. De 200 a 300 m",IF(J2922&lt;=500,"5. De 300 a 500 m","6. De 500 m a 2 km"))))))</f>
        <v>4. De 200 a 300 m</v>
      </c>
      <c r="L2922" s="26" t="n">
        <v>0</v>
      </c>
      <c r="M2922" s="26" t="n">
        <v>0</v>
      </c>
      <c r="N2922" s="26" t="n">
        <v>0</v>
      </c>
      <c r="O2922" s="26" t="n">
        <v>1</v>
      </c>
      <c r="P2922" s="30" t="n">
        <v>-14.8584843</v>
      </c>
      <c r="Q2922" s="30" t="n">
        <v>-40.8528636</v>
      </c>
      <c r="R2922" s="14" t="inlineStr">
        <is>
          <t>FÓRUM ELEITORAL DE VITÓRIA DA CONQUISTA, AVENIDA OLÍVIA FLORES, S/N, BAIRRO CANDEIAS, VITÓRIA DA CONQUISTA/BA</t>
        </is>
      </c>
      <c r="S2922" s="26">
        <f>IF(A2922=A2921,0,1)</f>
        <v>0</v>
      </c>
      <c r="T2922" s="26">
        <f>IF(COUNTIF($B$4:B2922,B2922)=1,1,0)</f>
        <v>0</v>
      </c>
    </row>
    <row r="2923">
      <c r="A2923" s="14" t="inlineStr">
        <is>
          <t>VITÓRIA DA CONQUISTA</t>
        </is>
      </c>
      <c r="B2923" s="26" t="n">
        <v>39</v>
      </c>
      <c r="C2923" s="26" t="n">
        <v>1740</v>
      </c>
      <c r="D2923" s="14" t="inlineStr">
        <is>
          <t>COLEGIO DINÂMICO</t>
        </is>
      </c>
      <c r="E2923" s="14" t="inlineStr">
        <is>
          <t>BRASIL</t>
        </is>
      </c>
      <c r="F2923" s="14" t="inlineStr">
        <is>
          <t>RUA ESPÍRITO SANTO, 1389 - BRASIL</t>
        </is>
      </c>
      <c r="G2923" s="27" t="inlineStr">
        <is>
          <t>45051-495</t>
        </is>
      </c>
      <c r="H2923" s="15" t="n">
        <v>5</v>
      </c>
      <c r="I2923" s="28" t="inlineStr">
        <is>
          <t>NÃO</t>
        </is>
      </c>
      <c r="J2923" s="29" t="n">
        <v>621.2</v>
      </c>
      <c r="K2923" s="14" t="str">
        <f>IF(J2923="","7. Acima de 2 km",IF(J2923&lt;=50,"1. Até 50 m",IF(J2923&lt;=100,"2. De 50 a 100 m",IF(J2923&lt;=200,"3. De 100 a 200 m",IF(J2923&lt;=300,"4. De 200 a 300 m",IF(J2923&lt;=500,"5. De 300 a 500 m","6. De 500 m a 2 km"))))))</f>
        <v>6. De 500 m a 2 km</v>
      </c>
      <c r="L2923" s="26" t="n">
        <v>0</v>
      </c>
      <c r="M2923" s="26" t="n">
        <v>0</v>
      </c>
      <c r="N2923" s="26" t="n">
        <v>0</v>
      </c>
      <c r="O2923" s="26" t="n">
        <v>0</v>
      </c>
      <c r="P2923" s="30" t="n">
        <v>-14.8635641</v>
      </c>
      <c r="Q2923" s="30" t="n">
        <v>-40.8572132</v>
      </c>
      <c r="R2923" s="14" t="inlineStr">
        <is>
          <t>FÓRUM ELEITORAL DE VITÓRIA DA CONQUISTA, AVENIDA OLÍVIA FLORES, S/N, BAIRRO CANDEIAS, VITÓRIA DA CONQUISTA/BA</t>
        </is>
      </c>
      <c r="S2923" s="26">
        <f>IF(A2923=A2922,0,1)</f>
        <v>0</v>
      </c>
      <c r="T2923" s="26">
        <f>IF(COUNTIF($B$4:B2923,B2923)=1,1,0)</f>
        <v>0</v>
      </c>
    </row>
    <row r="2924">
      <c r="A2924" s="14" t="inlineStr">
        <is>
          <t>VITÓRIA DA CONQUISTA</t>
        </is>
      </c>
      <c r="B2924" s="26" t="n">
        <v>39</v>
      </c>
      <c r="C2924" s="26" t="n">
        <v>1759</v>
      </c>
      <c r="D2924" s="14" t="inlineStr">
        <is>
          <t>ESCOLA PADRE CÍCERO</t>
        </is>
      </c>
      <c r="E2924" s="14" t="inlineStr">
        <is>
          <t>IBIRAPUERA</t>
        </is>
      </c>
      <c r="F2924" s="14" t="inlineStr">
        <is>
          <t>AVENIDA SERRINHA - N 3263 - IBIRAPUERA</t>
        </is>
      </c>
      <c r="G2924" s="27" t="inlineStr">
        <is>
          <t>45075-220</t>
        </is>
      </c>
      <c r="H2924" s="15" t="n">
        <v>5</v>
      </c>
      <c r="I2924" s="28" t="inlineStr">
        <is>
          <t>NÃO</t>
        </is>
      </c>
      <c r="J2924" s="29" t="n">
        <v>577.5</v>
      </c>
      <c r="K2924" s="14" t="str">
        <f>IF(J2924="","7. Acima de 2 km",IF(J2924&lt;=50,"1. Até 50 m",IF(J2924&lt;=100,"2. De 50 a 100 m",IF(J2924&lt;=200,"3. De 100 a 200 m",IF(J2924&lt;=300,"4. De 200 a 300 m",IF(J2924&lt;=500,"5. De 300 a 500 m","6. De 500 m a 2 km"))))))</f>
        <v>6. De 500 m a 2 km</v>
      </c>
      <c r="L2924" s="26" t="n">
        <v>0</v>
      </c>
      <c r="M2924" s="26" t="n">
        <v>0</v>
      </c>
      <c r="N2924" s="26" t="n">
        <v>0</v>
      </c>
      <c r="O2924" s="26" t="n">
        <v>0</v>
      </c>
      <c r="P2924" s="30" t="n">
        <v>-14.8463815</v>
      </c>
      <c r="Q2924" s="30" t="n">
        <v>-40.8563917</v>
      </c>
      <c r="R2924" s="14" t="inlineStr">
        <is>
          <t>FÓRUM ELEITORAL DE VITÓRIA DA CONQUISTA, AVENIDA OLÍVIA FLORES, S/N, BAIRRO CANDEIAS, VITÓRIA DA CONQUISTA/BA</t>
        </is>
      </c>
      <c r="S2924" s="26">
        <f>IF(A2924=A2923,0,1)</f>
        <v>0</v>
      </c>
      <c r="T2924" s="26">
        <f>IF(COUNTIF($B$4:B2924,B2924)=1,1,0)</f>
        <v>0</v>
      </c>
    </row>
    <row r="2925">
      <c r="A2925" s="14" t="inlineStr">
        <is>
          <t>VITÓRIA DA CONQUISTA</t>
        </is>
      </c>
      <c r="B2925" s="26" t="n">
        <v>39</v>
      </c>
      <c r="C2925" s="26" t="n">
        <v>1767</v>
      </c>
      <c r="D2925" s="14" t="inlineStr">
        <is>
          <t>CENTRO MUNICIPAL DE EDUCAÇÃO INFANTIL MARIA DE LOURDES TORRES DOMINGOS</t>
        </is>
      </c>
      <c r="E2925" s="14" t="inlineStr">
        <is>
          <t>BRASIL</t>
        </is>
      </c>
      <c r="F2925" s="14" t="inlineStr">
        <is>
          <t>AVENIDA ALAGOAS, S/N - BRASIL</t>
        </is>
      </c>
      <c r="G2925" s="27" t="inlineStr">
        <is>
          <t>45051-205</t>
        </is>
      </c>
      <c r="H2925" s="15" t="n">
        <v>5</v>
      </c>
      <c r="I2925" s="28" t="inlineStr">
        <is>
          <t>NÃO</t>
        </is>
      </c>
      <c r="J2925" s="29" t="n">
        <v>378.4</v>
      </c>
      <c r="K2925" s="14" t="str">
        <f>IF(J2925="","7. Acima de 2 km",IF(J2925&lt;=50,"1. Até 50 m",IF(J2925&lt;=100,"2. De 50 a 100 m",IF(J2925&lt;=200,"3. De 100 a 200 m",IF(J2925&lt;=300,"4. De 200 a 300 m",IF(J2925&lt;=500,"5. De 300 a 500 m","6. De 500 m a 2 km"))))))</f>
        <v>5. De 300 a 500 m</v>
      </c>
      <c r="L2925" s="26" t="n">
        <v>0</v>
      </c>
      <c r="M2925" s="26" t="n">
        <v>0</v>
      </c>
      <c r="N2925" s="26" t="n">
        <v>0</v>
      </c>
      <c r="O2925" s="26" t="n">
        <v>0</v>
      </c>
      <c r="P2925" s="30" t="n">
        <v>-14.85635</v>
      </c>
      <c r="Q2925" s="30" t="n">
        <v>-40.8611167</v>
      </c>
      <c r="R2925" s="14" t="inlineStr">
        <is>
          <t>FÓRUM ELEITORAL DE VITÓRIA DA CONQUISTA, AVENIDA OLÍVIA FLORES, S/N, BAIRRO CANDEIAS, VITÓRIA DA CONQUISTA/BA</t>
        </is>
      </c>
      <c r="S2925" s="26">
        <f>IF(A2925=A2924,0,1)</f>
        <v>0</v>
      </c>
      <c r="T2925" s="26">
        <f>IF(COUNTIF($B$4:B2925,B2925)=1,1,0)</f>
        <v>0</v>
      </c>
    </row>
    <row r="2926">
      <c r="A2926" s="14" t="inlineStr">
        <is>
          <t>VITÓRIA DA CONQUISTA</t>
        </is>
      </c>
      <c r="B2926" s="26" t="n">
        <v>40</v>
      </c>
      <c r="C2926" s="26" t="n">
        <v>1724</v>
      </c>
      <c r="D2926" s="14" t="inlineStr">
        <is>
          <t>CENTRO MUNICIPAL DE EDUCAÇÃO ERATHOSTHENES MENEZES</t>
        </is>
      </c>
      <c r="E2926" s="14" t="inlineStr">
        <is>
          <t>DISTRITO IGUÁ</t>
        </is>
      </c>
      <c r="F2926" s="14" t="inlineStr">
        <is>
          <t>DISTRITO IGUÁ - ZONA RURAL</t>
        </is>
      </c>
      <c r="G2926" s="27" t="inlineStr">
        <is>
          <t>45105-000</t>
        </is>
      </c>
      <c r="H2926" s="15" t="n">
        <v>4</v>
      </c>
      <c r="I2926" s="28" t="inlineStr">
        <is>
          <t>NÃO</t>
        </is>
      </c>
      <c r="J2926" s="29" t="n">
        <v>114.5</v>
      </c>
      <c r="K2926" s="14" t="str">
        <f>IF(J2926="","7. Acima de 2 km",IF(J2926&lt;=50,"1. Até 50 m",IF(J2926&lt;=100,"2. De 50 a 100 m",IF(J2926&lt;=200,"3. De 100 a 200 m",IF(J2926&lt;=300,"4. De 200 a 300 m",IF(J2926&lt;=500,"5. De 300 a 500 m","6. De 500 m a 2 km"))))))</f>
        <v>3. De 100 a 200 m</v>
      </c>
      <c r="L2926" s="26" t="n">
        <v>0</v>
      </c>
      <c r="M2926" s="26" t="n">
        <v>0</v>
      </c>
      <c r="N2926" s="26" t="n">
        <v>1</v>
      </c>
      <c r="O2926" s="26" t="n">
        <v>1</v>
      </c>
      <c r="P2926" s="30" t="n">
        <v>-14.9438533</v>
      </c>
      <c r="Q2926" s="30" t="n">
        <v>-40.94258</v>
      </c>
      <c r="R2926" s="14" t="inlineStr">
        <is>
          <t>FÓRUM ELEITORAL DE VITÓRIA DA CONQUISTA, AVENIDA OLÍVIA FLORES, S/N, BAIRRO CANDEIAS, VITÓRIA DA CONQUISTA/BA</t>
        </is>
      </c>
      <c r="S2926" s="26">
        <f>IF(A2926=A2925,0,1)</f>
        <v>0</v>
      </c>
      <c r="T2926" s="26">
        <f>IF(COUNTIF($B$4:B2926,B2926)=1,1,0)</f>
        <v>1</v>
      </c>
    </row>
    <row r="2927">
      <c r="A2927" s="14" t="inlineStr">
        <is>
          <t>VITÓRIA DA CONQUISTA</t>
        </is>
      </c>
      <c r="B2927" s="26" t="n">
        <v>40</v>
      </c>
      <c r="C2927" s="26" t="n">
        <v>1740</v>
      </c>
      <c r="D2927" s="14" t="inlineStr">
        <is>
          <t>ESCOLA MUNICIPAL PROFESSOR JOSIAS CASAES FRANÇA</t>
        </is>
      </c>
      <c r="E2927" s="14" t="inlineStr">
        <is>
          <t>DISTRITO DANTELÂNDIA</t>
        </is>
      </c>
      <c r="F2927" s="14" t="inlineStr">
        <is>
          <t>POVOADO DANTELÂNDIA - ZONA RURAL</t>
        </is>
      </c>
      <c r="G2927" s="27" t="inlineStr">
        <is>
          <t>45105-000</t>
        </is>
      </c>
      <c r="H2927" s="15" t="n">
        <v>3</v>
      </c>
      <c r="I2927" s="28" t="inlineStr">
        <is>
          <t>NÃO</t>
        </is>
      </c>
      <c r="J2927" s="29" t="n"/>
      <c r="K2927" s="14" t="str">
        <f>IF(J2927="","7. Acima de 2 km",IF(J2927&lt;=50,"1. Até 50 m",IF(J2927&lt;=100,"2. De 50 a 100 m",IF(J2927&lt;=200,"3. De 100 a 200 m",IF(J2927&lt;=300,"4. De 200 a 300 m",IF(J2927&lt;=500,"5. De 300 a 500 m","6. De 500 m a 2 km"))))))</f>
        <v>7. Acima de 2 km</v>
      </c>
      <c r="L2927" s="26" t="n">
        <v>0</v>
      </c>
      <c r="M2927" s="26" t="n">
        <v>0</v>
      </c>
      <c r="N2927" s="26" t="n">
        <v>0</v>
      </c>
      <c r="O2927" s="26" t="n">
        <v>0</v>
      </c>
      <c r="P2927" s="30" t="n">
        <v>-15.0991429</v>
      </c>
      <c r="Q2927" s="30" t="n">
        <v>-40.9994743</v>
      </c>
      <c r="R2927" s="14" t="inlineStr">
        <is>
          <t>FÓRUM ELEITORAL DE VITÓRIA DA CONQUISTA, AVENIDA OLÍVIA FLORES, S/N, BAIRRO CANDEIAS, VITÓRIA DA CONQUISTA/BA</t>
        </is>
      </c>
      <c r="S2927" s="26">
        <f>IF(A2927=A2926,0,1)</f>
        <v>0</v>
      </c>
      <c r="T2927" s="26">
        <f>IF(COUNTIF($B$4:B2927,B2927)=1,1,0)</f>
        <v>0</v>
      </c>
    </row>
    <row r="2928">
      <c r="A2928" s="14" t="inlineStr">
        <is>
          <t>VITÓRIA DA CONQUISTA</t>
        </is>
      </c>
      <c r="B2928" s="26" t="n">
        <v>40</v>
      </c>
      <c r="C2928" s="26" t="n">
        <v>1759</v>
      </c>
      <c r="D2928" s="14" t="inlineStr">
        <is>
          <t>ESCOLA MUNICIPAL FÉLIX PACHECO</t>
        </is>
      </c>
      <c r="E2928" s="14" t="inlineStr">
        <is>
          <t>DISTRITO DANTELÂNDIA</t>
        </is>
      </c>
      <c r="F2928" s="14" t="inlineStr">
        <is>
          <t>POVOADO LAGOA DE JOSÉ LUIZ - ZONA RURAL</t>
        </is>
      </c>
      <c r="G2928" s="27" t="inlineStr">
        <is>
          <t>45000-000</t>
        </is>
      </c>
      <c r="H2928" s="15" t="n">
        <v>2</v>
      </c>
      <c r="I2928" s="28" t="inlineStr">
        <is>
          <t>SIM</t>
        </is>
      </c>
      <c r="J2928" s="29" t="n">
        <v>57.4</v>
      </c>
      <c r="K2928" s="14" t="str">
        <f>IF(J2928="","7. Acima de 2 km",IF(J2928&lt;=50,"1. Até 50 m",IF(J2928&lt;=100,"2. De 50 a 100 m",IF(J2928&lt;=200,"3. De 100 a 200 m",IF(J2928&lt;=300,"4. De 200 a 300 m",IF(J2928&lt;=500,"5. De 300 a 500 m","6. De 500 m a 2 km"))))))</f>
        <v>2. De 50 a 100 m</v>
      </c>
      <c r="L2928" s="26" t="n">
        <v>0</v>
      </c>
      <c r="M2928" s="26" t="n">
        <v>1</v>
      </c>
      <c r="N2928" s="26" t="n">
        <v>1</v>
      </c>
      <c r="O2928" s="26" t="n">
        <v>1</v>
      </c>
      <c r="P2928" s="30" t="n">
        <v>-15.0328694</v>
      </c>
      <c r="Q2928" s="30" t="n">
        <v>-40.9572692</v>
      </c>
      <c r="R2928" s="14" t="inlineStr">
        <is>
          <t>FÓRUM ELEITORAL DE VITÓRIA DA CONQUISTA, AVENIDA OLÍVIA FLORES, S/N, BAIRRO CANDEIAS, VITÓRIA DA CONQUISTA/BA</t>
        </is>
      </c>
      <c r="S2928" s="26">
        <f>IF(A2928=A2927,0,1)</f>
        <v>0</v>
      </c>
      <c r="T2928" s="26">
        <f>IF(COUNTIF($B$4:B2928,B2928)=1,1,0)</f>
        <v>0</v>
      </c>
    </row>
    <row r="2929">
      <c r="A2929" s="14" t="inlineStr">
        <is>
          <t>VITÓRIA DA CONQUISTA</t>
        </is>
      </c>
      <c r="B2929" s="26" t="n">
        <v>40</v>
      </c>
      <c r="C2929" s="26" t="n">
        <v>1767</v>
      </c>
      <c r="D2929" s="14" t="inlineStr">
        <is>
          <t>ESCOLA MUNICIPAL JOAQUIM FRÓES</t>
        </is>
      </c>
      <c r="E2929" s="14" t="inlineStr">
        <is>
          <t>DISTRITO BATE-PÉ</t>
        </is>
      </c>
      <c r="F2929" s="14" t="inlineStr">
        <is>
          <t>POVOADO OLHO D'ÁGUA DOS MONTEIROS - ZONA RURAL</t>
        </is>
      </c>
      <c r="G2929" s="27" t="inlineStr">
        <is>
          <t>45105-000</t>
        </is>
      </c>
      <c r="H2929" s="15" t="n">
        <v>1</v>
      </c>
      <c r="I2929" s="28" t="inlineStr">
        <is>
          <t>NÃO</t>
        </is>
      </c>
      <c r="J2929" s="29" t="n"/>
      <c r="K2929" s="14" t="str">
        <f>IF(J2929="","7. Acima de 2 km",IF(J2929&lt;=50,"1. Até 50 m",IF(J2929&lt;=100,"2. De 50 a 100 m",IF(J2929&lt;=200,"3. De 100 a 200 m",IF(J2929&lt;=300,"4. De 200 a 300 m",IF(J2929&lt;=500,"5. De 300 a 500 m","6. De 500 m a 2 km"))))))</f>
        <v>7. Acima de 2 km</v>
      </c>
      <c r="L2929" s="26" t="n">
        <v>0</v>
      </c>
      <c r="M2929" s="26" t="n">
        <v>0</v>
      </c>
      <c r="N2929" s="26" t="n">
        <v>0</v>
      </c>
      <c r="O2929" s="26" t="n">
        <v>0</v>
      </c>
      <c r="P2929" s="30" t="n">
        <v>-14.9525383</v>
      </c>
      <c r="Q2929" s="30" t="n">
        <v>-41.0890383</v>
      </c>
      <c r="R2929" s="14" t="inlineStr">
        <is>
          <t>FÓRUM ELEITORAL DE VITÓRIA DA CONQUISTA, AVENIDA OLÍVIA FLORES, S/N, BAIRRO CANDEIAS, VITÓRIA DA CONQUISTA/BA</t>
        </is>
      </c>
      <c r="S2929" s="26">
        <f>IF(A2929=A2928,0,1)</f>
        <v>0</v>
      </c>
      <c r="T2929" s="26">
        <f>IF(COUNTIF($B$4:B2929,B2929)=1,1,0)</f>
        <v>0</v>
      </c>
    </row>
    <row r="2930">
      <c r="A2930" s="14" t="inlineStr">
        <is>
          <t>VITÓRIA DA CONQUISTA</t>
        </is>
      </c>
      <c r="B2930" s="26" t="n">
        <v>40</v>
      </c>
      <c r="C2930" s="26" t="n">
        <v>1775</v>
      </c>
      <c r="D2930" s="14" t="inlineStr">
        <is>
          <t>ESCOLA MUNICIPAL JOSÉ DE ALENCAR</t>
        </is>
      </c>
      <c r="E2930" s="14" t="inlineStr">
        <is>
          <t>DISTRITO IGUÁ</t>
        </is>
      </c>
      <c r="F2930" s="14" t="inlineStr">
        <is>
          <t>POVOADO FURADINHO - ZONA RURAL</t>
        </is>
      </c>
      <c r="G2930" s="27" t="inlineStr">
        <is>
          <t>45000-000</t>
        </is>
      </c>
      <c r="H2930" s="15" t="n">
        <v>1</v>
      </c>
      <c r="I2930" s="28" t="inlineStr">
        <is>
          <t>NÃO</t>
        </is>
      </c>
      <c r="J2930" s="29" t="n"/>
      <c r="K2930" s="14" t="str">
        <f>IF(J2930="","7. Acima de 2 km",IF(J2930&lt;=50,"1. Até 50 m",IF(J2930&lt;=100,"2. De 50 a 100 m",IF(J2930&lt;=200,"3. De 100 a 200 m",IF(J2930&lt;=300,"4. De 200 a 300 m",IF(J2930&lt;=500,"5. De 300 a 500 m","6. De 500 m a 2 km"))))))</f>
        <v>7. Acima de 2 km</v>
      </c>
      <c r="L2930" s="26" t="n">
        <v>0</v>
      </c>
      <c r="M2930" s="26" t="n">
        <v>0</v>
      </c>
      <c r="N2930" s="26" t="n">
        <v>0</v>
      </c>
      <c r="O2930" s="26" t="n">
        <v>0</v>
      </c>
      <c r="P2930" s="30" t="n">
        <v>-14.995805</v>
      </c>
      <c r="Q2930" s="30" t="n">
        <v>-41.0720283</v>
      </c>
      <c r="R2930" s="14" t="inlineStr">
        <is>
          <t>FÓRUM ELEITORAL DE VITÓRIA DA CONQUISTA, AVENIDA OLÍVIA FLORES, S/N, BAIRRO CANDEIAS, VITÓRIA DA CONQUISTA/BA</t>
        </is>
      </c>
      <c r="S2930" s="26">
        <f>IF(A2930=A2929,0,1)</f>
        <v>0</v>
      </c>
      <c r="T2930" s="26">
        <f>IF(COUNTIF($B$4:B2930,B2930)=1,1,0)</f>
        <v>0</v>
      </c>
    </row>
    <row r="2931">
      <c r="A2931" s="14" t="inlineStr">
        <is>
          <t>VITÓRIA DA CONQUISTA</t>
        </is>
      </c>
      <c r="B2931" s="26" t="n">
        <v>40</v>
      </c>
      <c r="C2931" s="26" t="n">
        <v>1783</v>
      </c>
      <c r="D2931" s="14" t="inlineStr">
        <is>
          <t>CENTRO EDUCACIONAL MUNICIPAL EURÍPEDES PERI ROSA</t>
        </is>
      </c>
      <c r="E2931" s="14" t="inlineStr">
        <is>
          <t>DISTRITO BATE-PÉ</t>
        </is>
      </c>
      <c r="F2931" s="14" t="inlineStr">
        <is>
          <t>POVOADO BATE-PÉ - ZONA RURAL</t>
        </is>
      </c>
      <c r="G2931" s="27" t="inlineStr">
        <is>
          <t>45107-000</t>
        </is>
      </c>
      <c r="H2931" s="15" t="n">
        <v>6</v>
      </c>
      <c r="I2931" s="28" t="inlineStr">
        <is>
          <t>NÃO</t>
        </is>
      </c>
      <c r="J2931" s="29" t="n"/>
      <c r="K2931" s="14" t="str">
        <f>IF(J2931="","7. Acima de 2 km",IF(J2931&lt;=50,"1. Até 50 m",IF(J2931&lt;=100,"2. De 50 a 100 m",IF(J2931&lt;=200,"3. De 100 a 200 m",IF(J2931&lt;=300,"4. De 200 a 300 m",IF(J2931&lt;=500,"5. De 300 a 500 m","6. De 500 m a 2 km"))))))</f>
        <v>7. Acima de 2 km</v>
      </c>
      <c r="L2931" s="26" t="n">
        <v>0</v>
      </c>
      <c r="M2931" s="26" t="n">
        <v>0</v>
      </c>
      <c r="N2931" s="26" t="n">
        <v>0</v>
      </c>
      <c r="O2931" s="26" t="n">
        <v>0</v>
      </c>
      <c r="P2931" s="30" t="n">
        <v>-14.8679483</v>
      </c>
      <c r="Q2931" s="30" t="n">
        <v>-41.1266883</v>
      </c>
      <c r="R2931" s="14" t="inlineStr">
        <is>
          <t>FÓRUM ELEITORAL DE VITÓRIA DA CONQUISTA, AVENIDA OLÍVIA FLORES, S/N, BAIRRO CANDEIAS, VITÓRIA DA CONQUISTA/BA</t>
        </is>
      </c>
      <c r="S2931" s="26">
        <f>IF(A2931=A2930,0,1)</f>
        <v>0</v>
      </c>
      <c r="T2931" s="26">
        <f>IF(COUNTIF($B$4:B2931,B2931)=1,1,0)</f>
        <v>0</v>
      </c>
    </row>
    <row r="2932">
      <c r="A2932" s="14" t="inlineStr">
        <is>
          <t>VITÓRIA DA CONQUISTA</t>
        </is>
      </c>
      <c r="B2932" s="26" t="n">
        <v>40</v>
      </c>
      <c r="C2932" s="26" t="n">
        <v>1791</v>
      </c>
      <c r="D2932" s="14" t="inlineStr">
        <is>
          <t>ESCOLA MUNICIPAL OLÍMPIO JOSÉ DIAS</t>
        </is>
      </c>
      <c r="E2932" s="14" t="inlineStr">
        <is>
          <t>DISTRITO BATE-PÉ</t>
        </is>
      </c>
      <c r="F2932" s="14" t="inlineStr">
        <is>
          <t>POVOADO POÇO COMPRIDO - ZONA RURAL</t>
        </is>
      </c>
      <c r="G2932" s="27" t="inlineStr">
        <is>
          <t>45105-000</t>
        </is>
      </c>
      <c r="H2932" s="15" t="n">
        <v>2</v>
      </c>
      <c r="I2932" s="28" t="inlineStr">
        <is>
          <t>NÃO</t>
        </is>
      </c>
      <c r="J2932" s="29" t="n"/>
      <c r="K2932" s="14" t="str">
        <f>IF(J2932="","7. Acima de 2 km",IF(J2932&lt;=50,"1. Até 50 m",IF(J2932&lt;=100,"2. De 50 a 100 m",IF(J2932&lt;=200,"3. De 100 a 200 m",IF(J2932&lt;=300,"4. De 200 a 300 m",IF(J2932&lt;=500,"5. De 300 a 500 m","6. De 500 m a 2 km"))))))</f>
        <v>7. Acima de 2 km</v>
      </c>
      <c r="L2932" s="26" t="n">
        <v>0</v>
      </c>
      <c r="M2932" s="26" t="n">
        <v>0</v>
      </c>
      <c r="N2932" s="26" t="n">
        <v>0</v>
      </c>
      <c r="O2932" s="26" t="n">
        <v>0</v>
      </c>
      <c r="P2932" s="30" t="n">
        <v>-14.8221267</v>
      </c>
      <c r="Q2932" s="30" t="n">
        <v>-41.12047</v>
      </c>
      <c r="R2932" s="14" t="inlineStr">
        <is>
          <t>FÓRUM ELEITORAL DE VITÓRIA DA CONQUISTA, AVENIDA OLÍVIA FLORES, S/N, BAIRRO CANDEIAS, VITÓRIA DA CONQUISTA/BA</t>
        </is>
      </c>
      <c r="S2932" s="26">
        <f>IF(A2932=A2931,0,1)</f>
        <v>0</v>
      </c>
      <c r="T2932" s="26">
        <f>IF(COUNTIF($B$4:B2932,B2932)=1,1,0)</f>
        <v>0</v>
      </c>
    </row>
    <row r="2933">
      <c r="A2933" s="14" t="inlineStr">
        <is>
          <t>VITÓRIA DA CONQUISTA</t>
        </is>
      </c>
      <c r="B2933" s="26" t="n">
        <v>40</v>
      </c>
      <c r="C2933" s="26" t="n">
        <v>1805</v>
      </c>
      <c r="D2933" s="14" t="inlineStr">
        <is>
          <t>ESCOLA MUNICIPAL SÃO FRANCISCO DE ASSIS</t>
        </is>
      </c>
      <c r="E2933" s="14" t="inlineStr">
        <is>
          <t>DISTRITO PRADOSO</t>
        </is>
      </c>
      <c r="F2933" s="14" t="inlineStr">
        <is>
          <t>POVOADO GAMELEIRA - ZONA RURAL</t>
        </is>
      </c>
      <c r="G2933" s="27" t="inlineStr">
        <is>
          <t>45105-000</t>
        </is>
      </c>
      <c r="H2933" s="15" t="n">
        <v>3</v>
      </c>
      <c r="I2933" s="28" t="inlineStr">
        <is>
          <t>NÃO</t>
        </is>
      </c>
      <c r="J2933" s="29" t="n"/>
      <c r="K2933" s="14" t="str">
        <f>IF(J2933="","7. Acima de 2 km",IF(J2933&lt;=50,"1. Até 50 m",IF(J2933&lt;=100,"2. De 50 a 100 m",IF(J2933&lt;=200,"3. De 100 a 200 m",IF(J2933&lt;=300,"4. De 200 a 300 m",IF(J2933&lt;=500,"5. De 300 a 500 m","6. De 500 m a 2 km"))))))</f>
        <v>7. Acima de 2 km</v>
      </c>
      <c r="L2933" s="26" t="n">
        <v>0</v>
      </c>
      <c r="M2933" s="26" t="n">
        <v>0</v>
      </c>
      <c r="N2933" s="26" t="n">
        <v>0</v>
      </c>
      <c r="O2933" s="26" t="n">
        <v>0</v>
      </c>
      <c r="P2933" s="30" t="n">
        <v>-14.8416833</v>
      </c>
      <c r="Q2933" s="30" t="n">
        <v>-41.020815</v>
      </c>
      <c r="R2933" s="14" t="inlineStr">
        <is>
          <t>FÓRUM ELEITORAL DE VITÓRIA DA CONQUISTA, AVENIDA OLÍVIA FLORES, S/N, BAIRRO CANDEIAS, VITÓRIA DA CONQUISTA/BA</t>
        </is>
      </c>
      <c r="S2933" s="26">
        <f>IF(A2933=A2932,0,1)</f>
        <v>0</v>
      </c>
      <c r="T2933" s="26">
        <f>IF(COUNTIF($B$4:B2933,B2933)=1,1,0)</f>
        <v>0</v>
      </c>
    </row>
    <row r="2934">
      <c r="A2934" s="14" t="inlineStr">
        <is>
          <t>VITÓRIA DA CONQUISTA</t>
        </is>
      </c>
      <c r="B2934" s="26" t="n">
        <v>40</v>
      </c>
      <c r="C2934" s="26" t="n">
        <v>1813</v>
      </c>
      <c r="D2934" s="14" t="inlineStr">
        <is>
          <t>ESCOLA MUNICIPAL SÃO VICENTE DE PAULA</t>
        </is>
      </c>
      <c r="E2934" s="14" t="inlineStr">
        <is>
          <t>DISTRITO IGUÁ</t>
        </is>
      </c>
      <c r="F2934" s="14" t="inlineStr">
        <is>
          <t>POVOADO LAGOA FORMOSA - ZONA RURAL</t>
        </is>
      </c>
      <c r="G2934" s="27" t="inlineStr">
        <is>
          <t>45105-000</t>
        </is>
      </c>
      <c r="H2934" s="15" t="n">
        <v>2</v>
      </c>
      <c r="I2934" s="28" t="inlineStr">
        <is>
          <t>NÃO</t>
        </is>
      </c>
      <c r="J2934" s="29" t="n"/>
      <c r="K2934" s="14" t="str">
        <f>IF(J2934="","7. Acima de 2 km",IF(J2934&lt;=50,"1. Até 50 m",IF(J2934&lt;=100,"2. De 50 a 100 m",IF(J2934&lt;=200,"3. De 100 a 200 m",IF(J2934&lt;=300,"4. De 200 a 300 m",IF(J2934&lt;=500,"5. De 300 a 500 m","6. De 500 m a 2 km"))))))</f>
        <v>7. Acima de 2 km</v>
      </c>
      <c r="L2934" s="26" t="n">
        <v>0</v>
      </c>
      <c r="M2934" s="26" t="n">
        <v>0</v>
      </c>
      <c r="N2934" s="26" t="n">
        <v>0</v>
      </c>
      <c r="O2934" s="26" t="n">
        <v>0</v>
      </c>
      <c r="P2934" s="30" t="n">
        <v>-14.9719833</v>
      </c>
      <c r="Q2934" s="30" t="n">
        <v>-41.016095</v>
      </c>
      <c r="R2934" s="14" t="inlineStr">
        <is>
          <t>FÓRUM ELEITORAL DE VITÓRIA DA CONQUISTA, AVENIDA OLÍVIA FLORES, S/N, BAIRRO CANDEIAS, VITÓRIA DA CONQUISTA/BA</t>
        </is>
      </c>
      <c r="S2934" s="26">
        <f>IF(A2934=A2933,0,1)</f>
        <v>0</v>
      </c>
      <c r="T2934" s="26">
        <f>IF(COUNTIF($B$4:B2934,B2934)=1,1,0)</f>
        <v>0</v>
      </c>
    </row>
    <row r="2935">
      <c r="A2935" s="14" t="inlineStr">
        <is>
          <t>VITÓRIA DA CONQUISTA</t>
        </is>
      </c>
      <c r="B2935" s="26" t="n">
        <v>40</v>
      </c>
      <c r="C2935" s="26" t="n">
        <v>1821</v>
      </c>
      <c r="D2935" s="14" t="inlineStr">
        <is>
          <t>ESCOLA MUNICIPAL AFONSO HOFFMAN</t>
        </is>
      </c>
      <c r="E2935" s="14" t="inlineStr">
        <is>
          <t>DISTRITO INHOBIM</t>
        </is>
      </c>
      <c r="F2935" s="14" t="inlineStr">
        <is>
          <t>POVOADO MATINHA - ZONA RURAL</t>
        </is>
      </c>
      <c r="G2935" s="27" t="inlineStr">
        <is>
          <t>45000-000</t>
        </is>
      </c>
      <c r="H2935" s="15" t="n">
        <v>2</v>
      </c>
      <c r="I2935" s="28" t="inlineStr">
        <is>
          <t>NÃO</t>
        </is>
      </c>
      <c r="J2935" s="29" t="n"/>
      <c r="K2935" s="14" t="str">
        <f>IF(J2935="","7. Acima de 2 km",IF(J2935&lt;=50,"1. Até 50 m",IF(J2935&lt;=100,"2. De 50 a 100 m",IF(J2935&lt;=200,"3. De 100 a 200 m",IF(J2935&lt;=300,"4. De 200 a 300 m",IF(J2935&lt;=500,"5. De 300 a 500 m","6. De 500 m a 2 km"))))))</f>
        <v>7. Acima de 2 km</v>
      </c>
      <c r="L2935" s="26" t="n">
        <v>0</v>
      </c>
      <c r="M2935" s="26" t="n">
        <v>0</v>
      </c>
      <c r="N2935" s="26" t="n">
        <v>0</v>
      </c>
      <c r="O2935" s="26" t="n">
        <v>0</v>
      </c>
      <c r="P2935" s="30" t="n">
        <v>-15.1960633</v>
      </c>
      <c r="Q2935" s="30" t="n">
        <v>-40.9060517</v>
      </c>
      <c r="R2935" s="14" t="inlineStr">
        <is>
          <t>FÓRUM ELEITORAL DE VITÓRIA DA CONQUISTA, AVENIDA OLÍVIA FLORES, S/N, BAIRRO CANDEIAS, VITÓRIA DA CONQUISTA/BA</t>
        </is>
      </c>
      <c r="S2935" s="26">
        <f>IF(A2935=A2934,0,1)</f>
        <v>0</v>
      </c>
      <c r="T2935" s="26">
        <f>IF(COUNTIF($B$4:B2935,B2935)=1,1,0)</f>
        <v>0</v>
      </c>
    </row>
    <row r="2936">
      <c r="A2936" s="14" t="inlineStr">
        <is>
          <t>VITÓRIA DA CONQUISTA</t>
        </is>
      </c>
      <c r="B2936" s="26" t="n">
        <v>40</v>
      </c>
      <c r="C2936" s="26" t="n">
        <v>1830</v>
      </c>
      <c r="D2936" s="14" t="inlineStr">
        <is>
          <t>ESCOLA MUNICIPAL ANTÔNIO MACHADO</t>
        </is>
      </c>
      <c r="E2936" s="14" t="inlineStr">
        <is>
          <t>DISTRITO SÃO JOÃO DA VITÓRIA</t>
        </is>
      </c>
      <c r="F2936" s="14" t="inlineStr">
        <is>
          <t>POVOADO SÃO JOÃO DA VITÓRIA - ZONA RURAL</t>
        </is>
      </c>
      <c r="G2936" s="27" t="inlineStr">
        <is>
          <t>45111-000</t>
        </is>
      </c>
      <c r="H2936" s="15" t="n">
        <v>4</v>
      </c>
      <c r="I2936" s="28" t="inlineStr">
        <is>
          <t>NÃO</t>
        </is>
      </c>
      <c r="J2936" s="29" t="n"/>
      <c r="K2936" s="14" t="str">
        <f>IF(J2936="","7. Acima de 2 km",IF(J2936&lt;=50,"1. Até 50 m",IF(J2936&lt;=100,"2. De 50 a 100 m",IF(J2936&lt;=200,"3. De 100 a 200 m",IF(J2936&lt;=300,"4. De 200 a 300 m",IF(J2936&lt;=500,"5. De 300 a 500 m","6. De 500 m a 2 km"))))))</f>
        <v>7. Acima de 2 km</v>
      </c>
      <c r="L2936" s="26" t="n">
        <v>0</v>
      </c>
      <c r="M2936" s="26" t="n">
        <v>0</v>
      </c>
      <c r="N2936" s="26" t="n">
        <v>0</v>
      </c>
      <c r="O2936" s="26" t="n">
        <v>0</v>
      </c>
      <c r="P2936" s="30" t="n">
        <v>-15.1098683</v>
      </c>
      <c r="Q2936" s="30" t="n">
        <v>-41.082705</v>
      </c>
      <c r="R2936" s="14" t="inlineStr">
        <is>
          <t>FÓRUM ELEITORAL DE VITÓRIA DA CONQUISTA, AVENIDA OLÍVIA FLORES, S/N, BAIRRO CANDEIAS, VITÓRIA DA CONQUISTA/BA</t>
        </is>
      </c>
      <c r="S2936" s="26">
        <f>IF(A2936=A2935,0,1)</f>
        <v>0</v>
      </c>
      <c r="T2936" s="26">
        <f>IF(COUNTIF($B$4:B2936,B2936)=1,1,0)</f>
        <v>0</v>
      </c>
    </row>
    <row r="2937">
      <c r="A2937" s="14" t="inlineStr">
        <is>
          <t>VITÓRIA DA CONQUISTA</t>
        </is>
      </c>
      <c r="B2937" s="26" t="n">
        <v>40</v>
      </c>
      <c r="C2937" s="26" t="n">
        <v>1864</v>
      </c>
      <c r="D2937" s="14" t="inlineStr">
        <is>
          <t>ESCOLA MUNICIPAL PAULO SETÚBAL</t>
        </is>
      </c>
      <c r="E2937" s="14" t="inlineStr">
        <is>
          <t>DISTRITO INHOBIM</t>
        </is>
      </c>
      <c r="F2937" s="14" t="inlineStr">
        <is>
          <t>DISTRITO INHOBIM - ZONA RURAL</t>
        </is>
      </c>
      <c r="G2937" s="27" t="inlineStr">
        <is>
          <t>45110-000</t>
        </is>
      </c>
      <c r="H2937" s="15" t="n">
        <v>7</v>
      </c>
      <c r="I2937" s="28" t="inlineStr">
        <is>
          <t>SIM</t>
        </is>
      </c>
      <c r="J2937" s="29" t="n">
        <v>46.3</v>
      </c>
      <c r="K2937" s="14" t="str">
        <f>IF(J2937="","7. Acima de 2 km",IF(J2937&lt;=50,"1. Até 50 m",IF(J2937&lt;=100,"2. De 50 a 100 m",IF(J2937&lt;=200,"3. De 100 a 200 m",IF(J2937&lt;=300,"4. De 200 a 300 m",IF(J2937&lt;=500,"5. De 300 a 500 m","6. De 500 m a 2 km"))))))</f>
        <v>1. Até 50 m</v>
      </c>
      <c r="L2937" s="26" t="n">
        <v>1</v>
      </c>
      <c r="M2937" s="26" t="n">
        <v>1</v>
      </c>
      <c r="N2937" s="26" t="n">
        <v>2</v>
      </c>
      <c r="O2937" s="26" t="n">
        <v>2</v>
      </c>
      <c r="P2937" s="30" t="n">
        <v>-15.2733567</v>
      </c>
      <c r="Q2937" s="30" t="n">
        <v>-40.95203</v>
      </c>
      <c r="R2937" s="14" t="inlineStr">
        <is>
          <t>FÓRUM ELEITORAL DE VITÓRIA DA CONQUISTA, AVENIDA OLÍVIA FLORES, S/N, BAIRRO CANDEIAS, VITÓRIA DA CONQUISTA/BA</t>
        </is>
      </c>
      <c r="S2937" s="26">
        <f>IF(A2937=A2936,0,1)</f>
        <v>0</v>
      </c>
      <c r="T2937" s="26">
        <f>IF(COUNTIF($B$4:B2937,B2937)=1,1,0)</f>
        <v>0</v>
      </c>
    </row>
    <row r="2938">
      <c r="A2938" s="14" t="inlineStr">
        <is>
          <t>VITÓRIA DA CONQUISTA</t>
        </is>
      </c>
      <c r="B2938" s="26" t="n">
        <v>40</v>
      </c>
      <c r="C2938" s="26" t="n">
        <v>1872</v>
      </c>
      <c r="D2938" s="14" t="inlineStr">
        <is>
          <t>CENTRO EDUCACIONAL RUY BARBOSA</t>
        </is>
      </c>
      <c r="E2938" s="14" t="inlineStr">
        <is>
          <t>DISTRITO CERCADINHO</t>
        </is>
      </c>
      <c r="F2938" s="14" t="inlineStr">
        <is>
          <t>POVOADO CERCADINHO - ZONA RURAL</t>
        </is>
      </c>
      <c r="G2938" s="27" t="inlineStr">
        <is>
          <t>45110-000</t>
        </is>
      </c>
      <c r="H2938" s="15" t="n">
        <v>3</v>
      </c>
      <c r="I2938" s="28" t="inlineStr">
        <is>
          <t>NÃO</t>
        </is>
      </c>
      <c r="J2938" s="29" t="n"/>
      <c r="K2938" s="14" t="str">
        <f>IF(J2938="","7. Acima de 2 km",IF(J2938&lt;=50,"1. Até 50 m",IF(J2938&lt;=100,"2. De 50 a 100 m",IF(J2938&lt;=200,"3. De 100 a 200 m",IF(J2938&lt;=300,"4. De 200 a 300 m",IF(J2938&lt;=500,"5. De 300 a 500 m","6. De 500 m a 2 km"))))))</f>
        <v>7. Acima de 2 km</v>
      </c>
      <c r="L2938" s="26" t="n">
        <v>0</v>
      </c>
      <c r="M2938" s="26" t="n">
        <v>0</v>
      </c>
      <c r="N2938" s="26" t="n">
        <v>0</v>
      </c>
      <c r="O2938" s="26" t="n">
        <v>0</v>
      </c>
      <c r="P2938" s="30" t="n">
        <v>-15.4460475</v>
      </c>
      <c r="Q2938" s="30" t="n">
        <v>-41.0705936</v>
      </c>
      <c r="R2938" s="14" t="inlineStr">
        <is>
          <t>FÓRUM ELEITORAL DE VITÓRIA DA CONQUISTA, AVENIDA OLÍVIA FLORES, S/N, BAIRRO CANDEIAS, VITÓRIA DA CONQUISTA/BA</t>
        </is>
      </c>
      <c r="S2938" s="26">
        <f>IF(A2938=A2937,0,1)</f>
        <v>0</v>
      </c>
      <c r="T2938" s="26">
        <f>IF(COUNTIF($B$4:B2938,B2938)=1,1,0)</f>
        <v>0</v>
      </c>
    </row>
    <row r="2939">
      <c r="A2939" s="14" t="inlineStr">
        <is>
          <t>VITÓRIA DA CONQUISTA</t>
        </is>
      </c>
      <c r="B2939" s="26" t="n">
        <v>40</v>
      </c>
      <c r="C2939" s="26" t="n">
        <v>1880</v>
      </c>
      <c r="D2939" s="14" t="inlineStr">
        <is>
          <t>CENTRO EDUCACIONAL TOBIAS BARRETO</t>
        </is>
      </c>
      <c r="E2939" s="14" t="inlineStr">
        <is>
          <t>DISTRITO VEREDINHA</t>
        </is>
      </c>
      <c r="F2939" s="14" t="inlineStr">
        <is>
          <t>POVOADO VEREDINHA - ZONA RURAL</t>
        </is>
      </c>
      <c r="G2939" s="27" t="inlineStr">
        <is>
          <t>45110-000</t>
        </is>
      </c>
      <c r="H2939" s="15" t="n">
        <v>3</v>
      </c>
      <c r="I2939" s="28" t="inlineStr">
        <is>
          <t>NÃO</t>
        </is>
      </c>
      <c r="J2939" s="29" t="n">
        <v>567.7</v>
      </c>
      <c r="K2939" s="14" t="str">
        <f>IF(J2939="","7. Acima de 2 km",IF(J2939&lt;=50,"1. Até 50 m",IF(J2939&lt;=100,"2. De 50 a 100 m",IF(J2939&lt;=200,"3. De 100 a 200 m",IF(J2939&lt;=300,"4. De 200 a 300 m",IF(J2939&lt;=500,"5. De 300 a 500 m","6. De 500 m a 2 km"))))))</f>
        <v>6. De 500 m a 2 km</v>
      </c>
      <c r="L2939" s="26" t="n">
        <v>0</v>
      </c>
      <c r="M2939" s="26" t="n">
        <v>0</v>
      </c>
      <c r="N2939" s="26" t="n">
        <v>0</v>
      </c>
      <c r="O2939" s="26" t="n">
        <v>0</v>
      </c>
      <c r="P2939" s="30" t="n">
        <v>-15.2110767</v>
      </c>
      <c r="Q2939" s="30" t="n">
        <v>-41.0843567</v>
      </c>
      <c r="R2939" s="14" t="inlineStr">
        <is>
          <t>FÓRUM ELEITORAL DE VITÓRIA DA CONQUISTA, AVENIDA OLÍVIA FLORES, S/N, BAIRRO CANDEIAS, VITÓRIA DA CONQUISTA/BA</t>
        </is>
      </c>
      <c r="S2939" s="26">
        <f>IF(A2939=A2938,0,1)</f>
        <v>0</v>
      </c>
      <c r="T2939" s="26">
        <f>IF(COUNTIF($B$4:B2939,B2939)=1,1,0)</f>
        <v>0</v>
      </c>
    </row>
    <row r="2940">
      <c r="A2940" s="14" t="inlineStr">
        <is>
          <t>VITÓRIA DA CONQUISTA</t>
        </is>
      </c>
      <c r="B2940" s="26" t="n">
        <v>40</v>
      </c>
      <c r="C2940" s="26" t="n">
        <v>1899</v>
      </c>
      <c r="D2940" s="14" t="inlineStr">
        <is>
          <t>ESCOLA MUNICIPAL ARQUILINO JOSÉ DOS SANTOS</t>
        </is>
      </c>
      <c r="E2940" s="14" t="inlineStr">
        <is>
          <t>DISTRITO VEREDINHA</t>
        </is>
      </c>
      <c r="F2940" s="14" t="inlineStr">
        <is>
          <t>POVOADO LAGOA DE MELQUÍADES - ZONA RURAL</t>
        </is>
      </c>
      <c r="G2940" s="27" t="inlineStr">
        <is>
          <t>45000-000</t>
        </is>
      </c>
      <c r="H2940" s="15" t="n">
        <v>2</v>
      </c>
      <c r="I2940" s="28" t="inlineStr">
        <is>
          <t>NÃO</t>
        </is>
      </c>
      <c r="J2940" s="29" t="n"/>
      <c r="K2940" s="14" t="str">
        <f>IF(J2940="","7. Acima de 2 km",IF(J2940&lt;=50,"1. Até 50 m",IF(J2940&lt;=100,"2. De 50 a 100 m",IF(J2940&lt;=200,"3. De 100 a 200 m",IF(J2940&lt;=300,"4. De 200 a 300 m",IF(J2940&lt;=500,"5. De 300 a 500 m","6. De 500 m a 2 km"))))))</f>
        <v>7. Acima de 2 km</v>
      </c>
      <c r="L2940" s="26" t="n">
        <v>0</v>
      </c>
      <c r="M2940" s="26" t="n">
        <v>0</v>
      </c>
      <c r="N2940" s="26" t="n">
        <v>0</v>
      </c>
      <c r="O2940" s="26" t="n">
        <v>0</v>
      </c>
      <c r="P2940" s="30" t="n">
        <v>-15.2696317</v>
      </c>
      <c r="Q2940" s="30" t="n">
        <v>-41.048175</v>
      </c>
      <c r="R2940" s="14" t="inlineStr">
        <is>
          <t>FÓRUM ELEITORAL DE VITÓRIA DA CONQUISTA, AVENIDA OLÍVIA FLORES, S/N, BAIRRO CANDEIAS, VITÓRIA DA CONQUISTA/BA</t>
        </is>
      </c>
      <c r="S2940" s="26">
        <f>IF(A2940=A2939,0,1)</f>
        <v>0</v>
      </c>
      <c r="T2940" s="26">
        <f>IF(COUNTIF($B$4:B2940,B2940)=1,1,0)</f>
        <v>0</v>
      </c>
    </row>
    <row r="2941">
      <c r="A2941" s="14" t="inlineStr">
        <is>
          <t>VITÓRIA DA CONQUISTA</t>
        </is>
      </c>
      <c r="B2941" s="26" t="n">
        <v>40</v>
      </c>
      <c r="C2941" s="26" t="n">
        <v>1910</v>
      </c>
      <c r="D2941" s="14" t="inlineStr">
        <is>
          <t>ESCOLA MUNICIPAL MARIA LEAL</t>
        </is>
      </c>
      <c r="E2941" s="14" t="inlineStr">
        <is>
          <t>DISTRITO SEDE</t>
        </is>
      </c>
      <c r="F2941" s="14" t="inlineStr">
        <is>
          <t>POVOADO CAPINAL - ZONA RURAL</t>
        </is>
      </c>
      <c r="G2941" s="27" t="inlineStr">
        <is>
          <t>45000-000</t>
        </is>
      </c>
      <c r="H2941" s="15" t="n">
        <v>6</v>
      </c>
      <c r="I2941" s="28" t="inlineStr">
        <is>
          <t>NÃO</t>
        </is>
      </c>
      <c r="J2941" s="29" t="n"/>
      <c r="K2941" s="14" t="str">
        <f>IF(J2941="","7. Acima de 2 km",IF(J2941&lt;=50,"1. Até 50 m",IF(J2941&lt;=100,"2. De 50 a 100 m",IF(J2941&lt;=200,"3. De 100 a 200 m",IF(J2941&lt;=300,"4. De 200 a 300 m",IF(J2941&lt;=500,"5. De 300 a 500 m","6. De 500 m a 2 km"))))))</f>
        <v>7. Acima de 2 km</v>
      </c>
      <c r="L2941" s="26" t="n">
        <v>0</v>
      </c>
      <c r="M2941" s="26" t="n">
        <v>0</v>
      </c>
      <c r="N2941" s="26" t="n">
        <v>0</v>
      </c>
      <c r="O2941" s="26" t="n">
        <v>0</v>
      </c>
      <c r="P2941" s="30" t="n">
        <v>-15.0109145</v>
      </c>
      <c r="Q2941" s="30" t="n">
        <v>-40.7780422</v>
      </c>
      <c r="R2941" s="14" t="inlineStr">
        <is>
          <t>FÓRUM ELEITORAL DE VITÓRIA DA CONQUISTA, AVENIDA OLÍVIA FLORES, S/N, BAIRRO CANDEIAS, VITÓRIA DA CONQUISTA/BA</t>
        </is>
      </c>
      <c r="S2941" s="26">
        <f>IF(A2941=A2940,0,1)</f>
        <v>0</v>
      </c>
      <c r="T2941" s="26">
        <f>IF(COUNTIF($B$4:B2941,B2941)=1,1,0)</f>
        <v>0</v>
      </c>
    </row>
    <row r="2942">
      <c r="A2942" s="14" t="inlineStr">
        <is>
          <t>VITÓRIA DA CONQUISTA</t>
        </is>
      </c>
      <c r="B2942" s="26" t="n">
        <v>40</v>
      </c>
      <c r="C2942" s="26" t="n">
        <v>1937</v>
      </c>
      <c r="D2942" s="14" t="inlineStr">
        <is>
          <t>ESCOLA MUNICIPAL EULÁLIO LEITE</t>
        </is>
      </c>
      <c r="E2942" s="14" t="inlineStr">
        <is>
          <t>DISTRITO CABECEIRA DA JIBÓIA</t>
        </is>
      </c>
      <c r="F2942" s="14" t="inlineStr">
        <is>
          <t>POVOADO CABECEIRA DA JIBÓIA - ZONA RURAL</t>
        </is>
      </c>
      <c r="G2942" s="27" t="inlineStr">
        <is>
          <t>45000-000</t>
        </is>
      </c>
      <c r="H2942" s="15" t="n">
        <v>4</v>
      </c>
      <c r="I2942" s="28" t="inlineStr">
        <is>
          <t>NÃO</t>
        </is>
      </c>
      <c r="J2942" s="29" t="n"/>
      <c r="K2942" s="14" t="str">
        <f>IF(J2942="","7. Acima de 2 km",IF(J2942&lt;=50,"1. Até 50 m",IF(J2942&lt;=100,"2. De 50 a 100 m",IF(J2942&lt;=200,"3. De 100 a 200 m",IF(J2942&lt;=300,"4. De 200 a 300 m",IF(J2942&lt;=500,"5. De 300 a 500 m","6. De 500 m a 2 km"))))))</f>
        <v>7. Acima de 2 km</v>
      </c>
      <c r="L2942" s="26" t="n">
        <v>0</v>
      </c>
      <c r="M2942" s="26" t="n">
        <v>0</v>
      </c>
      <c r="N2942" s="26" t="n">
        <v>0</v>
      </c>
      <c r="O2942" s="26" t="n">
        <v>0</v>
      </c>
      <c r="P2942" s="30" t="n">
        <v>-15.0658283</v>
      </c>
      <c r="Q2942" s="30" t="n">
        <v>-40.8028217</v>
      </c>
      <c r="R2942" s="14" t="inlineStr">
        <is>
          <t>FÓRUM ELEITORAL DE VITÓRIA DA CONQUISTA, AVENIDA OLÍVIA FLORES, S/N, BAIRRO CANDEIAS, VITÓRIA DA CONQUISTA/BA</t>
        </is>
      </c>
      <c r="S2942" s="26">
        <f>IF(A2942=A2941,0,1)</f>
        <v>0</v>
      </c>
      <c r="T2942" s="26">
        <f>IF(COUNTIF($B$4:B2942,B2942)=1,1,0)</f>
        <v>0</v>
      </c>
    </row>
    <row r="2943">
      <c r="A2943" s="14" t="inlineStr">
        <is>
          <t>VITÓRIA DA CONQUISTA</t>
        </is>
      </c>
      <c r="B2943" s="26" t="n">
        <v>40</v>
      </c>
      <c r="C2943" s="26" t="n">
        <v>1953</v>
      </c>
      <c r="D2943" s="14" t="inlineStr">
        <is>
          <t>ESCOLA MUNICIPAL JOSÉ RODRIGUES DO PRADO</t>
        </is>
      </c>
      <c r="E2943" s="14" t="inlineStr">
        <is>
          <t>DISTRITO PRADOSO</t>
        </is>
      </c>
      <c r="F2943" s="14" t="inlineStr">
        <is>
          <t>POVOADO PRADOSO - ZONA RURAL</t>
        </is>
      </c>
      <c r="G2943" s="27" t="inlineStr">
        <is>
          <t>45000-000</t>
        </is>
      </c>
      <c r="H2943" s="15" t="n">
        <v>5</v>
      </c>
      <c r="I2943" s="28" t="inlineStr">
        <is>
          <t>NÃO</t>
        </is>
      </c>
      <c r="J2943" s="29" t="n"/>
      <c r="K2943" s="14" t="str">
        <f>IF(J2943="","7. Acima de 2 km",IF(J2943&lt;=50,"1. Até 50 m",IF(J2943&lt;=100,"2. De 50 a 100 m",IF(J2943&lt;=200,"3. De 100 a 200 m",IF(J2943&lt;=300,"4. De 200 a 300 m",IF(J2943&lt;=500,"5. De 300 a 500 m","6. De 500 m a 2 km"))))))</f>
        <v>7. Acima de 2 km</v>
      </c>
      <c r="L2943" s="26" t="n">
        <v>0</v>
      </c>
      <c r="M2943" s="26" t="n">
        <v>0</v>
      </c>
      <c r="N2943" s="26" t="n">
        <v>0</v>
      </c>
      <c r="O2943" s="26" t="n">
        <v>0</v>
      </c>
      <c r="P2943" s="30" t="n">
        <v>-14.8399883</v>
      </c>
      <c r="Q2943" s="30" t="n">
        <v>-40.9651633</v>
      </c>
      <c r="R2943" s="14" t="inlineStr">
        <is>
          <t>FÓRUM ELEITORAL DE VITÓRIA DA CONQUISTA, AVENIDA OLÍVIA FLORES, S/N, BAIRRO CANDEIAS, VITÓRIA DA CONQUISTA/BA</t>
        </is>
      </c>
      <c r="S2943" s="26">
        <f>IF(A2943=A2942,0,1)</f>
        <v>0</v>
      </c>
      <c r="T2943" s="26">
        <f>IF(COUNTIF($B$4:B2943,B2943)=1,1,0)</f>
        <v>0</v>
      </c>
    </row>
    <row r="2944">
      <c r="A2944" s="14" t="inlineStr">
        <is>
          <t>VITÓRIA DA CONQUISTA</t>
        </is>
      </c>
      <c r="B2944" s="26" t="n">
        <v>40</v>
      </c>
      <c r="C2944" s="26" t="n">
        <v>1970</v>
      </c>
      <c r="D2944" s="14" t="inlineStr">
        <is>
          <t>ESCOLA MUNICIPAL ZÉLIA SALDANHA</t>
        </is>
      </c>
      <c r="E2944" s="14" t="inlineStr">
        <is>
          <t>POVOADO DE SIMÃO</t>
        </is>
      </c>
      <c r="F2944" s="14" t="inlineStr">
        <is>
          <t>RUA SANTA CATARINA, SN - ZONA RURAL</t>
        </is>
      </c>
      <c r="G2944" s="27" t="inlineStr">
        <is>
          <t>45000-000</t>
        </is>
      </c>
      <c r="H2944" s="15" t="n">
        <v>5</v>
      </c>
      <c r="I2944" s="28" t="inlineStr">
        <is>
          <t>NÃO</t>
        </is>
      </c>
      <c r="J2944" s="29" t="n"/>
      <c r="K2944" s="14" t="str">
        <f>IF(J2944="","7. Acima de 2 km",IF(J2944&lt;=50,"1. Até 50 m",IF(J2944&lt;=100,"2. De 50 a 100 m",IF(J2944&lt;=200,"3. De 100 a 200 m",IF(J2944&lt;=300,"4. De 200 a 300 m",IF(J2944&lt;=500,"5. De 300 a 500 m","6. De 500 m a 2 km"))))))</f>
        <v>7. Acima de 2 km</v>
      </c>
      <c r="L2944" s="26" t="n">
        <v>0</v>
      </c>
      <c r="M2944" s="26" t="n">
        <v>0</v>
      </c>
      <c r="N2944" s="26" t="n">
        <v>0</v>
      </c>
      <c r="O2944" s="26" t="n">
        <v>0</v>
      </c>
      <c r="P2944" s="30" t="n">
        <v>-14.886855</v>
      </c>
      <c r="Q2944" s="30" t="n">
        <v>-40.8989933</v>
      </c>
      <c r="R2944" s="14" t="inlineStr">
        <is>
          <t>FÓRUM ELEITORAL DE VITÓRIA DA CONQUISTA, AVENIDA OLÍVIA FLORES, S/N, BAIRRO CANDEIAS, VITÓRIA DA CONQUISTA/BA</t>
        </is>
      </c>
      <c r="S2944" s="26">
        <f>IF(A2944=A2943,0,1)</f>
        <v>0</v>
      </c>
      <c r="T2944" s="26">
        <f>IF(COUNTIF($B$4:B2944,B2944)=1,1,0)</f>
        <v>0</v>
      </c>
    </row>
    <row r="2945">
      <c r="A2945" s="14" t="inlineStr">
        <is>
          <t>VITÓRIA DA CONQUISTA</t>
        </is>
      </c>
      <c r="B2945" s="26" t="n">
        <v>40</v>
      </c>
      <c r="C2945" s="26" t="n">
        <v>2011</v>
      </c>
      <c r="D2945" s="14" t="inlineStr">
        <is>
          <t>ESCOLA MUNICIPAL ALICE VELOSO</t>
        </is>
      </c>
      <c r="E2945" s="14" t="inlineStr">
        <is>
          <t>DISTRITO JOSÉ GONÇALVES</t>
        </is>
      </c>
      <c r="F2945" s="14" t="inlineStr">
        <is>
          <t>POVOADO ROSEIRA - ZONA RURAL</t>
        </is>
      </c>
      <c r="G2945" s="27" t="inlineStr">
        <is>
          <t>45000-000</t>
        </is>
      </c>
      <c r="H2945" s="15" t="n">
        <v>3</v>
      </c>
      <c r="I2945" s="28" t="inlineStr">
        <is>
          <t>NÃO</t>
        </is>
      </c>
      <c r="J2945" s="29" t="n"/>
      <c r="K2945" s="14" t="str">
        <f>IF(J2945="","7. Acima de 2 km",IF(J2945&lt;=50,"1. Até 50 m",IF(J2945&lt;=100,"2. De 50 a 100 m",IF(J2945&lt;=200,"3. De 100 a 200 m",IF(J2945&lt;=300,"4. De 200 a 300 m",IF(J2945&lt;=500,"5. De 300 a 500 m","6. De 500 m a 2 km"))))))</f>
        <v>7. Acima de 2 km</v>
      </c>
      <c r="L2945" s="26" t="n">
        <v>0</v>
      </c>
      <c r="M2945" s="26" t="n">
        <v>0</v>
      </c>
      <c r="N2945" s="26" t="n">
        <v>0</v>
      </c>
      <c r="O2945" s="26" t="n">
        <v>0</v>
      </c>
      <c r="P2945" s="30" t="n">
        <v>-14.6338083</v>
      </c>
      <c r="Q2945" s="30" t="n">
        <v>-40.7166483</v>
      </c>
      <c r="R2945" s="14" t="inlineStr">
        <is>
          <t>FÓRUM ELEITORAL DE VITÓRIA DA CONQUISTA, AVENIDA OLÍVIA FLORES, S/N, BAIRRO CANDEIAS, VITÓRIA DA CONQUISTA/BA</t>
        </is>
      </c>
      <c r="S2945" s="26">
        <f>IF(A2945=A2944,0,1)</f>
        <v>0</v>
      </c>
      <c r="T2945" s="26">
        <f>IF(COUNTIF($B$4:B2945,B2945)=1,1,0)</f>
        <v>0</v>
      </c>
    </row>
    <row r="2946">
      <c r="A2946" s="14" t="inlineStr">
        <is>
          <t>VITÓRIA DA CONQUISTA</t>
        </is>
      </c>
      <c r="B2946" s="26" t="n">
        <v>40</v>
      </c>
      <c r="C2946" s="26" t="n">
        <v>2020</v>
      </c>
      <c r="D2946" s="14" t="inlineStr">
        <is>
          <t>ESCOLA MUNICIPAL PROFESSOR ISMAEL DE SOUZA</t>
        </is>
      </c>
      <c r="E2946" s="14" t="inlineStr">
        <is>
          <t>DISTRITO JOSÉ GONÇALVES</t>
        </is>
      </c>
      <c r="F2946" s="14" t="inlineStr">
        <is>
          <t>POVOADO LAGOA FRANCISCO DAS CHAGAS - ZONA RURAL</t>
        </is>
      </c>
      <c r="G2946" s="27" t="inlineStr">
        <is>
          <t>45115-000</t>
        </is>
      </c>
      <c r="H2946" s="15" t="n">
        <v>2</v>
      </c>
      <c r="I2946" s="28" t="inlineStr">
        <is>
          <t>NÃO</t>
        </is>
      </c>
      <c r="J2946" s="29" t="n"/>
      <c r="K2946" s="14" t="str">
        <f>IF(J2946="","7. Acima de 2 km",IF(J2946&lt;=50,"1. Até 50 m",IF(J2946&lt;=100,"2. De 50 a 100 m",IF(J2946&lt;=200,"3. De 100 a 200 m",IF(J2946&lt;=300,"4. De 200 a 300 m",IF(J2946&lt;=500,"5. De 300 a 500 m","6. De 500 m a 2 km"))))))</f>
        <v>7. Acima de 2 km</v>
      </c>
      <c r="L2946" s="26" t="n">
        <v>0</v>
      </c>
      <c r="M2946" s="26" t="n">
        <v>0</v>
      </c>
      <c r="N2946" s="26" t="n">
        <v>0</v>
      </c>
      <c r="O2946" s="26" t="n">
        <v>0</v>
      </c>
      <c r="P2946" s="30" t="n">
        <v>-14.6694283</v>
      </c>
      <c r="Q2946" s="30" t="n">
        <v>-40.9623483</v>
      </c>
      <c r="R2946" s="14" t="inlineStr">
        <is>
          <t>FÓRUM ELEITORAL DE VITÓRIA DA CONQUISTA, AVENIDA OLÍVIA FLORES, S/N, BAIRRO CANDEIAS, VITÓRIA DA CONQUISTA/BA</t>
        </is>
      </c>
      <c r="S2946" s="26">
        <f>IF(A2946=A2945,0,1)</f>
        <v>0</v>
      </c>
      <c r="T2946" s="26">
        <f>IF(COUNTIF($B$4:B2946,B2946)=1,1,0)</f>
        <v>0</v>
      </c>
    </row>
    <row r="2947">
      <c r="A2947" s="14" t="inlineStr">
        <is>
          <t>VITÓRIA DA CONQUISTA</t>
        </is>
      </c>
      <c r="B2947" s="26" t="n">
        <v>40</v>
      </c>
      <c r="C2947" s="26" t="n">
        <v>2038</v>
      </c>
      <c r="D2947" s="14" t="inlineStr">
        <is>
          <t>POSTO DE SAÚDE DE BOA SORTE</t>
        </is>
      </c>
      <c r="E2947" s="14" t="inlineStr">
        <is>
          <t>DISTRITO JOSÉ GONÇALVES</t>
        </is>
      </c>
      <c r="F2947" s="14" t="inlineStr">
        <is>
          <t>POVOADO BOA SORTE - ZONA RURAL</t>
        </is>
      </c>
      <c r="G2947" s="27" t="inlineStr">
        <is>
          <t>45115-000</t>
        </is>
      </c>
      <c r="H2947" s="15" t="n">
        <v>1</v>
      </c>
      <c r="I2947" s="28" t="inlineStr">
        <is>
          <t>NÃO</t>
        </is>
      </c>
      <c r="J2947" s="29" t="n"/>
      <c r="K2947" s="14" t="str">
        <f>IF(J2947="","7. Acima de 2 km",IF(J2947&lt;=50,"1. Até 50 m",IF(J2947&lt;=100,"2. De 50 a 100 m",IF(J2947&lt;=200,"3. De 100 a 200 m",IF(J2947&lt;=300,"4. De 200 a 300 m",IF(J2947&lt;=500,"5. De 300 a 500 m","6. De 500 m a 2 km"))))))</f>
        <v>7. Acima de 2 km</v>
      </c>
      <c r="L2947" s="26" t="n">
        <v>0</v>
      </c>
      <c r="M2947" s="26" t="n">
        <v>0</v>
      </c>
      <c r="N2947" s="26" t="n">
        <v>0</v>
      </c>
      <c r="O2947" s="26" t="n">
        <v>0</v>
      </c>
      <c r="P2947" s="30" t="n">
        <v>-14.56227</v>
      </c>
      <c r="Q2947" s="30" t="n">
        <v>-40.676215</v>
      </c>
      <c r="R2947" s="14" t="inlineStr">
        <is>
          <t>FÓRUM ELEITORAL DE VITÓRIA DA CONQUISTA, AVENIDA OLÍVIA FLORES, S/N, BAIRRO CANDEIAS, VITÓRIA DA CONQUISTA/BA</t>
        </is>
      </c>
      <c r="S2947" s="26">
        <f>IF(A2947=A2946,0,1)</f>
        <v>0</v>
      </c>
      <c r="T2947" s="26">
        <f>IF(COUNTIF($B$4:B2947,B2947)=1,1,0)</f>
        <v>0</v>
      </c>
    </row>
    <row r="2948">
      <c r="A2948" s="14" t="inlineStr">
        <is>
          <t>VITÓRIA DA CONQUISTA</t>
        </is>
      </c>
      <c r="B2948" s="26" t="n">
        <v>40</v>
      </c>
      <c r="C2948" s="26" t="n">
        <v>2054</v>
      </c>
      <c r="D2948" s="14" t="inlineStr">
        <is>
          <t>ESCOLA MUNICIPAL FRANCISCO ANTÔNIO DE VASCONCELOS</t>
        </is>
      </c>
      <c r="E2948" s="14" t="inlineStr">
        <is>
          <t>DISTRITO JOSÉ GONÇALVES</t>
        </is>
      </c>
      <c r="F2948" s="14" t="inlineStr">
        <is>
          <t>POVOADO CABECEIRA - ZONA RURAL</t>
        </is>
      </c>
      <c r="G2948" s="27" t="inlineStr">
        <is>
          <t>45000-000</t>
        </is>
      </c>
      <c r="H2948" s="15" t="n">
        <v>2</v>
      </c>
      <c r="I2948" s="28" t="inlineStr">
        <is>
          <t>NÃO</t>
        </is>
      </c>
      <c r="J2948" s="29" t="n"/>
      <c r="K2948" s="14" t="str">
        <f>IF(J2948="","7. Acima de 2 km",IF(J2948&lt;=50,"1. Até 50 m",IF(J2948&lt;=100,"2. De 50 a 100 m",IF(J2948&lt;=200,"3. De 100 a 200 m",IF(J2948&lt;=300,"4. De 200 a 300 m",IF(J2948&lt;=500,"5. De 300 a 500 m","6. De 500 m a 2 km"))))))</f>
        <v>7. Acima de 2 km</v>
      </c>
      <c r="L2948" s="26" t="n">
        <v>0</v>
      </c>
      <c r="M2948" s="26" t="n">
        <v>0</v>
      </c>
      <c r="N2948" s="26" t="n">
        <v>0</v>
      </c>
      <c r="O2948" s="26" t="n">
        <v>0</v>
      </c>
      <c r="P2948" s="30" t="n">
        <v>-14.7307871</v>
      </c>
      <c r="Q2948" s="30" t="n">
        <v>-40.806938</v>
      </c>
      <c r="R2948" s="14" t="inlineStr">
        <is>
          <t>FÓRUM ELEITORAL DE VITÓRIA DA CONQUISTA, AVENIDA OLÍVIA FLORES, S/N, BAIRRO CANDEIAS, VITÓRIA DA CONQUISTA/BA</t>
        </is>
      </c>
      <c r="S2948" s="26">
        <f>IF(A2948=A2947,0,1)</f>
        <v>0</v>
      </c>
      <c r="T2948" s="26">
        <f>IF(COUNTIF($B$4:B2948,B2948)=1,1,0)</f>
        <v>0</v>
      </c>
    </row>
    <row r="2949">
      <c r="A2949" s="14" t="inlineStr">
        <is>
          <t>VITÓRIA DA CONQUISTA</t>
        </is>
      </c>
      <c r="B2949" s="26" t="n">
        <v>40</v>
      </c>
      <c r="C2949" s="26" t="n">
        <v>2089</v>
      </c>
      <c r="D2949" s="14" t="inlineStr">
        <is>
          <t>ESCOLA MUNICIPAL JOVELINO ALVES DE OLIVEIRA</t>
        </is>
      </c>
      <c r="E2949" s="14" t="inlineStr">
        <is>
          <t>DISTRITO JOSÉ GONÇALVES</t>
        </is>
      </c>
      <c r="F2949" s="14" t="inlineStr">
        <is>
          <t>POVOADO  BARREIRO - ZONA RURAL</t>
        </is>
      </c>
      <c r="G2949" s="27" t="inlineStr">
        <is>
          <t>45000-000</t>
        </is>
      </c>
      <c r="H2949" s="15" t="n">
        <v>2</v>
      </c>
      <c r="I2949" s="28" t="inlineStr">
        <is>
          <t>NÃO</t>
        </is>
      </c>
      <c r="J2949" s="29" t="n"/>
      <c r="K2949" s="14" t="str">
        <f>IF(J2949="","7. Acima de 2 km",IF(J2949&lt;=50,"1. Até 50 m",IF(J2949&lt;=100,"2. De 50 a 100 m",IF(J2949&lt;=200,"3. De 100 a 200 m",IF(J2949&lt;=300,"4. De 200 a 300 m",IF(J2949&lt;=500,"5. De 300 a 500 m","6. De 500 m a 2 km"))))))</f>
        <v>7. Acima de 2 km</v>
      </c>
      <c r="L2949" s="26" t="n">
        <v>0</v>
      </c>
      <c r="M2949" s="26" t="n">
        <v>0</v>
      </c>
      <c r="N2949" s="26" t="n">
        <v>0</v>
      </c>
      <c r="O2949" s="26" t="n">
        <v>0</v>
      </c>
      <c r="P2949" s="30" t="n">
        <v>-14.6267067</v>
      </c>
      <c r="Q2949" s="30" t="n">
        <v>-40.9214717</v>
      </c>
      <c r="R2949" s="14" t="inlineStr">
        <is>
          <t>FÓRUM ELEITORAL DE VITÓRIA DA CONQUISTA, AVENIDA OLÍVIA FLORES, S/N, BAIRRO CANDEIAS, VITÓRIA DA CONQUISTA/BA</t>
        </is>
      </c>
      <c r="S2949" s="26">
        <f>IF(A2949=A2948,0,1)</f>
        <v>0</v>
      </c>
      <c r="T2949" s="26">
        <f>IF(COUNTIF($B$4:B2949,B2949)=1,1,0)</f>
        <v>0</v>
      </c>
    </row>
    <row r="2950">
      <c r="A2950" s="14" t="inlineStr">
        <is>
          <t>VITÓRIA DA CONQUISTA</t>
        </is>
      </c>
      <c r="B2950" s="26" t="n">
        <v>40</v>
      </c>
      <c r="C2950" s="26" t="n">
        <v>2100</v>
      </c>
      <c r="D2950" s="14" t="inlineStr">
        <is>
          <t>ESCOLA MUNICIPAL LEOPOLDO MIGUEZ</t>
        </is>
      </c>
      <c r="E2950" s="14" t="inlineStr">
        <is>
          <t>DISTRITO JOSÉ GONÇALVES</t>
        </is>
      </c>
      <c r="F2950" s="14" t="inlineStr">
        <is>
          <t>POVOADO ITAIPU - ZONA RURAL</t>
        </is>
      </c>
      <c r="G2950" s="27" t="inlineStr">
        <is>
          <t>45000-000</t>
        </is>
      </c>
      <c r="H2950" s="15" t="n">
        <v>2</v>
      </c>
      <c r="I2950" s="28" t="inlineStr">
        <is>
          <t>NÃO</t>
        </is>
      </c>
      <c r="J2950" s="29" t="n"/>
      <c r="K2950" s="14" t="str">
        <f>IF(J2950="","7. Acima de 2 km",IF(J2950&lt;=50,"1. Até 50 m",IF(J2950&lt;=100,"2. De 50 a 100 m",IF(J2950&lt;=200,"3. De 100 a 200 m",IF(J2950&lt;=300,"4. De 200 a 300 m",IF(J2950&lt;=500,"5. De 300 a 500 m","6. De 500 m a 2 km"))))))</f>
        <v>7. Acima de 2 km</v>
      </c>
      <c r="L2950" s="26" t="n">
        <v>0</v>
      </c>
      <c r="M2950" s="26" t="n">
        <v>0</v>
      </c>
      <c r="N2950" s="26" t="n">
        <v>0</v>
      </c>
      <c r="O2950" s="26" t="n">
        <v>0</v>
      </c>
      <c r="P2950" s="30" t="n">
        <v>-14.691265</v>
      </c>
      <c r="Q2950" s="30" t="n">
        <v>-40.6576883</v>
      </c>
      <c r="R2950" s="14" t="inlineStr">
        <is>
          <t>FÓRUM ELEITORAL DE VITÓRIA DA CONQUISTA, AVENIDA OLÍVIA FLORES, S/N, BAIRRO CANDEIAS, VITÓRIA DA CONQUISTA/BA</t>
        </is>
      </c>
      <c r="S2950" s="26">
        <f>IF(A2950=A2949,0,1)</f>
        <v>0</v>
      </c>
      <c r="T2950" s="26">
        <f>IF(COUNTIF($B$4:B2950,B2950)=1,1,0)</f>
        <v>0</v>
      </c>
    </row>
    <row r="2951">
      <c r="A2951" s="14" t="inlineStr">
        <is>
          <t>VITÓRIA DA CONQUISTA</t>
        </is>
      </c>
      <c r="B2951" s="26" t="n">
        <v>40</v>
      </c>
      <c r="C2951" s="26" t="n">
        <v>2119</v>
      </c>
      <c r="D2951" s="14" t="inlineStr">
        <is>
          <t>ESCOLA MUNICIPAL MARIA AMÉLIA RIBEIRO</t>
        </is>
      </c>
      <c r="E2951" s="14" t="inlineStr">
        <is>
          <t>DISTRITO JOSÉ GONÇALVES</t>
        </is>
      </c>
      <c r="F2951" s="14" t="inlineStr">
        <is>
          <t>POVOADO DEUSDARÁ - ZONA RURAL</t>
        </is>
      </c>
      <c r="G2951" s="27" t="inlineStr">
        <is>
          <t>45000-000</t>
        </is>
      </c>
      <c r="H2951" s="15" t="n">
        <v>2</v>
      </c>
      <c r="I2951" s="28" t="inlineStr">
        <is>
          <t>NÃO</t>
        </is>
      </c>
      <c r="J2951" s="29" t="n"/>
      <c r="K2951" s="14" t="str">
        <f>IF(J2951="","7. Acima de 2 km",IF(J2951&lt;=50,"1. Até 50 m",IF(J2951&lt;=100,"2. De 50 a 100 m",IF(J2951&lt;=200,"3. De 100 a 200 m",IF(J2951&lt;=300,"4. De 200 a 300 m",IF(J2951&lt;=500,"5. De 300 a 500 m","6. De 500 m a 2 km"))))))</f>
        <v>7. Acima de 2 km</v>
      </c>
      <c r="L2951" s="26" t="n">
        <v>0</v>
      </c>
      <c r="M2951" s="26" t="n">
        <v>0</v>
      </c>
      <c r="N2951" s="26" t="n">
        <v>0</v>
      </c>
      <c r="O2951" s="26" t="n">
        <v>0</v>
      </c>
      <c r="P2951" s="30" t="n">
        <v>-14.639645</v>
      </c>
      <c r="Q2951" s="30" t="n">
        <v>-40.8082433</v>
      </c>
      <c r="R2951" s="14" t="inlineStr">
        <is>
          <t>FÓRUM ELEITORAL DE VITÓRIA DA CONQUISTA, AVENIDA OLÍVIA FLORES, S/N, BAIRRO CANDEIAS, VITÓRIA DA CONQUISTA/BA</t>
        </is>
      </c>
      <c r="S2951" s="26">
        <f>IF(A2951=A2950,0,1)</f>
        <v>0</v>
      </c>
      <c r="T2951" s="26">
        <f>IF(COUNTIF($B$4:B2951,B2951)=1,1,0)</f>
        <v>0</v>
      </c>
    </row>
    <row r="2952">
      <c r="A2952" s="14" t="inlineStr">
        <is>
          <t>VITÓRIA DA CONQUISTA</t>
        </is>
      </c>
      <c r="B2952" s="26" t="n">
        <v>40</v>
      </c>
      <c r="C2952" s="26" t="n">
        <v>2127</v>
      </c>
      <c r="D2952" s="14" t="inlineStr">
        <is>
          <t>ESCOLA MUNICIPAL MIGUEL CANDIDO GONÇALVES</t>
        </is>
      </c>
      <c r="E2952" s="14" t="inlineStr">
        <is>
          <t>POVOADO CAIÇARA</t>
        </is>
      </c>
      <c r="F2952" s="14" t="inlineStr">
        <is>
          <t>POVOADO CAIÇARA - ZONA RURAL</t>
        </is>
      </c>
      <c r="G2952" s="27" t="inlineStr">
        <is>
          <t>45000-000</t>
        </is>
      </c>
      <c r="H2952" s="15" t="n">
        <v>2</v>
      </c>
      <c r="I2952" s="28" t="inlineStr">
        <is>
          <t>NÃO</t>
        </is>
      </c>
      <c r="J2952" s="29" t="n"/>
      <c r="K2952" s="14" t="str">
        <f>IF(J2952="","7. Acima de 2 km",IF(J2952&lt;=50,"1. Até 50 m",IF(J2952&lt;=100,"2. De 50 a 100 m",IF(J2952&lt;=200,"3. De 100 a 200 m",IF(J2952&lt;=300,"4. De 200 a 300 m",IF(J2952&lt;=500,"5. De 300 a 500 m","6. De 500 m a 2 km"))))))</f>
        <v>7. Acima de 2 km</v>
      </c>
      <c r="L2952" s="26" t="n">
        <v>0</v>
      </c>
      <c r="M2952" s="26" t="n">
        <v>0</v>
      </c>
      <c r="N2952" s="26" t="n">
        <v>0</v>
      </c>
      <c r="O2952" s="26" t="n">
        <v>0</v>
      </c>
      <c r="P2952" s="30" t="n">
        <v>-14.7724665</v>
      </c>
      <c r="Q2952" s="30" t="n">
        <v>-40.8320781</v>
      </c>
      <c r="R2952" s="14" t="inlineStr">
        <is>
          <t>FÓRUM ELEITORAL DE VITÓRIA DA CONQUISTA, AVENIDA OLÍVIA FLORES, S/N, BAIRRO CANDEIAS, VITÓRIA DA CONQUISTA/BA</t>
        </is>
      </c>
      <c r="S2952" s="26">
        <f>IF(A2952=A2951,0,1)</f>
        <v>0</v>
      </c>
      <c r="T2952" s="26">
        <f>IF(COUNTIF($B$4:B2952,B2952)=1,1,0)</f>
        <v>0</v>
      </c>
    </row>
    <row r="2953">
      <c r="A2953" s="14" t="inlineStr">
        <is>
          <t>VITÓRIA DA CONQUISTA</t>
        </is>
      </c>
      <c r="B2953" s="26" t="n">
        <v>40</v>
      </c>
      <c r="C2953" s="26" t="n">
        <v>2151</v>
      </c>
      <c r="D2953" s="14" t="inlineStr">
        <is>
          <t>ESCOLA MUNICIPAL PAULINO SANTOS</t>
        </is>
      </c>
      <c r="E2953" s="14" t="inlineStr">
        <is>
          <t>DISTRITO JOSÉ GONÇALVES</t>
        </is>
      </c>
      <c r="F2953" s="14" t="inlineStr">
        <is>
          <t>POVOADO ALGODÃO - ZONA RURAL</t>
        </is>
      </c>
      <c r="G2953" s="27" t="inlineStr">
        <is>
          <t>45000-000</t>
        </is>
      </c>
      <c r="H2953" s="15" t="n">
        <v>3</v>
      </c>
      <c r="I2953" s="28" t="inlineStr">
        <is>
          <t>NÃO</t>
        </is>
      </c>
      <c r="J2953" s="29" t="n"/>
      <c r="K2953" s="14" t="str">
        <f>IF(J2953="","7. Acima de 2 km",IF(J2953&lt;=50,"1. Até 50 m",IF(J2953&lt;=100,"2. De 50 a 100 m",IF(J2953&lt;=200,"3. De 100 a 200 m",IF(J2953&lt;=300,"4. De 200 a 300 m",IF(J2953&lt;=500,"5. De 300 a 500 m","6. De 500 m a 2 km"))))))</f>
        <v>7. Acima de 2 km</v>
      </c>
      <c r="L2953" s="26" t="n">
        <v>0</v>
      </c>
      <c r="M2953" s="26" t="n">
        <v>0</v>
      </c>
      <c r="N2953" s="26" t="n">
        <v>0</v>
      </c>
      <c r="O2953" s="26" t="n">
        <v>0</v>
      </c>
      <c r="P2953" s="30" t="n">
        <v>-14.6220733</v>
      </c>
      <c r="Q2953" s="30" t="n">
        <v>-40.7936533</v>
      </c>
      <c r="R2953" s="14" t="inlineStr">
        <is>
          <t>FÓRUM ELEITORAL DE VITÓRIA DA CONQUISTA, AVENIDA OLÍVIA FLORES, S/N, BAIRRO CANDEIAS, VITÓRIA DA CONQUISTA/BA</t>
        </is>
      </c>
      <c r="S2953" s="26">
        <f>IF(A2953=A2952,0,1)</f>
        <v>0</v>
      </c>
      <c r="T2953" s="26">
        <f>IF(COUNTIF($B$4:B2953,B2953)=1,1,0)</f>
        <v>0</v>
      </c>
    </row>
    <row r="2954">
      <c r="A2954" s="14" t="inlineStr">
        <is>
          <t>VITÓRIA DA CONQUISTA</t>
        </is>
      </c>
      <c r="B2954" s="26" t="n">
        <v>40</v>
      </c>
      <c r="C2954" s="26" t="n">
        <v>2160</v>
      </c>
      <c r="D2954" s="14" t="inlineStr">
        <is>
          <t>ESCOLA MUNICIPAL RAUL POMPÉIA</t>
        </is>
      </c>
      <c r="E2954" s="14" t="inlineStr">
        <is>
          <t>DISTRITO JOSÉ GONÇALVES</t>
        </is>
      </c>
      <c r="F2954" s="14" t="inlineStr">
        <is>
          <t>POVOADO ITAPIREMA - ZONA RURAL</t>
        </is>
      </c>
      <c r="G2954" s="27" t="inlineStr">
        <is>
          <t>45115-000</t>
        </is>
      </c>
      <c r="H2954" s="15" t="n">
        <v>2</v>
      </c>
      <c r="I2954" s="28" t="inlineStr">
        <is>
          <t>NÃO</t>
        </is>
      </c>
      <c r="J2954" s="29" t="n"/>
      <c r="K2954" s="14" t="str">
        <f>IF(J2954="","7. Acima de 2 km",IF(J2954&lt;=50,"1. Até 50 m",IF(J2954&lt;=100,"2. De 50 a 100 m",IF(J2954&lt;=200,"3. De 100 a 200 m",IF(J2954&lt;=300,"4. De 200 a 300 m",IF(J2954&lt;=500,"5. De 300 a 500 m","6. De 500 m a 2 km"))))))</f>
        <v>7. Acima de 2 km</v>
      </c>
      <c r="L2954" s="26" t="n">
        <v>0</v>
      </c>
      <c r="M2954" s="26" t="n">
        <v>0</v>
      </c>
      <c r="N2954" s="26" t="n">
        <v>0</v>
      </c>
      <c r="O2954" s="26" t="n">
        <v>0</v>
      </c>
      <c r="P2954" s="30" t="n">
        <v>-14.7447433</v>
      </c>
      <c r="Q2954" s="30" t="n">
        <v>-40.7733883</v>
      </c>
      <c r="R2954" s="14" t="inlineStr">
        <is>
          <t>FÓRUM ELEITORAL DE VITÓRIA DA CONQUISTA, AVENIDA OLÍVIA FLORES, S/N, BAIRRO CANDEIAS, VITÓRIA DA CONQUISTA/BA</t>
        </is>
      </c>
      <c r="S2954" s="26">
        <f>IF(A2954=A2953,0,1)</f>
        <v>0</v>
      </c>
      <c r="T2954" s="26">
        <f>IF(COUNTIF($B$4:B2954,B2954)=1,1,0)</f>
        <v>0</v>
      </c>
    </row>
    <row r="2955">
      <c r="A2955" s="14" t="inlineStr">
        <is>
          <t>VITÓRIA DA CONQUISTA</t>
        </is>
      </c>
      <c r="B2955" s="26" t="n">
        <v>40</v>
      </c>
      <c r="C2955" s="26" t="n">
        <v>2178</v>
      </c>
      <c r="D2955" s="14" t="inlineStr">
        <is>
          <t>ESCOLA MUNICIPAL EUCLIDES DA CUNHA</t>
        </is>
      </c>
      <c r="E2955" s="14" t="inlineStr">
        <is>
          <t>DISTRITO SÃO SEBASTIÃO</t>
        </is>
      </c>
      <c r="F2955" s="14" t="inlineStr">
        <is>
          <t>SÃO SEBASTIÃO - ZONA RURAL</t>
        </is>
      </c>
      <c r="G2955" s="27" t="inlineStr">
        <is>
          <t>45115-000</t>
        </is>
      </c>
      <c r="H2955" s="15" t="n">
        <v>7</v>
      </c>
      <c r="I2955" s="28" t="inlineStr">
        <is>
          <t>NÃO</t>
        </is>
      </c>
      <c r="J2955" s="29" t="n">
        <v>136.1</v>
      </c>
      <c r="K2955" s="14" t="str">
        <f>IF(J2955="","7. Acima de 2 km",IF(J2955&lt;=50,"1. Até 50 m",IF(J2955&lt;=100,"2. De 50 a 100 m",IF(J2955&lt;=200,"3. De 100 a 200 m",IF(J2955&lt;=300,"4. De 200 a 300 m",IF(J2955&lt;=500,"5. De 300 a 500 m","6. De 500 m a 2 km"))))))</f>
        <v>3. De 100 a 200 m</v>
      </c>
      <c r="L2955" s="26" t="n">
        <v>0</v>
      </c>
      <c r="M2955" s="26" t="n">
        <v>0</v>
      </c>
      <c r="N2955" s="26" t="n">
        <v>3</v>
      </c>
      <c r="O2955" s="26" t="n">
        <v>3</v>
      </c>
      <c r="P2955" s="30" t="n">
        <v>-14.7829957</v>
      </c>
      <c r="Q2955" s="30" t="n">
        <v>-40.6560771</v>
      </c>
      <c r="R2955" s="14" t="inlineStr">
        <is>
          <t>FÓRUM ELEITORAL DE VITÓRIA DA CONQUISTA, AVENIDA OLÍVIA FLORES, S/N, BAIRRO CANDEIAS, VITÓRIA DA CONQUISTA/BA</t>
        </is>
      </c>
      <c r="S2955" s="26">
        <f>IF(A2955=A2954,0,1)</f>
        <v>0</v>
      </c>
      <c r="T2955" s="26">
        <f>IF(COUNTIF($B$4:B2955,B2955)=1,1,0)</f>
        <v>0</v>
      </c>
    </row>
    <row r="2956">
      <c r="A2956" s="14" t="inlineStr">
        <is>
          <t>VITÓRIA DA CONQUISTA</t>
        </is>
      </c>
      <c r="B2956" s="26" t="n">
        <v>40</v>
      </c>
      <c r="C2956" s="26" t="n">
        <v>2186</v>
      </c>
      <c r="D2956" s="14" t="inlineStr">
        <is>
          <t>ESCOLA MUNICIPAL RÉGIS PACHECO</t>
        </is>
      </c>
      <c r="E2956" s="14" t="inlineStr">
        <is>
          <t>DISTRITO JOSÉ GONÇALVES</t>
        </is>
      </c>
      <c r="F2956" s="14" t="inlineStr">
        <is>
          <t>POVOADO SERRA GRANDE - ZONA RURAL</t>
        </is>
      </c>
      <c r="G2956" s="27" t="inlineStr">
        <is>
          <t>45000-000</t>
        </is>
      </c>
      <c r="H2956" s="15" t="n">
        <v>1</v>
      </c>
      <c r="I2956" s="28" t="inlineStr">
        <is>
          <t>NÃO</t>
        </is>
      </c>
      <c r="J2956" s="29" t="n"/>
      <c r="K2956" s="14" t="str">
        <f>IF(J2956="","7. Acima de 2 km",IF(J2956&lt;=50,"1. Até 50 m",IF(J2956&lt;=100,"2. De 50 a 100 m",IF(J2956&lt;=200,"3. De 100 a 200 m",IF(J2956&lt;=300,"4. De 200 a 300 m",IF(J2956&lt;=500,"5. De 300 a 500 m","6. De 500 m a 2 km"))))))</f>
        <v>7. Acima de 2 km</v>
      </c>
      <c r="L2956" s="26" t="n">
        <v>0</v>
      </c>
      <c r="M2956" s="26" t="n">
        <v>0</v>
      </c>
      <c r="N2956" s="26" t="n">
        <v>0</v>
      </c>
      <c r="O2956" s="26" t="n">
        <v>0</v>
      </c>
      <c r="P2956" s="30" t="n">
        <v>-14.6948533</v>
      </c>
      <c r="Q2956" s="30" t="n">
        <v>-40.905445</v>
      </c>
      <c r="R2956" s="14" t="inlineStr">
        <is>
          <t>FÓRUM ELEITORAL DE VITÓRIA DA CONQUISTA, AVENIDA OLÍVIA FLORES, S/N, BAIRRO CANDEIAS, VITÓRIA DA CONQUISTA/BA</t>
        </is>
      </c>
      <c r="S2956" s="26">
        <f>IF(A2956=A2955,0,1)</f>
        <v>0</v>
      </c>
      <c r="T2956" s="26">
        <f>IF(COUNTIF($B$4:B2956,B2956)=1,1,0)</f>
        <v>0</v>
      </c>
    </row>
    <row r="2957">
      <c r="A2957" s="14" t="inlineStr">
        <is>
          <t>VITÓRIA DA CONQUISTA</t>
        </is>
      </c>
      <c r="B2957" s="26" t="n">
        <v>40</v>
      </c>
      <c r="C2957" s="26" t="n">
        <v>2194</v>
      </c>
      <c r="D2957" s="14" t="inlineStr">
        <is>
          <t>CENTRO EDUCACIONAL MUNICIPAL MOISÉS MEIRA</t>
        </is>
      </c>
      <c r="E2957" s="14" t="inlineStr">
        <is>
          <t>DISTRITO JOSÉ GONÇALVES</t>
        </is>
      </c>
      <c r="F2957" s="14" t="inlineStr">
        <is>
          <t>JOSÉ GONÇALVES - ZONA RURAL</t>
        </is>
      </c>
      <c r="G2957" s="27" t="inlineStr">
        <is>
          <t>45115-000</t>
        </is>
      </c>
      <c r="H2957" s="15" t="n">
        <v>7</v>
      </c>
      <c r="I2957" s="28" t="inlineStr">
        <is>
          <t>NÃO</t>
        </is>
      </c>
      <c r="J2957" s="29" t="n">
        <v>212.7</v>
      </c>
      <c r="K2957" s="14" t="str">
        <f>IF(J2957="","7. Acima de 2 km",IF(J2957&lt;=50,"1. Até 50 m",IF(J2957&lt;=100,"2. De 50 a 100 m",IF(J2957&lt;=200,"3. De 100 a 200 m",IF(J2957&lt;=300,"4. De 200 a 300 m",IF(J2957&lt;=500,"5. De 300 a 500 m","6. De 500 m a 2 km"))))))</f>
        <v>4. De 200 a 300 m</v>
      </c>
      <c r="L2957" s="26" t="n">
        <v>0</v>
      </c>
      <c r="M2957" s="26" t="n">
        <v>0</v>
      </c>
      <c r="N2957" s="26" t="n">
        <v>0</v>
      </c>
      <c r="O2957" s="26" t="n">
        <v>4</v>
      </c>
      <c r="P2957" s="30" t="n">
        <v>-14.7279957</v>
      </c>
      <c r="Q2957" s="30" t="n">
        <v>-40.7265093</v>
      </c>
      <c r="R2957" s="14" t="inlineStr">
        <is>
          <t>FÓRUM ELEITORAL DE VITÓRIA DA CONQUISTA, AVENIDA OLÍVIA FLORES, S/N, BAIRRO CANDEIAS, VITÓRIA DA CONQUISTA/BA</t>
        </is>
      </c>
      <c r="S2957" s="26">
        <f>IF(A2957=A2956,0,1)</f>
        <v>0</v>
      </c>
      <c r="T2957" s="26">
        <f>IF(COUNTIF($B$4:B2957,B2957)=1,1,0)</f>
        <v>0</v>
      </c>
    </row>
    <row r="2958">
      <c r="A2958" s="14" t="inlineStr">
        <is>
          <t>VITÓRIA DA CONQUISTA</t>
        </is>
      </c>
      <c r="B2958" s="26" t="n">
        <v>40</v>
      </c>
      <c r="C2958" s="26" t="n">
        <v>2216</v>
      </c>
      <c r="D2958" s="14" t="inlineStr">
        <is>
          <t>POSTO DE SAÚDE BAIXA DO MUQUÉM</t>
        </is>
      </c>
      <c r="E2958" s="14" t="inlineStr">
        <is>
          <t>DISTRITO JOSÉ GONÇALVES</t>
        </is>
      </c>
      <c r="F2958" s="14" t="inlineStr">
        <is>
          <t>POVOADO MUQUÉM - ZONA RURAL</t>
        </is>
      </c>
      <c r="G2958" s="27" t="inlineStr">
        <is>
          <t>45115-000</t>
        </is>
      </c>
      <c r="H2958" s="15" t="n">
        <v>2</v>
      </c>
      <c r="I2958" s="28" t="inlineStr">
        <is>
          <t>NÃO</t>
        </is>
      </c>
      <c r="J2958" s="29" t="n"/>
      <c r="K2958" s="14" t="str">
        <f>IF(J2958="","7. Acima de 2 km",IF(J2958&lt;=50,"1. Até 50 m",IF(J2958&lt;=100,"2. De 50 a 100 m",IF(J2958&lt;=200,"3. De 100 a 200 m",IF(J2958&lt;=300,"4. De 200 a 300 m",IF(J2958&lt;=500,"5. De 300 a 500 m","6. De 500 m a 2 km"))))))</f>
        <v>7. Acima de 2 km</v>
      </c>
      <c r="L2958" s="26" t="n">
        <v>0</v>
      </c>
      <c r="M2958" s="26" t="n">
        <v>0</v>
      </c>
      <c r="N2958" s="26" t="n">
        <v>0</v>
      </c>
      <c r="O2958" s="26" t="n">
        <v>0</v>
      </c>
      <c r="P2958" s="30" t="n">
        <v>-14.6275675</v>
      </c>
      <c r="Q2958" s="30" t="n">
        <v>-40.8495327</v>
      </c>
      <c r="R2958" s="14" t="inlineStr">
        <is>
          <t>FÓRUM ELEITORAL DE VITÓRIA DA CONQUISTA, AVENIDA OLÍVIA FLORES, S/N, BAIRRO CANDEIAS, VITÓRIA DA CONQUISTA/BA</t>
        </is>
      </c>
      <c r="S2958" s="26">
        <f>IF(A2958=A2957,0,1)</f>
        <v>0</v>
      </c>
      <c r="T2958" s="26">
        <f>IF(COUNTIF($B$4:B2958,B2958)=1,1,0)</f>
        <v>0</v>
      </c>
    </row>
    <row r="2959">
      <c r="A2959" s="14" t="inlineStr">
        <is>
          <t>VITÓRIA DA CONQUISTA</t>
        </is>
      </c>
      <c r="B2959" s="26" t="n">
        <v>40</v>
      </c>
      <c r="C2959" s="26" t="n">
        <v>2240</v>
      </c>
      <c r="D2959" s="14" t="inlineStr">
        <is>
          <t>ESCOLA MUNICIPAL JOSÉ MAXIMILIANO FERNANDES</t>
        </is>
      </c>
      <c r="E2959" s="14" t="inlineStr">
        <is>
          <t>DISTRITO CABECEIRA DA JIBÓIA</t>
        </is>
      </c>
      <c r="F2959" s="14" t="inlineStr">
        <is>
          <t>POVOADO BOA VISTA - ZONA RURAL</t>
        </is>
      </c>
      <c r="G2959" s="27" t="inlineStr">
        <is>
          <t>45000-000</t>
        </is>
      </c>
      <c r="H2959" s="15" t="n">
        <v>2</v>
      </c>
      <c r="I2959" s="28" t="inlineStr">
        <is>
          <t>NÃO</t>
        </is>
      </c>
      <c r="J2959" s="29" t="n"/>
      <c r="K2959" s="14" t="str">
        <f>IF(J2959="","7. Acima de 2 km",IF(J2959&lt;=50,"1. Até 50 m",IF(J2959&lt;=100,"2. De 50 a 100 m",IF(J2959&lt;=200,"3. De 100 a 200 m",IF(J2959&lt;=300,"4. De 200 a 300 m",IF(J2959&lt;=500,"5. De 300 a 500 m","6. De 500 m a 2 km"))))))</f>
        <v>7. Acima de 2 km</v>
      </c>
      <c r="L2959" s="26" t="n">
        <v>0</v>
      </c>
      <c r="M2959" s="26" t="n">
        <v>0</v>
      </c>
      <c r="N2959" s="26" t="n">
        <v>0</v>
      </c>
      <c r="O2959" s="26" t="n">
        <v>0</v>
      </c>
      <c r="P2959" s="30" t="n">
        <v>-15.1103917</v>
      </c>
      <c r="Q2959" s="30" t="n">
        <v>-40.78261</v>
      </c>
      <c r="R2959" s="14" t="inlineStr">
        <is>
          <t>FÓRUM ELEITORAL DE VITÓRIA DA CONQUISTA, AVENIDA OLÍVIA FLORES, S/N, BAIRRO CANDEIAS, VITÓRIA DA CONQUISTA/BA</t>
        </is>
      </c>
      <c r="S2959" s="26">
        <f>IF(A2959=A2958,0,1)</f>
        <v>0</v>
      </c>
      <c r="T2959" s="26">
        <f>IF(COUNTIF($B$4:B2959,B2959)=1,1,0)</f>
        <v>0</v>
      </c>
    </row>
    <row r="2960">
      <c r="A2960" s="14" t="inlineStr">
        <is>
          <t>VITÓRIA DA CONQUISTA</t>
        </is>
      </c>
      <c r="B2960" s="26" t="n">
        <v>40</v>
      </c>
      <c r="C2960" s="26" t="n">
        <v>2461</v>
      </c>
      <c r="D2960" s="14" t="inlineStr">
        <is>
          <t>ESCOLA MUNICIPAL JESUINO JOSÉ DE DEUS</t>
        </is>
      </c>
      <c r="E2960" s="14" t="inlineStr">
        <is>
          <t>DISTRITO SEDE</t>
        </is>
      </c>
      <c r="F2960" s="14" t="inlineStr">
        <is>
          <t>POVOADO MALHADA - ZONA RURAL</t>
        </is>
      </c>
      <c r="G2960" s="27" t="inlineStr">
        <is>
          <t>45000-000</t>
        </is>
      </c>
      <c r="H2960" s="15" t="n">
        <v>2</v>
      </c>
      <c r="I2960" s="28" t="inlineStr">
        <is>
          <t>NÃO</t>
        </is>
      </c>
      <c r="J2960" s="29" t="n"/>
      <c r="K2960" s="14" t="str">
        <f>IF(J2960="","7. Acima de 2 km",IF(J2960&lt;=50,"1. Até 50 m",IF(J2960&lt;=100,"2. De 50 a 100 m",IF(J2960&lt;=200,"3. De 100 a 200 m",IF(J2960&lt;=300,"4. De 200 a 300 m",IF(J2960&lt;=500,"5. De 300 a 500 m","6. De 500 m a 2 km"))))))</f>
        <v>7. Acima de 2 km</v>
      </c>
      <c r="L2960" s="26" t="n">
        <v>0</v>
      </c>
      <c r="M2960" s="26" t="n">
        <v>0</v>
      </c>
      <c r="N2960" s="26" t="n">
        <v>0</v>
      </c>
      <c r="O2960" s="26" t="n">
        <v>0</v>
      </c>
      <c r="P2960" s="30" t="n">
        <v>-14.8240167</v>
      </c>
      <c r="Q2960" s="30" t="n">
        <v>-40.9306583</v>
      </c>
      <c r="R2960" s="14" t="inlineStr">
        <is>
          <t>FÓRUM ELEITORAL DE VITÓRIA DA CONQUISTA, AVENIDA OLÍVIA FLORES, S/N, BAIRRO CANDEIAS, VITÓRIA DA CONQUISTA/BA</t>
        </is>
      </c>
      <c r="S2960" s="26">
        <f>IF(A2960=A2959,0,1)</f>
        <v>0</v>
      </c>
      <c r="T2960" s="26">
        <f>IF(COUNTIF($B$4:B2960,B2960)=1,1,0)</f>
        <v>0</v>
      </c>
    </row>
    <row r="2961">
      <c r="A2961" s="14" t="inlineStr">
        <is>
          <t>VITÓRIA DA CONQUISTA</t>
        </is>
      </c>
      <c r="B2961" s="26" t="n">
        <v>40</v>
      </c>
      <c r="C2961" s="26" t="n">
        <v>2488</v>
      </c>
      <c r="D2961" s="14" t="inlineStr">
        <is>
          <t>ESCOLA MUNICIPAL ALFREDO BRITO</t>
        </is>
      </c>
      <c r="E2961" s="14" t="inlineStr">
        <is>
          <t>POVOADO LAGOA DE MARIA CLEMÊNCIA</t>
        </is>
      </c>
      <c r="F2961" s="14" t="inlineStr">
        <is>
          <t>POVOADO LAGOA DE MARIA CLEMÊNCIA - ZONA RURAL</t>
        </is>
      </c>
      <c r="G2961" s="27" t="inlineStr">
        <is>
          <t>45000-000</t>
        </is>
      </c>
      <c r="H2961" s="15" t="n">
        <v>3</v>
      </c>
      <c r="I2961" s="28" t="inlineStr">
        <is>
          <t>NÃO</t>
        </is>
      </c>
      <c r="J2961" s="29" t="n"/>
      <c r="K2961" s="14" t="str">
        <f>IF(J2961="","7. Acima de 2 km",IF(J2961&lt;=50,"1. Até 50 m",IF(J2961&lt;=100,"2. De 50 a 100 m",IF(J2961&lt;=200,"3. De 100 a 200 m",IF(J2961&lt;=300,"4. De 200 a 300 m",IF(J2961&lt;=500,"5. De 300 a 500 m","6. De 500 m a 2 km"))))))</f>
        <v>7. Acima de 2 km</v>
      </c>
      <c r="L2961" s="26" t="n">
        <v>0</v>
      </c>
      <c r="M2961" s="26" t="n">
        <v>0</v>
      </c>
      <c r="N2961" s="26" t="n">
        <v>0</v>
      </c>
      <c r="O2961" s="26" t="n">
        <v>0</v>
      </c>
      <c r="P2961" s="30" t="n">
        <v>-14.7844933</v>
      </c>
      <c r="Q2961" s="30" t="n">
        <v>-40.96259</v>
      </c>
      <c r="R2961" s="14" t="inlineStr">
        <is>
          <t>FÓRUM ELEITORAL DE VITÓRIA DA CONQUISTA, AVENIDA OLÍVIA FLORES, S/N, BAIRRO CANDEIAS, VITÓRIA DA CONQUISTA/BA</t>
        </is>
      </c>
      <c r="S2961" s="26">
        <f>IF(A2961=A2960,0,1)</f>
        <v>0</v>
      </c>
      <c r="T2961" s="26">
        <f>IF(COUNTIF($B$4:B2961,B2961)=1,1,0)</f>
        <v>0</v>
      </c>
    </row>
    <row r="2962">
      <c r="A2962" s="14" t="inlineStr">
        <is>
          <t>VITÓRIA DA CONQUISTA</t>
        </is>
      </c>
      <c r="B2962" s="26" t="n">
        <v>40</v>
      </c>
      <c r="C2962" s="26" t="n">
        <v>2496</v>
      </c>
      <c r="D2962" s="14" t="inlineStr">
        <is>
          <t>ESCOLA MUNICIPAL PROFESSOR ANTÔNIO MOURA</t>
        </is>
      </c>
      <c r="E2962" s="14" t="inlineStr">
        <is>
          <t>DISTRITO BATE-PÉ</t>
        </is>
      </c>
      <c r="F2962" s="14" t="inlineStr">
        <is>
          <t>POVOADO RIBEIRÃO - ZONA RURAL</t>
        </is>
      </c>
      <c r="G2962" s="27" t="inlineStr">
        <is>
          <t>45105-000</t>
        </is>
      </c>
      <c r="H2962" s="15" t="n">
        <v>2</v>
      </c>
      <c r="I2962" s="28" t="inlineStr">
        <is>
          <t>NÃO</t>
        </is>
      </c>
      <c r="J2962" s="29" t="n"/>
      <c r="K2962" s="14" t="str">
        <f>IF(J2962="","7. Acima de 2 km",IF(J2962&lt;=50,"1. Até 50 m",IF(J2962&lt;=100,"2. De 50 a 100 m",IF(J2962&lt;=200,"3. De 100 a 200 m",IF(J2962&lt;=300,"4. De 200 a 300 m",IF(J2962&lt;=500,"5. De 300 a 500 m","6. De 500 m a 2 km"))))))</f>
        <v>7. Acima de 2 km</v>
      </c>
      <c r="L2962" s="26" t="n">
        <v>0</v>
      </c>
      <c r="M2962" s="26" t="n">
        <v>0</v>
      </c>
      <c r="N2962" s="26" t="n">
        <v>0</v>
      </c>
      <c r="O2962" s="26" t="n">
        <v>0</v>
      </c>
      <c r="P2962" s="30" t="n">
        <v>-14.8752883</v>
      </c>
      <c r="Q2962" s="30" t="n">
        <v>-41.0676433</v>
      </c>
      <c r="R2962" s="14" t="inlineStr">
        <is>
          <t>FÓRUM ELEITORAL DE VITÓRIA DA CONQUISTA, AVENIDA OLÍVIA FLORES, S/N, BAIRRO CANDEIAS, VITÓRIA DA CONQUISTA/BA</t>
        </is>
      </c>
      <c r="S2962" s="26">
        <f>IF(A2962=A2961,0,1)</f>
        <v>0</v>
      </c>
      <c r="T2962" s="26">
        <f>IF(COUNTIF($B$4:B2962,B2962)=1,1,0)</f>
        <v>0</v>
      </c>
    </row>
    <row r="2963">
      <c r="A2963" s="14" t="inlineStr">
        <is>
          <t>VITÓRIA DA CONQUISTA</t>
        </is>
      </c>
      <c r="B2963" s="26" t="n">
        <v>40</v>
      </c>
      <c r="C2963" s="26" t="n">
        <v>2518</v>
      </c>
      <c r="D2963" s="14" t="inlineStr">
        <is>
          <t>ESCOLA MUNICIPAL CLEMENTE JOSÉ DOS SANTOS</t>
        </is>
      </c>
      <c r="E2963" s="14" t="inlineStr">
        <is>
          <t>DISTRITO BATE-PÉ</t>
        </is>
      </c>
      <c r="F2963" s="14" t="inlineStr">
        <is>
          <t>POVOADO FARINHA MOLHADA - ZONA RURAL</t>
        </is>
      </c>
      <c r="G2963" s="27" t="inlineStr">
        <is>
          <t>45000-000</t>
        </is>
      </c>
      <c r="H2963" s="15" t="n">
        <v>2</v>
      </c>
      <c r="I2963" s="28" t="inlineStr">
        <is>
          <t>NÃO</t>
        </is>
      </c>
      <c r="J2963" s="29" t="n"/>
      <c r="K2963" s="14" t="str">
        <f>IF(J2963="","7. Acima de 2 km",IF(J2963&lt;=50,"1. Até 50 m",IF(J2963&lt;=100,"2. De 50 a 100 m",IF(J2963&lt;=200,"3. De 100 a 200 m",IF(J2963&lt;=300,"4. De 200 a 300 m",IF(J2963&lt;=500,"5. De 300 a 500 m","6. De 500 m a 2 km"))))))</f>
        <v>7. Acima de 2 km</v>
      </c>
      <c r="L2963" s="26" t="n">
        <v>0</v>
      </c>
      <c r="M2963" s="26" t="n">
        <v>0</v>
      </c>
      <c r="N2963" s="26" t="n">
        <v>0</v>
      </c>
      <c r="O2963" s="26" t="n">
        <v>0</v>
      </c>
      <c r="P2963" s="30" t="n">
        <v>-14.9185417</v>
      </c>
      <c r="Q2963" s="30" t="n">
        <v>-41.0959883</v>
      </c>
      <c r="R2963" s="14" t="inlineStr">
        <is>
          <t>FÓRUM ELEITORAL DE VITÓRIA DA CONQUISTA, AVENIDA OLÍVIA FLORES, S/N, BAIRRO CANDEIAS, VITÓRIA DA CONQUISTA/BA</t>
        </is>
      </c>
      <c r="S2963" s="26">
        <f>IF(A2963=A2962,0,1)</f>
        <v>0</v>
      </c>
      <c r="T2963" s="26">
        <f>IF(COUNTIF($B$4:B2963,B2963)=1,1,0)</f>
        <v>0</v>
      </c>
    </row>
    <row r="2964">
      <c r="A2964" s="14" t="inlineStr">
        <is>
          <t>VITÓRIA DA CONQUISTA</t>
        </is>
      </c>
      <c r="B2964" s="26" t="n">
        <v>40</v>
      </c>
      <c r="C2964" s="26" t="n">
        <v>2526</v>
      </c>
      <c r="D2964" s="14" t="inlineStr">
        <is>
          <t>ESCOLA MUNICIPAL PLÍNIO DE LIMA</t>
        </is>
      </c>
      <c r="E2964" s="14" t="inlineStr">
        <is>
          <t>DISTRITO SÃO SEBASTIÃO</t>
        </is>
      </c>
      <c r="F2964" s="14" t="inlineStr">
        <is>
          <t>POVOADO CALDEIRÃO - ZONA RURAL</t>
        </is>
      </c>
      <c r="G2964" s="27" t="inlineStr">
        <is>
          <t>45115-000</t>
        </is>
      </c>
      <c r="H2964" s="15" t="n">
        <v>1</v>
      </c>
      <c r="I2964" s="28" t="inlineStr">
        <is>
          <t>NÃO</t>
        </is>
      </c>
      <c r="J2964" s="29" t="n"/>
      <c r="K2964" s="14" t="str">
        <f>IF(J2964="","7. Acima de 2 km",IF(J2964&lt;=50,"1. Até 50 m",IF(J2964&lt;=100,"2. De 50 a 100 m",IF(J2964&lt;=200,"3. De 100 a 200 m",IF(J2964&lt;=300,"4. De 200 a 300 m",IF(J2964&lt;=500,"5. De 300 a 500 m","6. De 500 m a 2 km"))))))</f>
        <v>7. Acima de 2 km</v>
      </c>
      <c r="L2964" s="26" t="n">
        <v>0</v>
      </c>
      <c r="M2964" s="26" t="n">
        <v>0</v>
      </c>
      <c r="N2964" s="26" t="n">
        <v>0</v>
      </c>
      <c r="O2964" s="26" t="n">
        <v>0</v>
      </c>
      <c r="P2964" s="30" t="n">
        <v>-14.7086832</v>
      </c>
      <c r="Q2964" s="30" t="n">
        <v>-40.5846502</v>
      </c>
      <c r="R2964" s="14" t="inlineStr">
        <is>
          <t>FÓRUM ELEITORAL DE VITÓRIA DA CONQUISTA, AVENIDA OLÍVIA FLORES, S/N, BAIRRO CANDEIAS, VITÓRIA DA CONQUISTA/BA</t>
        </is>
      </c>
      <c r="S2964" s="26">
        <f>IF(A2964=A2963,0,1)</f>
        <v>0</v>
      </c>
      <c r="T2964" s="26">
        <f>IF(COUNTIF($B$4:B2964,B2964)=1,1,0)</f>
        <v>0</v>
      </c>
    </row>
    <row r="2965">
      <c r="A2965" s="14" t="inlineStr">
        <is>
          <t>VITÓRIA DA CONQUISTA</t>
        </is>
      </c>
      <c r="B2965" s="26" t="n">
        <v>40</v>
      </c>
      <c r="C2965" s="26" t="n">
        <v>2534</v>
      </c>
      <c r="D2965" s="14" t="inlineStr">
        <is>
          <t>ESCOLA MUNICIPAL DR. NESTOR FONSECA</t>
        </is>
      </c>
      <c r="E2965" s="14" t="inlineStr">
        <is>
          <t>DISTRITO SEDE</t>
        </is>
      </c>
      <c r="F2965" s="14" t="inlineStr">
        <is>
          <t>POVOADO BARROCAS - ZONA RURAL</t>
        </is>
      </c>
      <c r="G2965" s="27" t="inlineStr">
        <is>
          <t>45000-000</t>
        </is>
      </c>
      <c r="H2965" s="15" t="n">
        <v>3</v>
      </c>
      <c r="I2965" s="28" t="inlineStr">
        <is>
          <t>NÃO</t>
        </is>
      </c>
      <c r="J2965" s="29" t="n"/>
      <c r="K2965" s="14" t="str">
        <f>IF(J2965="","7. Acima de 2 km",IF(J2965&lt;=50,"1. Até 50 m",IF(J2965&lt;=100,"2. De 50 a 100 m",IF(J2965&lt;=200,"3. De 100 a 200 m",IF(J2965&lt;=300,"4. De 200 a 300 m",IF(J2965&lt;=500,"5. De 300 a 500 m","6. De 500 m a 2 km"))))))</f>
        <v>7. Acima de 2 km</v>
      </c>
      <c r="L2965" s="26" t="n">
        <v>0</v>
      </c>
      <c r="M2965" s="26" t="n">
        <v>0</v>
      </c>
      <c r="N2965" s="26" t="n">
        <v>0</v>
      </c>
      <c r="O2965" s="26" t="n">
        <v>0</v>
      </c>
      <c r="P2965" s="30" t="n">
        <v>-14.9906717</v>
      </c>
      <c r="Q2965" s="30" t="n">
        <v>-40.8222783</v>
      </c>
      <c r="R2965" s="14" t="inlineStr">
        <is>
          <t>FÓRUM ELEITORAL DE VITÓRIA DA CONQUISTA, AVENIDA OLÍVIA FLORES, S/N, BAIRRO CANDEIAS, VITÓRIA DA CONQUISTA/BA</t>
        </is>
      </c>
      <c r="S2965" s="26">
        <f>IF(A2965=A2964,0,1)</f>
        <v>0</v>
      </c>
      <c r="T2965" s="26">
        <f>IF(COUNTIF($B$4:B2965,B2965)=1,1,0)</f>
        <v>0</v>
      </c>
    </row>
    <row r="2966">
      <c r="A2966" s="14" t="inlineStr">
        <is>
          <t>VITÓRIA DA CONQUISTA</t>
        </is>
      </c>
      <c r="B2966" s="26" t="n">
        <v>40</v>
      </c>
      <c r="C2966" s="26" t="n">
        <v>2682</v>
      </c>
      <c r="D2966" s="14" t="inlineStr">
        <is>
          <t>ESCOLA MUNICIPAL D. PEDRO I</t>
        </is>
      </c>
      <c r="E2966" s="14" t="inlineStr">
        <is>
          <t>DISTRITO SEDE</t>
        </is>
      </c>
      <c r="F2966" s="14" t="inlineStr">
        <is>
          <t>POVOADO LAGOA DA JIBÓIA - ZONA RURAL</t>
        </is>
      </c>
      <c r="G2966" s="27" t="inlineStr">
        <is>
          <t>45000-000</t>
        </is>
      </c>
      <c r="H2966" s="15" t="n">
        <v>1</v>
      </c>
      <c r="I2966" s="28" t="inlineStr">
        <is>
          <t>NÃO</t>
        </is>
      </c>
      <c r="J2966" s="29" t="n"/>
      <c r="K2966" s="14" t="str">
        <f>IF(J2966="","7. Acima de 2 km",IF(J2966&lt;=50,"1. Até 50 m",IF(J2966&lt;=100,"2. De 50 a 100 m",IF(J2966&lt;=200,"3. De 100 a 200 m",IF(J2966&lt;=300,"4. De 200 a 300 m",IF(J2966&lt;=500,"5. De 300 a 500 m","6. De 500 m a 2 km"))))))</f>
        <v>7. Acima de 2 km</v>
      </c>
      <c r="L2966" s="26" t="n">
        <v>0</v>
      </c>
      <c r="M2966" s="26" t="n">
        <v>0</v>
      </c>
      <c r="N2966" s="26" t="n">
        <v>0</v>
      </c>
      <c r="O2966" s="26" t="n">
        <v>0</v>
      </c>
      <c r="P2966" s="30" t="n">
        <v>-14.7329183</v>
      </c>
      <c r="Q2966" s="30" t="n">
        <v>-40.9668833</v>
      </c>
      <c r="R2966" s="14" t="inlineStr">
        <is>
          <t>FÓRUM ELEITORAL DE VITÓRIA DA CONQUISTA, AVENIDA OLÍVIA FLORES, S/N, BAIRRO CANDEIAS, VITÓRIA DA CONQUISTA/BA</t>
        </is>
      </c>
      <c r="S2966" s="26">
        <f>IF(A2966=A2965,0,1)</f>
        <v>0</v>
      </c>
      <c r="T2966" s="26">
        <f>IF(COUNTIF($B$4:B2966,B2966)=1,1,0)</f>
        <v>0</v>
      </c>
    </row>
    <row r="2967">
      <c r="A2967" s="14" t="inlineStr">
        <is>
          <t>VITÓRIA DA CONQUISTA</t>
        </is>
      </c>
      <c r="B2967" s="26" t="n">
        <v>40</v>
      </c>
      <c r="C2967" s="26" t="n">
        <v>2798</v>
      </c>
      <c r="D2967" s="14" t="inlineStr">
        <is>
          <t>ESCOLA MUNICIPAL CORONEL GUGÉ</t>
        </is>
      </c>
      <c r="E2967" s="14" t="inlineStr">
        <is>
          <t>DISTRITO JOSÉ GONÇALVES</t>
        </is>
      </c>
      <c r="F2967" s="14" t="inlineStr">
        <is>
          <t>POVOADO MÃE ELEOTÉRIA - ZONA RURAL</t>
        </is>
      </c>
      <c r="G2967" s="27" t="inlineStr">
        <is>
          <t>45000-000</t>
        </is>
      </c>
      <c r="H2967" s="15" t="n">
        <v>1</v>
      </c>
      <c r="I2967" s="28" t="inlineStr">
        <is>
          <t>NÃO</t>
        </is>
      </c>
      <c r="J2967" s="29" t="n"/>
      <c r="K2967" s="14" t="str">
        <f>IF(J2967="","7. Acima de 2 km",IF(J2967&lt;=50,"1. Até 50 m",IF(J2967&lt;=100,"2. De 50 a 100 m",IF(J2967&lt;=200,"3. De 100 a 200 m",IF(J2967&lt;=300,"4. De 200 a 300 m",IF(J2967&lt;=500,"5. De 300 a 500 m","6. De 500 m a 2 km"))))))</f>
        <v>7. Acima de 2 km</v>
      </c>
      <c r="L2967" s="26" t="n">
        <v>0</v>
      </c>
      <c r="M2967" s="26" t="n">
        <v>0</v>
      </c>
      <c r="N2967" s="26" t="n">
        <v>0</v>
      </c>
      <c r="O2967" s="26" t="n">
        <v>0</v>
      </c>
      <c r="P2967" s="30" t="n">
        <v>-14.6388717</v>
      </c>
      <c r="Q2967" s="30" t="n">
        <v>-40.7404533</v>
      </c>
      <c r="R2967" s="14" t="inlineStr">
        <is>
          <t>FÓRUM ELEITORAL DE VITÓRIA DA CONQUISTA, AVENIDA OLÍVIA FLORES, S/N, BAIRRO CANDEIAS, VITÓRIA DA CONQUISTA/BA</t>
        </is>
      </c>
      <c r="S2967" s="26">
        <f>IF(A2967=A2966,0,1)</f>
        <v>0</v>
      </c>
      <c r="T2967" s="26">
        <f>IF(COUNTIF($B$4:B2967,B2967)=1,1,0)</f>
        <v>0</v>
      </c>
    </row>
    <row r="2968">
      <c r="A2968" s="14" t="inlineStr">
        <is>
          <t>VITÓRIA DA CONQUISTA</t>
        </is>
      </c>
      <c r="B2968" s="26" t="n">
        <v>40</v>
      </c>
      <c r="C2968" s="26" t="n">
        <v>2810</v>
      </c>
      <c r="D2968" s="14" t="inlineStr">
        <is>
          <t>ESCOLA MUNICIPAL GILDÁSIO CAIRO DOS SANTOS</t>
        </is>
      </c>
      <c r="E2968" s="14" t="inlineStr">
        <is>
          <t>DISTRITO SEDE</t>
        </is>
      </c>
      <c r="F2968" s="14" t="inlineStr">
        <is>
          <t>POVOADO PEDRA BRANCA - ZONA RURAL</t>
        </is>
      </c>
      <c r="G2968" s="27" t="inlineStr">
        <is>
          <t>45000-000</t>
        </is>
      </c>
      <c r="H2968" s="15" t="n">
        <v>3</v>
      </c>
      <c r="I2968" s="28" t="inlineStr">
        <is>
          <t>NÃO</t>
        </is>
      </c>
      <c r="J2968" s="29" t="n"/>
      <c r="K2968" s="14" t="str">
        <f>IF(J2968="","7. Acima de 2 km",IF(J2968&lt;=50,"1. Até 50 m",IF(J2968&lt;=100,"2. De 50 a 100 m",IF(J2968&lt;=200,"3. De 100 a 200 m",IF(J2968&lt;=300,"4. De 200 a 300 m",IF(J2968&lt;=500,"5. De 300 a 500 m","6. De 500 m a 2 km"))))))</f>
        <v>7. Acima de 2 km</v>
      </c>
      <c r="L2968" s="26" t="n">
        <v>0</v>
      </c>
      <c r="M2968" s="26" t="n">
        <v>0</v>
      </c>
      <c r="N2968" s="26" t="n">
        <v>0</v>
      </c>
      <c r="O2968" s="26" t="n">
        <v>0</v>
      </c>
      <c r="P2968" s="30" t="n">
        <v>-14.7960974</v>
      </c>
      <c r="Q2968" s="30" t="n">
        <v>-40.8622185</v>
      </c>
      <c r="R2968" s="14" t="inlineStr">
        <is>
          <t>FÓRUM ELEITORAL DE VITÓRIA DA CONQUISTA, AVENIDA OLÍVIA FLORES, S/N, BAIRRO CANDEIAS, VITÓRIA DA CONQUISTA/BA</t>
        </is>
      </c>
      <c r="S2968" s="26">
        <f>IF(A2968=A2967,0,1)</f>
        <v>0</v>
      </c>
      <c r="T2968" s="26">
        <f>IF(COUNTIF($B$4:B2968,B2968)=1,1,0)</f>
        <v>0</v>
      </c>
    </row>
    <row r="2969">
      <c r="A2969" s="14" t="inlineStr">
        <is>
          <t>VITÓRIA DA CONQUISTA</t>
        </is>
      </c>
      <c r="B2969" s="26" t="n">
        <v>40</v>
      </c>
      <c r="C2969" s="26" t="n">
        <v>2836</v>
      </c>
      <c r="D2969" s="14" t="inlineStr">
        <is>
          <t>ESCOLA MUNICIPAL JUVÊNCIO ROCHA</t>
        </is>
      </c>
      <c r="E2969" s="14" t="inlineStr">
        <is>
          <t>DISTRITO BATE-PÉ</t>
        </is>
      </c>
      <c r="F2969" s="14" t="inlineStr">
        <is>
          <t>POVOADO CACHOEIRA DOS PORCOS - ZONA RURAL</t>
        </is>
      </c>
      <c r="G2969" s="27" t="inlineStr">
        <is>
          <t>45105-000</t>
        </is>
      </c>
      <c r="H2969" s="15" t="n">
        <v>2</v>
      </c>
      <c r="I2969" s="28" t="inlineStr">
        <is>
          <t>NÃO</t>
        </is>
      </c>
      <c r="J2969" s="29" t="n"/>
      <c r="K2969" s="14" t="str">
        <f>IF(J2969="","7. Acima de 2 km",IF(J2969&lt;=50,"1. Até 50 m",IF(J2969&lt;=100,"2. De 50 a 100 m",IF(J2969&lt;=200,"3. De 100 a 200 m",IF(J2969&lt;=300,"4. De 200 a 300 m",IF(J2969&lt;=500,"5. De 300 a 500 m","6. De 500 m a 2 km"))))))</f>
        <v>7. Acima de 2 km</v>
      </c>
      <c r="L2969" s="26" t="n">
        <v>0</v>
      </c>
      <c r="M2969" s="26" t="n">
        <v>0</v>
      </c>
      <c r="N2969" s="26" t="n">
        <v>0</v>
      </c>
      <c r="O2969" s="26" t="n">
        <v>0</v>
      </c>
      <c r="P2969" s="30" t="n">
        <v>-14.9579633</v>
      </c>
      <c r="Q2969" s="30" t="n">
        <v>-41.0016067</v>
      </c>
      <c r="R2969" s="14" t="inlineStr">
        <is>
          <t>FÓRUM ELEITORAL DE VITÓRIA DA CONQUISTA, AVENIDA OLÍVIA FLORES, S/N, BAIRRO CANDEIAS, VITÓRIA DA CONQUISTA/BA</t>
        </is>
      </c>
      <c r="S2969" s="26">
        <f>IF(A2969=A2968,0,1)</f>
        <v>0</v>
      </c>
      <c r="T2969" s="26">
        <f>IF(COUNTIF($B$4:B2969,B2969)=1,1,0)</f>
        <v>0</v>
      </c>
    </row>
    <row r="2970">
      <c r="A2970" s="14" t="inlineStr">
        <is>
          <t>VITÓRIA DA CONQUISTA</t>
        </is>
      </c>
      <c r="B2970" s="26" t="n">
        <v>40</v>
      </c>
      <c r="C2970" s="26" t="n">
        <v>2984</v>
      </c>
      <c r="D2970" s="14" t="inlineStr">
        <is>
          <t>CENTRO EDUCACIONAL DOMINGOS DE OLIVEIRA</t>
        </is>
      </c>
      <c r="E2970" s="14" t="inlineStr">
        <is>
          <t>DISTRITO CABECEIRA DA JIBÓIA</t>
        </is>
      </c>
      <c r="F2970" s="14" t="inlineStr">
        <is>
          <t>POVOADO FIGUEIRA - ZONA RURAL</t>
        </is>
      </c>
      <c r="G2970" s="27" t="inlineStr">
        <is>
          <t>45000-000</t>
        </is>
      </c>
      <c r="H2970" s="15" t="n">
        <v>6</v>
      </c>
      <c r="I2970" s="28" t="inlineStr">
        <is>
          <t>NÃO</t>
        </is>
      </c>
      <c r="J2970" s="29" t="n"/>
      <c r="K2970" s="14" t="str">
        <f>IF(J2970="","7. Acima de 2 km",IF(J2970&lt;=50,"1. Até 50 m",IF(J2970&lt;=100,"2. De 50 a 100 m",IF(J2970&lt;=200,"3. De 100 a 200 m",IF(J2970&lt;=300,"4. De 200 a 300 m",IF(J2970&lt;=500,"5. De 300 a 500 m","6. De 500 m a 2 km"))))))</f>
        <v>7. Acima de 2 km</v>
      </c>
      <c r="L2970" s="26" t="n">
        <v>0</v>
      </c>
      <c r="M2970" s="26" t="n">
        <v>0</v>
      </c>
      <c r="N2970" s="26" t="n">
        <v>0</v>
      </c>
      <c r="O2970" s="26" t="n">
        <v>0</v>
      </c>
      <c r="P2970" s="30" t="n">
        <v>-15.0863233</v>
      </c>
      <c r="Q2970" s="30" t="n">
        <v>-40.7764067</v>
      </c>
      <c r="R2970" s="14" t="inlineStr">
        <is>
          <t>FÓRUM ELEITORAL DE VITÓRIA DA CONQUISTA, AVENIDA OLÍVIA FLORES, S/N, BAIRRO CANDEIAS, VITÓRIA DA CONQUISTA/BA</t>
        </is>
      </c>
      <c r="S2970" s="26">
        <f>IF(A2970=A2969,0,1)</f>
        <v>0</v>
      </c>
      <c r="T2970" s="26">
        <f>IF(COUNTIF($B$4:B2970,B2970)=1,1,0)</f>
        <v>0</v>
      </c>
    </row>
    <row r="2971">
      <c r="A2971" s="14" t="inlineStr">
        <is>
          <t>VITÓRIA DA CONQUISTA</t>
        </is>
      </c>
      <c r="B2971" s="26" t="n">
        <v>40</v>
      </c>
      <c r="C2971" s="26" t="n">
        <v>3174</v>
      </c>
      <c r="D2971" s="14" t="inlineStr">
        <is>
          <t>ESCOLA MUNICIPAL LARANJEIRAS</t>
        </is>
      </c>
      <c r="E2971" s="14" t="inlineStr">
        <is>
          <t>DISTRITO PRADOSO</t>
        </is>
      </c>
      <c r="F2971" s="14" t="inlineStr">
        <is>
          <t>POVOADO LARANJEIRAS - ZONA RURAL</t>
        </is>
      </c>
      <c r="G2971" s="27" t="inlineStr">
        <is>
          <t>45105-000</t>
        </is>
      </c>
      <c r="H2971" s="15" t="n">
        <v>1</v>
      </c>
      <c r="I2971" s="28" t="inlineStr">
        <is>
          <t>NÃO</t>
        </is>
      </c>
      <c r="J2971" s="29" t="n"/>
      <c r="K2971" s="14" t="str">
        <f>IF(J2971="","7. Acima de 2 km",IF(J2971&lt;=50,"1. Até 50 m",IF(J2971&lt;=100,"2. De 50 a 100 m",IF(J2971&lt;=200,"3. De 100 a 200 m",IF(J2971&lt;=300,"4. De 200 a 300 m",IF(J2971&lt;=500,"5. De 300 a 500 m","6. De 500 m a 2 km"))))))</f>
        <v>7. Acima de 2 km</v>
      </c>
      <c r="L2971" s="26" t="n">
        <v>0</v>
      </c>
      <c r="M2971" s="26" t="n">
        <v>0</v>
      </c>
      <c r="N2971" s="26" t="n">
        <v>0</v>
      </c>
      <c r="O2971" s="26" t="n">
        <v>0</v>
      </c>
      <c r="P2971" s="30" t="n">
        <v>-14.860665</v>
      </c>
      <c r="Q2971" s="30" t="n">
        <v>-41.0226133</v>
      </c>
      <c r="R2971" s="14" t="inlineStr">
        <is>
          <t>FÓRUM ELEITORAL DE VITÓRIA DA CONQUISTA, AVENIDA OLÍVIA FLORES, S/N, BAIRRO CANDEIAS, VITÓRIA DA CONQUISTA/BA</t>
        </is>
      </c>
      <c r="S2971" s="26">
        <f>IF(A2971=A2970,0,1)</f>
        <v>0</v>
      </c>
      <c r="T2971" s="26">
        <f>IF(COUNTIF($B$4:B2971,B2971)=1,1,0)</f>
        <v>0</v>
      </c>
    </row>
    <row r="2972">
      <c r="A2972" s="14" t="inlineStr">
        <is>
          <t>VITÓRIA DA CONQUISTA</t>
        </is>
      </c>
      <c r="B2972" s="26" t="n">
        <v>40</v>
      </c>
      <c r="C2972" s="26" t="n">
        <v>3239</v>
      </c>
      <c r="D2972" s="14" t="inlineStr">
        <is>
          <t>ESCOLA MUNICIPAL LAUDIONOR BRASIL</t>
        </is>
      </c>
      <c r="E2972" s="14" t="inlineStr">
        <is>
          <t>DISTRITO JOSÉ GONÇALVES</t>
        </is>
      </c>
      <c r="F2972" s="14" t="inlineStr">
        <is>
          <t>POVOADO TIGRE - ZONA RURAL</t>
        </is>
      </c>
      <c r="G2972" s="27" t="inlineStr">
        <is>
          <t>45000-000</t>
        </is>
      </c>
      <c r="H2972" s="15" t="n">
        <v>2</v>
      </c>
      <c r="I2972" s="28" t="inlineStr">
        <is>
          <t>NÃO</t>
        </is>
      </c>
      <c r="J2972" s="29" t="n"/>
      <c r="K2972" s="14" t="str">
        <f>IF(J2972="","7. Acima de 2 km",IF(J2972&lt;=50,"1. Até 50 m",IF(J2972&lt;=100,"2. De 50 a 100 m",IF(J2972&lt;=200,"3. De 100 a 200 m",IF(J2972&lt;=300,"4. De 200 a 300 m",IF(J2972&lt;=500,"5. De 300 a 500 m","6. De 500 m a 2 km"))))))</f>
        <v>7. Acima de 2 km</v>
      </c>
      <c r="L2972" s="26" t="n">
        <v>0</v>
      </c>
      <c r="M2972" s="26" t="n">
        <v>0</v>
      </c>
      <c r="N2972" s="26" t="n">
        <v>0</v>
      </c>
      <c r="O2972" s="26" t="n">
        <v>0</v>
      </c>
      <c r="P2972" s="30" t="n">
        <v>-14.74352</v>
      </c>
      <c r="Q2972" s="30" t="n">
        <v>-40.8326133</v>
      </c>
      <c r="R2972" s="14" t="inlineStr">
        <is>
          <t>FÓRUM ELEITORAL DE VITÓRIA DA CONQUISTA, AVENIDA OLÍVIA FLORES, S/N, BAIRRO CANDEIAS, VITÓRIA DA CONQUISTA/BA</t>
        </is>
      </c>
      <c r="S2972" s="26">
        <f>IF(A2972=A2971,0,1)</f>
        <v>0</v>
      </c>
      <c r="T2972" s="26">
        <f>IF(COUNTIF($B$4:B2972,B2972)=1,1,0)</f>
        <v>0</v>
      </c>
    </row>
    <row r="2973">
      <c r="A2973" s="14" t="inlineStr">
        <is>
          <t>VITÓRIA DA CONQUISTA</t>
        </is>
      </c>
      <c r="B2973" s="26" t="n">
        <v>40</v>
      </c>
      <c r="C2973" s="26" t="n">
        <v>3271</v>
      </c>
      <c r="D2973" s="14" t="inlineStr">
        <is>
          <t>ESCOLA MUNICIPAL FÁBIO HENRIQUE</t>
        </is>
      </c>
      <c r="E2973" s="14" t="inlineStr">
        <is>
          <t>DISTRITO CERCADINHO</t>
        </is>
      </c>
      <c r="F2973" s="14" t="inlineStr">
        <is>
          <t>ASSENTAMENTO CALDEIRÃO - ZONA RURAL</t>
        </is>
      </c>
      <c r="G2973" s="27" t="inlineStr">
        <is>
          <t>45110-000</t>
        </is>
      </c>
      <c r="H2973" s="15" t="n">
        <v>2</v>
      </c>
      <c r="I2973" s="28" t="inlineStr">
        <is>
          <t>NÃO</t>
        </is>
      </c>
      <c r="J2973" s="29" t="n"/>
      <c r="K2973" s="14" t="str">
        <f>IF(J2973="","7. Acima de 2 km",IF(J2973&lt;=50,"1. Até 50 m",IF(J2973&lt;=100,"2. De 50 a 100 m",IF(J2973&lt;=200,"3. De 100 a 200 m",IF(J2973&lt;=300,"4. De 200 a 300 m",IF(J2973&lt;=500,"5. De 300 a 500 m","6. De 500 m a 2 km"))))))</f>
        <v>7. Acima de 2 km</v>
      </c>
      <c r="L2973" s="26" t="n">
        <v>0</v>
      </c>
      <c r="M2973" s="26" t="n">
        <v>0</v>
      </c>
      <c r="N2973" s="26" t="n">
        <v>0</v>
      </c>
      <c r="O2973" s="26" t="n">
        <v>0</v>
      </c>
      <c r="P2973" s="30" t="n">
        <v>-15.3289017</v>
      </c>
      <c r="Q2973" s="30" t="n">
        <v>-41.0200817</v>
      </c>
      <c r="R2973" s="14" t="inlineStr">
        <is>
          <t>FÓRUM ELEITORAL DE VITÓRIA DA CONQUISTA, AVENIDA OLÍVIA FLORES, S/N, BAIRRO CANDEIAS, VITÓRIA DA CONQUISTA/BA</t>
        </is>
      </c>
      <c r="S2973" s="26">
        <f>IF(A2973=A2972,0,1)</f>
        <v>0</v>
      </c>
      <c r="T2973" s="26">
        <f>IF(COUNTIF($B$4:B2973,B2973)=1,1,0)</f>
        <v>0</v>
      </c>
    </row>
    <row r="2974">
      <c r="A2974" s="14" t="inlineStr">
        <is>
          <t>VITÓRIA DA CONQUISTA</t>
        </is>
      </c>
      <c r="B2974" s="26" t="n">
        <v>40</v>
      </c>
      <c r="C2974" s="26" t="n">
        <v>3280</v>
      </c>
      <c r="D2974" s="14" t="inlineStr">
        <is>
          <t>ESCOLA MUNICIPAL SÃO MATHEUS</t>
        </is>
      </c>
      <c r="E2974" s="14" t="inlineStr">
        <is>
          <t>DISTRITO BATE-PÉ</t>
        </is>
      </c>
      <c r="F2974" s="14" t="inlineStr">
        <is>
          <t>POVOADO SÃO MATHEUS - ZONA RURAL</t>
        </is>
      </c>
      <c r="G2974" s="27" t="inlineStr">
        <is>
          <t>45000-000</t>
        </is>
      </c>
      <c r="H2974" s="15" t="n">
        <v>1</v>
      </c>
      <c r="I2974" s="28" t="inlineStr">
        <is>
          <t>NÃO</t>
        </is>
      </c>
      <c r="J2974" s="29" t="n"/>
      <c r="K2974" s="14" t="str">
        <f>IF(J2974="","7. Acima de 2 km",IF(J2974&lt;=50,"1. Até 50 m",IF(J2974&lt;=100,"2. De 50 a 100 m",IF(J2974&lt;=200,"3. De 100 a 200 m",IF(J2974&lt;=300,"4. De 200 a 300 m",IF(J2974&lt;=500,"5. De 300 a 500 m","6. De 500 m a 2 km"))))))</f>
        <v>7. Acima de 2 km</v>
      </c>
      <c r="L2974" s="26" t="n">
        <v>0</v>
      </c>
      <c r="M2974" s="26" t="n">
        <v>0</v>
      </c>
      <c r="N2974" s="26" t="n">
        <v>0</v>
      </c>
      <c r="O2974" s="26" t="n">
        <v>0</v>
      </c>
      <c r="P2974" s="30" t="n">
        <v>-14.9384717</v>
      </c>
      <c r="Q2974" s="30" t="n">
        <v>-41.0651383</v>
      </c>
      <c r="R2974" s="14" t="inlineStr">
        <is>
          <t>FÓRUM ELEITORAL DE VITÓRIA DA CONQUISTA, AVENIDA OLÍVIA FLORES, S/N, BAIRRO CANDEIAS, VITÓRIA DA CONQUISTA/BA</t>
        </is>
      </c>
      <c r="S2974" s="26">
        <f>IF(A2974=A2973,0,1)</f>
        <v>0</v>
      </c>
      <c r="T2974" s="26">
        <f>IF(COUNTIF($B$4:B2974,B2974)=1,1,0)</f>
        <v>0</v>
      </c>
    </row>
    <row r="2975">
      <c r="A2975" s="14" t="inlineStr">
        <is>
          <t>VITÓRIA DA CONQUISTA</t>
        </is>
      </c>
      <c r="B2975" s="26" t="n">
        <v>40</v>
      </c>
      <c r="C2975" s="26" t="n">
        <v>3298</v>
      </c>
      <c r="D2975" s="14" t="inlineStr">
        <is>
          <t>ESCOLA MUNICIPAL VENCESLAU RIBEIRO PRADO</t>
        </is>
      </c>
      <c r="E2975" s="14" t="inlineStr">
        <is>
          <t>DISTRITO PRADOSO</t>
        </is>
      </c>
      <c r="F2975" s="14" t="inlineStr">
        <is>
          <t>POVOADO CACHOEIRA DAS ARARAS - ZONA RURAL</t>
        </is>
      </c>
      <c r="G2975" s="27" t="inlineStr">
        <is>
          <t>45000-000</t>
        </is>
      </c>
      <c r="H2975" s="15" t="n">
        <v>2</v>
      </c>
      <c r="I2975" s="28" t="inlineStr">
        <is>
          <t>NÃO</t>
        </is>
      </c>
      <c r="J2975" s="29" t="n"/>
      <c r="K2975" s="14" t="str">
        <f>IF(J2975="","7. Acima de 2 km",IF(J2975&lt;=50,"1. Até 50 m",IF(J2975&lt;=100,"2. De 50 a 100 m",IF(J2975&lt;=200,"3. De 100 a 200 m",IF(J2975&lt;=300,"4. De 200 a 300 m",IF(J2975&lt;=500,"5. De 300 a 500 m","6. De 500 m a 2 km"))))))</f>
        <v>7. Acima de 2 km</v>
      </c>
      <c r="L2975" s="26" t="n">
        <v>0</v>
      </c>
      <c r="M2975" s="26" t="n">
        <v>0</v>
      </c>
      <c r="N2975" s="26" t="n">
        <v>0</v>
      </c>
      <c r="O2975" s="26" t="n">
        <v>0</v>
      </c>
      <c r="P2975" s="30" t="n">
        <v>-14.9002967</v>
      </c>
      <c r="Q2975" s="30" t="n">
        <v>-41.0255183</v>
      </c>
      <c r="R2975" s="14" t="inlineStr">
        <is>
          <t>FÓRUM ELEITORAL DE VITÓRIA DA CONQUISTA, AVENIDA OLÍVIA FLORES, S/N, BAIRRO CANDEIAS, VITÓRIA DA CONQUISTA/BA</t>
        </is>
      </c>
      <c r="S2975" s="26">
        <f>IF(A2975=A2974,0,1)</f>
        <v>0</v>
      </c>
      <c r="T2975" s="26">
        <f>IF(COUNTIF($B$4:B2975,B2975)=1,1,0)</f>
        <v>0</v>
      </c>
    </row>
    <row r="2976">
      <c r="A2976" s="14" t="inlineStr">
        <is>
          <t>VITÓRIA DA CONQUISTA</t>
        </is>
      </c>
      <c r="B2976" s="26" t="n">
        <v>40</v>
      </c>
      <c r="C2976" s="26" t="n">
        <v>3301</v>
      </c>
      <c r="D2976" s="14" t="inlineStr">
        <is>
          <t>ESCOLA MUNICIPAL OTAVIANO SALGADO</t>
        </is>
      </c>
      <c r="E2976" s="14" t="inlineStr">
        <is>
          <t>DISTRITO IGUÁ</t>
        </is>
      </c>
      <c r="F2976" s="14" t="inlineStr">
        <is>
          <t>POVOADO CAMPO FORMOSO - ZONA RURAL</t>
        </is>
      </c>
      <c r="G2976" s="27" t="inlineStr">
        <is>
          <t>45000-000</t>
        </is>
      </c>
      <c r="H2976" s="15" t="n">
        <v>1</v>
      </c>
      <c r="I2976" s="28" t="inlineStr">
        <is>
          <t>NÃO</t>
        </is>
      </c>
      <c r="J2976" s="29" t="n"/>
      <c r="K2976" s="14" t="str">
        <f>IF(J2976="","7. Acima de 2 km",IF(J2976&lt;=50,"1. Até 50 m",IF(J2976&lt;=100,"2. De 50 a 100 m",IF(J2976&lt;=200,"3. De 100 a 200 m",IF(J2976&lt;=300,"4. De 200 a 300 m",IF(J2976&lt;=500,"5. De 300 a 500 m","6. De 500 m a 2 km"))))))</f>
        <v>7. Acima de 2 km</v>
      </c>
      <c r="L2976" s="26" t="n">
        <v>0</v>
      </c>
      <c r="M2976" s="26" t="n">
        <v>0</v>
      </c>
      <c r="N2976" s="26" t="n">
        <v>0</v>
      </c>
      <c r="O2976" s="26" t="n">
        <v>0</v>
      </c>
      <c r="P2976" s="30" t="n">
        <v>-15.0134667</v>
      </c>
      <c r="Q2976" s="30" t="n">
        <v>-41.1000467</v>
      </c>
      <c r="R2976" s="14" t="inlineStr">
        <is>
          <t>FÓRUM ELEITORAL DE VITÓRIA DA CONQUISTA, AVENIDA OLÍVIA FLORES, S/N, BAIRRO CANDEIAS, VITÓRIA DA CONQUISTA/BA</t>
        </is>
      </c>
      <c r="S2976" s="26">
        <f>IF(A2976=A2975,0,1)</f>
        <v>0</v>
      </c>
      <c r="T2976" s="26">
        <f>IF(COUNTIF($B$4:B2976,B2976)=1,1,0)</f>
        <v>0</v>
      </c>
    </row>
    <row r="2977">
      <c r="A2977" s="14" t="inlineStr">
        <is>
          <t>VITÓRIA DA CONQUISTA</t>
        </is>
      </c>
      <c r="B2977" s="26" t="n">
        <v>40</v>
      </c>
      <c r="C2977" s="26" t="n">
        <v>3310</v>
      </c>
      <c r="D2977" s="14" t="inlineStr">
        <is>
          <t>ESCOLA MUNICIPAL MEDEIROS DE ALBUQUERQUE</t>
        </is>
      </c>
      <c r="E2977" s="14" t="inlineStr">
        <is>
          <t>DISTRITO IGUÁ</t>
        </is>
      </c>
      <c r="F2977" s="14" t="inlineStr">
        <is>
          <t>POVOADO PÉ DE GALINHA - ZONA RURAL</t>
        </is>
      </c>
      <c r="G2977" s="27" t="inlineStr">
        <is>
          <t>45000-000</t>
        </is>
      </c>
      <c r="H2977" s="15" t="n">
        <v>2</v>
      </c>
      <c r="I2977" s="28" t="inlineStr">
        <is>
          <t>NÃO</t>
        </is>
      </c>
      <c r="J2977" s="29" t="n">
        <v>766.1</v>
      </c>
      <c r="K2977" s="14" t="str">
        <f>IF(J2977="","7. Acima de 2 km",IF(J2977&lt;=50,"1. Até 50 m",IF(J2977&lt;=100,"2. De 50 a 100 m",IF(J2977&lt;=200,"3. De 100 a 200 m",IF(J2977&lt;=300,"4. De 200 a 300 m",IF(J2977&lt;=500,"5. De 300 a 500 m","6. De 500 m a 2 km"))))))</f>
        <v>6. De 500 m a 2 km</v>
      </c>
      <c r="L2977" s="26" t="n">
        <v>0</v>
      </c>
      <c r="M2977" s="26" t="n">
        <v>0</v>
      </c>
      <c r="N2977" s="26" t="n">
        <v>0</v>
      </c>
      <c r="O2977" s="26" t="n">
        <v>0</v>
      </c>
      <c r="P2977" s="30" t="n">
        <v>-14.9377428</v>
      </c>
      <c r="Q2977" s="30" t="n">
        <v>-40.8956453</v>
      </c>
      <c r="R2977" s="14" t="inlineStr">
        <is>
          <t>FÓRUM ELEITORAL DE VITÓRIA DA CONQUISTA, AVENIDA OLÍVIA FLORES, S/N, BAIRRO CANDEIAS, VITÓRIA DA CONQUISTA/BA</t>
        </is>
      </c>
      <c r="S2977" s="26">
        <f>IF(A2977=A2976,0,1)</f>
        <v>0</v>
      </c>
      <c r="T2977" s="26">
        <f>IF(COUNTIF($B$4:B2977,B2977)=1,1,0)</f>
        <v>0</v>
      </c>
    </row>
    <row r="2978">
      <c r="A2978" s="14" t="inlineStr">
        <is>
          <t>VITÓRIA DA CONQUISTA</t>
        </is>
      </c>
      <c r="B2978" s="26" t="n">
        <v>40</v>
      </c>
      <c r="C2978" s="26" t="n">
        <v>3328</v>
      </c>
      <c r="D2978" s="14" t="inlineStr">
        <is>
          <t>ESCOLA MUNICIPAL MANOEL MARTINS FERREIRA</t>
        </is>
      </c>
      <c r="E2978" s="14" t="inlineStr">
        <is>
          <t>DISTRITO INHOBIM</t>
        </is>
      </c>
      <c r="F2978" s="14" t="inlineStr">
        <is>
          <t>POVOADO ABELHAS - ZONA RURAL</t>
        </is>
      </c>
      <c r="G2978" s="27" t="inlineStr">
        <is>
          <t>45000-000</t>
        </is>
      </c>
      <c r="H2978" s="15" t="n">
        <v>2</v>
      </c>
      <c r="I2978" s="28" t="inlineStr">
        <is>
          <t>NÃO</t>
        </is>
      </c>
      <c r="J2978" s="29" t="n"/>
      <c r="K2978" s="14" t="str">
        <f>IF(J2978="","7. Acima de 2 km",IF(J2978&lt;=50,"1. Até 50 m",IF(J2978&lt;=100,"2. De 50 a 100 m",IF(J2978&lt;=200,"3. De 100 a 200 m",IF(J2978&lt;=300,"4. De 200 a 300 m",IF(J2978&lt;=500,"5. De 300 a 500 m","6. De 500 m a 2 km"))))))</f>
        <v>7. Acima de 2 km</v>
      </c>
      <c r="L2978" s="26" t="n">
        <v>0</v>
      </c>
      <c r="M2978" s="26" t="n">
        <v>0</v>
      </c>
      <c r="N2978" s="26" t="n">
        <v>0</v>
      </c>
      <c r="O2978" s="26" t="n">
        <v>0</v>
      </c>
      <c r="P2978" s="30" t="n">
        <v>-15.2409883</v>
      </c>
      <c r="Q2978" s="30" t="n">
        <v>-41.0038517</v>
      </c>
      <c r="R2978" s="14" t="inlineStr">
        <is>
          <t>FÓRUM ELEITORAL DE VITÓRIA DA CONQUISTA, AVENIDA OLÍVIA FLORES, S/N, BAIRRO CANDEIAS, VITÓRIA DA CONQUISTA/BA</t>
        </is>
      </c>
      <c r="S2978" s="26">
        <f>IF(A2978=A2977,0,1)</f>
        <v>0</v>
      </c>
      <c r="T2978" s="26">
        <f>IF(COUNTIF($B$4:B2978,B2978)=1,1,0)</f>
        <v>0</v>
      </c>
    </row>
    <row r="2979">
      <c r="A2979" s="14" t="inlineStr">
        <is>
          <t>VITÓRIA DA CONQUISTA</t>
        </is>
      </c>
      <c r="B2979" s="26" t="n">
        <v>40</v>
      </c>
      <c r="C2979" s="26" t="n">
        <v>3336</v>
      </c>
      <c r="D2979" s="14" t="inlineStr">
        <is>
          <t>ESCOLA MUNICIPAL ELZA MARIA DA CONCEIÇÃO BRITO</t>
        </is>
      </c>
      <c r="E2979" s="14" t="inlineStr">
        <is>
          <t>DISTRITO INHOBIM</t>
        </is>
      </c>
      <c r="F2979" s="14" t="inlineStr">
        <is>
          <t>POVOADO FAZENDA QUEIMADAS - ZONA RURAL</t>
        </is>
      </c>
      <c r="G2979" s="27" t="inlineStr">
        <is>
          <t>45000-000</t>
        </is>
      </c>
      <c r="H2979" s="15" t="n">
        <v>1</v>
      </c>
      <c r="I2979" s="28" t="inlineStr">
        <is>
          <t>NÃO</t>
        </is>
      </c>
      <c r="J2979" s="29" t="n"/>
      <c r="K2979" s="14" t="str">
        <f>IF(J2979="","7. Acima de 2 km",IF(J2979&lt;=50,"1. Até 50 m",IF(J2979&lt;=100,"2. De 50 a 100 m",IF(J2979&lt;=200,"3. De 100 a 200 m",IF(J2979&lt;=300,"4. De 200 a 300 m",IF(J2979&lt;=500,"5. De 300 a 500 m","6. De 500 m a 2 km"))))))</f>
        <v>7. Acima de 2 km</v>
      </c>
      <c r="L2979" s="26" t="n">
        <v>0</v>
      </c>
      <c r="M2979" s="26" t="n">
        <v>0</v>
      </c>
      <c r="N2979" s="26" t="n">
        <v>0</v>
      </c>
      <c r="O2979" s="26" t="n">
        <v>0</v>
      </c>
      <c r="P2979" s="30" t="n">
        <v>-15.25329</v>
      </c>
      <c r="Q2979" s="30" t="n">
        <v>-40.848895</v>
      </c>
      <c r="R2979" s="14" t="inlineStr">
        <is>
          <t>FÓRUM ELEITORAL DE VITÓRIA DA CONQUISTA, AVENIDA OLÍVIA FLORES, S/N, BAIRRO CANDEIAS, VITÓRIA DA CONQUISTA/BA</t>
        </is>
      </c>
      <c r="S2979" s="26">
        <f>IF(A2979=A2978,0,1)</f>
        <v>0</v>
      </c>
      <c r="T2979" s="26">
        <f>IF(COUNTIF($B$4:B2979,B2979)=1,1,0)</f>
        <v>0</v>
      </c>
    </row>
    <row r="2980">
      <c r="A2980" s="14" t="inlineStr">
        <is>
          <t>VITÓRIA DA CONQUISTA</t>
        </is>
      </c>
      <c r="B2980" s="26" t="n">
        <v>40</v>
      </c>
      <c r="C2980" s="26" t="n">
        <v>3344</v>
      </c>
      <c r="D2980" s="14" t="inlineStr">
        <is>
          <t>ESCOLA MUNICIPAL GENNY FERNANDES ROSA</t>
        </is>
      </c>
      <c r="E2980" s="14" t="inlineStr">
        <is>
          <t>DISTRITO INHOBIM</t>
        </is>
      </c>
      <c r="F2980" s="14" t="inlineStr">
        <is>
          <t>POVOADO SOSSEGO DE JOAQUIM VAQUEIRO - ZONA RURAL</t>
        </is>
      </c>
      <c r="G2980" s="27" t="inlineStr">
        <is>
          <t>45000-000</t>
        </is>
      </c>
      <c r="H2980" s="15" t="n">
        <v>1</v>
      </c>
      <c r="I2980" s="28" t="inlineStr">
        <is>
          <t>NÃO</t>
        </is>
      </c>
      <c r="J2980" s="29" t="n"/>
      <c r="K2980" s="14" t="str">
        <f>IF(J2980="","7. Acima de 2 km",IF(J2980&lt;=50,"1. Até 50 m",IF(J2980&lt;=100,"2. De 50 a 100 m",IF(J2980&lt;=200,"3. De 100 a 200 m",IF(J2980&lt;=300,"4. De 200 a 300 m",IF(J2980&lt;=500,"5. De 300 a 500 m","6. De 500 m a 2 km"))))))</f>
        <v>7. Acima de 2 km</v>
      </c>
      <c r="L2980" s="26" t="n">
        <v>0</v>
      </c>
      <c r="M2980" s="26" t="n">
        <v>0</v>
      </c>
      <c r="N2980" s="26" t="n">
        <v>0</v>
      </c>
      <c r="O2980" s="26" t="n">
        <v>0</v>
      </c>
      <c r="P2980" s="30" t="n">
        <v>-15.1608933</v>
      </c>
      <c r="Q2980" s="30" t="n">
        <v>-40.938185</v>
      </c>
      <c r="R2980" s="14" t="inlineStr">
        <is>
          <t>FÓRUM ELEITORAL DE VITÓRIA DA CONQUISTA, AVENIDA OLÍVIA FLORES, S/N, BAIRRO CANDEIAS, VITÓRIA DA CONQUISTA/BA</t>
        </is>
      </c>
      <c r="S2980" s="26">
        <f>IF(A2980=A2979,0,1)</f>
        <v>0</v>
      </c>
      <c r="T2980" s="26">
        <f>IF(COUNTIF($B$4:B2980,B2980)=1,1,0)</f>
        <v>0</v>
      </c>
    </row>
    <row r="2981">
      <c r="A2981" s="14" t="inlineStr">
        <is>
          <t>VITÓRIA DA CONQUISTA</t>
        </is>
      </c>
      <c r="B2981" s="26" t="n">
        <v>40</v>
      </c>
      <c r="C2981" s="26" t="n">
        <v>3352</v>
      </c>
      <c r="D2981" s="14" t="inlineStr">
        <is>
          <t>ESCOLA MUNICIPAL FAZENDA LIXA</t>
        </is>
      </c>
      <c r="E2981" s="14" t="inlineStr">
        <is>
          <t>DISTRITO INHOBIM</t>
        </is>
      </c>
      <c r="F2981" s="14" t="inlineStr">
        <is>
          <t>POVOADO FAZENDA LIXA - ZONA RURAL</t>
        </is>
      </c>
      <c r="G2981" s="27" t="inlineStr">
        <is>
          <t>45000-000</t>
        </is>
      </c>
      <c r="H2981" s="15" t="n">
        <v>1</v>
      </c>
      <c r="I2981" s="28" t="inlineStr">
        <is>
          <t>NÃO</t>
        </is>
      </c>
      <c r="J2981" s="29" t="n"/>
      <c r="K2981" s="14" t="str">
        <f>IF(J2981="","7. Acima de 2 km",IF(J2981&lt;=50,"1. Até 50 m",IF(J2981&lt;=100,"2. De 50 a 100 m",IF(J2981&lt;=200,"3. De 100 a 200 m",IF(J2981&lt;=300,"4. De 200 a 300 m",IF(J2981&lt;=500,"5. De 300 a 500 m","6. De 500 m a 2 km"))))))</f>
        <v>7. Acima de 2 km</v>
      </c>
      <c r="L2981" s="26" t="n">
        <v>0</v>
      </c>
      <c r="M2981" s="26" t="n">
        <v>0</v>
      </c>
      <c r="N2981" s="26" t="n">
        <v>0</v>
      </c>
      <c r="O2981" s="26" t="n">
        <v>0</v>
      </c>
      <c r="P2981" s="30" t="n">
        <v>-15.1689769</v>
      </c>
      <c r="Q2981" s="30" t="n">
        <v>-40.8267768</v>
      </c>
      <c r="R2981" s="14" t="inlineStr">
        <is>
          <t>FÓRUM ELEITORAL DE VITÓRIA DA CONQUISTA, AVENIDA OLÍVIA FLORES, S/N, BAIRRO CANDEIAS, VITÓRIA DA CONQUISTA/BA</t>
        </is>
      </c>
      <c r="S2981" s="26">
        <f>IF(A2981=A2980,0,1)</f>
        <v>0</v>
      </c>
      <c r="T2981" s="26">
        <f>IF(COUNTIF($B$4:B2981,B2981)=1,1,0)</f>
        <v>0</v>
      </c>
    </row>
    <row r="2982">
      <c r="A2982" s="14" t="inlineStr">
        <is>
          <t>VITÓRIA DA CONQUISTA</t>
        </is>
      </c>
      <c r="B2982" s="26" t="n">
        <v>40</v>
      </c>
      <c r="C2982" s="26" t="n">
        <v>3360</v>
      </c>
      <c r="D2982" s="14" t="inlineStr">
        <is>
          <t>ESCOLA MUNICIPAL PADRE LUIS SOARES PALMEIRA</t>
        </is>
      </c>
      <c r="E2982" s="14" t="inlineStr">
        <is>
          <t>DISTRITO SÃO JOÃO DA VITÓRIA</t>
        </is>
      </c>
      <c r="F2982" s="14" t="inlineStr">
        <is>
          <t>POVOADO CORTA LOTE - ZONA RURAL</t>
        </is>
      </c>
      <c r="G2982" s="27" t="inlineStr">
        <is>
          <t>45000-000</t>
        </is>
      </c>
      <c r="H2982" s="15" t="n">
        <v>1</v>
      </c>
      <c r="I2982" s="28" t="inlineStr">
        <is>
          <t>NÃO</t>
        </is>
      </c>
      <c r="J2982" s="29" t="n"/>
      <c r="K2982" s="14" t="str">
        <f>IF(J2982="","7. Acima de 2 km",IF(J2982&lt;=50,"1. Até 50 m",IF(J2982&lt;=100,"2. De 50 a 100 m",IF(J2982&lt;=200,"3. De 100 a 200 m",IF(J2982&lt;=300,"4. De 200 a 300 m",IF(J2982&lt;=500,"5. De 300 a 500 m","6. De 500 m a 2 km"))))))</f>
        <v>7. Acima de 2 km</v>
      </c>
      <c r="L2982" s="26" t="n">
        <v>0</v>
      </c>
      <c r="M2982" s="26" t="n">
        <v>0</v>
      </c>
      <c r="N2982" s="26" t="n">
        <v>0</v>
      </c>
      <c r="O2982" s="26" t="n">
        <v>0</v>
      </c>
      <c r="P2982" s="30" t="n">
        <v>-15.143365</v>
      </c>
      <c r="Q2982" s="30" t="n">
        <v>-41.0332483</v>
      </c>
      <c r="R2982" s="14" t="inlineStr">
        <is>
          <t>FÓRUM ELEITORAL DE VITÓRIA DA CONQUISTA, AVENIDA OLÍVIA FLORES, S/N, BAIRRO CANDEIAS, VITÓRIA DA CONQUISTA/BA</t>
        </is>
      </c>
      <c r="S2982" s="26">
        <f>IF(A2982=A2981,0,1)</f>
        <v>0</v>
      </c>
      <c r="T2982" s="26">
        <f>IF(COUNTIF($B$4:B2982,B2982)=1,1,0)</f>
        <v>0</v>
      </c>
    </row>
    <row r="2983">
      <c r="A2983" s="14" t="inlineStr">
        <is>
          <t>VITÓRIA DA CONQUISTA</t>
        </is>
      </c>
      <c r="B2983" s="26" t="n">
        <v>40</v>
      </c>
      <c r="C2983" s="26" t="n">
        <v>3387</v>
      </c>
      <c r="D2983" s="14" t="inlineStr">
        <is>
          <t>ESCOLA MUNICIPAL PADRE ISIDORO</t>
        </is>
      </c>
      <c r="E2983" s="14" t="inlineStr">
        <is>
          <t>DISTRITO SEDE</t>
        </is>
      </c>
      <c r="F2983" s="14" t="inlineStr">
        <is>
          <t>POVOADO ESTIVA - ZONA RURAL</t>
        </is>
      </c>
      <c r="G2983" s="27" t="inlineStr">
        <is>
          <t>45000-000</t>
        </is>
      </c>
      <c r="H2983" s="15" t="n">
        <v>3</v>
      </c>
      <c r="I2983" s="28" t="inlineStr">
        <is>
          <t>NÃO</t>
        </is>
      </c>
      <c r="J2983" s="29" t="n"/>
      <c r="K2983" s="14" t="str">
        <f>IF(J2983="","7. Acima de 2 km",IF(J2983&lt;=50,"1. Até 50 m",IF(J2983&lt;=100,"2. De 50 a 100 m",IF(J2983&lt;=200,"3. De 100 a 200 m",IF(J2983&lt;=300,"4. De 200 a 300 m",IF(J2983&lt;=500,"5. De 300 a 500 m","6. De 500 m a 2 km"))))))</f>
        <v>7. Acima de 2 km</v>
      </c>
      <c r="L2983" s="26" t="n">
        <v>0</v>
      </c>
      <c r="M2983" s="26" t="n">
        <v>0</v>
      </c>
      <c r="N2983" s="26" t="n">
        <v>0</v>
      </c>
      <c r="O2983" s="26" t="n">
        <v>0</v>
      </c>
      <c r="P2983" s="30" t="n">
        <v>-14.8762967</v>
      </c>
      <c r="Q2983" s="30" t="n">
        <v>-40.7488167</v>
      </c>
      <c r="R2983" s="14" t="inlineStr">
        <is>
          <t>FÓRUM ELEITORAL DE VITÓRIA DA CONQUISTA, AVENIDA OLÍVIA FLORES, S/N, BAIRRO CANDEIAS, VITÓRIA DA CONQUISTA/BA</t>
        </is>
      </c>
      <c r="S2983" s="26">
        <f>IF(A2983=A2982,0,1)</f>
        <v>0</v>
      </c>
      <c r="T2983" s="26">
        <f>IF(COUNTIF($B$4:B2983,B2983)=1,1,0)</f>
        <v>0</v>
      </c>
    </row>
    <row r="2984">
      <c r="A2984" s="14" t="inlineStr">
        <is>
          <t>VITÓRIA DA CONQUISTA</t>
        </is>
      </c>
      <c r="B2984" s="26" t="n">
        <v>40</v>
      </c>
      <c r="C2984" s="26" t="n">
        <v>3395</v>
      </c>
      <c r="D2984" s="14" t="inlineStr">
        <is>
          <t>ESCOLA MUNICIPAL EUNÁPIO MOREIRA DOS SANTOS</t>
        </is>
      </c>
      <c r="E2984" s="14" t="inlineStr">
        <is>
          <t>DISTRITO PRADOSO</t>
        </is>
      </c>
      <c r="F2984" s="14" t="inlineStr">
        <is>
          <t>POVOADO MAMÃO - ZONA RURAL</t>
        </is>
      </c>
      <c r="G2984" s="27" t="inlineStr">
        <is>
          <t>45000-000</t>
        </is>
      </c>
      <c r="H2984" s="15" t="n">
        <v>2</v>
      </c>
      <c r="I2984" s="28" t="inlineStr">
        <is>
          <t>NÃO</t>
        </is>
      </c>
      <c r="J2984" s="29" t="n"/>
      <c r="K2984" s="14" t="str">
        <f>IF(J2984="","7. Acima de 2 km",IF(J2984&lt;=50,"1. Até 50 m",IF(J2984&lt;=100,"2. De 50 a 100 m",IF(J2984&lt;=200,"3. De 100 a 200 m",IF(J2984&lt;=300,"4. De 200 a 300 m",IF(J2984&lt;=500,"5. De 300 a 500 m","6. De 500 m a 2 km"))))))</f>
        <v>7. Acima de 2 km</v>
      </c>
      <c r="L2984" s="26" t="n">
        <v>0</v>
      </c>
      <c r="M2984" s="26" t="n">
        <v>0</v>
      </c>
      <c r="N2984" s="26" t="n">
        <v>0</v>
      </c>
      <c r="O2984" s="26" t="n">
        <v>0</v>
      </c>
      <c r="P2984" s="30" t="n">
        <v>-14.871985</v>
      </c>
      <c r="Q2984" s="30" t="n">
        <v>-41.0460342</v>
      </c>
      <c r="R2984" s="14" t="inlineStr">
        <is>
          <t>FÓRUM ELEITORAL DE VITÓRIA DA CONQUISTA, AVENIDA OLÍVIA FLORES, S/N, BAIRRO CANDEIAS, VITÓRIA DA CONQUISTA/BA</t>
        </is>
      </c>
      <c r="S2984" s="26">
        <f>IF(A2984=A2983,0,1)</f>
        <v>0</v>
      </c>
      <c r="T2984" s="26">
        <f>IF(COUNTIF($B$4:B2984,B2984)=1,1,0)</f>
        <v>0</v>
      </c>
    </row>
    <row r="2985">
      <c r="A2985" s="14" t="inlineStr">
        <is>
          <t>VITÓRIA DA CONQUISTA</t>
        </is>
      </c>
      <c r="B2985" s="26" t="n">
        <v>40</v>
      </c>
      <c r="C2985" s="26" t="n">
        <v>3425</v>
      </c>
      <c r="D2985" s="14" t="inlineStr">
        <is>
          <t>ESCOLA MUNICIPAL SANTA RITA DE CÁSSIA</t>
        </is>
      </c>
      <c r="E2985" s="14" t="inlineStr">
        <is>
          <t>DISTRITO SEDE</t>
        </is>
      </c>
      <c r="F2985" s="14" t="inlineStr">
        <is>
          <t>POVOADO PERIPERI - ZONA RURAL</t>
        </is>
      </c>
      <c r="G2985" s="27" t="inlineStr">
        <is>
          <t>45000-000</t>
        </is>
      </c>
      <c r="H2985" s="15" t="n">
        <v>2</v>
      </c>
      <c r="I2985" s="28" t="inlineStr">
        <is>
          <t>NÃO</t>
        </is>
      </c>
      <c r="J2985" s="29" t="n"/>
      <c r="K2985" s="14" t="str">
        <f>IF(J2985="","7. Acima de 2 km",IF(J2985&lt;=50,"1. Até 50 m",IF(J2985&lt;=100,"2. De 50 a 100 m",IF(J2985&lt;=200,"3. De 100 a 200 m",IF(J2985&lt;=300,"4. De 200 a 300 m",IF(J2985&lt;=500,"5. De 300 a 500 m","6. De 500 m a 2 km"))))))</f>
        <v>7. Acima de 2 km</v>
      </c>
      <c r="L2985" s="26" t="n">
        <v>0</v>
      </c>
      <c r="M2985" s="26" t="n">
        <v>0</v>
      </c>
      <c r="N2985" s="26" t="n">
        <v>0</v>
      </c>
      <c r="O2985" s="26" t="n">
        <v>0</v>
      </c>
      <c r="P2985" s="30" t="n">
        <v>-14.8032458</v>
      </c>
      <c r="Q2985" s="30" t="n">
        <v>-40.8235261</v>
      </c>
      <c r="R2985" s="14" t="inlineStr">
        <is>
          <t>FÓRUM ELEITORAL DE VITÓRIA DA CONQUISTA, AVENIDA OLÍVIA FLORES, S/N, BAIRRO CANDEIAS, VITÓRIA DA CONQUISTA/BA</t>
        </is>
      </c>
      <c r="S2985" s="26">
        <f>IF(A2985=A2984,0,1)</f>
        <v>0</v>
      </c>
      <c r="T2985" s="26">
        <f>IF(COUNTIF($B$4:B2985,B2985)=1,1,0)</f>
        <v>0</v>
      </c>
    </row>
    <row r="2986">
      <c r="A2986" s="14" t="inlineStr">
        <is>
          <t>VITÓRIA DA CONQUISTA</t>
        </is>
      </c>
      <c r="B2986" s="26" t="n">
        <v>40</v>
      </c>
      <c r="C2986" s="26" t="n">
        <v>3433</v>
      </c>
      <c r="D2986" s="14" t="inlineStr">
        <is>
          <t>ESCOLA MUNICIPAL OVÍDIO SANTOS LEMOS</t>
        </is>
      </c>
      <c r="E2986" s="14" t="inlineStr">
        <is>
          <t>DISTRITO PRADOSO</t>
        </is>
      </c>
      <c r="F2986" s="14" t="inlineStr">
        <is>
          <t>POVOADO SÃO JOAQUIM DO SERTÃO - ZONA RURAL</t>
        </is>
      </c>
      <c r="G2986" s="27" t="inlineStr">
        <is>
          <t>45000-000</t>
        </is>
      </c>
      <c r="H2986" s="15" t="n">
        <v>2</v>
      </c>
      <c r="I2986" s="28" t="inlineStr">
        <is>
          <t>NÃO</t>
        </is>
      </c>
      <c r="J2986" s="29" t="n"/>
      <c r="K2986" s="14" t="str">
        <f>IF(J2986="","7. Acima de 2 km",IF(J2986&lt;=50,"1. Até 50 m",IF(J2986&lt;=100,"2. De 50 a 100 m",IF(J2986&lt;=200,"3. De 100 a 200 m",IF(J2986&lt;=300,"4. De 200 a 300 m",IF(J2986&lt;=500,"5. De 300 a 500 m","6. De 500 m a 2 km"))))))</f>
        <v>7. Acima de 2 km</v>
      </c>
      <c r="L2986" s="26" t="n">
        <v>0</v>
      </c>
      <c r="M2986" s="26" t="n">
        <v>0</v>
      </c>
      <c r="N2986" s="26" t="n">
        <v>0</v>
      </c>
      <c r="O2986" s="26" t="n">
        <v>0</v>
      </c>
      <c r="P2986" s="30" t="n">
        <v>-14.8494267</v>
      </c>
      <c r="Q2986" s="30" t="n">
        <v>-41.039185</v>
      </c>
      <c r="R2986" s="14" t="inlineStr">
        <is>
          <t>FÓRUM ELEITORAL DE VITÓRIA DA CONQUISTA, AVENIDA OLÍVIA FLORES, S/N, BAIRRO CANDEIAS, VITÓRIA DA CONQUISTA/BA</t>
        </is>
      </c>
      <c r="S2986" s="26">
        <f>IF(A2986=A2985,0,1)</f>
        <v>0</v>
      </c>
      <c r="T2986" s="26">
        <f>IF(COUNTIF($B$4:B2986,B2986)=1,1,0)</f>
        <v>0</v>
      </c>
    </row>
    <row r="2987">
      <c r="A2987" s="14" t="inlineStr">
        <is>
          <t>VITÓRIA DA CONQUISTA</t>
        </is>
      </c>
      <c r="B2987" s="26" t="n">
        <v>40</v>
      </c>
      <c r="C2987" s="26" t="n">
        <v>3441</v>
      </c>
      <c r="D2987" s="14" t="inlineStr">
        <is>
          <t>ESCOLA MUNICIPAL ORLANDO SPÍNOLA</t>
        </is>
      </c>
      <c r="E2987" s="14" t="inlineStr">
        <is>
          <t>DISTRITO SEDE</t>
        </is>
      </c>
      <c r="F2987" s="14" t="inlineStr">
        <is>
          <t>POVOADO BAIXÃO - ZONA RURAL</t>
        </is>
      </c>
      <c r="G2987" s="27" t="inlineStr">
        <is>
          <t>45000-000</t>
        </is>
      </c>
      <c r="H2987" s="15" t="n">
        <v>2</v>
      </c>
      <c r="I2987" s="28" t="inlineStr">
        <is>
          <t>NÃO</t>
        </is>
      </c>
      <c r="J2987" s="29" t="n"/>
      <c r="K2987" s="14" t="str">
        <f>IF(J2987="","7. Acima de 2 km",IF(J2987&lt;=50,"1. Até 50 m",IF(J2987&lt;=100,"2. De 50 a 100 m",IF(J2987&lt;=200,"3. De 100 a 200 m",IF(J2987&lt;=300,"4. De 200 a 300 m",IF(J2987&lt;=500,"5. De 300 a 500 m","6. De 500 m a 2 km"))))))</f>
        <v>7. Acima de 2 km</v>
      </c>
      <c r="L2987" s="26" t="n">
        <v>0</v>
      </c>
      <c r="M2987" s="26" t="n">
        <v>0</v>
      </c>
      <c r="N2987" s="26" t="n">
        <v>0</v>
      </c>
      <c r="O2987" s="26" t="n">
        <v>0</v>
      </c>
      <c r="P2987" s="30" t="n">
        <v>-14.8361267</v>
      </c>
      <c r="Q2987" s="30" t="n">
        <v>-40.9290867</v>
      </c>
      <c r="R2987" s="14" t="inlineStr">
        <is>
          <t>FÓRUM ELEITORAL DE VITÓRIA DA CONQUISTA, AVENIDA OLÍVIA FLORES, S/N, BAIRRO CANDEIAS, VITÓRIA DA CONQUISTA/BA</t>
        </is>
      </c>
      <c r="S2987" s="26">
        <f>IF(A2987=A2986,0,1)</f>
        <v>0</v>
      </c>
      <c r="T2987" s="26">
        <f>IF(COUNTIF($B$4:B2987,B2987)=1,1,0)</f>
        <v>0</v>
      </c>
    </row>
    <row r="2988">
      <c r="A2988" s="14" t="inlineStr">
        <is>
          <t>VITÓRIA DA CONQUISTA</t>
        </is>
      </c>
      <c r="B2988" s="26" t="n">
        <v>40</v>
      </c>
      <c r="C2988" s="26" t="n">
        <v>3450</v>
      </c>
      <c r="D2988" s="14" t="inlineStr">
        <is>
          <t>ESCOLA MUNICIPAL CASIMIRO DE ABREU</t>
        </is>
      </c>
      <c r="E2988" s="14" t="inlineStr">
        <is>
          <t>DISTRITO IGUÁ</t>
        </is>
      </c>
      <c r="F2988" s="14" t="inlineStr">
        <is>
          <t>POVOADO LAGOA DE JUAZEIRO - ZONA RURAL</t>
        </is>
      </c>
      <c r="G2988" s="27" t="inlineStr">
        <is>
          <t>45000-000</t>
        </is>
      </c>
      <c r="H2988" s="15" t="n">
        <v>1</v>
      </c>
      <c r="I2988" s="28" t="inlineStr">
        <is>
          <t>NÃO</t>
        </is>
      </c>
      <c r="J2988" s="29" t="n"/>
      <c r="K2988" s="14" t="str">
        <f>IF(J2988="","7. Acima de 2 km",IF(J2988&lt;=50,"1. Até 50 m",IF(J2988&lt;=100,"2. De 50 a 100 m",IF(J2988&lt;=200,"3. De 100 a 200 m",IF(J2988&lt;=300,"4. De 200 a 300 m",IF(J2988&lt;=500,"5. De 300 a 500 m","6. De 500 m a 2 km"))))))</f>
        <v>7. Acima de 2 km</v>
      </c>
      <c r="L2988" s="26" t="n">
        <v>0</v>
      </c>
      <c r="M2988" s="26" t="n">
        <v>0</v>
      </c>
      <c r="N2988" s="26" t="n">
        <v>0</v>
      </c>
      <c r="O2988" s="26" t="n">
        <v>0</v>
      </c>
      <c r="P2988" s="30" t="n">
        <v>-14.9963112</v>
      </c>
      <c r="Q2988" s="30" t="n">
        <v>-41.0027665</v>
      </c>
      <c r="R2988" s="14" t="inlineStr">
        <is>
          <t>FÓRUM ELEITORAL DE VITÓRIA DA CONQUISTA, AVENIDA OLÍVIA FLORES, S/N, BAIRRO CANDEIAS, VITÓRIA DA CONQUISTA/BA</t>
        </is>
      </c>
      <c r="S2988" s="26">
        <f>IF(A2988=A2987,0,1)</f>
        <v>0</v>
      </c>
      <c r="T2988" s="26">
        <f>IF(COUNTIF($B$4:B2988,B2988)=1,1,0)</f>
        <v>0</v>
      </c>
    </row>
    <row r="2989">
      <c r="A2989" s="14" t="inlineStr">
        <is>
          <t>VITÓRIA DA CONQUISTA</t>
        </is>
      </c>
      <c r="B2989" s="26" t="n">
        <v>40</v>
      </c>
      <c r="C2989" s="26" t="n">
        <v>3476</v>
      </c>
      <c r="D2989" s="14" t="inlineStr">
        <is>
          <t>ESCOLA MUNICIPAL SALVADOR GOMES DA SILVA</t>
        </is>
      </c>
      <c r="E2989" s="14" t="inlineStr">
        <is>
          <t>DISTRITO VEREDINHA</t>
        </is>
      </c>
      <c r="F2989" s="14" t="inlineStr">
        <is>
          <t>POVOADO POÇO VERDE - ZONA RURAL</t>
        </is>
      </c>
      <c r="G2989" s="27" t="inlineStr">
        <is>
          <t>45000-000</t>
        </is>
      </c>
      <c r="H2989" s="15" t="n">
        <v>2</v>
      </c>
      <c r="I2989" s="28" t="inlineStr">
        <is>
          <t>NÃO</t>
        </is>
      </c>
      <c r="J2989" s="29" t="n"/>
      <c r="K2989" s="14" t="str">
        <f>IF(J2989="","7. Acima de 2 km",IF(J2989&lt;=50,"1. Até 50 m",IF(J2989&lt;=100,"2. De 50 a 100 m",IF(J2989&lt;=200,"3. De 100 a 200 m",IF(J2989&lt;=300,"4. De 200 a 300 m",IF(J2989&lt;=500,"5. De 300 a 500 m","6. De 500 m a 2 km"))))))</f>
        <v>7. Acima de 2 km</v>
      </c>
      <c r="L2989" s="26" t="n">
        <v>0</v>
      </c>
      <c r="M2989" s="26" t="n">
        <v>0</v>
      </c>
      <c r="N2989" s="26" t="n">
        <v>0</v>
      </c>
      <c r="O2989" s="26" t="n">
        <v>0</v>
      </c>
      <c r="P2989" s="30" t="n">
        <v>-15.1536167</v>
      </c>
      <c r="Q2989" s="30" t="n">
        <v>-41.0172833</v>
      </c>
      <c r="R2989" s="14" t="inlineStr">
        <is>
          <t>FÓRUM ELEITORAL DE VITÓRIA DA CONQUISTA, AVENIDA OLÍVIA FLORES, S/N, BAIRRO CANDEIAS, VITÓRIA DA CONQUISTA/BA</t>
        </is>
      </c>
      <c r="S2989" s="26">
        <f>IF(A2989=A2988,0,1)</f>
        <v>0</v>
      </c>
      <c r="T2989" s="26">
        <f>IF(COUNTIF($B$4:B2989,B2989)=1,1,0)</f>
        <v>0</v>
      </c>
    </row>
    <row r="2990">
      <c r="A2990" s="14" t="inlineStr">
        <is>
          <t>VITÓRIA DA CONQUISTA</t>
        </is>
      </c>
      <c r="B2990" s="26" t="n">
        <v>40</v>
      </c>
      <c r="C2990" s="26" t="n">
        <v>3484</v>
      </c>
      <c r="D2990" s="14" t="inlineStr">
        <is>
          <t>ESCOLA MUNICIPAL ARTUR SALDANHA</t>
        </is>
      </c>
      <c r="E2990" s="14" t="inlineStr">
        <is>
          <t>DISTRITO SEDE</t>
        </is>
      </c>
      <c r="F2990" s="14" t="inlineStr">
        <is>
          <t>POVOADO DE VEREDA GRANDE - ZONA RURAL</t>
        </is>
      </c>
      <c r="G2990" s="27" t="inlineStr">
        <is>
          <t>45000-000</t>
        </is>
      </c>
      <c r="H2990" s="15" t="n">
        <v>1</v>
      </c>
      <c r="I2990" s="28" t="inlineStr">
        <is>
          <t>NÃO</t>
        </is>
      </c>
      <c r="J2990" s="29" t="n"/>
      <c r="K2990" s="14" t="str">
        <f>IF(J2990="","7. Acima de 2 km",IF(J2990&lt;=50,"1. Até 50 m",IF(J2990&lt;=100,"2. De 50 a 100 m",IF(J2990&lt;=200,"3. De 100 a 200 m",IF(J2990&lt;=300,"4. De 200 a 300 m",IF(J2990&lt;=500,"5. De 300 a 500 m","6. De 500 m a 2 km"))))))</f>
        <v>7. Acima de 2 km</v>
      </c>
      <c r="L2990" s="26" t="n">
        <v>0</v>
      </c>
      <c r="M2990" s="26" t="n">
        <v>0</v>
      </c>
      <c r="N2990" s="26" t="n">
        <v>0</v>
      </c>
      <c r="O2990" s="26" t="n">
        <v>0</v>
      </c>
      <c r="P2990" s="30" t="n">
        <v>-14.75825</v>
      </c>
      <c r="Q2990" s="30" t="n">
        <v>-40.809065</v>
      </c>
      <c r="R2990" s="14" t="inlineStr">
        <is>
          <t>FÓRUM ELEITORAL DE VITÓRIA DA CONQUISTA, AVENIDA OLÍVIA FLORES, S/N, BAIRRO CANDEIAS, VITÓRIA DA CONQUISTA/BA</t>
        </is>
      </c>
      <c r="S2990" s="26">
        <f>IF(A2990=A2989,0,1)</f>
        <v>0</v>
      </c>
      <c r="T2990" s="26">
        <f>IF(COUNTIF($B$4:B2990,B2990)=1,1,0)</f>
        <v>0</v>
      </c>
    </row>
    <row r="2991">
      <c r="A2991" s="14" t="inlineStr">
        <is>
          <t>VITÓRIA DA CONQUISTA</t>
        </is>
      </c>
      <c r="B2991" s="26" t="n">
        <v>40</v>
      </c>
      <c r="C2991" s="26" t="n">
        <v>3522</v>
      </c>
      <c r="D2991" s="14" t="inlineStr">
        <is>
          <t>ESCOLA MUNICIPAL DOM CLIMÉRIO DE ALMEIDA ANDRADE</t>
        </is>
      </c>
      <c r="E2991" s="14" t="inlineStr">
        <is>
          <t>DISTRITO SEDE</t>
        </is>
      </c>
      <c r="F2991" s="14" t="inlineStr">
        <is>
          <t>POVOADO SÃO JOAQUIM DE PAULO - ZONA RURAL</t>
        </is>
      </c>
      <c r="G2991" s="27" t="inlineStr">
        <is>
          <t>45000-000</t>
        </is>
      </c>
      <c r="H2991" s="15" t="n">
        <v>1</v>
      </c>
      <c r="I2991" s="28" t="inlineStr">
        <is>
          <t>NÃO</t>
        </is>
      </c>
      <c r="J2991" s="29" t="n"/>
      <c r="K2991" s="14" t="str">
        <f>IF(J2991="","7. Acima de 2 km",IF(J2991&lt;=50,"1. Até 50 m",IF(J2991&lt;=100,"2. De 50 a 100 m",IF(J2991&lt;=200,"3. De 100 a 200 m",IF(J2991&lt;=300,"4. De 200 a 300 m",IF(J2991&lt;=500,"5. De 300 a 500 m","6. De 500 m a 2 km"))))))</f>
        <v>7. Acima de 2 km</v>
      </c>
      <c r="L2991" s="26" t="n">
        <v>0</v>
      </c>
      <c r="M2991" s="26" t="n">
        <v>0</v>
      </c>
      <c r="N2991" s="26" t="n">
        <v>0</v>
      </c>
      <c r="O2991" s="26" t="n">
        <v>0</v>
      </c>
      <c r="P2991" s="30" t="n">
        <v>-15.0142867</v>
      </c>
      <c r="Q2991" s="30" t="n">
        <v>-40.8020483</v>
      </c>
      <c r="R2991" s="14" t="inlineStr">
        <is>
          <t>FÓRUM ELEITORAL DE VITÓRIA DA CONQUISTA, AVENIDA OLÍVIA FLORES, S/N, BAIRRO CANDEIAS, VITÓRIA DA CONQUISTA/BA</t>
        </is>
      </c>
      <c r="S2991" s="26">
        <f>IF(A2991=A2990,0,1)</f>
        <v>0</v>
      </c>
      <c r="T2991" s="26">
        <f>IF(COUNTIF($B$4:B2991,B2991)=1,1,0)</f>
        <v>0</v>
      </c>
    </row>
    <row r="2992">
      <c r="A2992" s="14" t="inlineStr">
        <is>
          <t>VITÓRIA DA CONQUISTA</t>
        </is>
      </c>
      <c r="B2992" s="26" t="n">
        <v>40</v>
      </c>
      <c r="C2992" s="26" t="n">
        <v>3530</v>
      </c>
      <c r="D2992" s="14" t="inlineStr">
        <is>
          <t>ESCOLA MUNICIPAL JOAQUIM VIANA ANDRADE</t>
        </is>
      </c>
      <c r="E2992" s="14" t="inlineStr">
        <is>
          <t>DISTRITO JOSÉ GONÇALVES</t>
        </is>
      </c>
      <c r="F2992" s="14" t="inlineStr">
        <is>
          <t>POVOADO LAGOA DA VISÃO (LAGOA DA PEDRA) - ZONA RURAL</t>
        </is>
      </c>
      <c r="G2992" s="27" t="inlineStr">
        <is>
          <t>45000-000</t>
        </is>
      </c>
      <c r="H2992" s="15" t="n">
        <v>1</v>
      </c>
      <c r="I2992" s="28" t="inlineStr">
        <is>
          <t>NÃO</t>
        </is>
      </c>
      <c r="J2992" s="29" t="n"/>
      <c r="K2992" s="14" t="str">
        <f>IF(J2992="","7. Acima de 2 km",IF(J2992&lt;=50,"1. Até 50 m",IF(J2992&lt;=100,"2. De 50 a 100 m",IF(J2992&lt;=200,"3. De 100 a 200 m",IF(J2992&lt;=300,"4. De 200 a 300 m",IF(J2992&lt;=500,"5. De 300 a 500 m","6. De 500 m a 2 km"))))))</f>
        <v>7. Acima de 2 km</v>
      </c>
      <c r="L2992" s="26" t="n">
        <v>0</v>
      </c>
      <c r="M2992" s="26" t="n">
        <v>0</v>
      </c>
      <c r="N2992" s="26" t="n">
        <v>0</v>
      </c>
      <c r="O2992" s="26" t="n">
        <v>0</v>
      </c>
      <c r="P2992" s="30" t="n">
        <v>-14.60077</v>
      </c>
      <c r="Q2992" s="30" t="n">
        <v>-40.75497</v>
      </c>
      <c r="R2992" s="14" t="inlineStr">
        <is>
          <t>FÓRUM ELEITORAL DE VITÓRIA DA CONQUISTA, AVENIDA OLÍVIA FLORES, S/N, BAIRRO CANDEIAS, VITÓRIA DA CONQUISTA/BA</t>
        </is>
      </c>
      <c r="S2992" s="26">
        <f>IF(A2992=A2991,0,1)</f>
        <v>0</v>
      </c>
      <c r="T2992" s="26">
        <f>IF(COUNTIF($B$4:B2992,B2992)=1,1,0)</f>
        <v>0</v>
      </c>
    </row>
    <row r="2993">
      <c r="A2993" s="14" t="inlineStr">
        <is>
          <t>VITÓRIA DA CONQUISTA</t>
        </is>
      </c>
      <c r="B2993" s="26" t="n">
        <v>40</v>
      </c>
      <c r="C2993" s="26" t="n">
        <v>3549</v>
      </c>
      <c r="D2993" s="14" t="inlineStr">
        <is>
          <t>ESCOLA MUNICIPAL LÍRIOS DOS VALES</t>
        </is>
      </c>
      <c r="E2993" s="14" t="inlineStr">
        <is>
          <t>DISTRITO JOSÉ GONÇALVES</t>
        </is>
      </c>
      <c r="F2993" s="14" t="inlineStr">
        <is>
          <t>POVOADO BOQUEIRÃO - ZONA RURAL</t>
        </is>
      </c>
      <c r="G2993" s="27" t="inlineStr">
        <is>
          <t>45000-000</t>
        </is>
      </c>
      <c r="H2993" s="15" t="n">
        <v>2</v>
      </c>
      <c r="I2993" s="28" t="inlineStr">
        <is>
          <t>NÃO</t>
        </is>
      </c>
      <c r="J2993" s="29" t="n"/>
      <c r="K2993" s="14" t="str">
        <f>IF(J2993="","7. Acima de 2 km",IF(J2993&lt;=50,"1. Até 50 m",IF(J2993&lt;=100,"2. De 50 a 100 m",IF(J2993&lt;=200,"3. De 100 a 200 m",IF(J2993&lt;=300,"4. De 200 a 300 m",IF(J2993&lt;=500,"5. De 300 a 500 m","6. De 500 m a 2 km"))))))</f>
        <v>7. Acima de 2 km</v>
      </c>
      <c r="L2993" s="26" t="n">
        <v>0</v>
      </c>
      <c r="M2993" s="26" t="n">
        <v>0</v>
      </c>
      <c r="N2993" s="26" t="n">
        <v>0</v>
      </c>
      <c r="O2993" s="26" t="n">
        <v>0</v>
      </c>
      <c r="P2993" s="30" t="n">
        <v>-14.6321959</v>
      </c>
      <c r="Q2993" s="30" t="n">
        <v>-40.7700752</v>
      </c>
      <c r="R2993" s="14" t="inlineStr">
        <is>
          <t>FÓRUM ELEITORAL DE VITÓRIA DA CONQUISTA, AVENIDA OLÍVIA FLORES, S/N, BAIRRO CANDEIAS, VITÓRIA DA CONQUISTA/BA</t>
        </is>
      </c>
      <c r="S2993" s="26">
        <f>IF(A2993=A2992,0,1)</f>
        <v>0</v>
      </c>
      <c r="T2993" s="26">
        <f>IF(COUNTIF($B$4:B2993,B2993)=1,1,0)</f>
        <v>0</v>
      </c>
    </row>
    <row r="2994">
      <c r="A2994" s="14" t="inlineStr">
        <is>
          <t>VITÓRIA DA CONQUISTA</t>
        </is>
      </c>
      <c r="B2994" s="26" t="n">
        <v>40</v>
      </c>
      <c r="C2994" s="26" t="n">
        <v>3557</v>
      </c>
      <c r="D2994" s="14" t="inlineStr">
        <is>
          <t>ESCOLA MUNICIPAL GOIABEIRA II</t>
        </is>
      </c>
      <c r="E2994" s="14" t="inlineStr">
        <is>
          <t>DISTRITO SEDE</t>
        </is>
      </c>
      <c r="F2994" s="14" t="inlineStr">
        <is>
          <t>POVOADO GOIABEIRA - ZONA RURAL</t>
        </is>
      </c>
      <c r="G2994" s="27" t="inlineStr">
        <is>
          <t>45000-000</t>
        </is>
      </c>
      <c r="H2994" s="15" t="n">
        <v>2</v>
      </c>
      <c r="I2994" s="28" t="inlineStr">
        <is>
          <t>NÃO</t>
        </is>
      </c>
      <c r="J2994" s="29" t="n"/>
      <c r="K2994" s="14" t="str">
        <f>IF(J2994="","7. Acima de 2 km",IF(J2994&lt;=50,"1. Até 50 m",IF(J2994&lt;=100,"2. De 50 a 100 m",IF(J2994&lt;=200,"3. De 100 a 200 m",IF(J2994&lt;=300,"4. De 200 a 300 m",IF(J2994&lt;=500,"5. De 300 a 500 m","6. De 500 m a 2 km"))))))</f>
        <v>7. Acima de 2 km</v>
      </c>
      <c r="L2994" s="26" t="n">
        <v>0</v>
      </c>
      <c r="M2994" s="26" t="n">
        <v>0</v>
      </c>
      <c r="N2994" s="26" t="n">
        <v>0</v>
      </c>
      <c r="O2994" s="26" t="n">
        <v>0</v>
      </c>
      <c r="P2994" s="30" t="n">
        <v>-14.9573517</v>
      </c>
      <c r="Q2994" s="30" t="n">
        <v>-40.7920383</v>
      </c>
      <c r="R2994" s="14" t="inlineStr">
        <is>
          <t>FÓRUM ELEITORAL DE VITÓRIA DA CONQUISTA, AVENIDA OLÍVIA FLORES, S/N, BAIRRO CANDEIAS, VITÓRIA DA CONQUISTA/BA</t>
        </is>
      </c>
      <c r="S2994" s="26">
        <f>IF(A2994=A2993,0,1)</f>
        <v>0</v>
      </c>
      <c r="T2994" s="26">
        <f>IF(COUNTIF($B$4:B2994,B2994)=1,1,0)</f>
        <v>0</v>
      </c>
    </row>
    <row r="2995">
      <c r="A2995" s="14" t="inlineStr">
        <is>
          <t>VITÓRIA DA CONQUISTA</t>
        </is>
      </c>
      <c r="B2995" s="26" t="n">
        <v>40</v>
      </c>
      <c r="C2995" s="26" t="n">
        <v>3565</v>
      </c>
      <c r="D2995" s="14" t="inlineStr">
        <is>
          <t>ESCOLA MUNICIPAL EUCLIDES DANTAS</t>
        </is>
      </c>
      <c r="E2995" s="14" t="inlineStr">
        <is>
          <t>DISTRITO BATE-PÉ</t>
        </is>
      </c>
      <c r="F2995" s="14" t="inlineStr">
        <is>
          <t>POVOADO OLHO D'ÁGUA DA SERRA (SALOBRO) - ZONA RURAL</t>
        </is>
      </c>
      <c r="G2995" s="27" t="inlineStr">
        <is>
          <t>45000-000</t>
        </is>
      </c>
      <c r="H2995" s="15" t="n">
        <v>2</v>
      </c>
      <c r="I2995" s="28" t="inlineStr">
        <is>
          <t>NÃO</t>
        </is>
      </c>
      <c r="J2995" s="29" t="n"/>
      <c r="K2995" s="14" t="str">
        <f>IF(J2995="","7. Acima de 2 km",IF(J2995&lt;=50,"1. Até 50 m",IF(J2995&lt;=100,"2. De 50 a 100 m",IF(J2995&lt;=200,"3. De 100 a 200 m",IF(J2995&lt;=300,"4. De 200 a 300 m",IF(J2995&lt;=500,"5. De 300 a 500 m","6. De 500 m a 2 km"))))))</f>
        <v>7. Acima de 2 km</v>
      </c>
      <c r="L2995" s="26" t="n">
        <v>0</v>
      </c>
      <c r="M2995" s="26" t="n">
        <v>0</v>
      </c>
      <c r="N2995" s="26" t="n">
        <v>0</v>
      </c>
      <c r="O2995" s="26" t="n">
        <v>0</v>
      </c>
      <c r="P2995" s="30" t="n">
        <v>-14.8480283</v>
      </c>
      <c r="Q2995" s="30" t="n">
        <v>-41.08153</v>
      </c>
      <c r="R2995" s="14" t="inlineStr">
        <is>
          <t>FÓRUM ELEITORAL DE VITÓRIA DA CONQUISTA, AVENIDA OLÍVIA FLORES, S/N, BAIRRO CANDEIAS, VITÓRIA DA CONQUISTA/BA</t>
        </is>
      </c>
      <c r="S2995" s="26">
        <f>IF(A2995=A2994,0,1)</f>
        <v>0</v>
      </c>
      <c r="T2995" s="26">
        <f>IF(COUNTIF($B$4:B2995,B2995)=1,1,0)</f>
        <v>0</v>
      </c>
    </row>
    <row r="2996">
      <c r="A2996" s="14" t="inlineStr">
        <is>
          <t>VITÓRIA DA CONQUISTA</t>
        </is>
      </c>
      <c r="B2996" s="26" t="n">
        <v>40</v>
      </c>
      <c r="C2996" s="26" t="n">
        <v>3573</v>
      </c>
      <c r="D2996" s="14" t="inlineStr">
        <is>
          <t>ESCOLA MUNICIPAL LAGOA DO ARROZ</t>
        </is>
      </c>
      <c r="E2996" s="14" t="inlineStr">
        <is>
          <t>DISTRITO SEDE</t>
        </is>
      </c>
      <c r="F2996" s="14" t="inlineStr">
        <is>
          <t>POVOADO LAGOA DO ARROZ - ZONA RURAL</t>
        </is>
      </c>
      <c r="G2996" s="27" t="inlineStr">
        <is>
          <t>45000-000</t>
        </is>
      </c>
      <c r="H2996" s="15" t="n">
        <v>1</v>
      </c>
      <c r="I2996" s="28" t="inlineStr">
        <is>
          <t>NÃO</t>
        </is>
      </c>
      <c r="J2996" s="29" t="n"/>
      <c r="K2996" s="14" t="str">
        <f>IF(J2996="","7. Acima de 2 km",IF(J2996&lt;=50,"1. Até 50 m",IF(J2996&lt;=100,"2. De 50 a 100 m",IF(J2996&lt;=200,"3. De 100 a 200 m",IF(J2996&lt;=300,"4. De 200 a 300 m",IF(J2996&lt;=500,"5. De 300 a 500 m","6. De 500 m a 2 km"))))))</f>
        <v>7. Acima de 2 km</v>
      </c>
      <c r="L2996" s="26" t="n">
        <v>0</v>
      </c>
      <c r="M2996" s="26" t="n">
        <v>0</v>
      </c>
      <c r="N2996" s="26" t="n">
        <v>0</v>
      </c>
      <c r="O2996" s="26" t="n">
        <v>0</v>
      </c>
      <c r="P2996" s="30" t="n">
        <v>-14.7689133</v>
      </c>
      <c r="Q2996" s="30" t="n">
        <v>-40.9127067</v>
      </c>
      <c r="R2996" s="14" t="inlineStr">
        <is>
          <t>FÓRUM ELEITORAL DE VITÓRIA DA CONQUISTA, AVENIDA OLÍVIA FLORES, S/N, BAIRRO CANDEIAS, VITÓRIA DA CONQUISTA/BA</t>
        </is>
      </c>
      <c r="S2996" s="26">
        <f>IF(A2996=A2995,0,1)</f>
        <v>0</v>
      </c>
      <c r="T2996" s="26">
        <f>IF(COUNTIF($B$4:B2996,B2996)=1,1,0)</f>
        <v>0</v>
      </c>
    </row>
    <row r="2997">
      <c r="A2997" s="14" t="inlineStr">
        <is>
          <t>VITÓRIA DA CONQUISTA</t>
        </is>
      </c>
      <c r="B2997" s="26" t="n">
        <v>40</v>
      </c>
      <c r="C2997" s="26" t="n">
        <v>3581</v>
      </c>
      <c r="D2997" s="14" t="inlineStr">
        <is>
          <t>ESCOLA MUNICIPAL ROBERTO KENNEDY</t>
        </is>
      </c>
      <c r="E2997" s="14" t="inlineStr">
        <is>
          <t>DISTRITO SEDE</t>
        </is>
      </c>
      <c r="F2997" s="14" t="inlineStr">
        <is>
          <t>POVOADO CHOÇA - ZONA RURAL</t>
        </is>
      </c>
      <c r="G2997" s="27" t="inlineStr">
        <is>
          <t>45000-000</t>
        </is>
      </c>
      <c r="H2997" s="15" t="n">
        <v>2</v>
      </c>
      <c r="I2997" s="28" t="inlineStr">
        <is>
          <t>NÃO</t>
        </is>
      </c>
      <c r="J2997" s="29" t="n"/>
      <c r="K2997" s="14" t="str">
        <f>IF(J2997="","7. Acima de 2 km",IF(J2997&lt;=50,"1. Até 50 m",IF(J2997&lt;=100,"2. De 50 a 100 m",IF(J2997&lt;=200,"3. De 100 a 200 m",IF(J2997&lt;=300,"4. De 200 a 300 m",IF(J2997&lt;=500,"5. De 300 a 500 m","6. De 500 m a 2 km"))))))</f>
        <v>7. Acima de 2 km</v>
      </c>
      <c r="L2997" s="26" t="n">
        <v>0</v>
      </c>
      <c r="M2997" s="26" t="n">
        <v>0</v>
      </c>
      <c r="N2997" s="26" t="n">
        <v>0</v>
      </c>
      <c r="O2997" s="26" t="n">
        <v>0</v>
      </c>
      <c r="P2997" s="30" t="n">
        <v>-14.8236117</v>
      </c>
      <c r="Q2997" s="30" t="n">
        <v>-40.7622817</v>
      </c>
      <c r="R2997" s="14" t="inlineStr">
        <is>
          <t>FÓRUM ELEITORAL DE VITÓRIA DA CONQUISTA, AVENIDA OLÍVIA FLORES, S/N, BAIRRO CANDEIAS, VITÓRIA DA CONQUISTA/BA</t>
        </is>
      </c>
      <c r="S2997" s="26">
        <f>IF(A2997=A2996,0,1)</f>
        <v>0</v>
      </c>
      <c r="T2997" s="26">
        <f>IF(COUNTIF($B$4:B2997,B2997)=1,1,0)</f>
        <v>0</v>
      </c>
    </row>
    <row r="2998">
      <c r="A2998" s="14" t="inlineStr">
        <is>
          <t>VITÓRIA DA CONQUISTA</t>
        </is>
      </c>
      <c r="B2998" s="26" t="n">
        <v>40</v>
      </c>
      <c r="C2998" s="26" t="n">
        <v>3590</v>
      </c>
      <c r="D2998" s="14" t="inlineStr">
        <is>
          <t>PRISIONAL - CONJUNTO PENAL DE VITÓRIA DA CONQUISTA</t>
        </is>
      </c>
      <c r="E2998" s="14" t="inlineStr">
        <is>
          <t>POVOADO SAQUINHO</t>
        </is>
      </c>
      <c r="F2998" s="14" t="inlineStr">
        <is>
          <t>RODOVIA BA-265 - ZONA RURAL</t>
        </is>
      </c>
      <c r="G2998" s="27" t="inlineStr">
        <is>
          <t>45100-000</t>
        </is>
      </c>
      <c r="H2998" s="15" t="n">
        <v>1</v>
      </c>
      <c r="I2998" s="28" t="inlineStr">
        <is>
          <t>NÃO</t>
        </is>
      </c>
      <c r="J2998" s="29" t="n"/>
      <c r="K2998" s="14" t="str">
        <f>IF(J2998="","7. Acima de 2 km",IF(J2998&lt;=50,"1. Até 50 m",IF(J2998&lt;=100,"2. De 50 a 100 m",IF(J2998&lt;=200,"3. De 100 a 200 m",IF(J2998&lt;=300,"4. De 200 a 300 m",IF(J2998&lt;=500,"5. De 300 a 500 m","6. De 500 m a 2 km"))))))</f>
        <v>7. Acima de 2 km</v>
      </c>
      <c r="L2998" s="26" t="n">
        <v>0</v>
      </c>
      <c r="M2998" s="26" t="n">
        <v>0</v>
      </c>
      <c r="N2998" s="26" t="n">
        <v>0</v>
      </c>
      <c r="O2998" s="26" t="n">
        <v>0</v>
      </c>
      <c r="P2998" s="30" t="n">
        <v>-14.86031</v>
      </c>
      <c r="Q2998" s="30" t="n">
        <v>-40.72674</v>
      </c>
      <c r="R2998" s="14" t="inlineStr">
        <is>
          <t>FÓRUM ELEITORAL DE VITÓRIA DA CONQUISTA, AVENIDA OLÍVIA FLORES, S/N, BAIRRO CANDEIAS, VITÓRIA DA CONQUISTA/BA</t>
        </is>
      </c>
      <c r="S2998" s="26">
        <f>IF(A2998=A2997,0,1)</f>
        <v>0</v>
      </c>
      <c r="T2998" s="26">
        <f>IF(COUNTIF($B$4:B2998,B2998)=1,1,0)</f>
        <v>0</v>
      </c>
    </row>
    <row r="2999">
      <c r="A2999" s="14" t="inlineStr">
        <is>
          <t>VITÓRIA DA CONQUISTA</t>
        </is>
      </c>
      <c r="B2999" s="26" t="n">
        <v>41</v>
      </c>
      <c r="C2999" s="26" t="n">
        <v>1015</v>
      </c>
      <c r="D2999" s="14" t="inlineStr">
        <is>
          <t>ESCOLA MUNICIPAL LYCIA PEDRAL</t>
        </is>
      </c>
      <c r="E2999" s="14" t="inlineStr">
        <is>
          <t>ALTO MARON</t>
        </is>
      </c>
      <c r="F2999" s="14" t="inlineStr">
        <is>
          <t>AVENIDA ROSA CRUZ, S/N, ALTO MARON - ZONA URBANA</t>
        </is>
      </c>
      <c r="G2999" s="27" t="inlineStr">
        <is>
          <t>45005-362</t>
        </is>
      </c>
      <c r="H2999" s="15" t="n">
        <v>15</v>
      </c>
      <c r="I2999" s="28" t="inlineStr">
        <is>
          <t>SIM</t>
        </is>
      </c>
      <c r="J2999" s="29" t="n">
        <v>44.5</v>
      </c>
      <c r="K2999" s="14" t="str">
        <f>IF(J2999="","7. Acima de 2 km",IF(J2999&lt;=50,"1. Até 50 m",IF(J2999&lt;=100,"2. De 50 a 100 m",IF(J2999&lt;=200,"3. De 100 a 200 m",IF(J2999&lt;=300,"4. De 200 a 300 m",IF(J2999&lt;=500,"5. De 300 a 500 m","6. De 500 m a 2 km"))))))</f>
        <v>1. Até 50 m</v>
      </c>
      <c r="L2999" s="26" t="n">
        <v>1</v>
      </c>
      <c r="M2999" s="26" t="n">
        <v>1</v>
      </c>
      <c r="N2999" s="26" t="n">
        <v>1</v>
      </c>
      <c r="O2999" s="26" t="n">
        <v>1</v>
      </c>
      <c r="P2999" s="30" t="n">
        <v>-14.8483252</v>
      </c>
      <c r="Q2999" s="30" t="n">
        <v>-40.8246164</v>
      </c>
      <c r="R2999" s="14" t="inlineStr">
        <is>
          <t>FÓRUM ELEITORAL DE VITÓRIA DA CONQUISTA, AVENIDA OLÍVIA FLORES, S/N, BAIRRO CANDEIAS, VITÓRIA DA CONQUISTA/BA</t>
        </is>
      </c>
      <c r="S2999" s="26">
        <f>IF(A2999=A2998,0,1)</f>
        <v>0</v>
      </c>
      <c r="T2999" s="26">
        <f>IF(COUNTIF($B$4:B2999,B2999)=1,1,0)</f>
        <v>1</v>
      </c>
    </row>
    <row r="3000">
      <c r="A3000" s="14" t="inlineStr">
        <is>
          <t>VITÓRIA DA CONQUISTA</t>
        </is>
      </c>
      <c r="B3000" s="26" t="n">
        <v>41</v>
      </c>
      <c r="C3000" s="26" t="n">
        <v>1040</v>
      </c>
      <c r="D3000" s="14" t="inlineStr">
        <is>
          <t>ESCOLA MUNICIPAL CARLOS SANTANA</t>
        </is>
      </c>
      <c r="E3000" s="14" t="inlineStr">
        <is>
          <t>CANDEIAS</t>
        </is>
      </c>
      <c r="F3000" s="14" t="inlineStr">
        <is>
          <t>CAMINHO C, URBIS I, CANDEIAS - ZONA URBANA</t>
        </is>
      </c>
      <c r="G3000" s="27" t="inlineStr">
        <is>
          <t>45028-220</t>
        </is>
      </c>
      <c r="H3000" s="15" t="n">
        <v>7</v>
      </c>
      <c r="I3000" s="28" t="inlineStr">
        <is>
          <t>NÃO</t>
        </is>
      </c>
      <c r="J3000" s="29" t="n">
        <v>149.5</v>
      </c>
      <c r="K3000" s="14" t="str">
        <f>IF(J3000="","7. Acima de 2 km",IF(J3000&lt;=50,"1. Até 50 m",IF(J3000&lt;=100,"2. De 50 a 100 m",IF(J3000&lt;=200,"3. De 100 a 200 m",IF(J3000&lt;=300,"4. De 200 a 300 m",IF(J3000&lt;=500,"5. De 300 a 500 m","6. De 500 m a 2 km"))))))</f>
        <v>3. De 100 a 200 m</v>
      </c>
      <c r="L3000" s="26" t="n">
        <v>0</v>
      </c>
      <c r="M3000" s="26" t="n">
        <v>0</v>
      </c>
      <c r="N3000" s="26" t="n">
        <v>1</v>
      </c>
      <c r="O3000" s="26" t="n">
        <v>1</v>
      </c>
      <c r="P3000" s="30" t="n">
        <v>-14.8562694</v>
      </c>
      <c r="Q3000" s="30" t="n">
        <v>-40.8196401</v>
      </c>
      <c r="R3000" s="14" t="inlineStr">
        <is>
          <t>FÓRUM ELEITORAL DE VITÓRIA DA CONQUISTA, AVENIDA OLÍVIA FLORES, S/N, BAIRRO CANDEIAS, VITÓRIA DA CONQUISTA/BA</t>
        </is>
      </c>
      <c r="S3000" s="26">
        <f>IF(A3000=A2999,0,1)</f>
        <v>0</v>
      </c>
      <c r="T3000" s="26">
        <f>IF(COUNTIF($B$4:B3000,B3000)=1,1,0)</f>
        <v>0</v>
      </c>
    </row>
    <row r="3001">
      <c r="A3001" s="14" t="inlineStr">
        <is>
          <t>VITÓRIA DA CONQUISTA</t>
        </is>
      </c>
      <c r="B3001" s="26" t="n">
        <v>41</v>
      </c>
      <c r="C3001" s="26" t="n">
        <v>1147</v>
      </c>
      <c r="D3001" s="14" t="inlineStr">
        <is>
          <t>PASTORAL DO MENOR DA PARÓQUIA NOSSA SENHORA DAS GRAÇAS</t>
        </is>
      </c>
      <c r="E3001" s="14" t="inlineStr">
        <is>
          <t>CRUZEIRO</t>
        </is>
      </c>
      <c r="F3001" s="14" t="inlineStr">
        <is>
          <t>RUA E, Nº 55, LOTEAMENTO PADRE PALMEIRA, CRUZEIRO - ZONA URBANA</t>
        </is>
      </c>
      <c r="G3001" s="27" t="inlineStr">
        <is>
          <t>45003-030</t>
        </is>
      </c>
      <c r="H3001" s="15" t="n">
        <v>8</v>
      </c>
      <c r="I3001" s="28" t="inlineStr">
        <is>
          <t>NÃO</t>
        </is>
      </c>
      <c r="J3001" s="29" t="n">
        <v>200.8</v>
      </c>
      <c r="K3001" s="14" t="str">
        <f>IF(J3001="","7. Acima de 2 km",IF(J3001&lt;=50,"1. Até 50 m",IF(J3001&lt;=100,"2. De 50 a 100 m",IF(J3001&lt;=200,"3. De 100 a 200 m",IF(J3001&lt;=300,"4. De 200 a 300 m",IF(J3001&lt;=500,"5. De 300 a 500 m","6. De 500 m a 2 km"))))))</f>
        <v>4. De 200 a 300 m</v>
      </c>
      <c r="L3001" s="26" t="n">
        <v>0</v>
      </c>
      <c r="M3001" s="26" t="n">
        <v>0</v>
      </c>
      <c r="N3001" s="26" t="n">
        <v>0</v>
      </c>
      <c r="O3001" s="26" t="n">
        <v>3</v>
      </c>
      <c r="P3001" s="30" t="n">
        <v>-14.8443964</v>
      </c>
      <c r="Q3001" s="30" t="n">
        <v>-40.8378511</v>
      </c>
      <c r="R3001" s="14" t="inlineStr">
        <is>
          <t>FÓRUM ELEITORAL DE VITÓRIA DA CONQUISTA, AVENIDA OLÍVIA FLORES, S/N, BAIRRO CANDEIAS, VITÓRIA DA CONQUISTA/BA</t>
        </is>
      </c>
      <c r="S3001" s="26">
        <f>IF(A3001=A3000,0,1)</f>
        <v>0</v>
      </c>
      <c r="T3001" s="26">
        <f>IF(COUNTIF($B$4:B3001,B3001)=1,1,0)</f>
        <v>0</v>
      </c>
    </row>
    <row r="3002">
      <c r="A3002" s="14" t="inlineStr">
        <is>
          <t>VITÓRIA DA CONQUISTA</t>
        </is>
      </c>
      <c r="B3002" s="26" t="n">
        <v>41</v>
      </c>
      <c r="C3002" s="26" t="n">
        <v>1155</v>
      </c>
      <c r="D3002" s="14" t="inlineStr">
        <is>
          <t>CENTRO MUNICIPAL DE EDUCAÇÃO INFANTIL TIA ZAZA</t>
        </is>
      </c>
      <c r="E3002" s="14" t="inlineStr">
        <is>
          <t>PEDRINHAS</t>
        </is>
      </c>
      <c r="F3002" s="14" t="inlineStr">
        <is>
          <t>RUA DA CORRENTE, S/N, CRUZEIRO - ZONA URBANA</t>
        </is>
      </c>
      <c r="G3002" s="27" t="inlineStr">
        <is>
          <t>45003-250</t>
        </is>
      </c>
      <c r="H3002" s="15" t="n">
        <v>5</v>
      </c>
      <c r="I3002" s="28" t="inlineStr">
        <is>
          <t>NÃO</t>
        </is>
      </c>
      <c r="J3002" s="29" t="n">
        <v>195.5</v>
      </c>
      <c r="K3002" s="14" t="str">
        <f>IF(J3002="","7. Acima de 2 km",IF(J3002&lt;=50,"1. Até 50 m",IF(J3002&lt;=100,"2. De 50 a 100 m",IF(J3002&lt;=200,"3. De 100 a 200 m",IF(J3002&lt;=300,"4. De 200 a 300 m",IF(J3002&lt;=500,"5. De 300 a 500 m","6. De 500 m a 2 km"))))))</f>
        <v>3. De 100 a 200 m</v>
      </c>
      <c r="L3002" s="26" t="n">
        <v>0</v>
      </c>
      <c r="M3002" s="26" t="n">
        <v>0</v>
      </c>
      <c r="N3002" s="26" t="n">
        <v>1</v>
      </c>
      <c r="O3002" s="26" t="n">
        <v>1</v>
      </c>
      <c r="P3002" s="30" t="n">
        <v>-14.8454483</v>
      </c>
      <c r="Q3002" s="30" t="n">
        <v>-40.8346125</v>
      </c>
      <c r="R3002" s="14" t="inlineStr">
        <is>
          <t>FÓRUM ELEITORAL DE VITÓRIA DA CONQUISTA, AVENIDA OLÍVIA FLORES, S/N, BAIRRO CANDEIAS, VITÓRIA DA CONQUISTA/BA</t>
        </is>
      </c>
      <c r="S3002" s="26">
        <f>IF(A3002=A3001,0,1)</f>
        <v>0</v>
      </c>
      <c r="T3002" s="26">
        <f>IF(COUNTIF($B$4:B3002,B3002)=1,1,0)</f>
        <v>0</v>
      </c>
    </row>
    <row r="3003">
      <c r="A3003" s="14" t="inlineStr">
        <is>
          <t>VITÓRIA DA CONQUISTA</t>
        </is>
      </c>
      <c r="B3003" s="26" t="n">
        <v>41</v>
      </c>
      <c r="C3003" s="26" t="n">
        <v>1198</v>
      </c>
      <c r="D3003" s="14" t="inlineStr">
        <is>
          <t>ESCOLA MUNDO SANTA ROSA</t>
        </is>
      </c>
      <c r="E3003" s="14" t="inlineStr">
        <is>
          <t>CENTRO</t>
        </is>
      </c>
      <c r="F3003" s="14" t="inlineStr">
        <is>
          <t>RUA JOÃO PESSOA, N. 137 - CENTRO</t>
        </is>
      </c>
      <c r="G3003" s="27" t="inlineStr">
        <is>
          <t>45000-460</t>
        </is>
      </c>
      <c r="H3003" s="15" t="n">
        <v>5</v>
      </c>
      <c r="I3003" s="28" t="inlineStr">
        <is>
          <t>NÃO</t>
        </is>
      </c>
      <c r="J3003" s="29" t="n">
        <v>209.7</v>
      </c>
      <c r="K3003" s="14" t="str">
        <f>IF(J3003="","7. Acima de 2 km",IF(J3003&lt;=50,"1. Até 50 m",IF(J3003&lt;=100,"2. De 50 a 100 m",IF(J3003&lt;=200,"3. De 100 a 200 m",IF(J3003&lt;=300,"4. De 200 a 300 m",IF(J3003&lt;=500,"5. De 300 a 500 m","6. De 500 m a 2 km"))))))</f>
        <v>4. De 200 a 300 m</v>
      </c>
      <c r="L3003" s="26" t="n">
        <v>0</v>
      </c>
      <c r="M3003" s="26" t="n">
        <v>0</v>
      </c>
      <c r="N3003" s="26" t="n">
        <v>0</v>
      </c>
      <c r="O3003" s="26" t="n">
        <v>5</v>
      </c>
      <c r="P3003" s="30" t="n">
        <v>-14.852861</v>
      </c>
      <c r="Q3003" s="30" t="n">
        <v>-40.8363552</v>
      </c>
      <c r="R3003" s="14" t="inlineStr">
        <is>
          <t>FÓRUM ELEITORAL DE VITÓRIA DA CONQUISTA, AVENIDA OLÍVIA FLORES, S/N, BAIRRO CANDEIAS, VITÓRIA DA CONQUISTA/BA</t>
        </is>
      </c>
      <c r="S3003" s="26">
        <f>IF(A3003=A3002,0,1)</f>
        <v>0</v>
      </c>
      <c r="T3003" s="26">
        <f>IF(COUNTIF($B$4:B3003,B3003)=1,1,0)</f>
        <v>0</v>
      </c>
    </row>
    <row r="3004">
      <c r="A3004" s="14" t="inlineStr">
        <is>
          <t>VITÓRIA DA CONQUISTA</t>
        </is>
      </c>
      <c r="B3004" s="26" t="n">
        <v>41</v>
      </c>
      <c r="C3004" s="26" t="n">
        <v>1201</v>
      </c>
      <c r="D3004" s="14" t="inlineStr">
        <is>
          <t>PREFEITURA MUNICIPAL DE VITÓRIA DA CONQUISTA</t>
        </is>
      </c>
      <c r="E3004" s="14" t="inlineStr">
        <is>
          <t>CENTRO</t>
        </is>
      </c>
      <c r="F3004" s="14" t="inlineStr">
        <is>
          <t>PRAÇA JOAQUIM CORREIA, Nº 55, CENTRO - ZONA URBANA</t>
        </is>
      </c>
      <c r="G3004" s="27" t="inlineStr">
        <is>
          <t>45000-600</t>
        </is>
      </c>
      <c r="H3004" s="15" t="n">
        <v>12</v>
      </c>
      <c r="I3004" s="28" t="inlineStr">
        <is>
          <t>SIM</t>
        </is>
      </c>
      <c r="J3004" s="29" t="n">
        <v>13.9</v>
      </c>
      <c r="K3004" s="14" t="str">
        <f>IF(J3004="","7. Acima de 2 km",IF(J3004&lt;=50,"1. Até 50 m",IF(J3004&lt;=100,"2. De 50 a 100 m",IF(J3004&lt;=200,"3. De 100 a 200 m",IF(J3004&lt;=300,"4. De 200 a 300 m",IF(J3004&lt;=500,"5. De 300 a 500 m","6. De 500 m a 2 km"))))))</f>
        <v>1. Até 50 m</v>
      </c>
      <c r="L3004" s="26" t="n">
        <v>1</v>
      </c>
      <c r="M3004" s="26" t="n">
        <v>3</v>
      </c>
      <c r="N3004" s="26" t="n">
        <v>3</v>
      </c>
      <c r="O3004" s="26" t="n">
        <v>7</v>
      </c>
      <c r="P3004" s="30" t="n">
        <v>-14.849647</v>
      </c>
      <c r="Q3004" s="30" t="n">
        <v>-40.83693</v>
      </c>
      <c r="R3004" s="14" t="inlineStr">
        <is>
          <t>FÓRUM ELEITORAL DE VITÓRIA DA CONQUISTA, AVENIDA OLÍVIA FLORES, S/N, BAIRRO CANDEIAS, VITÓRIA DA CONQUISTA/BA</t>
        </is>
      </c>
      <c r="S3004" s="26">
        <f>IF(A3004=A3003,0,1)</f>
        <v>0</v>
      </c>
      <c r="T3004" s="26">
        <f>IF(COUNTIF($B$4:B3004,B3004)=1,1,0)</f>
        <v>0</v>
      </c>
    </row>
    <row r="3005">
      <c r="A3005" s="14" t="inlineStr">
        <is>
          <t>VITÓRIA DA CONQUISTA</t>
        </is>
      </c>
      <c r="B3005" s="26" t="n">
        <v>41</v>
      </c>
      <c r="C3005" s="26" t="n">
        <v>1341</v>
      </c>
      <c r="D3005" s="14" t="inlineStr">
        <is>
          <t xml:space="preserve">ESCOLA MUNICIPAL ARTHUR SEIXAS </t>
        </is>
      </c>
      <c r="E3005" s="14" t="inlineStr">
        <is>
          <t>JUREMA</t>
        </is>
      </c>
      <c r="F3005" s="14" t="inlineStr">
        <is>
          <t>RUA B, LOTEAMENTO LEBLON, JUREMA - ZONA URBANA</t>
        </is>
      </c>
      <c r="G3005" s="27" t="inlineStr">
        <is>
          <t>45023-215</t>
        </is>
      </c>
      <c r="H3005" s="15" t="n">
        <v>10</v>
      </c>
      <c r="I3005" s="28" t="inlineStr">
        <is>
          <t>NÃO</t>
        </is>
      </c>
      <c r="J3005" s="29" t="n">
        <v>277</v>
      </c>
      <c r="K3005" s="14" t="str">
        <f>IF(J3005="","7. Acima de 2 km",IF(J3005&lt;=50,"1. Até 50 m",IF(J3005&lt;=100,"2. De 50 a 100 m",IF(J3005&lt;=200,"3. De 100 a 200 m",IF(J3005&lt;=300,"4. De 200 a 300 m",IF(J3005&lt;=500,"5. De 300 a 500 m","6. De 500 m a 2 km"))))))</f>
        <v>4. De 200 a 300 m</v>
      </c>
      <c r="L3005" s="26" t="n">
        <v>0</v>
      </c>
      <c r="M3005" s="26" t="n">
        <v>0</v>
      </c>
      <c r="N3005" s="26" t="n">
        <v>0</v>
      </c>
      <c r="O3005" s="26" t="n">
        <v>1</v>
      </c>
      <c r="P3005" s="30" t="n">
        <v>-14.8691498</v>
      </c>
      <c r="Q3005" s="30" t="n">
        <v>-40.8464685</v>
      </c>
      <c r="R3005" s="14" t="inlineStr">
        <is>
          <t>FÓRUM ELEITORAL DE VITÓRIA DA CONQUISTA, AVENIDA OLÍVIA FLORES, S/N, BAIRRO CANDEIAS, VITÓRIA DA CONQUISTA/BA</t>
        </is>
      </c>
      <c r="S3005" s="26">
        <f>IF(A3005=A3004,0,1)</f>
        <v>0</v>
      </c>
      <c r="T3005" s="26">
        <f>IF(COUNTIF($B$4:B3005,B3005)=1,1,0)</f>
        <v>0</v>
      </c>
    </row>
    <row r="3006">
      <c r="A3006" s="14" t="inlineStr">
        <is>
          <t>VITÓRIA DA CONQUISTA</t>
        </is>
      </c>
      <c r="B3006" s="26" t="n">
        <v>41</v>
      </c>
      <c r="C3006" s="26" t="n">
        <v>1368</v>
      </c>
      <c r="D3006" s="14" t="inlineStr">
        <is>
          <t>ESCOLA MUNICIPAL PEDRO FRANCISCO DE MORAES</t>
        </is>
      </c>
      <c r="E3006" s="14" t="inlineStr">
        <is>
          <t>JUREMA</t>
        </is>
      </c>
      <c r="F3006" s="14" t="inlineStr">
        <is>
          <t>RUA SANTIAGO, S/N, JUREMA - ZONA URBANA</t>
        </is>
      </c>
      <c r="G3006" s="27" t="inlineStr">
        <is>
          <t>45023-010</t>
        </is>
      </c>
      <c r="H3006" s="15" t="n">
        <v>8</v>
      </c>
      <c r="I3006" s="28" t="inlineStr">
        <is>
          <t>NÃO</t>
        </is>
      </c>
      <c r="J3006" s="29" t="n">
        <v>583.8</v>
      </c>
      <c r="K3006" s="14" t="str">
        <f>IF(J3006="","7. Acima de 2 km",IF(J3006&lt;=50,"1. Até 50 m",IF(J3006&lt;=100,"2. De 50 a 100 m",IF(J3006&lt;=200,"3. De 100 a 200 m",IF(J3006&lt;=300,"4. De 200 a 300 m",IF(J3006&lt;=500,"5. De 300 a 500 m","6. De 500 m a 2 km"))))))</f>
        <v>6. De 500 m a 2 km</v>
      </c>
      <c r="L3006" s="26" t="n">
        <v>0</v>
      </c>
      <c r="M3006" s="26" t="n">
        <v>0</v>
      </c>
      <c r="N3006" s="26" t="n">
        <v>0</v>
      </c>
      <c r="O3006" s="26" t="n">
        <v>0</v>
      </c>
      <c r="P3006" s="30" t="n">
        <v>-14.8695906</v>
      </c>
      <c r="Q3006" s="30" t="n">
        <v>-40.8500218</v>
      </c>
      <c r="R3006" s="14" t="inlineStr">
        <is>
          <t>FÓRUM ELEITORAL DE VITÓRIA DA CONQUISTA, AVENIDA OLÍVIA FLORES, S/N, BAIRRO CANDEIAS, VITÓRIA DA CONQUISTA/BA</t>
        </is>
      </c>
      <c r="S3006" s="26">
        <f>IF(A3006=A3005,0,1)</f>
        <v>0</v>
      </c>
      <c r="T3006" s="26">
        <f>IF(COUNTIF($B$4:B3006,B3006)=1,1,0)</f>
        <v>0</v>
      </c>
    </row>
    <row r="3007">
      <c r="A3007" s="14" t="inlineStr">
        <is>
          <t>VITÓRIA DA CONQUISTA</t>
        </is>
      </c>
      <c r="B3007" s="26" t="n">
        <v>41</v>
      </c>
      <c r="C3007" s="26" t="n">
        <v>1457</v>
      </c>
      <c r="D3007" s="14" t="inlineStr">
        <is>
          <t>ESCOLA MUNICIPAL VICENTE CASSIMIRO</t>
        </is>
      </c>
      <c r="E3007" s="14" t="inlineStr">
        <is>
          <t>UNIVERSIDADE</t>
        </is>
      </c>
      <c r="F3007" s="14" t="inlineStr">
        <is>
          <t>ESTRADA BEM QUERER, KM 4, UNIVERSIDADE- ZONA URBANA</t>
        </is>
      </c>
      <c r="G3007" s="27" t="inlineStr">
        <is>
          <t>45031-300</t>
        </is>
      </c>
      <c r="H3007" s="15" t="n">
        <v>4</v>
      </c>
      <c r="I3007" s="28" t="inlineStr">
        <is>
          <t>SIM</t>
        </is>
      </c>
      <c r="J3007" s="29" t="n">
        <v>89.09999999999999</v>
      </c>
      <c r="K3007" s="14" t="str">
        <f>IF(J3007="","7. Acima de 2 km",IF(J3007&lt;=50,"1. Até 50 m",IF(J3007&lt;=100,"2. De 50 a 100 m",IF(J3007&lt;=200,"3. De 100 a 200 m",IF(J3007&lt;=300,"4. De 200 a 300 m",IF(J3007&lt;=500,"5. De 300 a 500 m","6. De 500 m a 2 km"))))))</f>
        <v>2. De 50 a 100 m</v>
      </c>
      <c r="L3007" s="26" t="n">
        <v>0</v>
      </c>
      <c r="M3007" s="26" t="n">
        <v>1</v>
      </c>
      <c r="N3007" s="26" t="n">
        <v>2</v>
      </c>
      <c r="O3007" s="26" t="n">
        <v>2</v>
      </c>
      <c r="P3007" s="30" t="n">
        <v>-14.8922485</v>
      </c>
      <c r="Q3007" s="30" t="n">
        <v>-40.806032</v>
      </c>
      <c r="R3007" s="14" t="inlineStr">
        <is>
          <t>FÓRUM ELEITORAL DE VITÓRIA DA CONQUISTA, AVENIDA OLÍVIA FLORES, S/N, BAIRRO CANDEIAS, VITÓRIA DA CONQUISTA/BA</t>
        </is>
      </c>
      <c r="S3007" s="26">
        <f>IF(A3007=A3006,0,1)</f>
        <v>0</v>
      </c>
      <c r="T3007" s="26">
        <f>IF(COUNTIF($B$4:B3007,B3007)=1,1,0)</f>
        <v>0</v>
      </c>
    </row>
    <row r="3008">
      <c r="A3008" s="14" t="inlineStr">
        <is>
          <t>VITÓRIA DA CONQUISTA</t>
        </is>
      </c>
      <c r="B3008" s="26" t="n">
        <v>41</v>
      </c>
      <c r="C3008" s="26" t="n">
        <v>1465</v>
      </c>
      <c r="D3008" s="14" t="inlineStr">
        <is>
          <t>ESCOLA MUNICIPAL PROFESSORA FIDELCINA CARVALHO SANTOS</t>
        </is>
      </c>
      <c r="E3008" s="14" t="inlineStr">
        <is>
          <t>ESPÍRITO SANTO</t>
        </is>
      </c>
      <c r="F3008" s="14" t="inlineStr">
        <is>
          <t>ÁREA VERDE UM, S/N, URBIS VI, ESPÍRITO SANTO- ZONA URBANA</t>
        </is>
      </c>
      <c r="G3008" s="27" t="inlineStr">
        <is>
          <t>45037-381</t>
        </is>
      </c>
      <c r="H3008" s="15" t="n">
        <v>10</v>
      </c>
      <c r="I3008" s="28" t="inlineStr">
        <is>
          <t>NÃO</t>
        </is>
      </c>
      <c r="J3008" s="29" t="n">
        <v>372.1</v>
      </c>
      <c r="K3008" s="14" t="str">
        <f>IF(J3008="","7. Acima de 2 km",IF(J3008&lt;=50,"1. Até 50 m",IF(J3008&lt;=100,"2. De 50 a 100 m",IF(J3008&lt;=200,"3. De 100 a 200 m",IF(J3008&lt;=300,"4. De 200 a 300 m",IF(J3008&lt;=500,"5. De 300 a 500 m","6. De 500 m a 2 km"))))))</f>
        <v>5. De 300 a 500 m</v>
      </c>
      <c r="L3008" s="26" t="n">
        <v>0</v>
      </c>
      <c r="M3008" s="26" t="n">
        <v>0</v>
      </c>
      <c r="N3008" s="26" t="n">
        <v>0</v>
      </c>
      <c r="O3008" s="26" t="n">
        <v>0</v>
      </c>
      <c r="P3008" s="30" t="n">
        <v>-14.9043666</v>
      </c>
      <c r="Q3008" s="30" t="n">
        <v>-40.8389882</v>
      </c>
      <c r="R3008" s="14" t="inlineStr">
        <is>
          <t>FÓRUM ELEITORAL DE VITÓRIA DA CONQUISTA, AVENIDA OLÍVIA FLORES, S/N, BAIRRO CANDEIAS, VITÓRIA DA CONQUISTA/BA</t>
        </is>
      </c>
      <c r="S3008" s="26">
        <f>IF(A3008=A3007,0,1)</f>
        <v>0</v>
      </c>
      <c r="T3008" s="26">
        <f>IF(COUNTIF($B$4:B3008,B3008)=1,1,0)</f>
        <v>0</v>
      </c>
    </row>
    <row r="3009">
      <c r="A3009" s="14" t="inlineStr">
        <is>
          <t>VITÓRIA DA CONQUISTA</t>
        </is>
      </c>
      <c r="B3009" s="26" t="n">
        <v>41</v>
      </c>
      <c r="C3009" s="26" t="n">
        <v>1473</v>
      </c>
      <c r="D3009" s="14" t="inlineStr">
        <is>
          <t>ESCOLA MUNICIPAL CLÁUDIO MANUEL DA COSTA</t>
        </is>
      </c>
      <c r="E3009" s="14" t="inlineStr">
        <is>
          <t>CRUZEIRO</t>
        </is>
      </c>
      <c r="F3009" s="14" t="inlineStr">
        <is>
          <t>PRAÇA SÁ BARRETO, Nº 43, ALTO MARON - ZONA URBANA</t>
        </is>
      </c>
      <c r="G3009" s="27" t="inlineStr">
        <is>
          <t>45000-625</t>
        </is>
      </c>
      <c r="H3009" s="15" t="n">
        <v>11</v>
      </c>
      <c r="I3009" s="28" t="inlineStr">
        <is>
          <t>NÃO</t>
        </is>
      </c>
      <c r="J3009" s="29" t="n">
        <v>128.8</v>
      </c>
      <c r="K3009" s="14" t="str">
        <f>IF(J3009="","7. Acima de 2 km",IF(J3009&lt;=50,"1. Até 50 m",IF(J3009&lt;=100,"2. De 50 a 100 m",IF(J3009&lt;=200,"3. De 100 a 200 m",IF(J3009&lt;=300,"4. De 200 a 300 m",IF(J3009&lt;=500,"5. De 300 a 500 m","6. De 500 m a 2 km"))))))</f>
        <v>3. De 100 a 200 m</v>
      </c>
      <c r="L3009" s="26" t="n">
        <v>0</v>
      </c>
      <c r="M3009" s="26" t="n">
        <v>0</v>
      </c>
      <c r="N3009" s="26" t="n">
        <v>1</v>
      </c>
      <c r="O3009" s="26" t="n">
        <v>1</v>
      </c>
      <c r="P3009" s="30" t="n">
        <v>-14.8469895</v>
      </c>
      <c r="Q3009" s="30" t="n">
        <v>-40.8355051</v>
      </c>
      <c r="R3009" s="14" t="inlineStr">
        <is>
          <t>FÓRUM ELEITORAL DE VITÓRIA DA CONQUISTA, AVENIDA OLÍVIA FLORES, S/N, BAIRRO CANDEIAS, VITÓRIA DA CONQUISTA/BA</t>
        </is>
      </c>
      <c r="S3009" s="26">
        <f>IF(A3009=A3008,0,1)</f>
        <v>0</v>
      </c>
      <c r="T3009" s="26">
        <f>IF(COUNTIF($B$4:B3009,B3009)=1,1,0)</f>
        <v>0</v>
      </c>
    </row>
    <row r="3010">
      <c r="A3010" s="14" t="inlineStr">
        <is>
          <t>VITÓRIA DA CONQUISTA</t>
        </is>
      </c>
      <c r="B3010" s="26" t="n">
        <v>41</v>
      </c>
      <c r="C3010" s="26" t="n">
        <v>1481</v>
      </c>
      <c r="D3010" s="14" t="inlineStr">
        <is>
          <t>ESCOLA MUNICIPAL PROFESSORA HELENA CRISTÁLIA FERREIRA</t>
        </is>
      </c>
      <c r="E3010" s="14" t="inlineStr">
        <is>
          <t>ESPÍRITO SANTO</t>
        </is>
      </c>
      <c r="F3010" s="14" t="inlineStr">
        <is>
          <t>AV PAULO ROCHA, S/N, ESPÍRITO SANTO - ZONA URBANA</t>
        </is>
      </c>
      <c r="G3010" s="27" t="inlineStr">
        <is>
          <t>45037-140</t>
        </is>
      </c>
      <c r="H3010" s="15" t="n">
        <v>8</v>
      </c>
      <c r="I3010" s="28" t="inlineStr">
        <is>
          <t>NÃO</t>
        </is>
      </c>
      <c r="J3010" s="29" t="n">
        <v>541.9</v>
      </c>
      <c r="K3010" s="14" t="str">
        <f>IF(J3010="","7. Acima de 2 km",IF(J3010&lt;=50,"1. Até 50 m",IF(J3010&lt;=100,"2. De 50 a 100 m",IF(J3010&lt;=200,"3. De 100 a 200 m",IF(J3010&lt;=300,"4. De 200 a 300 m",IF(J3010&lt;=500,"5. De 300 a 500 m","6. De 500 m a 2 km"))))))</f>
        <v>6. De 500 m a 2 km</v>
      </c>
      <c r="L3010" s="26" t="n">
        <v>0</v>
      </c>
      <c r="M3010" s="26" t="n">
        <v>0</v>
      </c>
      <c r="N3010" s="26" t="n">
        <v>0</v>
      </c>
      <c r="O3010" s="26" t="n">
        <v>0</v>
      </c>
      <c r="P3010" s="30" t="n">
        <v>-14.9027926</v>
      </c>
      <c r="Q3010" s="30" t="n">
        <v>-40.8400496</v>
      </c>
      <c r="R3010" s="14" t="inlineStr">
        <is>
          <t>FÓRUM ELEITORAL DE VITÓRIA DA CONQUISTA, AVENIDA OLÍVIA FLORES, S/N, BAIRRO CANDEIAS, VITÓRIA DA CONQUISTA/BA</t>
        </is>
      </c>
      <c r="S3010" s="26">
        <f>IF(A3010=A3009,0,1)</f>
        <v>0</v>
      </c>
      <c r="T3010" s="26">
        <f>IF(COUNTIF($B$4:B3010,B3010)=1,1,0)</f>
        <v>0</v>
      </c>
    </row>
    <row r="3011">
      <c r="A3011" s="14" t="inlineStr">
        <is>
          <t>VITÓRIA DA CONQUISTA</t>
        </is>
      </c>
      <c r="B3011" s="26" t="n">
        <v>41</v>
      </c>
      <c r="C3011" s="26" t="n">
        <v>1503</v>
      </c>
      <c r="D3011" s="14" t="inlineStr">
        <is>
          <t>COLÉGIO ESTADUAL DOM CLIMÉRIO ALMEIDA DE ANDRADE</t>
        </is>
      </c>
      <c r="E3011" s="14" t="inlineStr">
        <is>
          <t>ESPÍRITO SANTO</t>
        </is>
      </c>
      <c r="F3011" s="14" t="inlineStr">
        <is>
          <t>RUA F, Nº 987, URBIS IV, ESPÍRITO SANTO - ZONA URBANA</t>
        </is>
      </c>
      <c r="G3011" s="27" t="inlineStr">
        <is>
          <t>45037-434</t>
        </is>
      </c>
      <c r="H3011" s="15" t="n">
        <v>10</v>
      </c>
      <c r="I3011" s="28" t="inlineStr">
        <is>
          <t>SIM</t>
        </is>
      </c>
      <c r="J3011" s="29" t="n">
        <v>86.40000000000001</v>
      </c>
      <c r="K3011" s="14" t="str">
        <f>IF(J3011="","7. Acima de 2 km",IF(J3011&lt;=50,"1. Até 50 m",IF(J3011&lt;=100,"2. De 50 a 100 m",IF(J3011&lt;=200,"3. De 100 a 200 m",IF(J3011&lt;=300,"4. De 200 a 300 m",IF(J3011&lt;=500,"5. De 300 a 500 m","6. De 500 m a 2 km"))))))</f>
        <v>2. De 50 a 100 m</v>
      </c>
      <c r="L3011" s="26" t="n">
        <v>0</v>
      </c>
      <c r="M3011" s="26" t="n">
        <v>2</v>
      </c>
      <c r="N3011" s="26" t="n">
        <v>2</v>
      </c>
      <c r="O3011" s="26" t="n">
        <v>2</v>
      </c>
      <c r="P3011" s="30" t="n">
        <v>-14.9073685</v>
      </c>
      <c r="Q3011" s="30" t="n">
        <v>-40.837038</v>
      </c>
      <c r="R3011" s="14" t="inlineStr">
        <is>
          <t>FÓRUM ELEITORAL DE VITÓRIA DA CONQUISTA, AVENIDA OLÍVIA FLORES, S/N, BAIRRO CANDEIAS, VITÓRIA DA CONQUISTA/BA</t>
        </is>
      </c>
      <c r="S3011" s="26">
        <f>IF(A3011=A3010,0,1)</f>
        <v>0</v>
      </c>
      <c r="T3011" s="26">
        <f>IF(COUNTIF($B$4:B3011,B3011)=1,1,0)</f>
        <v>0</v>
      </c>
    </row>
    <row r="3012">
      <c r="A3012" s="14" t="inlineStr">
        <is>
          <t>VITÓRIA DA CONQUISTA</t>
        </is>
      </c>
      <c r="B3012" s="26" t="n">
        <v>41</v>
      </c>
      <c r="C3012" s="26" t="n">
        <v>1511</v>
      </c>
      <c r="D3012" s="14" t="inlineStr">
        <is>
          <t>COLÉGIO ESTADUAL PROFESSORA HELEUSA FIGUEIRA CÂMARA</t>
        </is>
      </c>
      <c r="E3012" s="14" t="inlineStr">
        <is>
          <t>CANDEIAS</t>
        </is>
      </c>
      <c r="F3012" s="14" t="inlineStr">
        <is>
          <t>AVENIDA OLÍVIA FLORES, Nº 1180, CANDEIAS - ZONA URBANA</t>
        </is>
      </c>
      <c r="G3012" s="27" t="inlineStr">
        <is>
          <t>45028-610</t>
        </is>
      </c>
      <c r="H3012" s="15" t="n">
        <v>14</v>
      </c>
      <c r="I3012" s="28" t="inlineStr">
        <is>
          <t>SIM</t>
        </is>
      </c>
      <c r="J3012" s="29" t="n">
        <v>17.3</v>
      </c>
      <c r="K3012" s="14" t="str">
        <f>IF(J3012="","7. Acima de 2 km",IF(J3012&lt;=50,"1. Até 50 m",IF(J3012&lt;=100,"2. De 50 a 100 m",IF(J3012&lt;=200,"3. De 100 a 200 m",IF(J3012&lt;=300,"4. De 200 a 300 m",IF(J3012&lt;=500,"5. De 300 a 500 m","6. De 500 m a 2 km"))))))</f>
        <v>1. Até 50 m</v>
      </c>
      <c r="L3012" s="26" t="n">
        <v>1</v>
      </c>
      <c r="M3012" s="26" t="n">
        <v>1</v>
      </c>
      <c r="N3012" s="26" t="n">
        <v>1</v>
      </c>
      <c r="O3012" s="26" t="n">
        <v>2</v>
      </c>
      <c r="P3012" s="30" t="n">
        <v>-14.86614</v>
      </c>
      <c r="Q3012" s="30" t="n">
        <v>-40.823357</v>
      </c>
      <c r="R3012" s="14" t="inlineStr">
        <is>
          <t>FÓRUM ELEITORAL DE VITÓRIA DA CONQUISTA, AVENIDA OLÍVIA FLORES, S/N, BAIRRO CANDEIAS, VITÓRIA DA CONQUISTA/BA</t>
        </is>
      </c>
      <c r="S3012" s="26">
        <f>IF(A3012=A3011,0,1)</f>
        <v>0</v>
      </c>
      <c r="T3012" s="26">
        <f>IF(COUNTIF($B$4:B3012,B3012)=1,1,0)</f>
        <v>0</v>
      </c>
    </row>
    <row r="3013">
      <c r="A3013" s="14" t="inlineStr">
        <is>
          <t>VITÓRIA DA CONQUISTA</t>
        </is>
      </c>
      <c r="B3013" s="26" t="n">
        <v>41</v>
      </c>
      <c r="C3013" s="26" t="n">
        <v>1520</v>
      </c>
      <c r="D3013" s="14" t="inlineStr">
        <is>
          <t xml:space="preserve">EDUCANDÁRIO YTALO MIRANDA </t>
        </is>
      </c>
      <c r="E3013" s="14" t="inlineStr">
        <is>
          <t>FELÍCIA</t>
        </is>
      </c>
      <c r="F3013" s="14" t="inlineStr">
        <is>
          <t>RUA S, Nº 719, MORADA DOS PÁSSAROS II, FELÍCIA - ZONA URBANA</t>
        </is>
      </c>
      <c r="G3013" s="27" t="inlineStr">
        <is>
          <t>45055-365</t>
        </is>
      </c>
      <c r="H3013" s="15" t="n">
        <v>4</v>
      </c>
      <c r="I3013" s="28" t="inlineStr">
        <is>
          <t>NÃO</t>
        </is>
      </c>
      <c r="J3013" s="29" t="n">
        <v>697.1</v>
      </c>
      <c r="K3013" s="14" t="str">
        <f>IF(J3013="","7. Acima de 2 km",IF(J3013&lt;=50,"1. Até 50 m",IF(J3013&lt;=100,"2. De 50 a 100 m",IF(J3013&lt;=200,"3. De 100 a 200 m",IF(J3013&lt;=300,"4. De 200 a 300 m",IF(J3013&lt;=500,"5. De 300 a 500 m","6. De 500 m a 2 km"))))))</f>
        <v>6. De 500 m a 2 km</v>
      </c>
      <c r="L3013" s="26" t="n">
        <v>0</v>
      </c>
      <c r="M3013" s="26" t="n">
        <v>0</v>
      </c>
      <c r="N3013" s="26" t="n">
        <v>0</v>
      </c>
      <c r="O3013" s="26" t="n">
        <v>0</v>
      </c>
      <c r="P3013" s="30" t="n">
        <v>-14.8869985</v>
      </c>
      <c r="Q3013" s="30" t="n">
        <v>-40.8511777</v>
      </c>
      <c r="R3013" s="14" t="inlineStr">
        <is>
          <t>FÓRUM ELEITORAL DE VITÓRIA DA CONQUISTA, AVENIDA OLÍVIA FLORES, S/N, BAIRRO CANDEIAS, VITÓRIA DA CONQUISTA/BA</t>
        </is>
      </c>
      <c r="S3013" s="26">
        <f>IF(A3013=A3012,0,1)</f>
        <v>0</v>
      </c>
      <c r="T3013" s="26">
        <f>IF(COUNTIF($B$4:B3013,B3013)=1,1,0)</f>
        <v>0</v>
      </c>
    </row>
    <row r="3014">
      <c r="A3014" s="14" t="inlineStr">
        <is>
          <t>VITÓRIA DA CONQUISTA</t>
        </is>
      </c>
      <c r="B3014" s="26" t="n">
        <v>41</v>
      </c>
      <c r="C3014" s="26" t="n">
        <v>1554</v>
      </c>
      <c r="D3014" s="14" t="inlineStr">
        <is>
          <t>ESCOLA MUNICIPAL JOSÉ MOZART TANAJURA</t>
        </is>
      </c>
      <c r="E3014" s="14" t="inlineStr">
        <is>
          <t>BOA VISTA</t>
        </is>
      </c>
      <c r="F3014" s="14" t="inlineStr">
        <is>
          <t>RUA SÉRGIO BUARQUE DE HOLANDA, N 2000, VILA AMÉRICA - ZONA URBANA</t>
        </is>
      </c>
      <c r="G3014" s="27" t="inlineStr">
        <is>
          <t>45027-112</t>
        </is>
      </c>
      <c r="H3014" s="15" t="n">
        <v>12</v>
      </c>
      <c r="I3014" s="28" t="inlineStr">
        <is>
          <t>SIM</t>
        </is>
      </c>
      <c r="J3014" s="29" t="n">
        <v>42</v>
      </c>
      <c r="K3014" s="14" t="str">
        <f>IF(J3014="","7. Acima de 2 km",IF(J3014&lt;=50,"1. Até 50 m",IF(J3014&lt;=100,"2. De 50 a 100 m",IF(J3014&lt;=200,"3. De 100 a 200 m",IF(J3014&lt;=300,"4. De 200 a 300 m",IF(J3014&lt;=500,"5. De 300 a 500 m","6. De 500 m a 2 km"))))))</f>
        <v>1. Até 50 m</v>
      </c>
      <c r="L3014" s="26" t="n">
        <v>1</v>
      </c>
      <c r="M3014" s="26" t="n">
        <v>1</v>
      </c>
      <c r="N3014" s="26" t="n">
        <v>1</v>
      </c>
      <c r="O3014" s="26" t="n">
        <v>1</v>
      </c>
      <c r="P3014" s="30" t="n">
        <v>-14.89225343</v>
      </c>
      <c r="Q3014" s="30" t="n">
        <v>-40.83208939</v>
      </c>
      <c r="R3014" s="14" t="inlineStr">
        <is>
          <t>FÓRUM ELEITORAL DE VITÓRIA DA CONQUISTA, AVENIDA OLÍVIA FLORES, S/N, BAIRRO CANDEIAS, VITÓRIA DA CONQUISTA/BA</t>
        </is>
      </c>
      <c r="S3014" s="26">
        <f>IF(A3014=A3013,0,1)</f>
        <v>0</v>
      </c>
      <c r="T3014" s="26">
        <f>IF(COUNTIF($B$4:B3014,B3014)=1,1,0)</f>
        <v>0</v>
      </c>
    </row>
    <row r="3015">
      <c r="A3015" s="14" t="inlineStr">
        <is>
          <t>VITÓRIA DA CONQUISTA</t>
        </is>
      </c>
      <c r="B3015" s="26" t="n">
        <v>41</v>
      </c>
      <c r="C3015" s="26" t="n">
        <v>1562</v>
      </c>
      <c r="D3015" s="14" t="inlineStr">
        <is>
          <t>ESCOLA MUNICIPAL JUIZ DOUTOR ANTONIO HELDER THOMAZ</t>
        </is>
      </c>
      <c r="E3015" s="14" t="inlineStr">
        <is>
          <t>NOVA CIDADE</t>
        </is>
      </c>
      <c r="F3015" s="14" t="inlineStr">
        <is>
          <t>RUA CINCO, S/N, LOTEAMENTO PRIMAVERA, PRIMAVERA - ZONA URBANA</t>
        </is>
      </c>
      <c r="G3015" s="27" t="inlineStr">
        <is>
          <t>45012-580</t>
        </is>
      </c>
      <c r="H3015" s="15" t="n">
        <v>7</v>
      </c>
      <c r="I3015" s="28" t="inlineStr">
        <is>
          <t>NÃO</t>
        </is>
      </c>
      <c r="J3015" s="29" t="n">
        <v>781.8</v>
      </c>
      <c r="K3015" s="14" t="str">
        <f>IF(J3015="","7. Acima de 2 km",IF(J3015&lt;=50,"1. Até 50 m",IF(J3015&lt;=100,"2. De 50 a 100 m",IF(J3015&lt;=200,"3. De 100 a 200 m",IF(J3015&lt;=300,"4. De 200 a 300 m",IF(J3015&lt;=500,"5. De 300 a 500 m","6. De 500 m a 2 km"))))))</f>
        <v>6. De 500 m a 2 km</v>
      </c>
      <c r="L3015" s="26" t="n">
        <v>0</v>
      </c>
      <c r="M3015" s="26" t="n">
        <v>0</v>
      </c>
      <c r="N3015" s="26" t="n">
        <v>0</v>
      </c>
      <c r="O3015" s="26" t="n">
        <v>0</v>
      </c>
      <c r="P3015" s="30" t="n">
        <v>-14.8527147</v>
      </c>
      <c r="Q3015" s="30" t="n">
        <v>-40.814779</v>
      </c>
      <c r="R3015" s="14" t="inlineStr">
        <is>
          <t>FÓRUM ELEITORAL DE VITÓRIA DA CONQUISTA, AVENIDA OLÍVIA FLORES, S/N, BAIRRO CANDEIAS, VITÓRIA DA CONQUISTA/BA</t>
        </is>
      </c>
      <c r="S3015" s="26">
        <f>IF(A3015=A3014,0,1)</f>
        <v>0</v>
      </c>
      <c r="T3015" s="26">
        <f>IF(COUNTIF($B$4:B3015,B3015)=1,1,0)</f>
        <v>0</v>
      </c>
    </row>
    <row r="3016">
      <c r="A3016" s="14" t="inlineStr">
        <is>
          <t>VITÓRIA DA CONQUISTA</t>
        </is>
      </c>
      <c r="B3016" s="26" t="n">
        <v>41</v>
      </c>
      <c r="C3016" s="26" t="n">
        <v>1570</v>
      </c>
      <c r="D3016" s="14" t="inlineStr">
        <is>
          <t>ESCOLA MUNICIPAL PROFESSORA HELENA CRISTÁLIA FERREIRA - EXTENSÃO 1</t>
        </is>
      </c>
      <c r="E3016" s="14" t="inlineStr">
        <is>
          <t>ESPÍRITO SANTO</t>
        </is>
      </c>
      <c r="F3016" s="14" t="inlineStr">
        <is>
          <t>RUA B, S/N, RENATO MAGALHÃES, ESPÍRITO SANTO- ZONA URBANA</t>
        </is>
      </c>
      <c r="G3016" s="27" t="inlineStr">
        <is>
          <t>45037-640</t>
        </is>
      </c>
      <c r="H3016" s="15" t="n">
        <v>5</v>
      </c>
      <c r="I3016" s="28" t="inlineStr">
        <is>
          <t>NÃO</t>
        </is>
      </c>
      <c r="J3016" s="29" t="n">
        <v>348.4</v>
      </c>
      <c r="K3016" s="14" t="str">
        <f>IF(J3016="","7. Acima de 2 km",IF(J3016&lt;=50,"1. Até 50 m",IF(J3016&lt;=100,"2. De 50 a 100 m",IF(J3016&lt;=200,"3. De 100 a 200 m",IF(J3016&lt;=300,"4. De 200 a 300 m",IF(J3016&lt;=500,"5. De 300 a 500 m","6. De 500 m a 2 km"))))))</f>
        <v>5. De 300 a 500 m</v>
      </c>
      <c r="L3016" s="26" t="n">
        <v>0</v>
      </c>
      <c r="M3016" s="26" t="n">
        <v>0</v>
      </c>
      <c r="N3016" s="26" t="n">
        <v>0</v>
      </c>
      <c r="O3016" s="26" t="n">
        <v>0</v>
      </c>
      <c r="P3016" s="30" t="n">
        <v>-14.9098663</v>
      </c>
      <c r="Q3016" s="30" t="n">
        <v>-40.8341789</v>
      </c>
      <c r="R3016" s="14" t="inlineStr">
        <is>
          <t>FÓRUM ELEITORAL DE VITÓRIA DA CONQUISTA, AVENIDA OLÍVIA FLORES, S/N, BAIRRO CANDEIAS, VITÓRIA DA CONQUISTA/BA</t>
        </is>
      </c>
      <c r="S3016" s="26">
        <f>IF(A3016=A3015,0,1)</f>
        <v>0</v>
      </c>
      <c r="T3016" s="26">
        <f>IF(COUNTIF($B$4:B3016,B3016)=1,1,0)</f>
        <v>0</v>
      </c>
    </row>
    <row r="3017">
      <c r="A3017" s="14" t="inlineStr">
        <is>
          <t>VITÓRIA DA CONQUISTA</t>
        </is>
      </c>
      <c r="B3017" s="26" t="n">
        <v>41</v>
      </c>
      <c r="C3017" s="26" t="n">
        <v>1589</v>
      </c>
      <c r="D3017" s="14" t="inlineStr">
        <is>
          <t>EDUCANDÁRIO PADRE GILBERTO VAZ SAMPAIO</t>
        </is>
      </c>
      <c r="E3017" s="14" t="inlineStr">
        <is>
          <t>IRACEMA</t>
        </is>
      </c>
      <c r="F3017" s="14" t="inlineStr">
        <is>
          <t>RUA JOSÉ DE MELO, Nº 99, CENTRO- ZONA URBANA</t>
        </is>
      </c>
      <c r="G3017" s="27" t="inlineStr">
        <is>
          <t>45000-810</t>
        </is>
      </c>
      <c r="H3017" s="15" t="n">
        <v>14</v>
      </c>
      <c r="I3017" s="28" t="inlineStr">
        <is>
          <t>NÃO</t>
        </is>
      </c>
      <c r="J3017" s="29" t="n">
        <v>386.7</v>
      </c>
      <c r="K3017" s="14" t="str">
        <f>IF(J3017="","7. Acima de 2 km",IF(J3017&lt;=50,"1. Até 50 m",IF(J3017&lt;=100,"2. De 50 a 100 m",IF(J3017&lt;=200,"3. De 100 a 200 m",IF(J3017&lt;=300,"4. De 200 a 300 m",IF(J3017&lt;=500,"5. De 300 a 500 m","6. De 500 m a 2 km"))))))</f>
        <v>5. De 300 a 500 m</v>
      </c>
      <c r="L3017" s="26" t="n">
        <v>0</v>
      </c>
      <c r="M3017" s="26" t="n">
        <v>0</v>
      </c>
      <c r="N3017" s="26" t="n">
        <v>0</v>
      </c>
      <c r="O3017" s="26" t="n">
        <v>0</v>
      </c>
      <c r="P3017" s="30" t="n">
        <v>-14.8467957</v>
      </c>
      <c r="Q3017" s="30" t="n">
        <v>-40.8433769</v>
      </c>
      <c r="R3017" s="14" t="inlineStr">
        <is>
          <t>FÓRUM ELEITORAL DE VITÓRIA DA CONQUISTA, AVENIDA OLÍVIA FLORES, S/N, BAIRRO CANDEIAS, VITÓRIA DA CONQUISTA/BA</t>
        </is>
      </c>
      <c r="S3017" s="26">
        <f>IF(A3017=A3016,0,1)</f>
        <v>0</v>
      </c>
      <c r="T3017" s="26">
        <f>IF(COUNTIF($B$4:B3017,B3017)=1,1,0)</f>
        <v>0</v>
      </c>
    </row>
    <row r="3018">
      <c r="A3018" s="14" t="inlineStr">
        <is>
          <t>VITÓRIA DA CONQUISTA</t>
        </is>
      </c>
      <c r="B3018" s="26" t="n">
        <v>41</v>
      </c>
      <c r="C3018" s="26" t="n">
        <v>1597</v>
      </c>
      <c r="D3018" s="14" t="inlineStr">
        <is>
          <t>UNIDADE BÁSICA DE SAÚDE SÃO VICENTE - CAE II</t>
        </is>
      </c>
      <c r="E3018" s="14" t="inlineStr">
        <is>
          <t>SÃO VICENTE</t>
        </is>
      </c>
      <c r="F3018" s="14" t="inlineStr">
        <is>
          <t>RUA CELI DE FREITAS, S/N, SÃO VICENTE - ZONA URBANA</t>
        </is>
      </c>
      <c r="G3018" s="27" t="inlineStr">
        <is>
          <t>45000-105</t>
        </is>
      </c>
      <c r="H3018" s="15" t="n">
        <v>4</v>
      </c>
      <c r="I3018" s="28" t="inlineStr">
        <is>
          <t>NÃO</t>
        </is>
      </c>
      <c r="J3018" s="29" t="n">
        <v>448.1</v>
      </c>
      <c r="K3018" s="14" t="str">
        <f>IF(J3018="","7. Acima de 2 km",IF(J3018&lt;=50,"1. Até 50 m",IF(J3018&lt;=100,"2. De 50 a 100 m",IF(J3018&lt;=200,"3. De 100 a 200 m",IF(J3018&lt;=300,"4. De 200 a 300 m",IF(J3018&lt;=500,"5. De 300 a 500 m","6. De 500 m a 2 km"))))))</f>
        <v>5. De 300 a 500 m</v>
      </c>
      <c r="L3018" s="26" t="n">
        <v>0</v>
      </c>
      <c r="M3018" s="26" t="n">
        <v>0</v>
      </c>
      <c r="N3018" s="26" t="n">
        <v>0</v>
      </c>
      <c r="O3018" s="26" t="n">
        <v>0</v>
      </c>
      <c r="P3018" s="30" t="n">
        <v>-14.8562474</v>
      </c>
      <c r="Q3018" s="30" t="n">
        <v>-40.8474575</v>
      </c>
      <c r="R3018" s="14" t="inlineStr">
        <is>
          <t>FÓRUM ELEITORAL DE VITÓRIA DA CONQUISTA, AVENIDA OLÍVIA FLORES, S/N, BAIRRO CANDEIAS, VITÓRIA DA CONQUISTA/BA</t>
        </is>
      </c>
      <c r="S3018" s="26">
        <f>IF(A3018=A3017,0,1)</f>
        <v>0</v>
      </c>
      <c r="T3018" s="26">
        <f>IF(COUNTIF($B$4:B3018,B3018)=1,1,0)</f>
        <v>0</v>
      </c>
    </row>
    <row r="3019">
      <c r="A3019" s="14" t="inlineStr">
        <is>
          <t>VITÓRIA DA CONQUISTA</t>
        </is>
      </c>
      <c r="B3019" s="26" t="n">
        <v>41</v>
      </c>
      <c r="C3019" s="26" t="n">
        <v>1619</v>
      </c>
      <c r="D3019" s="14" t="inlineStr">
        <is>
          <t>COLÉGIO ESTADUAL ANÍSIO TEIXEIRA TEMPO INTEGRAL</t>
        </is>
      </c>
      <c r="E3019" s="14" t="inlineStr">
        <is>
          <t>SUMARÉ</t>
        </is>
      </c>
      <c r="F3019" s="14" t="inlineStr">
        <is>
          <t>RUA ANÍSIO TEIXEIRA, S/N, CENTRO - ZONA URBANA</t>
        </is>
      </c>
      <c r="G3019" s="27" t="inlineStr">
        <is>
          <t>45000-750</t>
        </is>
      </c>
      <c r="H3019" s="15" t="n">
        <v>7</v>
      </c>
      <c r="I3019" s="28" t="inlineStr">
        <is>
          <t>NÃO</t>
        </is>
      </c>
      <c r="J3019" s="29" t="n">
        <v>316.3</v>
      </c>
      <c r="K3019" s="14" t="str">
        <f>IF(J3019="","7. Acima de 2 km",IF(J3019&lt;=50,"1. Até 50 m",IF(J3019&lt;=100,"2. De 50 a 100 m",IF(J3019&lt;=200,"3. De 100 a 200 m",IF(J3019&lt;=300,"4. De 200 a 300 m",IF(J3019&lt;=500,"5. De 300 a 500 m","6. De 500 m a 2 km"))))))</f>
        <v>5. De 300 a 500 m</v>
      </c>
      <c r="L3019" s="26" t="n">
        <v>0</v>
      </c>
      <c r="M3019" s="26" t="n">
        <v>0</v>
      </c>
      <c r="N3019" s="26" t="n">
        <v>0</v>
      </c>
      <c r="O3019" s="26" t="n">
        <v>0</v>
      </c>
      <c r="P3019" s="30" t="n">
        <v>-14.8509039</v>
      </c>
      <c r="Q3019" s="30" t="n">
        <v>-40.8477317</v>
      </c>
      <c r="R3019" s="14" t="inlineStr">
        <is>
          <t>FÓRUM ELEITORAL DE VITÓRIA DA CONQUISTA, AVENIDA OLÍVIA FLORES, S/N, BAIRRO CANDEIAS, VITÓRIA DA CONQUISTA/BA</t>
        </is>
      </c>
      <c r="S3019" s="26">
        <f>IF(A3019=A3018,0,1)</f>
        <v>0</v>
      </c>
      <c r="T3019" s="26">
        <f>IF(COUNTIF($B$4:B3019,B3019)=1,1,0)</f>
        <v>0</v>
      </c>
    </row>
    <row r="3020">
      <c r="A3020" s="14" t="inlineStr">
        <is>
          <t>VITÓRIA DA CONQUISTA</t>
        </is>
      </c>
      <c r="B3020" s="26" t="n">
        <v>41</v>
      </c>
      <c r="C3020" s="26" t="n">
        <v>1627</v>
      </c>
      <c r="D3020" s="14" t="inlineStr">
        <is>
          <t>ESCOLA MUNICIPAL MÃE VITÓRIA DE PETU</t>
        </is>
      </c>
      <c r="E3020" s="14" t="inlineStr">
        <is>
          <t>PETRÓPOLIS</t>
        </is>
      </c>
      <c r="F3020" s="14" t="inlineStr">
        <is>
          <t>TV. HENRIQUETA PRATES, S/N, CRUZEIRO - ZONA URBANA</t>
        </is>
      </c>
      <c r="G3020" s="27" t="inlineStr">
        <is>
          <t>45003-110</t>
        </is>
      </c>
      <c r="H3020" s="15" t="n">
        <v>3</v>
      </c>
      <c r="I3020" s="28" t="inlineStr">
        <is>
          <t>NÃO</t>
        </is>
      </c>
      <c r="J3020" s="29" t="n">
        <v>564.4</v>
      </c>
      <c r="K3020" s="14" t="str">
        <f>IF(J3020="","7. Acima de 2 km",IF(J3020&lt;=50,"1. Até 50 m",IF(J3020&lt;=100,"2. De 50 a 100 m",IF(J3020&lt;=200,"3. De 100 a 200 m",IF(J3020&lt;=300,"4. De 200 a 300 m",IF(J3020&lt;=500,"5. De 300 a 500 m","6. De 500 m a 2 km"))))))</f>
        <v>6. De 500 m a 2 km</v>
      </c>
      <c r="L3020" s="26" t="n">
        <v>0</v>
      </c>
      <c r="M3020" s="26" t="n">
        <v>0</v>
      </c>
      <c r="N3020" s="26" t="n">
        <v>0</v>
      </c>
      <c r="O3020" s="26" t="n">
        <v>0</v>
      </c>
      <c r="P3020" s="30" t="n">
        <v>-14.8377958</v>
      </c>
      <c r="Q3020" s="30" t="n">
        <v>-40.8350187</v>
      </c>
      <c r="R3020" s="14" t="inlineStr">
        <is>
          <t>FÓRUM ELEITORAL DE VITÓRIA DA CONQUISTA, AVENIDA OLÍVIA FLORES, S/N, BAIRRO CANDEIAS, VITÓRIA DA CONQUISTA/BA</t>
        </is>
      </c>
      <c r="S3020" s="26">
        <f>IF(A3020=A3019,0,1)</f>
        <v>0</v>
      </c>
      <c r="T3020" s="26">
        <f>IF(COUNTIF($B$4:B3020,B3020)=1,1,0)</f>
        <v>0</v>
      </c>
    </row>
    <row r="3021">
      <c r="A3021" s="14" t="inlineStr">
        <is>
          <t>VITÓRIA DA CONQUISTA</t>
        </is>
      </c>
      <c r="B3021" s="26" t="n">
        <v>41</v>
      </c>
      <c r="C3021" s="26" t="n">
        <v>1635</v>
      </c>
      <c r="D3021" s="14" t="inlineStr">
        <is>
          <t>COLÉGIO ESTADUAL JOSÉ SÁ NUNES</t>
        </is>
      </c>
      <c r="E3021" s="14" t="inlineStr">
        <is>
          <t>NOVO HORIZONTE</t>
        </is>
      </c>
      <c r="F3021" s="14" t="inlineStr">
        <is>
          <t>RUA CARNEIRO DE CAMPOS, Nº 188, CENTRO - ZONA URBANA</t>
        </is>
      </c>
      <c r="G3021" s="27" t="inlineStr">
        <is>
          <t>45000-875</t>
        </is>
      </c>
      <c r="H3021" s="15" t="n">
        <v>7</v>
      </c>
      <c r="I3021" s="28" t="inlineStr">
        <is>
          <t>NÃO</t>
        </is>
      </c>
      <c r="J3021" s="29" t="n">
        <v>674.7</v>
      </c>
      <c r="K3021" s="14" t="str">
        <f>IF(J3021="","7. Acima de 2 km",IF(J3021&lt;=50,"1. Até 50 m",IF(J3021&lt;=100,"2. De 50 a 100 m",IF(J3021&lt;=200,"3. De 100 a 200 m",IF(J3021&lt;=300,"4. De 200 a 300 m",IF(J3021&lt;=500,"5. De 300 a 500 m","6. De 500 m a 2 km"))))))</f>
        <v>6. De 500 m a 2 km</v>
      </c>
      <c r="L3021" s="26" t="n">
        <v>0</v>
      </c>
      <c r="M3021" s="26" t="n">
        <v>0</v>
      </c>
      <c r="N3021" s="26" t="n">
        <v>0</v>
      </c>
      <c r="O3021" s="26" t="n">
        <v>0</v>
      </c>
      <c r="P3021" s="30" t="n">
        <v>-14.8444984</v>
      </c>
      <c r="Q3021" s="30" t="n">
        <v>-40.8461675</v>
      </c>
      <c r="R3021" s="14" t="inlineStr">
        <is>
          <t>FÓRUM ELEITORAL DE VITÓRIA DA CONQUISTA, AVENIDA OLÍVIA FLORES, S/N, BAIRRO CANDEIAS, VITÓRIA DA CONQUISTA/BA</t>
        </is>
      </c>
      <c r="S3021" s="26">
        <f>IF(A3021=A3020,0,1)</f>
        <v>0</v>
      </c>
      <c r="T3021" s="26">
        <f>IF(COUNTIF($B$4:B3021,B3021)=1,1,0)</f>
        <v>0</v>
      </c>
    </row>
    <row r="3022">
      <c r="A3022" s="14" t="inlineStr">
        <is>
          <t>VITÓRIA DA CONQUISTA</t>
        </is>
      </c>
      <c r="B3022" s="26" t="n">
        <v>41</v>
      </c>
      <c r="C3022" s="26" t="n">
        <v>1643</v>
      </c>
      <c r="D3022" s="14" t="inlineStr">
        <is>
          <t>ESCOLA MUNICIPAL PROFESSORA MARLENE FLORES</t>
        </is>
      </c>
      <c r="E3022" s="14" t="inlineStr">
        <is>
          <t>LAGOA DAS FLORES</t>
        </is>
      </c>
      <c r="F3022" s="14" t="inlineStr">
        <is>
          <t>RUA MARGARIDA OLIVEIRA CUNHA, S/N, LAGOA DAS FLORES - ZONA URBANA</t>
        </is>
      </c>
      <c r="G3022" s="27" t="inlineStr">
        <is>
          <t>45007-190</t>
        </is>
      </c>
      <c r="H3022" s="15" t="n">
        <v>11</v>
      </c>
      <c r="I3022" s="28" t="inlineStr">
        <is>
          <t>SIM</t>
        </is>
      </c>
      <c r="J3022" s="29" t="n">
        <v>46.3</v>
      </c>
      <c r="K3022" s="14" t="str">
        <f>IF(J3022="","7. Acima de 2 km",IF(J3022&lt;=50,"1. Até 50 m",IF(J3022&lt;=100,"2. De 50 a 100 m",IF(J3022&lt;=200,"3. De 100 a 200 m",IF(J3022&lt;=300,"4. De 200 a 300 m",IF(J3022&lt;=500,"5. De 300 a 500 m","6. De 500 m a 2 km"))))))</f>
        <v>1. Até 50 m</v>
      </c>
      <c r="L3022" s="26" t="n">
        <v>1</v>
      </c>
      <c r="M3022" s="26" t="n">
        <v>1</v>
      </c>
      <c r="N3022" s="26" t="n">
        <v>1</v>
      </c>
      <c r="O3022" s="26" t="n">
        <v>1</v>
      </c>
      <c r="P3022" s="30" t="n">
        <v>-14.8166253</v>
      </c>
      <c r="Q3022" s="30" t="n">
        <v>-40.7910997</v>
      </c>
      <c r="R3022" s="14" t="inlineStr">
        <is>
          <t>FÓRUM ELEITORAL DE VITÓRIA DA CONQUISTA, AVENIDA OLÍVIA FLORES, S/N, BAIRRO CANDEIAS, VITÓRIA DA CONQUISTA/BA</t>
        </is>
      </c>
      <c r="S3022" s="26">
        <f>IF(A3022=A3021,0,1)</f>
        <v>0</v>
      </c>
      <c r="T3022" s="26">
        <f>IF(COUNTIF($B$4:B3022,B3022)=1,1,0)</f>
        <v>0</v>
      </c>
    </row>
    <row r="3023">
      <c r="A3023" s="14" t="inlineStr">
        <is>
          <t>VITÓRIA DA CONQUISTA</t>
        </is>
      </c>
      <c r="B3023" s="26" t="n">
        <v>41</v>
      </c>
      <c r="C3023" s="26" t="n">
        <v>1660</v>
      </c>
      <c r="D3023" s="14" t="inlineStr">
        <is>
          <t>FAINOR - FACULDADE INDEPENDENTE DO NORDESTE</t>
        </is>
      </c>
      <c r="E3023" s="14" t="inlineStr">
        <is>
          <t>CANDEIAS</t>
        </is>
      </c>
      <c r="F3023" s="14" t="inlineStr">
        <is>
          <t>AVENIDA LUIS EDUARDO MAGALHÃES, Nº 1305, CANDEIAS- ZONA URBANA</t>
        </is>
      </c>
      <c r="G3023" s="27" t="inlineStr">
        <is>
          <t>45028-440</t>
        </is>
      </c>
      <c r="H3023" s="15" t="n">
        <v>11</v>
      </c>
      <c r="I3023" s="28" t="inlineStr">
        <is>
          <t>NÃO</t>
        </is>
      </c>
      <c r="J3023" s="29" t="n">
        <v>127</v>
      </c>
      <c r="K3023" s="14" t="str">
        <f>IF(J3023="","7. Acima de 2 km",IF(J3023&lt;=50,"1. Até 50 m",IF(J3023&lt;=100,"2. De 50 a 100 m",IF(J3023&lt;=200,"3. De 100 a 200 m",IF(J3023&lt;=300,"4. De 200 a 300 m",IF(J3023&lt;=500,"5. De 300 a 500 m","6. De 500 m a 2 km"))))))</f>
        <v>3. De 100 a 200 m</v>
      </c>
      <c r="L3023" s="26" t="n">
        <v>0</v>
      </c>
      <c r="M3023" s="26" t="n">
        <v>0</v>
      </c>
      <c r="N3023" s="26" t="n">
        <v>1</v>
      </c>
      <c r="O3023" s="26" t="n">
        <v>1</v>
      </c>
      <c r="P3023" s="30" t="n">
        <v>-14.8615911</v>
      </c>
      <c r="Q3023" s="30" t="n">
        <v>-40.8168856</v>
      </c>
      <c r="R3023" s="14" t="inlineStr">
        <is>
          <t>FÓRUM ELEITORAL DE VITÓRIA DA CONQUISTA, AVENIDA OLÍVIA FLORES, S/N, BAIRRO CANDEIAS, VITÓRIA DA CONQUISTA/BA</t>
        </is>
      </c>
      <c r="S3023" s="26">
        <f>IF(A3023=A3022,0,1)</f>
        <v>0</v>
      </c>
      <c r="T3023" s="26">
        <f>IF(COUNTIF($B$4:B3023,B3023)=1,1,0)</f>
        <v>0</v>
      </c>
    </row>
    <row r="3024">
      <c r="A3024" s="14" t="inlineStr">
        <is>
          <t>VITÓRIA DA CONQUISTA</t>
        </is>
      </c>
      <c r="B3024" s="26" t="n">
        <v>41</v>
      </c>
      <c r="C3024" s="26" t="n">
        <v>1678</v>
      </c>
      <c r="D3024" s="14" t="inlineStr">
        <is>
          <t>FACULDADE ANHANGUERA - VITÓRIA DA CONQUISTA</t>
        </is>
      </c>
      <c r="E3024" s="14" t="inlineStr">
        <is>
          <t>BOA VISTA</t>
        </is>
      </c>
      <c r="F3024" s="14" t="inlineStr">
        <is>
          <t>AVENIDA JURACY MAGALHÃES, 3000 - ZONA URBANA</t>
        </is>
      </c>
      <c r="G3024" s="27" t="inlineStr">
        <is>
          <t>45055-900</t>
        </is>
      </c>
      <c r="H3024" s="15" t="n">
        <v>9</v>
      </c>
      <c r="I3024" s="28" t="inlineStr">
        <is>
          <t>SIM</t>
        </is>
      </c>
      <c r="J3024" s="29" t="n">
        <v>62.9</v>
      </c>
      <c r="K3024" s="14" t="str">
        <f>IF(J3024="","7. Acima de 2 km",IF(J3024&lt;=50,"1. Até 50 m",IF(J3024&lt;=100,"2. De 50 a 100 m",IF(J3024&lt;=200,"3. De 100 a 200 m",IF(J3024&lt;=300,"4. De 200 a 300 m",IF(J3024&lt;=500,"5. De 300 a 500 m","6. De 500 m a 2 km"))))))</f>
        <v>2. De 50 a 100 m</v>
      </c>
      <c r="L3024" s="26" t="n">
        <v>0</v>
      </c>
      <c r="M3024" s="26" t="n">
        <v>2</v>
      </c>
      <c r="N3024" s="26" t="n">
        <v>2</v>
      </c>
      <c r="O3024" s="26" t="n">
        <v>3</v>
      </c>
      <c r="P3024" s="30" t="n">
        <v>-14.8924679</v>
      </c>
      <c r="Q3024" s="30" t="n">
        <v>-40.8443141</v>
      </c>
      <c r="R3024" s="14" t="inlineStr">
        <is>
          <t>FÓRUM ELEITORAL DE VITÓRIA DA CONQUISTA, AVENIDA OLÍVIA FLORES, S/N, BAIRRO CANDEIAS, VITÓRIA DA CONQUISTA/BA</t>
        </is>
      </c>
      <c r="S3024" s="26">
        <f>IF(A3024=A3023,0,1)</f>
        <v>0</v>
      </c>
      <c r="T3024" s="26">
        <f>IF(COUNTIF($B$4:B3024,B3024)=1,1,0)</f>
        <v>0</v>
      </c>
    </row>
    <row r="3025">
      <c r="A3025" s="14" t="inlineStr">
        <is>
          <t>VITÓRIA DA CONQUISTA</t>
        </is>
      </c>
      <c r="B3025" s="26" t="n">
        <v>41</v>
      </c>
      <c r="C3025" s="26" t="n">
        <v>1686</v>
      </c>
      <c r="D3025" s="14" t="inlineStr">
        <is>
          <t>ESCOLA MUNICIPAL ZULEMA COTRIM</t>
        </is>
      </c>
      <c r="E3025" s="14" t="inlineStr">
        <is>
          <t>FELÍCIA</t>
        </is>
      </c>
      <c r="F3025" s="14" t="inlineStr">
        <is>
          <t>RUA LÍBANO, S/N, FELÍCIA - ZONA URBANA</t>
        </is>
      </c>
      <c r="G3025" s="27" t="inlineStr">
        <is>
          <t>45055-225</t>
        </is>
      </c>
      <c r="H3025" s="15" t="n">
        <v>8</v>
      </c>
      <c r="I3025" s="28" t="inlineStr">
        <is>
          <t>NÃO</t>
        </is>
      </c>
      <c r="J3025" s="29" t="n">
        <v>309</v>
      </c>
      <c r="K3025" s="14" t="str">
        <f>IF(J3025="","7. Acima de 2 km",IF(J3025&lt;=50,"1. Até 50 m",IF(J3025&lt;=100,"2. De 50 a 100 m",IF(J3025&lt;=200,"3. De 100 a 200 m",IF(J3025&lt;=300,"4. De 200 a 300 m",IF(J3025&lt;=500,"5. De 300 a 500 m","6. De 500 m a 2 km"))))))</f>
        <v>5. De 300 a 500 m</v>
      </c>
      <c r="L3025" s="26" t="n">
        <v>0</v>
      </c>
      <c r="M3025" s="26" t="n">
        <v>0</v>
      </c>
      <c r="N3025" s="26" t="n">
        <v>0</v>
      </c>
      <c r="O3025" s="26" t="n">
        <v>0</v>
      </c>
      <c r="P3025" s="30" t="n">
        <v>-14.8785635</v>
      </c>
      <c r="Q3025" s="30" t="n">
        <v>-40.8467528</v>
      </c>
      <c r="R3025" s="14" t="inlineStr">
        <is>
          <t>FÓRUM ELEITORAL DE VITÓRIA DA CONQUISTA, AVENIDA OLÍVIA FLORES, S/N, BAIRRO CANDEIAS, VITÓRIA DA CONQUISTA/BA</t>
        </is>
      </c>
      <c r="S3025" s="26">
        <f>IF(A3025=A3024,0,1)</f>
        <v>0</v>
      </c>
      <c r="T3025" s="26">
        <f>IF(COUNTIF($B$4:B3025,B3025)=1,1,0)</f>
        <v>0</v>
      </c>
    </row>
    <row r="3026">
      <c r="A3026" s="14" t="inlineStr">
        <is>
          <t>VITÓRIA DA CONQUISTA</t>
        </is>
      </c>
      <c r="B3026" s="26" t="n">
        <v>41</v>
      </c>
      <c r="C3026" s="26" t="n">
        <v>1694</v>
      </c>
      <c r="D3026" s="14" t="inlineStr">
        <is>
          <t>CEMAE (POLO DE EDUCAÇÃO PERMANENTE EM SAÚDE)</t>
        </is>
      </c>
      <c r="E3026" s="14" t="inlineStr">
        <is>
          <t>CANDEIAS</t>
        </is>
      </c>
      <c r="F3026" s="14" t="inlineStr">
        <is>
          <t>AVENIDA OLÍVIA FLORES, Nº 3000, CANDEIAS - ZONA URBANA</t>
        </is>
      </c>
      <c r="G3026" s="27" t="inlineStr">
        <is>
          <t>45028-610</t>
        </is>
      </c>
      <c r="H3026" s="15" t="n">
        <v>3</v>
      </c>
      <c r="I3026" s="28" t="inlineStr">
        <is>
          <t>NÃO</t>
        </is>
      </c>
      <c r="J3026" s="29" t="n">
        <v>119.7</v>
      </c>
      <c r="K3026" s="14" t="str">
        <f>IF(J3026="","7. Acima de 2 km",IF(J3026&lt;=50,"1. Até 50 m",IF(J3026&lt;=100,"2. De 50 a 100 m",IF(J3026&lt;=200,"3. De 100 a 200 m",IF(J3026&lt;=300,"4. De 200 a 300 m",IF(J3026&lt;=500,"5. De 300 a 500 m","6. De 500 m a 2 km"))))))</f>
        <v>3. De 100 a 200 m</v>
      </c>
      <c r="L3026" s="26" t="n">
        <v>0</v>
      </c>
      <c r="M3026" s="26" t="n">
        <v>0</v>
      </c>
      <c r="N3026" s="26" t="n">
        <v>2</v>
      </c>
      <c r="O3026" s="26" t="n">
        <v>2</v>
      </c>
      <c r="P3026" s="30" t="n">
        <v>-14.8789321</v>
      </c>
      <c r="Q3026" s="30" t="n">
        <v>-40.8135565</v>
      </c>
      <c r="R3026" s="14" t="inlineStr">
        <is>
          <t>FÓRUM ELEITORAL DE VITÓRIA DA CONQUISTA, AVENIDA OLÍVIA FLORES, S/N, BAIRRO CANDEIAS, VITÓRIA DA CONQUISTA/BA</t>
        </is>
      </c>
      <c r="S3026" s="26">
        <f>IF(A3026=A3025,0,1)</f>
        <v>0</v>
      </c>
      <c r="T3026" s="26">
        <f>IF(COUNTIF($B$4:B3026,B3026)=1,1,0)</f>
        <v>0</v>
      </c>
    </row>
    <row r="3027">
      <c r="A3027" s="14" t="inlineStr">
        <is>
          <t>VITÓRIA DA CONQUISTA</t>
        </is>
      </c>
      <c r="B3027" s="26" t="n">
        <v>41</v>
      </c>
      <c r="C3027" s="26" t="n">
        <v>1724</v>
      </c>
      <c r="D3027" s="14" t="inlineStr">
        <is>
          <t xml:space="preserve"> SACRAMENTINAS - COLÉGIO NOSSA SENHORA DE FÁTIMA</t>
        </is>
      </c>
      <c r="E3027" s="14" t="inlineStr">
        <is>
          <t>CANDEIAS</t>
        </is>
      </c>
      <c r="F3027" s="14" t="inlineStr">
        <is>
          <t>AVENIDA JORGE TEIXEIRA, Nº 125, CANDEIAS - ZONA URBANA</t>
        </is>
      </c>
      <c r="G3027" s="27" t="inlineStr">
        <is>
          <t>45028-050</t>
        </is>
      </c>
      <c r="H3027" s="15" t="n">
        <v>21</v>
      </c>
      <c r="I3027" s="28" t="inlineStr">
        <is>
          <t>NÃO</t>
        </is>
      </c>
      <c r="J3027" s="29" t="n">
        <v>131.9</v>
      </c>
      <c r="K3027" s="14" t="str">
        <f>IF(J3027="","7. Acima de 2 km",IF(J3027&lt;=50,"1. Até 50 m",IF(J3027&lt;=100,"2. De 50 a 100 m",IF(J3027&lt;=200,"3. De 100 a 200 m",IF(J3027&lt;=300,"4. De 200 a 300 m",IF(J3027&lt;=500,"5. De 300 a 500 m","6. De 500 m a 2 km"))))))</f>
        <v>3. De 100 a 200 m</v>
      </c>
      <c r="L3027" s="26" t="n">
        <v>0</v>
      </c>
      <c r="M3027" s="26" t="n">
        <v>0</v>
      </c>
      <c r="N3027" s="26" t="n">
        <v>1</v>
      </c>
      <c r="O3027" s="26" t="n">
        <v>3</v>
      </c>
      <c r="P3027" s="30" t="n">
        <v>-14.8596552</v>
      </c>
      <c r="Q3027" s="30" t="n">
        <v>-40.8306107</v>
      </c>
      <c r="R3027" s="14" t="inlineStr">
        <is>
          <t>FÓRUM ELEITORAL DE VITÓRIA DA CONQUISTA, AVENIDA OLÍVIA FLORES, S/N, BAIRRO CANDEIAS, VITÓRIA DA CONQUISTA/BA</t>
        </is>
      </c>
      <c r="S3027" s="26">
        <f>IF(A3027=A3026,0,1)</f>
        <v>0</v>
      </c>
      <c r="T3027" s="26">
        <f>IF(COUNTIF($B$4:B3027,B3027)=1,1,0)</f>
        <v>0</v>
      </c>
    </row>
    <row r="3028">
      <c r="A3028" s="14" t="inlineStr">
        <is>
          <t>VITÓRIA DA CONQUISTA</t>
        </is>
      </c>
      <c r="B3028" s="26" t="n">
        <v>41</v>
      </c>
      <c r="C3028" s="26" t="n">
        <v>1732</v>
      </c>
      <c r="D3028" s="14" t="inlineStr">
        <is>
          <t>UNEX - CENTRO UNIVERSITÁRIO DE EXCELÊNCIA (ANTIGA UNIFTC)</t>
        </is>
      </c>
      <c r="E3028" s="14" t="inlineStr">
        <is>
          <t>RECREIO</t>
        </is>
      </c>
      <c r="F3028" s="14" t="inlineStr">
        <is>
          <t>RUA UBALDINO FIGUEIRA, Nº 200, RECREIO - ZONA URBANA</t>
        </is>
      </c>
      <c r="G3028" s="27" t="inlineStr">
        <is>
          <t>45020-510</t>
        </is>
      </c>
      <c r="H3028" s="15" t="n">
        <v>16</v>
      </c>
      <c r="I3028" s="28" t="inlineStr">
        <is>
          <t>SIM</t>
        </is>
      </c>
      <c r="J3028" s="29" t="n">
        <v>26</v>
      </c>
      <c r="K3028" s="14" t="str">
        <f>IF(J3028="","7. Acima de 2 km",IF(J3028&lt;=50,"1. Até 50 m",IF(J3028&lt;=100,"2. De 50 a 100 m",IF(J3028&lt;=200,"3. De 100 a 200 m",IF(J3028&lt;=300,"4. De 200 a 300 m",IF(J3028&lt;=500,"5. De 300 a 500 m","6. De 500 m a 2 km"))))))</f>
        <v>1. Até 50 m</v>
      </c>
      <c r="L3028" s="26" t="n">
        <v>1</v>
      </c>
      <c r="M3028" s="26" t="n">
        <v>2</v>
      </c>
      <c r="N3028" s="26" t="n">
        <v>3</v>
      </c>
      <c r="O3028" s="26" t="n">
        <v>3</v>
      </c>
      <c r="P3028" s="30" t="n">
        <v>-14.8639971</v>
      </c>
      <c r="Q3028" s="30" t="n">
        <v>-40.8340662</v>
      </c>
      <c r="R3028" s="14" t="inlineStr">
        <is>
          <t>FÓRUM ELEITORAL DE VITÓRIA DA CONQUISTA, AVENIDA OLÍVIA FLORES, S/N, BAIRRO CANDEIAS, VITÓRIA DA CONQUISTA/BA</t>
        </is>
      </c>
      <c r="S3028" s="26">
        <f>IF(A3028=A3027,0,1)</f>
        <v>0</v>
      </c>
      <c r="T3028" s="26">
        <f>IF(COUNTIF($B$4:B3028,B3028)=1,1,0)</f>
        <v>0</v>
      </c>
    </row>
    <row r="3029">
      <c r="A3029" s="14" t="inlineStr">
        <is>
          <t>VITÓRIA DA CONQUISTA</t>
        </is>
      </c>
      <c r="B3029" s="26" t="n">
        <v>41</v>
      </c>
      <c r="C3029" s="26" t="n">
        <v>1767</v>
      </c>
      <c r="D3029" s="14" t="inlineStr">
        <is>
          <t>CASE PROFESSOR WANDERLINO NOGUEIRA NETO</t>
        </is>
      </c>
      <c r="E3029" s="14" t="inlineStr">
        <is>
          <t>CANDEIAS</t>
        </is>
      </c>
      <c r="F3029" s="14" t="inlineStr">
        <is>
          <t>AVENIDA A, LOTEAMENTO SOL NASCENTE, N 07, CANDEIAS - ZONA URBANA</t>
        </is>
      </c>
      <c r="G3029" s="27" t="inlineStr">
        <is>
          <t>45028-479</t>
        </is>
      </c>
      <c r="H3029" s="15" t="n">
        <v>1</v>
      </c>
      <c r="I3029" s="28" t="inlineStr">
        <is>
          <t>NÃO</t>
        </is>
      </c>
      <c r="J3029" s="29" t="n">
        <v>834.7</v>
      </c>
      <c r="K3029" s="14" t="str">
        <f>IF(J3029="","7. Acima de 2 km",IF(J3029&lt;=50,"1. Até 50 m",IF(J3029&lt;=100,"2. De 50 a 100 m",IF(J3029&lt;=200,"3. De 100 a 200 m",IF(J3029&lt;=300,"4. De 200 a 300 m",IF(J3029&lt;=500,"5. De 300 a 500 m","6. De 500 m a 2 km"))))))</f>
        <v>6. De 500 m a 2 km</v>
      </c>
      <c r="L3029" s="26" t="n">
        <v>0</v>
      </c>
      <c r="M3029" s="26" t="n">
        <v>0</v>
      </c>
      <c r="N3029" s="26" t="n">
        <v>0</v>
      </c>
      <c r="O3029" s="26" t="n">
        <v>0</v>
      </c>
      <c r="P3029" s="30" t="n">
        <v>-14.8654659</v>
      </c>
      <c r="Q3029" s="30" t="n">
        <v>-40.7944957</v>
      </c>
      <c r="R3029" s="14" t="inlineStr">
        <is>
          <t>FÓRUM ELEITORAL DE VITÓRIA DA CONQUISTA, AVENIDA OLÍVIA FLORES, S/N, BAIRRO CANDEIAS, VITÓRIA DA CONQUISTA/BA</t>
        </is>
      </c>
      <c r="S3029" s="26">
        <f>IF(A3029=A3028,0,1)</f>
        <v>0</v>
      </c>
      <c r="T3029" s="26">
        <f>IF(COUNTIF($B$4:B3029,B3029)=1,1,0)</f>
        <v>0</v>
      </c>
    </row>
    <row r="3030">
      <c r="A3030" s="14" t="inlineStr">
        <is>
          <t>VITÓRIA DA CONQUISTA</t>
        </is>
      </c>
      <c r="B3030" s="26" t="n">
        <v>41</v>
      </c>
      <c r="C3030" s="26" t="n">
        <v>1791</v>
      </c>
      <c r="D3030" s="14" t="inlineStr">
        <is>
          <t>COLÉGIO ESTADUAL DE TEMPO INTEGRAL DE VITÓRIA DA CONQUISTA</t>
        </is>
      </c>
      <c r="E3030" s="14" t="inlineStr">
        <is>
          <t>CANDEIAS</t>
        </is>
      </c>
      <c r="F3030" s="14" t="inlineStr">
        <is>
          <t>AVENIDA ROSA CRUZ, S/N, CANDEIAS - ZONA URBANA</t>
        </is>
      </c>
      <c r="G3030" s="27" t="inlineStr">
        <is>
          <t>45028-045</t>
        </is>
      </c>
      <c r="H3030" s="15" t="n">
        <v>35</v>
      </c>
      <c r="I3030" s="28" t="inlineStr">
        <is>
          <t>NÃO</t>
        </is>
      </c>
      <c r="J3030" s="29" t="n">
        <v>134.6</v>
      </c>
      <c r="K3030" s="14" t="str">
        <f>IF(J3030="","7. Acima de 2 km",IF(J3030&lt;=50,"1. Até 50 m",IF(J3030&lt;=100,"2. De 50 a 100 m",IF(J3030&lt;=200,"3. De 100 a 200 m",IF(J3030&lt;=300,"4. De 200 a 300 m",IF(J3030&lt;=500,"5. De 300 a 500 m","6. De 500 m a 2 km"))))))</f>
        <v>3. De 100 a 200 m</v>
      </c>
      <c r="L3030" s="26" t="n">
        <v>0</v>
      </c>
      <c r="M3030" s="26" t="n">
        <v>0</v>
      </c>
      <c r="N3030" s="26" t="n">
        <v>2</v>
      </c>
      <c r="O3030" s="26" t="n">
        <v>3</v>
      </c>
      <c r="P3030" s="30" t="n">
        <v>-14.857924</v>
      </c>
      <c r="Q3030" s="30" t="n">
        <v>-40.8301694</v>
      </c>
      <c r="R3030" s="14" t="inlineStr">
        <is>
          <t>FÓRUM ELEITORAL DE VITÓRIA DA CONQUISTA, AVENIDA OLÍVIA FLORES, S/N, BAIRRO CANDEIAS, VITÓRIA DA CONQUISTA/BA</t>
        </is>
      </c>
      <c r="S3030" s="26">
        <f>IF(A3030=A3029,0,1)</f>
        <v>0</v>
      </c>
      <c r="T3030" s="26">
        <f>IF(COUNTIF($B$4:B3030,B3030)=1,1,0)</f>
        <v>0</v>
      </c>
    </row>
  </sheetData>
  <autoFilter ref="A3:R3030"/>
  <mergeCells count="2">
    <mergeCell ref="A2:R2"/>
    <mergeCell ref="A1:R1"/>
  </mergeCells>
  <conditionalFormatting sqref="I4:I3030">
    <cfRule type="cellIs" priority="1" operator="equal" dxfId="1">
      <formula>"SIM"</formula>
    </cfRule>
    <cfRule type="cellIs" priority="2" operator="equal" dxfId="0">
      <formula>"NÃO"</formula>
    </cfRule>
  </conditionalFormatting>
  <conditionalFormatting sqref="J4:J3030">
    <cfRule type="cellIs" priority="3" operator="lessThanOrEqual" dxfId="2">
      <formula>100</formula>
    </cfRule>
    <cfRule type="cellIs" priority="4" operator="between" dxfId="3">
      <formula>100.0001</formula>
      <formula>300</formula>
    </cfRule>
    <cfRule type="cellIs" priority="5" operator="greaterThan" dxfId="4">
      <formula>300</formula>
    </cfRule>
  </conditionalFormatting>
  <conditionalFormatting sqref="A4:R3030">
    <cfRule type="expression" priority="6" dxfId="5" stopIfTrue="0">
      <formula>MOD(ROW(),2)=0</formula>
    </cfRule>
  </conditionalFormatting>
  <pageMargins left="0.75" right="0.75" top="1" bottom="1" header="0.5" footer="0.5"/>
  <pageSetup orientation="landscape" paperSize="9" fitToHeight="0" fitToWidth="1"/>
  <headerFooter>
    <oddHeader/>
    <oddFooter>&amp;LResumo por local de votação — cobertura de câmeras&amp;RPágina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2026-09-29T18:06:06Z</dcterms:created>
  <dcterms:modified xsi:type="dcterms:W3CDTF">2026-09-29T18:06:10Z</dcterms:modified>
</cp:coreProperties>
</file>